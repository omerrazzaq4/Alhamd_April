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710" documentId="8_{7831D67F-D179-4A48-BF3D-D20C81F1E395}" xr6:coauthVersionLast="47" xr6:coauthVersionMax="47" xr10:uidLastSave="{B1393E81-F244-4C11-B6A2-A01827C4ED47}"/>
  <bookViews>
    <workbookView xWindow="-108" yWindow="-108" windowWidth="23256" windowHeight="12456" tabRatio="597" firstSheet="3"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58" i="1" l="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E119" i="2"/>
  <c r="F119" i="2"/>
  <c r="G119" i="2" s="1"/>
  <c r="E120" i="2"/>
  <c r="F120" i="2"/>
  <c r="G120" i="2"/>
  <c r="H120" i="2"/>
  <c r="I120" i="2"/>
  <c r="D120" i="2" s="1"/>
  <c r="E121" i="2"/>
  <c r="F121" i="2"/>
  <c r="G121" i="2" s="1"/>
  <c r="E122" i="2"/>
  <c r="F122" i="2"/>
  <c r="G122" i="2"/>
  <c r="H122" i="2"/>
  <c r="I122" i="2"/>
  <c r="D122" i="2" s="1"/>
  <c r="E123" i="2"/>
  <c r="F123" i="2"/>
  <c r="G123" i="2" s="1"/>
  <c r="E124" i="2"/>
  <c r="F124" i="2"/>
  <c r="G124" i="2"/>
  <c r="H124" i="2"/>
  <c r="I124" i="2"/>
  <c r="D124" i="2" s="1"/>
  <c r="E125" i="2"/>
  <c r="F125" i="2"/>
  <c r="G125" i="2" s="1"/>
  <c r="E126" i="2"/>
  <c r="F126" i="2"/>
  <c r="G126" i="2"/>
  <c r="H126" i="2"/>
  <c r="I126" i="2"/>
  <c r="D126" i="2" s="1"/>
  <c r="E127" i="2"/>
  <c r="F127" i="2"/>
  <c r="G127" i="2" s="1"/>
  <c r="I258" i="1"/>
  <c r="J258" i="1" a="1"/>
  <c r="J258" i="1" s="1"/>
  <c r="G86" i="9" s="1" a="1"/>
  <c r="G86" i="9" s="1"/>
  <c r="I259" i="1"/>
  <c r="J259" i="1" a="1"/>
  <c r="J259" i="1" s="1"/>
  <c r="I260" i="1"/>
  <c r="J260" i="1" s="1" a="1"/>
  <c r="J260" i="1" s="1"/>
  <c r="I261" i="1"/>
  <c r="J261" i="1" s="1" a="1"/>
  <c r="J261" i="1" s="1"/>
  <c r="I262" i="1"/>
  <c r="J262" i="1" a="1"/>
  <c r="J262" i="1" s="1"/>
  <c r="G38" i="7"/>
  <c r="H38" i="7" s="1"/>
  <c r="G39" i="7"/>
  <c r="H39" i="7" s="1"/>
  <c r="G40" i="7"/>
  <c r="H40" i="7" s="1"/>
  <c r="G41" i="7"/>
  <c r="H41" i="7" s="1"/>
  <c r="F47" i="15"/>
  <c r="F48" i="15"/>
  <c r="F49" i="15"/>
  <c r="G46" i="15"/>
  <c r="H46" i="15" s="1"/>
  <c r="G47" i="15"/>
  <c r="H47" i="15" s="1"/>
  <c r="G48" i="15"/>
  <c r="H48" i="15" s="1"/>
  <c r="G49" i="15"/>
  <c r="H49" i="15" s="1"/>
  <c r="D130" i="18"/>
  <c r="D131" i="18"/>
  <c r="D132" i="18"/>
  <c r="D133" i="18"/>
  <c r="D134" i="18"/>
  <c r="E130" i="18"/>
  <c r="E131" i="18"/>
  <c r="E132" i="18"/>
  <c r="E133" i="18"/>
  <c r="E134" i="18"/>
  <c r="C824" i="17"/>
  <c r="C9" i="8" s="1"/>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s="1" a="1"/>
  <c r="J257" i="1" s="1"/>
  <c r="I253" i="1"/>
  <c r="J253" i="1" a="1"/>
  <c r="J253" i="1" s="1"/>
  <c r="I254" i="1"/>
  <c r="J254" i="1" s="1" a="1"/>
  <c r="J254" i="1" s="1"/>
  <c r="I255" i="1"/>
  <c r="J255" i="1" s="1" a="1"/>
  <c r="J255" i="1" s="1"/>
  <c r="I256" i="1"/>
  <c r="J256" i="1" s="1" a="1"/>
  <c r="J256" i="1" s="1"/>
  <c r="I243" i="1"/>
  <c r="I244" i="1"/>
  <c r="J244" i="1" s="1" a="1"/>
  <c r="J244" i="1" s="1"/>
  <c r="I245" i="1"/>
  <c r="J245" i="1" s="1" a="1"/>
  <c r="J245" i="1" s="1"/>
  <c r="I246" i="1"/>
  <c r="J246" i="1" s="1"/>
  <c r="I247" i="1"/>
  <c r="J247" i="1" s="1" a="1"/>
  <c r="J247" i="1" s="1"/>
  <c r="I248" i="1"/>
  <c r="J248" i="1" a="1"/>
  <c r="J248" i="1" s="1"/>
  <c r="I249" i="1"/>
  <c r="J249" i="1" s="1" a="1"/>
  <c r="J249" i="1" s="1"/>
  <c r="I250" i="1"/>
  <c r="J250" i="1" s="1" a="1"/>
  <c r="J250" i="1" s="1"/>
  <c r="I251" i="1"/>
  <c r="J251" i="1" a="1"/>
  <c r="J251" i="1" s="1"/>
  <c r="I252" i="1"/>
  <c r="J252" i="1" s="1" a="1"/>
  <c r="J252" i="1" s="1"/>
  <c r="C875" i="17"/>
  <c r="C857" i="17"/>
  <c r="G35" i="7"/>
  <c r="H35" i="7" s="1"/>
  <c r="G36" i="7"/>
  <c r="H36" i="7" s="1"/>
  <c r="G37" i="7"/>
  <c r="H37" i="7" s="1"/>
  <c r="I239" i="1"/>
  <c r="J239" i="1" s="1" a="1"/>
  <c r="J239" i="1" s="1"/>
  <c r="I240" i="1"/>
  <c r="J240" i="1" s="1" a="1"/>
  <c r="J240" i="1" s="1"/>
  <c r="I241" i="1"/>
  <c r="J241" i="1" s="1" a="1"/>
  <c r="J241" i="1" s="1"/>
  <c r="I242" i="1"/>
  <c r="J242" i="1" s="1" a="1"/>
  <c r="J242" i="1" s="1"/>
  <c r="I232" i="1"/>
  <c r="J232" i="1" s="1" a="1"/>
  <c r="J232" i="1" s="1"/>
  <c r="I233" i="1"/>
  <c r="J233" i="1" s="1" a="1"/>
  <c r="J233" i="1" s="1"/>
  <c r="I234" i="1"/>
  <c r="J234" i="1"/>
  <c r="I235" i="1"/>
  <c r="J235" i="1" s="1"/>
  <c r="I236" i="1"/>
  <c r="J236" i="1" s="1" a="1"/>
  <c r="J236" i="1" s="1"/>
  <c r="I237" i="1"/>
  <c r="J237" i="1" s="1" a="1"/>
  <c r="J237" i="1" s="1"/>
  <c r="I238" i="1"/>
  <c r="J238" i="1" a="1"/>
  <c r="J238" i="1" s="1"/>
  <c r="I226" i="1"/>
  <c r="J226" i="1" s="1" a="1"/>
  <c r="J226" i="1" s="1"/>
  <c r="I227" i="1"/>
  <c r="J227" i="1" a="1"/>
  <c r="J227" i="1" s="1"/>
  <c r="I228" i="1"/>
  <c r="J228" i="1" a="1"/>
  <c r="J228" i="1" s="1"/>
  <c r="I229" i="1"/>
  <c r="J229" i="1" s="1" a="1"/>
  <c r="J229" i="1" s="1"/>
  <c r="I230" i="1"/>
  <c r="J230" i="1" s="1" a="1"/>
  <c r="J230" i="1" s="1"/>
  <c r="I231" i="1"/>
  <c r="J231" i="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s="1"/>
  <c r="I221" i="1"/>
  <c r="J221" i="1"/>
  <c r="I222" i="1"/>
  <c r="J222" i="1"/>
  <c r="I223" i="1"/>
  <c r="J223" i="1"/>
  <c r="I215" i="1"/>
  <c r="J215" i="1" s="1" a="1"/>
  <c r="J215" i="1" s="1"/>
  <c r="I216" i="1"/>
  <c r="J216" i="1" a="1"/>
  <c r="J216" i="1" s="1"/>
  <c r="I219" i="1"/>
  <c r="J219" i="1" s="1" a="1"/>
  <c r="J219" i="1" s="1"/>
  <c r="I220" i="1"/>
  <c r="J220" i="1" s="1" a="1"/>
  <c r="J220" i="1" s="1"/>
  <c r="I211" i="1"/>
  <c r="J211" i="1"/>
  <c r="I212" i="1"/>
  <c r="J212" i="1"/>
  <c r="I208" i="1"/>
  <c r="J208" i="1" s="1" a="1"/>
  <c r="J208" i="1" s="1"/>
  <c r="I209" i="1"/>
  <c r="J209" i="1" a="1"/>
  <c r="J209" i="1" s="1"/>
  <c r="I210" i="1"/>
  <c r="J210" i="1" s="1" a="1"/>
  <c r="J210" i="1" s="1"/>
  <c r="I213" i="1"/>
  <c r="J213" i="1" s="1" a="1"/>
  <c r="J213" i="1" s="1"/>
  <c r="I214" i="1"/>
  <c r="J214" i="1" s="1" a="1"/>
  <c r="J214" i="1" s="1"/>
  <c r="C669" i="17"/>
  <c r="C649" i="17"/>
  <c r="G38" i="15"/>
  <c r="H38" i="15" s="1"/>
  <c r="G39" i="15"/>
  <c r="H39" i="15" s="1"/>
  <c r="G40" i="15"/>
  <c r="H40" i="15" s="1"/>
  <c r="G41" i="15"/>
  <c r="G42" i="15"/>
  <c r="H42" i="15" s="1"/>
  <c r="B49" i="9" a="1"/>
  <c r="G102" i="9" s="1"/>
  <c r="I97" i="1"/>
  <c r="J97" i="1" s="1" a="1"/>
  <c r="J97" i="1" s="1"/>
  <c r="I105" i="1"/>
  <c r="J105" i="1" s="1" a="1"/>
  <c r="J105" i="1" s="1"/>
  <c r="I111" i="1"/>
  <c r="J111" i="1" a="1"/>
  <c r="J111" i="1" s="1"/>
  <c r="I112" i="1"/>
  <c r="J112" i="1" s="1" a="1"/>
  <c r="J112" i="1" s="1"/>
  <c r="I113" i="1"/>
  <c r="J113" i="1" a="1"/>
  <c r="J113" i="1" s="1"/>
  <c r="I120" i="1"/>
  <c r="J120" i="1" a="1"/>
  <c r="J120" i="1" s="1"/>
  <c r="I121" i="1"/>
  <c r="J121" i="1" s="1" a="1"/>
  <c r="J121" i="1" s="1"/>
  <c r="I132" i="1"/>
  <c r="J132" i="1" a="1"/>
  <c r="J132" i="1" s="1"/>
  <c r="I133" i="1"/>
  <c r="J133" i="1" a="1"/>
  <c r="J133" i="1" s="1"/>
  <c r="I143" i="1"/>
  <c r="J143" i="1" s="1" a="1"/>
  <c r="J143" i="1" s="1"/>
  <c r="I145" i="1"/>
  <c r="J145" i="1" a="1"/>
  <c r="J145" i="1" s="1"/>
  <c r="I154" i="1"/>
  <c r="J154" i="1" a="1"/>
  <c r="J154" i="1" s="1"/>
  <c r="I155" i="1"/>
  <c r="J155" i="1" s="1" a="1"/>
  <c r="J155" i="1" s="1"/>
  <c r="I156" i="1"/>
  <c r="J156" i="1" s="1" a="1"/>
  <c r="J156" i="1" s="1"/>
  <c r="I157" i="1"/>
  <c r="J157" i="1" s="1" a="1"/>
  <c r="J157" i="1" s="1"/>
  <c r="I158" i="1"/>
  <c r="J158" i="1" s="1" a="1"/>
  <c r="J158" i="1" s="1"/>
  <c r="I160" i="1"/>
  <c r="J160" i="1" s="1" a="1"/>
  <c r="J160" i="1" s="1"/>
  <c r="I161" i="1"/>
  <c r="J161" i="1" a="1"/>
  <c r="J161" i="1" s="1"/>
  <c r="I162" i="1"/>
  <c r="J162" i="1" a="1"/>
  <c r="J162" i="1" s="1"/>
  <c r="I163" i="1"/>
  <c r="J163" i="1" s="1" a="1"/>
  <c r="J163" i="1" s="1"/>
  <c r="I164" i="1"/>
  <c r="J164" i="1" a="1"/>
  <c r="J164" i="1" s="1"/>
  <c r="I165" i="1"/>
  <c r="J165" i="1" s="1" a="1"/>
  <c r="J165" i="1" s="1"/>
  <c r="I166" i="1"/>
  <c r="J166" i="1" a="1"/>
  <c r="J166" i="1" s="1"/>
  <c r="I167" i="1"/>
  <c r="J167" i="1" a="1"/>
  <c r="J167" i="1" s="1"/>
  <c r="I168" i="1"/>
  <c r="J168" i="1" a="1"/>
  <c r="J168" i="1" s="1"/>
  <c r="I170" i="1"/>
  <c r="J170" i="1" s="1" a="1"/>
  <c r="J170" i="1" s="1"/>
  <c r="I169" i="1"/>
  <c r="J169" i="1" s="1" a="1"/>
  <c r="J169" i="1" s="1"/>
  <c r="I172" i="1"/>
  <c r="J172" i="1" s="1" a="1"/>
  <c r="J172" i="1" s="1"/>
  <c r="I185" i="1"/>
  <c r="J185" i="1" a="1"/>
  <c r="J185" i="1" s="1"/>
  <c r="I186" i="1"/>
  <c r="J186" i="1" s="1" a="1"/>
  <c r="J186" i="1" s="1"/>
  <c r="I187" i="1"/>
  <c r="J187" i="1" a="1"/>
  <c r="J187" i="1" s="1"/>
  <c r="I189" i="1"/>
  <c r="J189" i="1" a="1"/>
  <c r="J189" i="1" s="1"/>
  <c r="I203" i="1"/>
  <c r="J203" i="1" s="1" a="1"/>
  <c r="J203" i="1" s="1"/>
  <c r="I188" i="1"/>
  <c r="J188" i="1" s="1" a="1"/>
  <c r="J188" i="1" s="1"/>
  <c r="I190" i="1"/>
  <c r="J190" i="1" s="1" a="1"/>
  <c r="J190" i="1" s="1"/>
  <c r="I191" i="1"/>
  <c r="J191" i="1" a="1"/>
  <c r="J191" i="1" s="1"/>
  <c r="I192" i="1"/>
  <c r="J192" i="1" a="1"/>
  <c r="J192" i="1" s="1"/>
  <c r="I193" i="1"/>
  <c r="J193" i="1" a="1"/>
  <c r="J193" i="1" s="1"/>
  <c r="I194" i="1"/>
  <c r="J194" i="1" s="1" a="1"/>
  <c r="J194" i="1" s="1"/>
  <c r="I196" i="1"/>
  <c r="J196" i="1" s="1" a="1"/>
  <c r="J196" i="1" s="1"/>
  <c r="I197" i="1"/>
  <c r="J197" i="1" a="1"/>
  <c r="J197" i="1" s="1"/>
  <c r="I206" i="1"/>
  <c r="J206" i="1" a="1"/>
  <c r="J206" i="1" s="1"/>
  <c r="I207" i="1"/>
  <c r="J207" i="1" s="1" a="1"/>
  <c r="J207" i="1" s="1"/>
  <c r="I95" i="1"/>
  <c r="J95" i="1" a="1"/>
  <c r="J95" i="1" s="1"/>
  <c r="I96" i="1"/>
  <c r="J96" i="1" a="1"/>
  <c r="J96" i="1" s="1"/>
  <c r="I103" i="1"/>
  <c r="J103" i="1" s="1" a="1"/>
  <c r="J103" i="1" s="1"/>
  <c r="I104" i="1"/>
  <c r="J104" i="1" s="1" a="1"/>
  <c r="J104" i="1" s="1"/>
  <c r="I108" i="1"/>
  <c r="J108" i="1" s="1" a="1"/>
  <c r="J108" i="1" s="1"/>
  <c r="I110" i="1"/>
  <c r="J110" i="1" a="1"/>
  <c r="J110" i="1" s="1"/>
  <c r="I171" i="1"/>
  <c r="J171" i="1" a="1"/>
  <c r="J171" i="1" s="1"/>
  <c r="I181" i="1"/>
  <c r="J181" i="1" a="1"/>
  <c r="J181" i="1" s="1"/>
  <c r="I107" i="1"/>
  <c r="J107" i="1" s="1" a="1"/>
  <c r="J107" i="1" s="1"/>
  <c r="I109" i="1"/>
  <c r="J109" i="1" s="1" a="1"/>
  <c r="J109" i="1" s="1"/>
  <c r="I131" i="1"/>
  <c r="J131" i="1" a="1"/>
  <c r="J131" i="1" s="1"/>
  <c r="I198" i="1"/>
  <c r="J198" i="1" a="1"/>
  <c r="J198" i="1" s="1"/>
  <c r="R5" i="9" a="1"/>
  <c r="A34" i="20" s="1"/>
  <c r="I98" i="1"/>
  <c r="J98" i="1" a="1"/>
  <c r="J98" i="1" s="1"/>
  <c r="I100" i="1"/>
  <c r="J100" i="1" a="1"/>
  <c r="J100" i="1" s="1"/>
  <c r="I106" i="1"/>
  <c r="J106" i="1" s="1" a="1"/>
  <c r="J106" i="1" s="1"/>
  <c r="I93" i="1"/>
  <c r="J93" i="1" s="1" a="1"/>
  <c r="J93" i="1" s="1"/>
  <c r="I94" i="1"/>
  <c r="J94" i="1" s="1" a="1"/>
  <c r="J94" i="1" s="1"/>
  <c r="I99" i="1"/>
  <c r="J99" i="1" s="1" a="1"/>
  <c r="J99" i="1" s="1"/>
  <c r="I140" i="1"/>
  <c r="J140" i="1" s="1" a="1"/>
  <c r="J140" i="1" s="1"/>
  <c r="I117" i="1"/>
  <c r="J117" i="1" a="1"/>
  <c r="J117" i="1" s="1"/>
  <c r="I205" i="1"/>
  <c r="J205" i="1" s="1" a="1"/>
  <c r="J205" i="1" s="1"/>
  <c r="I137" i="1"/>
  <c r="J137" i="1" s="1" a="1"/>
  <c r="J137" i="1" s="1"/>
  <c r="I134" i="1"/>
  <c r="J134" i="1" s="1" a="1"/>
  <c r="J134" i="1" s="1"/>
  <c r="I142" i="1"/>
  <c r="J142" i="1" s="1" a="1"/>
  <c r="J142" i="1" s="1"/>
  <c r="I144" i="1"/>
  <c r="J144" i="1" s="1" a="1"/>
  <c r="J144" i="1" s="1"/>
  <c r="I202" i="1"/>
  <c r="J202" i="1" s="1" a="1"/>
  <c r="J202" i="1" s="1"/>
  <c r="I201" i="1"/>
  <c r="J201" i="1" s="1" a="1"/>
  <c r="J201" i="1" s="1"/>
  <c r="I141" i="1"/>
  <c r="J141" i="1" s="1" a="1"/>
  <c r="J141" i="1" s="1"/>
  <c r="I122" i="1"/>
  <c r="J122" i="1" s="1" a="1"/>
  <c r="J122" i="1" s="1"/>
  <c r="I123" i="1"/>
  <c r="J123" i="1" s="1" a="1"/>
  <c r="J123" i="1" s="1"/>
  <c r="I124" i="1"/>
  <c r="J124" i="1" a="1"/>
  <c r="J124" i="1" s="1"/>
  <c r="I125" i="1"/>
  <c r="J125" i="1" a="1"/>
  <c r="J125" i="1" s="1"/>
  <c r="I126" i="1"/>
  <c r="J126" i="1" s="1" a="1"/>
  <c r="J126" i="1" s="1"/>
  <c r="I127" i="1"/>
  <c r="J127" i="1" s="1" a="1"/>
  <c r="J127" i="1" s="1"/>
  <c r="I128" i="1"/>
  <c r="J128" i="1" s="1" a="1"/>
  <c r="J128" i="1" s="1"/>
  <c r="I101" i="1"/>
  <c r="J101" i="1" s="1" a="1"/>
  <c r="J101" i="1" s="1"/>
  <c r="I102" i="1"/>
  <c r="J102" i="1" s="1" a="1"/>
  <c r="J102" i="1" s="1"/>
  <c r="I129" i="1"/>
  <c r="J129" i="1" a="1"/>
  <c r="J129" i="1" s="1"/>
  <c r="I130" i="1"/>
  <c r="J130" i="1" a="1"/>
  <c r="J130" i="1" s="1"/>
  <c r="I146" i="1"/>
  <c r="J146" i="1" s="1" a="1"/>
  <c r="J146" i="1" s="1"/>
  <c r="I147" i="1"/>
  <c r="J147" i="1" s="1" a="1"/>
  <c r="J147" i="1" s="1"/>
  <c r="I148" i="1"/>
  <c r="J148" i="1" s="1" a="1"/>
  <c r="J148" i="1" s="1"/>
  <c r="I177" i="1"/>
  <c r="J177" i="1" s="1" a="1"/>
  <c r="J177" i="1" s="1"/>
  <c r="I178" i="1"/>
  <c r="J178" i="1" a="1"/>
  <c r="J178" i="1" s="1"/>
  <c r="I179" i="1"/>
  <c r="J179" i="1" a="1"/>
  <c r="J179" i="1" s="1"/>
  <c r="I180" i="1"/>
  <c r="J180" i="1" s="1" a="1"/>
  <c r="J180" i="1" s="1"/>
  <c r="I115" i="1"/>
  <c r="J115" i="1" s="1" a="1"/>
  <c r="J115" i="1" s="1"/>
  <c r="I116" i="1"/>
  <c r="J116" i="1" s="1" a="1"/>
  <c r="J116" i="1" s="1"/>
  <c r="I138" i="1"/>
  <c r="J138" i="1" a="1"/>
  <c r="J138" i="1" s="1"/>
  <c r="I139" i="1"/>
  <c r="J139" i="1" s="1" a="1"/>
  <c r="J139" i="1" s="1"/>
  <c r="I114" i="1"/>
  <c r="J114" i="1" s="1" a="1"/>
  <c r="J114" i="1" s="1"/>
  <c r="I135" i="1"/>
  <c r="J135" i="1" s="1" a="1"/>
  <c r="J135" i="1" s="1"/>
  <c r="I136" i="1"/>
  <c r="J136" i="1" s="1" a="1"/>
  <c r="J136" i="1" s="1"/>
  <c r="I173" i="1"/>
  <c r="J173" i="1" s="1"/>
  <c r="I174" i="1"/>
  <c r="J174" i="1" s="1"/>
  <c r="I175" i="1"/>
  <c r="J175" i="1"/>
  <c r="I176" i="1"/>
  <c r="J176" i="1"/>
  <c r="I118" i="1"/>
  <c r="J118" i="1" s="1" a="1"/>
  <c r="J118" i="1" s="1"/>
  <c r="I119" i="1"/>
  <c r="J119" i="1" s="1" a="1"/>
  <c r="J119" i="1" s="1"/>
  <c r="I204" i="1"/>
  <c r="J204" i="1" s="1" a="1"/>
  <c r="J204" i="1" s="1"/>
  <c r="I149" i="1"/>
  <c r="J149" i="1" s="1" a="1"/>
  <c r="J149" i="1" s="1"/>
  <c r="I150" i="1"/>
  <c r="J150" i="1" a="1"/>
  <c r="J150" i="1" s="1"/>
  <c r="I151" i="1"/>
  <c r="J151" i="1" a="1"/>
  <c r="J151" i="1" s="1"/>
  <c r="I152" i="1"/>
  <c r="J152" i="1" s="1" a="1"/>
  <c r="J152" i="1" s="1"/>
  <c r="I153" i="1"/>
  <c r="J153" i="1" s="1" a="1"/>
  <c r="J153" i="1" s="1"/>
  <c r="I182" i="1"/>
  <c r="J182" i="1" s="1" a="1"/>
  <c r="J182" i="1" s="1"/>
  <c r="I183" i="1"/>
  <c r="J183" i="1" s="1" a="1"/>
  <c r="J183" i="1" s="1"/>
  <c r="I159" i="1"/>
  <c r="J159" i="1" a="1"/>
  <c r="J159" i="1" s="1"/>
  <c r="I184" i="1"/>
  <c r="J184" i="1" a="1"/>
  <c r="J184" i="1" s="1"/>
  <c r="I195" i="1"/>
  <c r="J195" i="1" s="1" a="1"/>
  <c r="J195" i="1" s="1"/>
  <c r="I199" i="1"/>
  <c r="J199" i="1" s="1" a="1"/>
  <c r="J199" i="1" s="1"/>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7" i="9"/>
  <c r="P88" i="9"/>
  <c r="P89"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B40" i="21"/>
  <c r="B41" i="21"/>
  <c r="B42" i="21"/>
  <c r="A40" i="21"/>
  <c r="A41" i="21"/>
  <c r="A42" i="21"/>
  <c r="D86" i="14"/>
  <c r="D87" i="14"/>
  <c r="D88" i="14"/>
  <c r="D89" i="14"/>
  <c r="D90" i="14"/>
  <c r="D91" i="14"/>
  <c r="D92" i="14"/>
  <c r="J89" i="14"/>
  <c r="J90" i="14"/>
  <c r="J91" i="14"/>
  <c r="J92" i="14"/>
  <c r="H10" i="15"/>
  <c r="F10" i="15"/>
  <c r="G10" i="15"/>
  <c r="G67" i="6"/>
  <c r="D4" i="17"/>
  <c r="D3" i="17"/>
  <c r="C30" i="17"/>
  <c r="C31" i="17"/>
  <c r="D33" i="17"/>
  <c r="C44" i="17"/>
  <c r="C45" i="17"/>
  <c r="E129" i="2"/>
  <c r="F129" i="2"/>
  <c r="E130" i="2"/>
  <c r="F130" i="2"/>
  <c r="G130" i="2"/>
  <c r="H130" i="2"/>
  <c r="I130" i="2"/>
  <c r="D130" i="2"/>
  <c r="E131" i="2"/>
  <c r="F131" i="2"/>
  <c r="G131" i="2"/>
  <c r="E132" i="2"/>
  <c r="F132" i="2"/>
  <c r="G132" i="2"/>
  <c r="H132" i="2"/>
  <c r="I132" i="2"/>
  <c r="D132" i="2"/>
  <c r="E133" i="2"/>
  <c r="F133" i="2"/>
  <c r="G133" i="2"/>
  <c r="E134" i="2"/>
  <c r="F134" i="2"/>
  <c r="H134" i="2"/>
  <c r="I134" i="2"/>
  <c r="D134" i="2"/>
  <c r="G134" i="2"/>
  <c r="E135" i="2"/>
  <c r="F135" i="2"/>
  <c r="G135" i="2"/>
  <c r="H135" i="2"/>
  <c r="I135" i="2"/>
  <c r="D135" i="2"/>
  <c r="E136" i="2"/>
  <c r="F136" i="2"/>
  <c r="H136" i="2"/>
  <c r="I136" i="2"/>
  <c r="D136" i="2"/>
  <c r="G136" i="2"/>
  <c r="E137" i="2"/>
  <c r="F137" i="2"/>
  <c r="G137" i="2"/>
  <c r="H137" i="2"/>
  <c r="I137" i="2"/>
  <c r="D137" i="2"/>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8" i="2"/>
  <c r="F128" i="2"/>
  <c r="H128" i="2"/>
  <c r="I128" i="2"/>
  <c r="D128" i="2"/>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99" i="23"/>
  <c r="C101" i="23"/>
  <c r="C102" i="23"/>
  <c r="C103" i="23"/>
  <c r="C104" i="23"/>
  <c r="C105" i="23"/>
  <c r="C106" i="23"/>
  <c r="C107" i="23"/>
  <c r="C108" i="23"/>
  <c r="C100" i="23"/>
  <c r="C109" i="23"/>
  <c r="C110" i="23"/>
  <c r="C111" i="23"/>
  <c r="C112" i="23"/>
  <c r="B114" i="23"/>
  <c r="F31" i="15"/>
  <c r="G31" i="15"/>
  <c r="H31" i="15" s="1"/>
  <c r="G30" i="15"/>
  <c r="H30" i="15" s="1"/>
  <c r="F29" i="15"/>
  <c r="G29" i="15"/>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50" i="15" s="1"/>
  <c r="F8" i="15"/>
  <c r="F9" i="15"/>
  <c r="A35" i="20"/>
  <c r="G2" i="21" a="1"/>
  <c r="A16" i="21" s="1"/>
  <c r="B1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P56" i="7" s="1"/>
  <c r="K27" i="15"/>
  <c r="K30" i="15" s="1"/>
  <c r="K26" i="15"/>
  <c r="K25" i="15"/>
  <c r="I36" i="12"/>
  <c r="J35" i="14"/>
  <c r="J36" i="14"/>
  <c r="D35" i="14"/>
  <c r="D36" i="14"/>
  <c r="D35" i="18"/>
  <c r="D36" i="18"/>
  <c r="D37" i="18"/>
  <c r="E35" i="18"/>
  <c r="E36" i="18"/>
  <c r="E37" i="18"/>
  <c r="J25" i="15"/>
  <c r="J27" i="15"/>
  <c r="J30" i="15" s="1"/>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G83" i="2" s="1"/>
  <c r="F83" i="2"/>
  <c r="H83" i="2" s="1"/>
  <c r="I83" i="2" s="1"/>
  <c r="D83" i="2" s="1"/>
  <c r="E84" i="2"/>
  <c r="G84" i="2" s="1"/>
  <c r="H212" i="1" s="1"/>
  <c r="F84" i="2"/>
  <c r="H84" i="2" s="1"/>
  <c r="I84" i="2" s="1"/>
  <c r="D84" i="2" s="1"/>
  <c r="E85" i="2"/>
  <c r="F85" i="2"/>
  <c r="H85" i="2" s="1"/>
  <c r="I85" i="2" s="1"/>
  <c r="D85" i="2" s="1"/>
  <c r="E86" i="2"/>
  <c r="F86" i="2"/>
  <c r="G86" i="2" s="1"/>
  <c r="H214" i="1" s="1"/>
  <c r="E87" i="2"/>
  <c r="F87" i="2"/>
  <c r="G87" i="2" s="1"/>
  <c r="H215" i="1" s="1"/>
  <c r="E88" i="2"/>
  <c r="F88" i="2"/>
  <c r="G88" i="2" s="1"/>
  <c r="H216" i="1" s="1"/>
  <c r="E89" i="2"/>
  <c r="F89" i="2"/>
  <c r="G89" i="2" s="1"/>
  <c r="H89" i="2"/>
  <c r="I89" i="2" s="1"/>
  <c r="D89" i="2" s="1"/>
  <c r="E90" i="2"/>
  <c r="F90" i="2"/>
  <c r="G90" i="2" s="1"/>
  <c r="E91" i="2"/>
  <c r="F91" i="2"/>
  <c r="H91" i="2"/>
  <c r="I91" i="2" s="1"/>
  <c r="D91" i="2" s="1"/>
  <c r="E92" i="2"/>
  <c r="F92" i="2"/>
  <c r="H92" i="2" s="1"/>
  <c r="I92" i="2" s="1"/>
  <c r="D92" i="2" s="1"/>
  <c r="E93" i="2"/>
  <c r="F93" i="2"/>
  <c r="G93" i="2" s="1"/>
  <c r="H228" i="1" s="1"/>
  <c r="H93" i="2"/>
  <c r="I93" i="2" s="1"/>
  <c r="D93" i="2" s="1"/>
  <c r="E94" i="2"/>
  <c r="F94" i="2"/>
  <c r="H94" i="2" s="1"/>
  <c r="I94" i="2" s="1"/>
  <c r="D94" i="2" s="1"/>
  <c r="E95" i="2"/>
  <c r="F95" i="2"/>
  <c r="E96" i="2"/>
  <c r="G96" i="2" s="1"/>
  <c r="H248" i="1" s="1"/>
  <c r="F96" i="2"/>
  <c r="H96" i="2" s="1"/>
  <c r="I96" i="2" s="1"/>
  <c r="D96" i="2" s="1"/>
  <c r="E97" i="2"/>
  <c r="F97" i="2"/>
  <c r="G97" i="2" s="1"/>
  <c r="H233" i="1" s="1"/>
  <c r="E98" i="2"/>
  <c r="F98" i="2"/>
  <c r="H98" i="2" s="1"/>
  <c r="I98" i="2" s="1"/>
  <c r="D98" i="2" s="1"/>
  <c r="E99" i="2"/>
  <c r="F99" i="2"/>
  <c r="H99" i="2" s="1"/>
  <c r="I99" i="2" s="1"/>
  <c r="D99" i="2" s="1"/>
  <c r="E100" i="2"/>
  <c r="F100" i="2"/>
  <c r="H100" i="2" s="1"/>
  <c r="I100" i="2" s="1"/>
  <c r="D100" i="2" s="1"/>
  <c r="E101" i="2"/>
  <c r="F101" i="2"/>
  <c r="H101" i="2" s="1"/>
  <c r="I101" i="2" s="1"/>
  <c r="D101" i="2" s="1"/>
  <c r="E102" i="2"/>
  <c r="F102" i="2"/>
  <c r="G102" i="2" s="1"/>
  <c r="H239" i="1" s="1"/>
  <c r="H102" i="2"/>
  <c r="I102" i="2" s="1"/>
  <c r="D102" i="2" s="1"/>
  <c r="E103" i="2"/>
  <c r="F103" i="2"/>
  <c r="G103" i="2" s="1"/>
  <c r="H241" i="1" s="1"/>
  <c r="H103" i="2"/>
  <c r="I103" i="2" s="1"/>
  <c r="D103" i="2" s="1"/>
  <c r="E104" i="2"/>
  <c r="F104" i="2"/>
  <c r="H104" i="2" s="1"/>
  <c r="I104" i="2" s="1"/>
  <c r="D104" i="2" s="1"/>
  <c r="E105" i="2"/>
  <c r="F105" i="2"/>
  <c r="G105" i="2" s="1"/>
  <c r="E106" i="2"/>
  <c r="F106" i="2"/>
  <c r="E107" i="2"/>
  <c r="F107" i="2"/>
  <c r="H107" i="2"/>
  <c r="I107" i="2" s="1"/>
  <c r="D107" i="2" s="1"/>
  <c r="E108" i="2"/>
  <c r="F108" i="2"/>
  <c r="H108" i="2" s="1"/>
  <c r="I108" i="2" s="1"/>
  <c r="D108" i="2" s="1"/>
  <c r="E109" i="2"/>
  <c r="G109" i="2" s="1"/>
  <c r="H247" i="1" s="1"/>
  <c r="F109" i="2"/>
  <c r="E110" i="2"/>
  <c r="G110" i="2" s="1"/>
  <c r="H250" i="1" s="1"/>
  <c r="F110" i="2"/>
  <c r="E111" i="2"/>
  <c r="F111" i="2"/>
  <c r="G111" i="2" s="1"/>
  <c r="H252" i="1" s="1"/>
  <c r="E112" i="2"/>
  <c r="F112" i="2"/>
  <c r="E113" i="2"/>
  <c r="F113" i="2"/>
  <c r="H113" i="2" s="1"/>
  <c r="I113" i="2" s="1"/>
  <c r="D113" i="2" s="1"/>
  <c r="E114" i="2"/>
  <c r="G114" i="2" s="1"/>
  <c r="H249" i="1" s="1"/>
  <c r="F114" i="2"/>
  <c r="H114" i="2" s="1"/>
  <c r="I114" i="2" s="1"/>
  <c r="D114" i="2" s="1"/>
  <c r="E115" i="2"/>
  <c r="F115" i="2"/>
  <c r="H115" i="2"/>
  <c r="I115" i="2" s="1"/>
  <c r="D115" i="2" s="1"/>
  <c r="E116" i="2"/>
  <c r="F116" i="2"/>
  <c r="H116" i="2"/>
  <c r="I116" i="2"/>
  <c r="D116" i="2"/>
  <c r="E117" i="2"/>
  <c r="G117" i="2" s="1"/>
  <c r="F117" i="2"/>
  <c r="H117" i="2" s="1"/>
  <c r="I117" i="2" s="1"/>
  <c r="D117" i="2" s="1"/>
  <c r="E118" i="2"/>
  <c r="F118" i="2"/>
  <c r="H118" i="2" s="1"/>
  <c r="I118" i="2" s="1"/>
  <c r="D118" i="2" s="1"/>
  <c r="E74" i="2"/>
  <c r="F74" i="2"/>
  <c r="H74" i="2" s="1"/>
  <c r="I74" i="2" s="1"/>
  <c r="D74" i="2" s="1"/>
  <c r="E75" i="2"/>
  <c r="F75" i="2"/>
  <c r="G75" i="2"/>
  <c r="H200" i="1" s="1"/>
  <c r="E76" i="2"/>
  <c r="F76" i="2"/>
  <c r="H76" i="2" s="1"/>
  <c r="I76" i="2" s="1"/>
  <c r="D76" i="2" s="1"/>
  <c r="E77" i="2"/>
  <c r="F77" i="2"/>
  <c r="H77" i="2" s="1"/>
  <c r="I77" i="2" s="1"/>
  <c r="D77" i="2" s="1"/>
  <c r="E78" i="2"/>
  <c r="F78" i="2"/>
  <c r="G78" i="2" s="1"/>
  <c r="H203" i="1" s="1"/>
  <c r="E79" i="2"/>
  <c r="F79" i="2"/>
  <c r="H79" i="2" s="1"/>
  <c r="I79" i="2" s="1"/>
  <c r="D79" i="2" s="1"/>
  <c r="E80" i="2"/>
  <c r="F80" i="2"/>
  <c r="G80" i="2" s="1"/>
  <c r="H205" i="1" s="1"/>
  <c r="H80" i="2"/>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s="1"/>
  <c r="E58" i="2"/>
  <c r="G58" i="2" s="1"/>
  <c r="F58" i="2"/>
  <c r="H58" i="2" s="1"/>
  <c r="I58" i="2" s="1"/>
  <c r="D58" i="2" s="1"/>
  <c r="F27" i="2"/>
  <c r="H27" i="2"/>
  <c r="I27" i="2"/>
  <c r="D27" i="2"/>
  <c r="E27" i="2"/>
  <c r="G27" i="2" s="1"/>
  <c r="H124" i="1" s="1"/>
  <c r="E59" i="2"/>
  <c r="G59" i="2" s="1"/>
  <c r="H178" i="1" s="1"/>
  <c r="F59" i="2"/>
  <c r="H59" i="2"/>
  <c r="I59" i="2"/>
  <c r="D59" i="2" s="1"/>
  <c r="F28" i="2"/>
  <c r="H28" i="2" s="1"/>
  <c r="I28" i="2" s="1"/>
  <c r="D28" i="2" s="1"/>
  <c r="E28" i="2"/>
  <c r="E60" i="2"/>
  <c r="F60" i="2"/>
  <c r="G60" i="2" s="1"/>
  <c r="E61" i="2"/>
  <c r="F61" i="2"/>
  <c r="G61" i="2" s="1"/>
  <c r="H181" i="1" s="1"/>
  <c r="H61" i="2"/>
  <c r="I61" i="2" s="1"/>
  <c r="D61" i="2" s="1"/>
  <c r="F62" i="2"/>
  <c r="G62" i="2" s="1"/>
  <c r="H177" i="1" s="1"/>
  <c r="H62" i="2"/>
  <c r="I62" i="2" s="1"/>
  <c r="D62" i="2" s="1"/>
  <c r="E62" i="2"/>
  <c r="E63" i="2"/>
  <c r="F63" i="2"/>
  <c r="H63" i="2" s="1"/>
  <c r="I63" i="2" s="1"/>
  <c r="D63" i="2" s="1"/>
  <c r="E64" i="2"/>
  <c r="F64" i="2"/>
  <c r="H64" i="2" s="1"/>
  <c r="I64" i="2" s="1"/>
  <c r="D64" i="2" s="1"/>
  <c r="E65" i="2"/>
  <c r="F65" i="2"/>
  <c r="H65" i="2" s="1"/>
  <c r="I65" i="2" s="1"/>
  <c r="D65" i="2" s="1"/>
  <c r="E66" i="2"/>
  <c r="F66" i="2"/>
  <c r="H66" i="2"/>
  <c r="I66" i="2" s="1"/>
  <c r="D66" i="2" s="1"/>
  <c r="G66" i="2"/>
  <c r="H190" i="1" s="1"/>
  <c r="E67" i="2"/>
  <c r="F67" i="2"/>
  <c r="H67" i="2"/>
  <c r="I67" i="2"/>
  <c r="D67" i="2"/>
  <c r="E68" i="2"/>
  <c r="F68" i="2"/>
  <c r="H68" i="2" s="1"/>
  <c r="I68" i="2" s="1"/>
  <c r="D68" i="2" s="1"/>
  <c r="E69" i="2"/>
  <c r="G69" i="2" s="1"/>
  <c r="H193" i="1" s="1"/>
  <c r="F69" i="2"/>
  <c r="H69" i="2" s="1"/>
  <c r="I69" i="2" s="1"/>
  <c r="D69" i="2" s="1"/>
  <c r="E70" i="2"/>
  <c r="F70" i="2"/>
  <c r="E71" i="2"/>
  <c r="F71" i="2"/>
  <c r="G71" i="2" s="1"/>
  <c r="H196" i="1" s="1"/>
  <c r="E72" i="2"/>
  <c r="F72" i="2"/>
  <c r="G72" i="2" s="1"/>
  <c r="H197" i="1" s="1"/>
  <c r="E73" i="2"/>
  <c r="G73" i="2"/>
  <c r="H198" i="1" s="1"/>
  <c r="F73" i="2"/>
  <c r="H73" i="2" s="1"/>
  <c r="I73" i="2" s="1"/>
  <c r="D73" i="2" s="1"/>
  <c r="E45" i="2"/>
  <c r="F45" i="2"/>
  <c r="H45" i="2" s="1"/>
  <c r="E46" i="2"/>
  <c r="F46" i="2"/>
  <c r="H46" i="2" s="1"/>
  <c r="I46" i="2" s="1"/>
  <c r="D46" i="2" s="1"/>
  <c r="E47" i="2"/>
  <c r="F47" i="2"/>
  <c r="G47" i="2" s="1"/>
  <c r="H151" i="1" s="1"/>
  <c r="H47" i="2"/>
  <c r="C22" i="23" s="1"/>
  <c r="C23" i="23" s="1"/>
  <c r="E48" i="2"/>
  <c r="G48" i="2" s="1"/>
  <c r="H152" i="1" s="1"/>
  <c r="F48" i="2"/>
  <c r="H48" i="2" s="1"/>
  <c r="I48" i="2" s="1"/>
  <c r="D48" i="2" s="1"/>
  <c r="F20" i="2"/>
  <c r="G20" i="2" s="1"/>
  <c r="H114" i="1" s="1"/>
  <c r="E20" i="2"/>
  <c r="E49" i="2"/>
  <c r="F49" i="2"/>
  <c r="H49" i="2" s="1"/>
  <c r="I49" i="2" s="1"/>
  <c r="D49" i="2" s="1"/>
  <c r="F21" i="2"/>
  <c r="H21" i="2" s="1"/>
  <c r="I21" i="2" s="1"/>
  <c r="D21" i="2" s="1"/>
  <c r="E21" i="2"/>
  <c r="G21" i="2" s="1"/>
  <c r="E50" i="2"/>
  <c r="F50" i="2"/>
  <c r="H50" i="2"/>
  <c r="I50" i="2" s="1"/>
  <c r="D50" i="2" s="1"/>
  <c r="E51" i="2"/>
  <c r="F51" i="2"/>
  <c r="H51" i="2" s="1"/>
  <c r="I51" i="2" s="1"/>
  <c r="D51" i="2" s="1"/>
  <c r="E52" i="2"/>
  <c r="F52" i="2"/>
  <c r="E53" i="2"/>
  <c r="F53" i="2"/>
  <c r="H53" i="2"/>
  <c r="I53" i="2" s="1"/>
  <c r="D53" i="2" s="1"/>
  <c r="E54" i="2"/>
  <c r="F54" i="2"/>
  <c r="G54" i="2" s="1"/>
  <c r="H183" i="1" s="1"/>
  <c r="F24" i="2"/>
  <c r="H24" i="2"/>
  <c r="I24" i="2"/>
  <c r="D24" i="2" s="1"/>
  <c r="E24" i="2"/>
  <c r="E55" i="2"/>
  <c r="F55" i="2"/>
  <c r="H55" i="2"/>
  <c r="I55" i="2" s="1"/>
  <c r="D55" i="2" s="1"/>
  <c r="F25" i="2"/>
  <c r="G25" i="2" s="1"/>
  <c r="H25" i="2"/>
  <c r="I25" i="2" s="1"/>
  <c r="D25" i="2" s="1"/>
  <c r="E25" i="2"/>
  <c r="F26" i="2"/>
  <c r="E26" i="2"/>
  <c r="G26" i="2" s="1"/>
  <c r="H122" i="1" s="1"/>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s="1"/>
  <c r="D33" i="2" s="1"/>
  <c r="G33" i="2"/>
  <c r="H148" i="1" s="1"/>
  <c r="F6" i="2"/>
  <c r="G6" i="2" s="1"/>
  <c r="H117" i="1" s="1"/>
  <c r="E6" i="2"/>
  <c r="F5" i="2"/>
  <c r="H5" i="2" s="1"/>
  <c r="I5" i="2" s="1"/>
  <c r="D5" i="2" s="1"/>
  <c r="E5" i="2"/>
  <c r="E34" i="2"/>
  <c r="F34" i="2"/>
  <c r="H34" i="2" s="1"/>
  <c r="I34" i="2" s="1"/>
  <c r="D34" i="2" s="1"/>
  <c r="F18" i="2"/>
  <c r="G18" i="2" s="1"/>
  <c r="H112" i="1" s="1"/>
  <c r="E18" i="2"/>
  <c r="E35" i="2"/>
  <c r="F35" i="2"/>
  <c r="H35" i="2" s="1"/>
  <c r="I35" i="2" s="1"/>
  <c r="D35" i="2" s="1"/>
  <c r="E36" i="2"/>
  <c r="F36" i="2"/>
  <c r="H36" i="2" s="1"/>
  <c r="I36" i="2" s="1"/>
  <c r="D36" i="2" s="1"/>
  <c r="F22" i="2"/>
  <c r="E22" i="2"/>
  <c r="F7" i="2"/>
  <c r="G7" i="2" s="1"/>
  <c r="H7" i="2"/>
  <c r="I7" i="2" s="1"/>
  <c r="D7" i="2" s="1"/>
  <c r="E7" i="2"/>
  <c r="E37" i="2"/>
  <c r="F37" i="2"/>
  <c r="H37" i="2" s="1"/>
  <c r="E39" i="2"/>
  <c r="F39" i="2"/>
  <c r="E40" i="2"/>
  <c r="F40" i="2"/>
  <c r="G40" i="2" s="1"/>
  <c r="H138" i="1" s="1"/>
  <c r="H40" i="2"/>
  <c r="I40" i="2"/>
  <c r="D40" i="2" s="1"/>
  <c r="E41" i="2"/>
  <c r="F41" i="2"/>
  <c r="H41" i="2" s="1"/>
  <c r="I41" i="2" s="1"/>
  <c r="D41" i="2" s="1"/>
  <c r="E42" i="2"/>
  <c r="F42" i="2"/>
  <c r="H42" i="2"/>
  <c r="I42" i="2" s="1"/>
  <c r="D42" i="2" s="1"/>
  <c r="F43" i="2"/>
  <c r="H43" i="2"/>
  <c r="I43" i="2" s="1"/>
  <c r="D43" i="2" s="1"/>
  <c r="E43" i="2"/>
  <c r="E44" i="2"/>
  <c r="F44" i="2"/>
  <c r="G44" i="2" s="1"/>
  <c r="H143" i="1" s="1"/>
  <c r="F19" i="2"/>
  <c r="H19" i="2"/>
  <c r="I19" i="2" s="1"/>
  <c r="D19" i="2" s="1"/>
  <c r="E19" i="2"/>
  <c r="F38" i="2"/>
  <c r="H38" i="2" s="1"/>
  <c r="I38" i="2" s="1"/>
  <c r="D38" i="2" s="1"/>
  <c r="E38" i="2"/>
  <c r="G38" i="2"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G13" i="2" s="1"/>
  <c r="H102" i="1" s="1"/>
  <c r="E13" i="2"/>
  <c r="F23" i="2"/>
  <c r="E23" i="2"/>
  <c r="G23" i="2" s="1"/>
  <c r="H119" i="1" s="1"/>
  <c r="F15" i="2"/>
  <c r="H15" i="2" s="1"/>
  <c r="I15" i="2" s="1"/>
  <c r="D15" i="2" s="1"/>
  <c r="E15" i="2"/>
  <c r="G15" i="2" s="1"/>
  <c r="H107" i="1" s="1"/>
  <c r="F16" i="2"/>
  <c r="E16" i="2"/>
  <c r="F17" i="2"/>
  <c r="H17" i="2"/>
  <c r="I17" i="2" s="1"/>
  <c r="D17" i="2" s="1"/>
  <c r="E17" i="2"/>
  <c r="G17" i="2"/>
  <c r="H110" i="1" s="1"/>
  <c r="F29" i="2"/>
  <c r="E29" i="2"/>
  <c r="F30" i="2"/>
  <c r="H30" i="2" s="1"/>
  <c r="I30" i="2" s="1"/>
  <c r="D30" i="2" s="1"/>
  <c r="F31" i="2"/>
  <c r="H31" i="2" s="1"/>
  <c r="I31" i="2" s="1"/>
  <c r="D31" i="2" s="1"/>
  <c r="E31" i="2"/>
  <c r="F32" i="2"/>
  <c r="F14" i="2"/>
  <c r="G14" i="2" s="1"/>
  <c r="H106" i="1" s="1"/>
  <c r="E14" i="2"/>
  <c r="E30" i="2"/>
  <c r="G30" i="2" s="1"/>
  <c r="H127" i="1" s="1"/>
  <c r="E32" i="2"/>
  <c r="N4" i="17"/>
  <c r="F12" i="2"/>
  <c r="H12" i="2" s="1"/>
  <c r="I12" i="2" s="1"/>
  <c r="D12" i="2" s="1"/>
  <c r="E12" i="2"/>
  <c r="F11" i="2"/>
  <c r="H11" i="2"/>
  <c r="I11" i="2" s="1"/>
  <c r="E11" i="2"/>
  <c r="F9" i="2"/>
  <c r="E9" i="2"/>
  <c r="E8" i="2"/>
  <c r="F8" i="2"/>
  <c r="G8" i="2" s="1"/>
  <c r="H103" i="1" s="1"/>
  <c r="E10" i="2"/>
  <c r="F10" i="2"/>
  <c r="H10" i="2"/>
  <c r="I10" i="2" s="1"/>
  <c r="D10" i="2" s="1"/>
  <c r="E4" i="2"/>
  <c r="F4" i="2"/>
  <c r="H4" i="2" s="1"/>
  <c r="I4" i="2" s="1"/>
  <c r="D4" i="2" s="1"/>
  <c r="N3" i="7"/>
  <c r="N5" i="7" s="1"/>
  <c r="E6" i="11"/>
  <c r="D6" i="11"/>
  <c r="F3" i="2"/>
  <c r="J15" i="14"/>
  <c r="B2" i="2"/>
  <c r="H97" i="6"/>
  <c r="I51" i="6"/>
  <c r="G128" i="2"/>
  <c r="G118" i="2"/>
  <c r="G115" i="2"/>
  <c r="G92" i="2"/>
  <c r="H227" i="1" s="1"/>
  <c r="C114" i="23"/>
  <c r="C116" i="23"/>
  <c r="C92" i="23"/>
  <c r="C69" i="23"/>
  <c r="C46" i="23"/>
  <c r="C48" i="23"/>
  <c r="C21" i="23"/>
  <c r="G63" i="2"/>
  <c r="H184" i="1" s="1"/>
  <c r="H195" i="1"/>
  <c r="H52" i="2"/>
  <c r="I52" i="2" s="1"/>
  <c r="D52" i="2" s="1"/>
  <c r="H9" i="2"/>
  <c r="I9" i="2" s="1"/>
  <c r="D9" i="2" s="1"/>
  <c r="H109" i="2"/>
  <c r="I109" i="2" s="1"/>
  <c r="D109" i="2" s="1"/>
  <c r="G129" i="2"/>
  <c r="H129" i="2"/>
  <c r="I129" i="2"/>
  <c r="D129" i="2"/>
  <c r="H133" i="2"/>
  <c r="I133" i="2"/>
  <c r="D133" i="2"/>
  <c r="H131" i="2"/>
  <c r="I131" i="2"/>
  <c r="D131" i="2"/>
  <c r="G11" i="2"/>
  <c r="H98" i="1" s="1"/>
  <c r="H56" i="2"/>
  <c r="I56" i="2" s="1"/>
  <c r="D56" i="2" s="1"/>
  <c r="H14" i="2"/>
  <c r="I14" i="2" s="1"/>
  <c r="D14" i="2" s="1"/>
  <c r="H72" i="2"/>
  <c r="I72" i="2" s="1"/>
  <c r="D72" i="2" s="1"/>
  <c r="H88" i="2"/>
  <c r="I88" i="2"/>
  <c r="D88" i="2" s="1"/>
  <c r="G37" i="2"/>
  <c r="H142" i="1" s="1"/>
  <c r="H82" i="2"/>
  <c r="I82" i="2" s="1"/>
  <c r="D82" i="2" s="1"/>
  <c r="G100" i="9"/>
  <c r="G42" i="2"/>
  <c r="H140" i="1" s="1"/>
  <c r="G10" i="2"/>
  <c r="H97" i="1" s="1"/>
  <c r="H110" i="2"/>
  <c r="I110" i="2" s="1"/>
  <c r="D110" i="2" s="1"/>
  <c r="G85" i="2"/>
  <c r="H213" i="1"/>
  <c r="G53" i="2"/>
  <c r="G36" i="2"/>
  <c r="H145" i="1" s="1"/>
  <c r="G79" i="2"/>
  <c r="H204" i="1" s="1"/>
  <c r="H75" i="2"/>
  <c r="I75" i="2" s="1"/>
  <c r="D75" i="2" s="1"/>
  <c r="G49" i="2"/>
  <c r="H153" i="1" s="1"/>
  <c r="G67" i="2"/>
  <c r="H191" i="1" s="1"/>
  <c r="G82" i="2"/>
  <c r="H208" i="1"/>
  <c r="H26" i="2"/>
  <c r="I26" i="2" s="1"/>
  <c r="D26" i="2" s="1"/>
  <c r="G22" i="2"/>
  <c r="H118" i="1" s="1"/>
  <c r="H22" i="2"/>
  <c r="I22" i="2" s="1"/>
  <c r="D22" i="2" s="1"/>
  <c r="G9" i="2"/>
  <c r="H96" i="1" s="1"/>
  <c r="H129" i="1"/>
  <c r="G112" i="2"/>
  <c r="H255" i="1" s="1"/>
  <c r="H112" i="2"/>
  <c r="I112" i="2" s="1"/>
  <c r="D112" i="2" s="1"/>
  <c r="H39" i="2"/>
  <c r="I39" i="2" s="1"/>
  <c r="D39" i="2" s="1"/>
  <c r="G39" i="2"/>
  <c r="H137" i="1" s="1"/>
  <c r="H95" i="2"/>
  <c r="I95" i="2"/>
  <c r="D95" i="2" s="1"/>
  <c r="H71" i="2"/>
  <c r="I71" i="2" s="1"/>
  <c r="D71" i="2" s="1"/>
  <c r="H106" i="2"/>
  <c r="I106" i="2" s="1"/>
  <c r="D106" i="2" s="1"/>
  <c r="G106" i="2"/>
  <c r="H244" i="1" s="1"/>
  <c r="H134" i="1"/>
  <c r="H23" i="2"/>
  <c r="I23" i="2"/>
  <c r="D23" i="2"/>
  <c r="M115" i="9"/>
  <c r="L106" i="9"/>
  <c r="AB13" i="9" s="1" a="1"/>
  <c r="AB13" i="9" s="1"/>
  <c r="H78" i="9" a="1"/>
  <c r="H78" i="9" s="1"/>
  <c r="J120" i="9"/>
  <c r="Z27" i="9" s="1" a="1"/>
  <c r="Z27" i="9" s="1"/>
  <c r="C113" i="9"/>
  <c r="S20" i="9" s="1" a="1"/>
  <c r="S20" i="9" s="1"/>
  <c r="K111" i="9"/>
  <c r="AA18" i="9" s="1" a="1"/>
  <c r="AA18" i="9" s="1"/>
  <c r="E123" i="9"/>
  <c r="U30" i="9" s="1" a="1"/>
  <c r="U30" i="9" s="1"/>
  <c r="F129" i="9"/>
  <c r="V36" i="9" s="1" a="1"/>
  <c r="V36" i="9" s="1"/>
  <c r="M66" i="9" a="1"/>
  <c r="M66" i="9" s="1"/>
  <c r="L77" i="9" a="1"/>
  <c r="L77" i="9" s="1"/>
  <c r="J99" i="9"/>
  <c r="Z6" i="9" s="1" a="1"/>
  <c r="Z6" i="9" s="1"/>
  <c r="H132" i="9"/>
  <c r="X39" i="9" s="1" a="1"/>
  <c r="X39" i="9" s="1"/>
  <c r="F127" i="9"/>
  <c r="V34" i="9" s="1" a="1"/>
  <c r="V34" i="9" s="1"/>
  <c r="E133" i="9"/>
  <c r="U40" i="9" s="1" a="1"/>
  <c r="U40" i="9" s="1"/>
  <c r="K101" i="9"/>
  <c r="D110" i="9"/>
  <c r="T17" i="9" s="1" a="1"/>
  <c r="T17" i="9" s="1"/>
  <c r="E104" i="9"/>
  <c r="U11" i="9" s="1" a="1"/>
  <c r="U11" i="9" s="1"/>
  <c r="K51" i="9" a="1"/>
  <c r="K51" i="9" s="1"/>
  <c r="P74" i="9"/>
  <c r="H115" i="9"/>
  <c r="J105" i="9"/>
  <c r="E106" i="9"/>
  <c r="U13" i="9" s="1" a="1"/>
  <c r="U13" i="9" s="1"/>
  <c r="N64" i="9" a="1"/>
  <c r="N64" i="9" s="1"/>
  <c r="H63" i="9" a="1"/>
  <c r="H63" i="9" s="1"/>
  <c r="K80" i="9" a="1"/>
  <c r="K80" i="9" s="1"/>
  <c r="G119" i="9"/>
  <c r="W26" i="9" s="1" a="1"/>
  <c r="W26" i="9" s="1"/>
  <c r="N57" i="9" a="1"/>
  <c r="N57" i="9" s="1"/>
  <c r="P76" i="9"/>
  <c r="F116" i="9"/>
  <c r="G110" i="9"/>
  <c r="J72" i="9" a="1"/>
  <c r="J72" i="9" s="1"/>
  <c r="K131" i="9"/>
  <c r="AA38" i="9" s="1" a="1"/>
  <c r="AA38" i="9" s="1"/>
  <c r="G60" i="9" a="1"/>
  <c r="G60" i="9" s="1"/>
  <c r="K52" i="9" a="1"/>
  <c r="K52" i="9" s="1"/>
  <c r="P103" i="9"/>
  <c r="F115" i="9"/>
  <c r="V22" i="9" s="1" a="1"/>
  <c r="V22" i="9" s="1"/>
  <c r="I114" i="9"/>
  <c r="P67" i="9"/>
  <c r="M83" i="9" a="1"/>
  <c r="M83" i="9" s="1"/>
  <c r="C130" i="9"/>
  <c r="S37" i="9" s="1" a="1"/>
  <c r="S37" i="9" s="1"/>
  <c r="N53" i="9" a="1"/>
  <c r="N53" i="9" s="1"/>
  <c r="P58" i="9"/>
  <c r="K58" i="9" a="1"/>
  <c r="K58" i="9" s="1"/>
  <c r="M57" i="9" a="1"/>
  <c r="M57" i="9" s="1"/>
  <c r="I120" i="9"/>
  <c r="Y27" i="9" s="1" a="1"/>
  <c r="Y27" i="9" s="1"/>
  <c r="P80" i="9"/>
  <c r="P69" i="9"/>
  <c r="N69" i="9" a="1"/>
  <c r="N69" i="9" s="1"/>
  <c r="M117" i="9"/>
  <c r="B14" i="9"/>
  <c r="E14" i="9" s="1"/>
  <c r="E129" i="9"/>
  <c r="U36" i="9" s="1" a="1"/>
  <c r="U36" i="9" s="1"/>
  <c r="H122" i="9"/>
  <c r="X29" i="9" s="1" a="1"/>
  <c r="X29" i="9" s="1"/>
  <c r="J100" i="9"/>
  <c r="K129" i="9"/>
  <c r="AA36" i="9" s="1" a="1"/>
  <c r="AA36" i="9" s="1"/>
  <c r="J77" i="9" a="1"/>
  <c r="J77" i="9" s="1"/>
  <c r="G57" i="9" a="1"/>
  <c r="G57" i="9" s="1"/>
  <c r="N65" i="9" a="1"/>
  <c r="N65" i="9" s="1"/>
  <c r="P116" i="9"/>
  <c r="L64" i="9" a="1"/>
  <c r="L64" i="9" s="1"/>
  <c r="K114" i="9"/>
  <c r="AA21" i="9" s="1" a="1"/>
  <c r="AA21" i="9" s="1"/>
  <c r="M69" i="9" a="1"/>
  <c r="M69" i="9" s="1"/>
  <c r="K128" i="9"/>
  <c r="AA35" i="9" s="1" a="1"/>
  <c r="AA35" i="9" s="1"/>
  <c r="D129" i="9"/>
  <c r="T36" i="9" s="1" a="1"/>
  <c r="T36" i="9" s="1"/>
  <c r="P117" i="9"/>
  <c r="K119" i="9"/>
  <c r="AA26" i="9" s="1" a="1"/>
  <c r="AA26" i="9" s="1"/>
  <c r="G126" i="9"/>
  <c r="W33" i="9" s="1" a="1"/>
  <c r="W33" i="9" s="1"/>
  <c r="M113" i="9"/>
  <c r="AC20" i="9" s="1" a="1"/>
  <c r="AC20" i="9" s="1"/>
  <c r="D102" i="9"/>
  <c r="T9" i="9" s="1" a="1"/>
  <c r="T9" i="9" s="1"/>
  <c r="F106" i="9"/>
  <c r="V13" i="9" s="1" a="1"/>
  <c r="V13" i="9" s="1"/>
  <c r="K85" i="9" a="1"/>
  <c r="K85" i="9" s="1"/>
  <c r="C107" i="9"/>
  <c r="S14" i="9" s="1" a="1"/>
  <c r="S14" i="9" s="1"/>
  <c r="I63" i="9" a="1"/>
  <c r="I63" i="9" s="1"/>
  <c r="J112" i="9"/>
  <c r="L54" i="9" a="1"/>
  <c r="L54" i="9" s="1"/>
  <c r="N81" i="9" a="1"/>
  <c r="N81" i="9" s="1"/>
  <c r="M70" i="9" a="1"/>
  <c r="M70" i="9" s="1"/>
  <c r="I111" i="9"/>
  <c r="Y18" i="9" s="1" a="1"/>
  <c r="Y18" i="9" s="1"/>
  <c r="P64" i="9"/>
  <c r="P68" i="9"/>
  <c r="M105" i="9"/>
  <c r="AC12" i="9" s="1" a="1"/>
  <c r="AC12" i="9" s="1"/>
  <c r="K83" i="9" a="1"/>
  <c r="K83" i="9" s="1"/>
  <c r="K75" i="9" a="1"/>
  <c r="K75" i="9" s="1"/>
  <c r="L70" i="9" a="1"/>
  <c r="L70" i="9" s="1"/>
  <c r="L113" i="9"/>
  <c r="AB20" i="9" s="1" a="1"/>
  <c r="AB20" i="9" s="1"/>
  <c r="C104" i="9"/>
  <c r="S11" i="9" s="1" a="1"/>
  <c r="S11" i="9" s="1"/>
  <c r="K68" i="9" a="1"/>
  <c r="K68" i="9" s="1"/>
  <c r="P61" i="9"/>
  <c r="M132" i="9"/>
  <c r="AC39" i="9" s="1" a="1"/>
  <c r="AC39" i="9" s="1"/>
  <c r="E114" i="9"/>
  <c r="U21" i="9" s="1" a="1"/>
  <c r="U21" i="9" s="1"/>
  <c r="J125" i="9"/>
  <c r="Z32" i="9" s="1" a="1"/>
  <c r="Z32" i="9" s="1"/>
  <c r="P72" i="9"/>
  <c r="I131" i="9"/>
  <c r="Y38" i="9" s="1" a="1"/>
  <c r="Y38" i="9" s="1"/>
  <c r="P129" i="9"/>
  <c r="K78" i="9" a="1"/>
  <c r="K78" i="9" s="1"/>
  <c r="P125" i="9"/>
  <c r="K107" i="9"/>
  <c r="AA14" i="9" s="1" a="1"/>
  <c r="AA14" i="9" s="1"/>
  <c r="H113" i="9"/>
  <c r="X20" i="9" s="1" a="1"/>
  <c r="X20" i="9" s="1"/>
  <c r="P73" i="9"/>
  <c r="J119" i="9"/>
  <c r="Z26" i="9" s="1" a="1"/>
  <c r="Z26" i="9" s="1"/>
  <c r="J126" i="9"/>
  <c r="Z33" i="9" s="1" a="1"/>
  <c r="Z33" i="9" s="1"/>
  <c r="K73" i="9" a="1"/>
  <c r="K73" i="9" s="1"/>
  <c r="J128" i="9"/>
  <c r="Z35" i="9" s="1" a="1"/>
  <c r="Z35" i="9" s="1"/>
  <c r="I81" i="9" a="1"/>
  <c r="I81" i="9" s="1"/>
  <c r="M52" i="9" a="1"/>
  <c r="M52" i="9" s="1"/>
  <c r="I106" i="9"/>
  <c r="Y13" i="9" s="1" a="1"/>
  <c r="Y13" i="9" s="1"/>
  <c r="P83" i="9"/>
  <c r="P60" i="9"/>
  <c r="I61" i="9" a="1"/>
  <c r="I61" i="9" s="1"/>
  <c r="F108" i="9"/>
  <c r="V15" i="9" s="1" a="1"/>
  <c r="V15" i="9" s="1"/>
  <c r="I110" i="9"/>
  <c r="Y17" i="9" s="1" a="1"/>
  <c r="Y17" i="9" s="1"/>
  <c r="N85" i="9" a="1"/>
  <c r="N85" i="9" s="1"/>
  <c r="N83" i="9" a="1"/>
  <c r="N83" i="9" s="1"/>
  <c r="K53" i="9" a="1"/>
  <c r="K53" i="9" s="1"/>
  <c r="H79" i="9" a="1"/>
  <c r="H79" i="9" s="1"/>
  <c r="K132" i="9"/>
  <c r="J79" i="9" a="1"/>
  <c r="J79" i="9" s="1"/>
  <c r="G112" i="9"/>
  <c r="W19" i="9" s="1" a="1"/>
  <c r="W19" i="9" s="1"/>
  <c r="C127" i="9"/>
  <c r="S34" i="9" s="1" a="1"/>
  <c r="S34" i="9" s="1"/>
  <c r="I104" i="9"/>
  <c r="J73" i="9" a="1"/>
  <c r="J73" i="9" s="1"/>
  <c r="L105" i="9"/>
  <c r="AB12" i="9" s="1" a="1"/>
  <c r="AB12" i="9" s="1"/>
  <c r="M126" i="9"/>
  <c r="AC33" i="9" s="1" a="1"/>
  <c r="AC33" i="9" s="1"/>
  <c r="I64" i="9" a="1"/>
  <c r="I64" i="9" s="1"/>
  <c r="C112" i="9"/>
  <c r="S19" i="9" s="1" a="1"/>
  <c r="S19" i="9" s="1"/>
  <c r="M104" i="9"/>
  <c r="AC11" i="9" s="1" a="1"/>
  <c r="AC11" i="9" s="1"/>
  <c r="N132" i="9"/>
  <c r="G107" i="9"/>
  <c r="W14" i="9" s="1" a="1"/>
  <c r="W14" i="9" s="1"/>
  <c r="E134" i="9"/>
  <c r="U41" i="9" s="1" a="1"/>
  <c r="U41" i="9" s="1"/>
  <c r="H133" i="9"/>
  <c r="F120" i="9"/>
  <c r="V27" i="9" s="1" a="1"/>
  <c r="V27" i="9" s="1"/>
  <c r="M80" i="9" a="1"/>
  <c r="M80" i="9" s="1"/>
  <c r="E111" i="9"/>
  <c r="U18" i="9" s="1" a="1"/>
  <c r="U18" i="9" s="1"/>
  <c r="L107" i="9"/>
  <c r="AB14" i="9" s="1" a="1"/>
  <c r="AB14" i="9" s="1"/>
  <c r="M50" i="9" a="1"/>
  <c r="M50" i="9" s="1"/>
  <c r="N102" i="9"/>
  <c r="AD9" i="9" s="1" a="1"/>
  <c r="AD9" i="9" s="1"/>
  <c r="H103" i="9"/>
  <c r="X10" i="9" s="1" a="1"/>
  <c r="X10" i="9" s="1"/>
  <c r="J107" i="9"/>
  <c r="Z14" i="9" s="1" a="1"/>
  <c r="Z14" i="9" s="1"/>
  <c r="C106" i="9"/>
  <c r="S13" i="9" s="1" a="1"/>
  <c r="S13" i="9" s="1"/>
  <c r="L120" i="9"/>
  <c r="AB27" i="9" s="1" a="1"/>
  <c r="AB27" i="9" s="1"/>
  <c r="I50" i="9" a="1"/>
  <c r="I50" i="9" s="1"/>
  <c r="G58" i="9" a="1"/>
  <c r="G58" i="9" s="1"/>
  <c r="B7" i="9"/>
  <c r="C7" i="9" s="1"/>
  <c r="I70" i="9" a="1"/>
  <c r="I70" i="9" s="1"/>
  <c r="P66" i="9"/>
  <c r="E107" i="9"/>
  <c r="U14" i="9" s="1" a="1"/>
  <c r="U14" i="9" s="1"/>
  <c r="K76" i="9" a="1"/>
  <c r="K76" i="9" s="1"/>
  <c r="D124" i="9"/>
  <c r="T31" i="9" s="1" a="1"/>
  <c r="T31" i="9" s="1"/>
  <c r="I132" i="9"/>
  <c r="Y39" i="9" s="1" a="1"/>
  <c r="Y39" i="9" s="1"/>
  <c r="J133" i="9"/>
  <c r="Z40" i="9" s="1" a="1"/>
  <c r="Z40" i="9" s="1"/>
  <c r="D111" i="9"/>
  <c r="T18" i="9" s="1" a="1"/>
  <c r="T18" i="9" s="1"/>
  <c r="J134" i="9"/>
  <c r="G132" i="9"/>
  <c r="W39" i="9" s="1" a="1"/>
  <c r="W39" i="9" s="1"/>
  <c r="J84" i="9" a="1"/>
  <c r="J84" i="9" s="1"/>
  <c r="G134" i="9"/>
  <c r="I66" i="9" a="1"/>
  <c r="I66" i="9" s="1"/>
  <c r="N125" i="9"/>
  <c r="AD32" i="9" s="1" a="1"/>
  <c r="AD32" i="9" s="1"/>
  <c r="J74" i="9" a="1"/>
  <c r="J74" i="9" s="1"/>
  <c r="M63" i="9" a="1"/>
  <c r="M63" i="9" s="1"/>
  <c r="M85" i="9" a="1"/>
  <c r="M85" i="9" s="1"/>
  <c r="M125" i="9"/>
  <c r="AC32" i="9" s="1" a="1"/>
  <c r="AC32" i="9" s="1"/>
  <c r="I79" i="9" a="1"/>
  <c r="I79" i="9" s="1"/>
  <c r="I57" i="9" a="1"/>
  <c r="I57" i="9" s="1"/>
  <c r="P54" i="9"/>
  <c r="E102" i="9"/>
  <c r="U9" i="9" s="1" a="1"/>
  <c r="U9" i="9" s="1"/>
  <c r="B11" i="9"/>
  <c r="E11" i="9" s="1"/>
  <c r="L85" i="9" a="1"/>
  <c r="L85" i="9" s="1"/>
  <c r="G116" i="9"/>
  <c r="G77" i="9" a="1"/>
  <c r="G77" i="9" s="1"/>
  <c r="E120" i="9"/>
  <c r="U27" i="9" s="1" a="1"/>
  <c r="U27" i="9" s="1"/>
  <c r="I99" i="9"/>
  <c r="Y6" i="9" s="1" a="1"/>
  <c r="Y6" i="9" s="1"/>
  <c r="G105" i="9"/>
  <c r="W12" i="9" s="1" a="1"/>
  <c r="W12" i="9" s="1"/>
  <c r="L124" i="9"/>
  <c r="AB31" i="9" s="1" a="1"/>
  <c r="AB31" i="9" s="1"/>
  <c r="F124" i="9"/>
  <c r="V31" i="9" s="1" a="1"/>
  <c r="V31" i="9" s="1"/>
  <c r="N122" i="9"/>
  <c r="AD29" i="9" s="1" a="1"/>
  <c r="AD29" i="9" s="1"/>
  <c r="M54" i="9" a="1"/>
  <c r="M54" i="9" s="1"/>
  <c r="M56" i="9" a="1"/>
  <c r="M56" i="9" s="1"/>
  <c r="H61" i="9" a="1"/>
  <c r="H61" i="9" s="1"/>
  <c r="N75" i="9" a="1"/>
  <c r="N75" i="9" s="1"/>
  <c r="M74" i="9" a="1"/>
  <c r="M74" i="9" s="1"/>
  <c r="H64" i="9" a="1"/>
  <c r="H64" i="9" s="1"/>
  <c r="G72" i="9" a="1"/>
  <c r="G72" i="9" s="1"/>
  <c r="B13" i="9"/>
  <c r="E13" i="9" s="1"/>
  <c r="J71" i="9" a="1"/>
  <c r="J71" i="9" s="1"/>
  <c r="K56" i="9" a="1"/>
  <c r="K56" i="9" s="1"/>
  <c r="H116" i="9"/>
  <c r="X23" i="9" s="1" a="1"/>
  <c r="X23" i="9" s="1"/>
  <c r="H117" i="9"/>
  <c r="X24" i="9" s="1" a="1"/>
  <c r="X24" i="9" s="1"/>
  <c r="M119" i="9"/>
  <c r="AC26" i="9" s="1" a="1"/>
  <c r="AC26" i="9" s="1"/>
  <c r="G129" i="9"/>
  <c r="W36" i="9" s="1" a="1"/>
  <c r="W36" i="9" s="1"/>
  <c r="A26" i="20"/>
  <c r="A14" i="20"/>
  <c r="A15" i="20"/>
  <c r="A24" i="20"/>
  <c r="A23" i="20"/>
  <c r="A9" i="20"/>
  <c r="A13" i="20"/>
  <c r="A31" i="20"/>
  <c r="P112" i="9"/>
  <c r="AF19" i="9" s="1"/>
  <c r="M120" i="9"/>
  <c r="D115" i="9"/>
  <c r="T22" i="9" s="1" a="1"/>
  <c r="T22" i="9" s="1"/>
  <c r="M67" i="9" a="1"/>
  <c r="M67" i="9" s="1"/>
  <c r="N128" i="9"/>
  <c r="AD35" i="9" s="1" a="1"/>
  <c r="AD35" i="9" s="1"/>
  <c r="F100" i="9"/>
  <c r="V7" i="9" s="1" a="1"/>
  <c r="V7" i="9" s="1"/>
  <c r="C122" i="9"/>
  <c r="S29" i="9" s="1" a="1"/>
  <c r="S29" i="9" s="1"/>
  <c r="L108" i="9"/>
  <c r="M64" i="9" a="1"/>
  <c r="M64" i="9" s="1"/>
  <c r="M124" i="9"/>
  <c r="AC31" i="9" s="1" a="1"/>
  <c r="AC31" i="9" s="1"/>
  <c r="K117" i="9"/>
  <c r="AA24" i="9" s="1" a="1"/>
  <c r="AA24" i="9" s="1"/>
  <c r="E132" i="9"/>
  <c r="U39" i="9" s="1" a="1"/>
  <c r="U39" i="9" s="1"/>
  <c r="L116" i="9"/>
  <c r="AB23" i="9" s="1" a="1"/>
  <c r="AB23" i="9" s="1"/>
  <c r="L61" i="9" a="1"/>
  <c r="L61" i="9" s="1"/>
  <c r="P104" i="9"/>
  <c r="AF11" i="9" s="1"/>
  <c r="F125" i="9"/>
  <c r="V32" i="9" s="1" a="1"/>
  <c r="V32" i="9" s="1"/>
  <c r="G70" i="9" a="1"/>
  <c r="G70" i="9" s="1"/>
  <c r="K55" i="9" a="1"/>
  <c r="K55" i="9" s="1"/>
  <c r="C116" i="9"/>
  <c r="S23" i="9" s="1" a="1"/>
  <c r="S23" i="9" s="1"/>
  <c r="L57" i="9" a="1"/>
  <c r="L57" i="9" s="1"/>
  <c r="E118" i="9"/>
  <c r="U25" i="9" s="1" a="1"/>
  <c r="U25" i="9" s="1"/>
  <c r="C128" i="9"/>
  <c r="S35" i="9" s="1" a="1"/>
  <c r="S35" i="9" s="1"/>
  <c r="G80" i="9" a="1"/>
  <c r="G80" i="9" s="1"/>
  <c r="I103" i="9"/>
  <c r="Y10" i="9" s="1" a="1"/>
  <c r="Y10" i="9" s="1"/>
  <c r="K62" i="9" a="1"/>
  <c r="K62" i="9" s="1"/>
  <c r="I53" i="9" a="1"/>
  <c r="I53" i="9" s="1"/>
  <c r="P70" i="9"/>
  <c r="K69" i="9" a="1"/>
  <c r="K69" i="9" s="1"/>
  <c r="C105" i="9"/>
  <c r="S12" i="9" s="1" a="1"/>
  <c r="S12" i="9" s="1"/>
  <c r="N104" i="9"/>
  <c r="AD11" i="9" s="1" a="1"/>
  <c r="AD11" i="9" s="1"/>
  <c r="M101" i="9"/>
  <c r="AC8" i="9" s="1" a="1"/>
  <c r="AC8" i="9" s="1"/>
  <c r="H100" i="9"/>
  <c r="X7" i="9" s="1" a="1"/>
  <c r="X7" i="9" s="1"/>
  <c r="I56" i="9" a="1"/>
  <c r="I56" i="9" s="1"/>
  <c r="F121" i="9"/>
  <c r="V28" i="9" s="1" a="1"/>
  <c r="V28" i="9" s="1"/>
  <c r="F104" i="9"/>
  <c r="V11" i="9" s="1" a="1"/>
  <c r="V11" i="9" s="1"/>
  <c r="G75" i="9" a="1"/>
  <c r="G75" i="9" s="1"/>
  <c r="K67" i="9" a="1"/>
  <c r="K67" i="9" s="1"/>
  <c r="K120" i="9"/>
  <c r="AA27" i="9" s="1" a="1"/>
  <c r="AA27" i="9" s="1"/>
  <c r="N129" i="9"/>
  <c r="M127" i="9"/>
  <c r="AC34" i="9" s="1" a="1"/>
  <c r="AC34" i="9" s="1"/>
  <c r="I113" i="9"/>
  <c r="Y20" i="9" s="1" a="1"/>
  <c r="Y20" i="9" s="1"/>
  <c r="D127" i="9"/>
  <c r="T34" i="9" s="1" a="1"/>
  <c r="T34" i="9" s="1"/>
  <c r="H114" i="9"/>
  <c r="X21" i="9" s="1" a="1"/>
  <c r="X21" i="9" s="1"/>
  <c r="J70" i="9" a="1"/>
  <c r="J70" i="9" s="1"/>
  <c r="P121" i="9"/>
  <c r="N67" i="9" a="1"/>
  <c r="N67" i="9" s="1"/>
  <c r="C118" i="9"/>
  <c r="S25" i="9" s="1" a="1"/>
  <c r="S25" i="9" s="1"/>
  <c r="H106" i="9"/>
  <c r="N133" i="9"/>
  <c r="AD40" i="9" s="1" a="1"/>
  <c r="AD40" i="9" s="1"/>
  <c r="D131" i="9"/>
  <c r="T38" i="9" s="1" a="1"/>
  <c r="T38" i="9" s="1"/>
  <c r="P130" i="9"/>
  <c r="H121" i="9"/>
  <c r="D116" i="9"/>
  <c r="T23" i="9" s="1" a="1"/>
  <c r="T23" i="9" s="1"/>
  <c r="C109" i="9"/>
  <c r="S16" i="9" s="1" a="1"/>
  <c r="S16" i="9" s="1"/>
  <c r="E113" i="9"/>
  <c r="U20" i="9" s="1" a="1"/>
  <c r="U20" i="9" s="1"/>
  <c r="F132" i="9"/>
  <c r="N112" i="9"/>
  <c r="AD19" i="9" s="1" a="1"/>
  <c r="AD19" i="9" s="1"/>
  <c r="M114" i="9"/>
  <c r="AC21" i="9" s="1" a="1"/>
  <c r="AC21" i="9" s="1"/>
  <c r="J113" i="9"/>
  <c r="Z20" i="9" s="1" a="1"/>
  <c r="Z20" i="9" s="1"/>
  <c r="J58" i="9" a="1"/>
  <c r="J58" i="9" s="1"/>
  <c r="M111" i="9"/>
  <c r="AC18" i="9" s="1" a="1"/>
  <c r="AC18" i="9" s="1"/>
  <c r="P77" i="9"/>
  <c r="P111" i="9"/>
  <c r="AF18" i="9" s="1"/>
  <c r="B18" i="20" s="1"/>
  <c r="E128" i="9"/>
  <c r="U35" i="9" s="1" a="1"/>
  <c r="U35" i="9" s="1"/>
  <c r="K82" i="9" a="1"/>
  <c r="K82" i="9" s="1"/>
  <c r="L83" i="9" a="1"/>
  <c r="L83" i="9" s="1"/>
  <c r="I76" i="9" a="1"/>
  <c r="I76" i="9" s="1"/>
  <c r="J117" i="9"/>
  <c r="Z24" i="9" s="1" a="1"/>
  <c r="Z24" i="9" s="1"/>
  <c r="K59" i="9" a="1"/>
  <c r="K59" i="9" s="1"/>
  <c r="F133" i="9"/>
  <c r="V40" i="9" s="1" a="1"/>
  <c r="V40" i="9" s="1"/>
  <c r="H118" i="9"/>
  <c r="G84" i="9" a="1"/>
  <c r="G84" i="9" s="1"/>
  <c r="M79" i="9" a="1"/>
  <c r="M79" i="9" s="1"/>
  <c r="P118" i="9"/>
  <c r="AF25" i="9" s="1"/>
  <c r="B17" i="20" s="1"/>
  <c r="I83" i="9" a="1"/>
  <c r="I83" i="9" s="1"/>
  <c r="M76" i="9" a="1"/>
  <c r="M76" i="9" s="1"/>
  <c r="B18" i="9"/>
  <c r="C18" i="9" s="1"/>
  <c r="H128" i="9"/>
  <c r="X35" i="9" s="1" a="1"/>
  <c r="X35" i="9" s="1"/>
  <c r="N103" i="9"/>
  <c r="AD10" i="9" s="1" a="1"/>
  <c r="AD10" i="9" s="1"/>
  <c r="D133" i="9"/>
  <c r="T40" i="9" s="1" a="1"/>
  <c r="T40" i="9" s="1"/>
  <c r="J118" i="9"/>
  <c r="Z25" i="9" s="1" a="1"/>
  <c r="Z25" i="9" s="1"/>
  <c r="N70" i="9" a="1"/>
  <c r="N70" i="9" s="1"/>
  <c r="N130" i="9"/>
  <c r="AD37" i="9" s="1" a="1"/>
  <c r="AD37" i="9" s="1"/>
  <c r="P56" i="9"/>
  <c r="N52" i="9" a="1"/>
  <c r="N52" i="9" s="1"/>
  <c r="G103" i="9"/>
  <c r="W10" i="9" s="1" a="1"/>
  <c r="W10" i="9" s="1"/>
  <c r="G106" i="9"/>
  <c r="W13" i="9" s="1" a="1"/>
  <c r="W13" i="9" s="1"/>
  <c r="N131" i="9"/>
  <c r="AD38" i="9" s="1" a="1"/>
  <c r="AD38" i="9" s="1"/>
  <c r="M106" i="9"/>
  <c r="AC13" i="9" s="1" a="1"/>
  <c r="AC13" i="9" s="1"/>
  <c r="G111" i="9"/>
  <c r="N111" i="9"/>
  <c r="AD18" i="9" s="1" a="1"/>
  <c r="AD18" i="9" s="1"/>
  <c r="I72" i="9" a="1"/>
  <c r="I72" i="9" s="1"/>
  <c r="M107" i="9"/>
  <c r="AC14" i="9" s="1" a="1"/>
  <c r="AC14" i="9" s="1"/>
  <c r="N113" i="9"/>
  <c r="AD20" i="9" s="1" a="1"/>
  <c r="AD20" i="9" s="1"/>
  <c r="H81" i="9" a="1"/>
  <c r="H81" i="9" s="1"/>
  <c r="H105" i="9"/>
  <c r="X12" i="9" s="1" a="1"/>
  <c r="X12" i="9" s="1"/>
  <c r="I71" i="9" a="1"/>
  <c r="I71" i="9" s="1"/>
  <c r="K112" i="9"/>
  <c r="AA19" i="9" s="1" a="1"/>
  <c r="AA19" i="9" s="1"/>
  <c r="N55" i="9" a="1"/>
  <c r="N55" i="9" s="1"/>
  <c r="M82" i="9" a="1"/>
  <c r="M82" i="9" s="1"/>
  <c r="M75" i="9" a="1"/>
  <c r="M75" i="9" s="1"/>
  <c r="L72" i="9" a="1"/>
  <c r="L72" i="9" s="1"/>
  <c r="J123" i="9"/>
  <c r="Z30" i="9" s="1" a="1"/>
  <c r="Z30" i="9" s="1"/>
  <c r="G124" i="9"/>
  <c r="W31" i="9" s="1" a="1"/>
  <c r="W31" i="9" s="1"/>
  <c r="N116" i="9"/>
  <c r="AD23" i="9" s="1" a="1"/>
  <c r="AD23" i="9" s="1"/>
  <c r="M109" i="9"/>
  <c r="AC16" i="9" s="1" a="1"/>
  <c r="AC16" i="9" s="1"/>
  <c r="J75" i="9" a="1"/>
  <c r="J75" i="9" s="1"/>
  <c r="K134" i="9"/>
  <c r="AA41" i="9" s="1" a="1"/>
  <c r="AA41" i="9" s="1"/>
  <c r="P51" i="9"/>
  <c r="P52" i="9"/>
  <c r="I62" i="9" a="1"/>
  <c r="I62" i="9" s="1"/>
  <c r="I58" i="9" a="1"/>
  <c r="I58" i="9" s="1"/>
  <c r="H109" i="9"/>
  <c r="X16" i="9" s="1" a="1"/>
  <c r="X16" i="9" s="1"/>
  <c r="P50" i="9"/>
  <c r="G74" i="9" a="1"/>
  <c r="G74" i="9" s="1"/>
  <c r="L125" i="9"/>
  <c r="AB32" i="9" s="1" a="1"/>
  <c r="AB32" i="9" s="1"/>
  <c r="C102" i="9"/>
  <c r="S9" i="9" s="1" a="1"/>
  <c r="S9" i="9" s="1"/>
  <c r="G108" i="9"/>
  <c r="I128" i="9"/>
  <c r="Y35" i="9" s="1" a="1"/>
  <c r="Y35" i="9" s="1"/>
  <c r="D121" i="9"/>
  <c r="T28" i="9" s="1" a="1"/>
  <c r="T28" i="9" s="1"/>
  <c r="H68" i="9" a="1"/>
  <c r="H68" i="9" s="1"/>
  <c r="J109" i="9"/>
  <c r="Z16" i="9" s="1" a="1"/>
  <c r="Z16" i="9" s="1"/>
  <c r="H129" i="9"/>
  <c r="N120" i="9"/>
  <c r="AD27" i="9" s="1" a="1"/>
  <c r="AD27" i="9" s="1"/>
  <c r="F112" i="9"/>
  <c r="V19" i="9" s="1" a="1"/>
  <c r="V19" i="9" s="1"/>
  <c r="N114" i="9"/>
  <c r="AD21" i="9" s="1" a="1"/>
  <c r="AD21" i="9" s="1"/>
  <c r="I51" i="9" a="1"/>
  <c r="I51" i="9" s="1"/>
  <c r="M131" i="9"/>
  <c r="AC38" i="9" s="1" a="1"/>
  <c r="AC38" i="9" s="1"/>
  <c r="D126" i="9"/>
  <c r="T33" i="9" s="1" a="1"/>
  <c r="T33" i="9" s="1"/>
  <c r="L101" i="9"/>
  <c r="AB8" i="9" s="1" a="1"/>
  <c r="AB8" i="9" s="1"/>
  <c r="M73" i="9" a="1"/>
  <c r="M73" i="9" s="1"/>
  <c r="J124" i="9"/>
  <c r="Z31" i="9" s="1" a="1"/>
  <c r="Z31" i="9" s="1"/>
  <c r="I123" i="9"/>
  <c r="M60" i="9" a="1"/>
  <c r="M60" i="9" s="1"/>
  <c r="H74" i="9" a="1"/>
  <c r="H74" i="9" s="1"/>
  <c r="M58" i="9" a="1"/>
  <c r="M58" i="9" s="1"/>
  <c r="H62" i="9" a="1"/>
  <c r="H62" i="9" s="1"/>
  <c r="N109" i="9"/>
  <c r="AD16" i="9" s="1" a="1"/>
  <c r="AD16" i="9" s="1"/>
  <c r="G125" i="9"/>
  <c r="W32" i="9" s="1" a="1"/>
  <c r="W32" i="9" s="1"/>
  <c r="G118" i="9"/>
  <c r="M51" i="9" a="1"/>
  <c r="M51" i="9" s="1"/>
  <c r="F102" i="9"/>
  <c r="V9" i="9" s="1" a="1"/>
  <c r="V9" i="9" s="1"/>
  <c r="C119" i="9"/>
  <c r="S26" i="9" s="1" a="1"/>
  <c r="S26" i="9" s="1"/>
  <c r="J129" i="9"/>
  <c r="Z36" i="9" s="1" a="1"/>
  <c r="Z36" i="9" s="1"/>
  <c r="M99" i="9"/>
  <c r="AC6" i="9" s="1" a="1"/>
  <c r="AC6" i="9" s="1"/>
  <c r="K81" i="9" a="1"/>
  <c r="K81" i="9" s="1"/>
  <c r="N72" i="9" a="1"/>
  <c r="N72" i="9" s="1"/>
  <c r="D103" i="9"/>
  <c r="L115" i="9"/>
  <c r="N100" i="9"/>
  <c r="AD7" i="9" s="1" a="1"/>
  <c r="AD7" i="9" s="1"/>
  <c r="E110" i="9"/>
  <c r="U17" i="9" a="1"/>
  <c r="U17" i="9" s="1"/>
  <c r="G113" i="9"/>
  <c r="W20" i="9" s="1" a="1"/>
  <c r="W20" i="9" s="1"/>
  <c r="K115" i="9"/>
  <c r="AA22" i="9" s="1" a="1"/>
  <c r="AA22" i="9" s="1"/>
  <c r="K70" i="9" a="1"/>
  <c r="K70" i="9" s="1"/>
  <c r="I73" i="9" a="1"/>
  <c r="I73" i="9" s="1"/>
  <c r="I122" i="9"/>
  <c r="Y29" i="9" s="1" a="1"/>
  <c r="Y29" i="9" s="1"/>
  <c r="G117" i="9"/>
  <c r="M68" i="9" a="1"/>
  <c r="M68" i="9" s="1"/>
  <c r="J69" i="9" a="1"/>
  <c r="J69" i="9" s="1"/>
  <c r="G99" i="9"/>
  <c r="L102" i="9"/>
  <c r="AB9" i="9" s="1" a="1"/>
  <c r="AB9" i="9" s="1"/>
  <c r="P131" i="9"/>
  <c r="AF38" i="9" s="1"/>
  <c r="B3" i="20" s="1"/>
  <c r="K65" i="9" a="1"/>
  <c r="K65" i="9" s="1"/>
  <c r="H60" i="9" a="1"/>
  <c r="H60" i="9" s="1"/>
  <c r="K63" i="9" a="1"/>
  <c r="K63" i="9" s="1"/>
  <c r="L55" i="9" a="1"/>
  <c r="L55" i="9" s="1"/>
  <c r="J132" i="9"/>
  <c r="L79" i="9" a="1"/>
  <c r="L79" i="9" s="1"/>
  <c r="K106" i="9"/>
  <c r="AA13" i="9" s="1" a="1"/>
  <c r="AA13" i="9" s="1"/>
  <c r="G50" i="9" a="1"/>
  <c r="G50" i="9" s="1"/>
  <c r="D100" i="9"/>
  <c r="T7" i="9" s="1" a="1"/>
  <c r="T7" i="9" s="1"/>
  <c r="F103" i="9"/>
  <c r="V10" i="9" s="1" a="1"/>
  <c r="V10" i="9" s="1"/>
  <c r="P65" i="9"/>
  <c r="I59" i="9" a="1"/>
  <c r="I59" i="9" s="1"/>
  <c r="M110" i="9"/>
  <c r="AC17" i="9" s="1" a="1"/>
  <c r="AC17" i="9" s="1"/>
  <c r="G115" i="9"/>
  <c r="P134" i="9"/>
  <c r="AF41" i="9" s="1"/>
  <c r="B26" i="20" s="1"/>
  <c r="M100" i="9"/>
  <c r="AC7" i="9" s="1" a="1"/>
  <c r="AC7" i="9" s="1"/>
  <c r="N56" i="9" a="1"/>
  <c r="N56" i="9" s="1"/>
  <c r="L131" i="9"/>
  <c r="AB38" i="9" s="1" a="1"/>
  <c r="AB38" i="9" s="1"/>
  <c r="L69" i="9" a="1"/>
  <c r="L69" i="9" s="1"/>
  <c r="J83" i="9" a="1"/>
  <c r="J83" i="9" s="1"/>
  <c r="G127" i="9"/>
  <c r="W34" i="9" s="1" a="1"/>
  <c r="W34" i="9" s="1"/>
  <c r="G62" i="9" a="1"/>
  <c r="G62" i="9" s="1"/>
  <c r="I130" i="9"/>
  <c r="Y37" i="9" s="1" a="1"/>
  <c r="Y37" i="9" s="1"/>
  <c r="C125" i="9"/>
  <c r="S32" i="9" s="1" a="1"/>
  <c r="S32" i="9" s="1"/>
  <c r="I68" i="9" a="1"/>
  <c r="I68" i="9" s="1"/>
  <c r="F101" i="9"/>
  <c r="V8" i="9" s="1" a="1"/>
  <c r="V8" i="9" s="1"/>
  <c r="N118" i="9"/>
  <c r="AD25" i="9" s="1" a="1"/>
  <c r="AD25" i="9" s="1"/>
  <c r="B15" i="9"/>
  <c r="C15" i="9" s="1"/>
  <c r="I108" i="9"/>
  <c r="J108" i="9"/>
  <c r="Z15" i="9" s="1" a="1"/>
  <c r="Z15" i="9" s="1"/>
  <c r="C121" i="9"/>
  <c r="S28" i="9" s="1" a="1"/>
  <c r="S28" i="9" s="1"/>
  <c r="D112" i="9"/>
  <c r="T19" i="9" s="1" a="1"/>
  <c r="T19" i="9" s="1"/>
  <c r="P59" i="9"/>
  <c r="J106" i="9"/>
  <c r="Z13" i="9" s="1" a="1"/>
  <c r="Z13" i="9" s="1"/>
  <c r="G130" i="9"/>
  <c r="K66" i="9" a="1"/>
  <c r="K66" i="9" s="1"/>
  <c r="C110" i="9"/>
  <c r="S17" i="9" s="1" a="1"/>
  <c r="S17" i="9" s="1"/>
  <c r="H99" i="9"/>
  <c r="J81" i="9" a="1"/>
  <c r="J81" i="9" s="1"/>
  <c r="H58" i="9" a="1"/>
  <c r="H58" i="9" s="1"/>
  <c r="D123" i="9"/>
  <c r="T30" i="9" s="1" a="1"/>
  <c r="T30" i="9" s="1"/>
  <c r="L52" i="9" a="1"/>
  <c r="L52" i="9" s="1"/>
  <c r="I126" i="9"/>
  <c r="Y33" i="9" s="1" a="1"/>
  <c r="Y33" i="9" s="1"/>
  <c r="N63" i="9" a="1"/>
  <c r="N63" i="9" s="1"/>
  <c r="J78" i="9" a="1"/>
  <c r="J78" i="9" s="1"/>
  <c r="N76" i="9" a="1"/>
  <c r="N76" i="9" s="1"/>
  <c r="P122" i="9"/>
  <c r="AF29" i="9" s="1"/>
  <c r="P82" i="9"/>
  <c r="K133" i="9"/>
  <c r="AA40" i="9" s="1" a="1"/>
  <c r="AA40" i="9" s="1"/>
  <c r="P53" i="9"/>
  <c r="N121" i="9"/>
  <c r="AD28" i="9" s="1" a="1"/>
  <c r="AD28" i="9" s="1"/>
  <c r="I67" i="9" a="1"/>
  <c r="I67" i="9" s="1"/>
  <c r="H107" i="9"/>
  <c r="X14" i="9" s="1" a="1"/>
  <c r="X14" i="9" s="1"/>
  <c r="I107" i="9"/>
  <c r="Y14" i="9" s="1" a="1"/>
  <c r="Y14" i="9" s="1"/>
  <c r="D125" i="9"/>
  <c r="T32" i="9" s="1" a="1"/>
  <c r="T32" i="9" s="1"/>
  <c r="J130" i="9"/>
  <c r="Z37" i="9" s="1" a="1"/>
  <c r="Z37" i="9" s="1"/>
  <c r="I121" i="9"/>
  <c r="Y28" i="9" s="1" a="1"/>
  <c r="Y28" i="9" s="1"/>
  <c r="E112" i="9"/>
  <c r="U19" i="9" s="1" a="1"/>
  <c r="U19" i="9" s="1"/>
  <c r="D113" i="9"/>
  <c r="T20" i="9" s="1" a="1"/>
  <c r="T20" i="9" s="1"/>
  <c r="M53" i="9" a="1"/>
  <c r="M53" i="9" s="1"/>
  <c r="L56" i="9" a="1"/>
  <c r="L56" i="9" s="1"/>
  <c r="P127" i="9"/>
  <c r="AF34" i="9" s="1"/>
  <c r="M134" i="9"/>
  <c r="AC41" i="9" s="1" a="1"/>
  <c r="AC41" i="9" s="1"/>
  <c r="I129" i="9"/>
  <c r="Y36" i="9" s="1" a="1"/>
  <c r="Y36" i="9" s="1"/>
  <c r="J131" i="9"/>
  <c r="B3" i="9"/>
  <c r="C3" i="9" s="1"/>
  <c r="P71" i="9"/>
  <c r="L128" i="9"/>
  <c r="AB35" i="9" s="1" a="1"/>
  <c r="AB35" i="9" s="1"/>
  <c r="E99" i="9"/>
  <c r="U6" i="9" s="1" a="1"/>
  <c r="U6" i="9" s="1"/>
  <c r="N79" i="9" a="1"/>
  <c r="N79" i="9" s="1"/>
  <c r="J54" i="9" a="1"/>
  <c r="J54" i="9" s="1"/>
  <c r="L133" i="9"/>
  <c r="AB40" i="9" s="1" a="1"/>
  <c r="AB40" i="9" s="1"/>
  <c r="H120" i="9"/>
  <c r="D120" i="9"/>
  <c r="T27" i="9" s="1" a="1"/>
  <c r="T27" i="9" s="1"/>
  <c r="G78" i="9" a="1"/>
  <c r="G78" i="9" s="1"/>
  <c r="H56" i="9" a="1"/>
  <c r="H56" i="9" s="1"/>
  <c r="D114" i="9"/>
  <c r="T21" i="9" s="1" a="1"/>
  <c r="T21" i="9" s="1"/>
  <c r="K74" i="9" a="1"/>
  <c r="K74" i="9" s="1"/>
  <c r="K127" i="9"/>
  <c r="AA34" i="9" s="1" a="1"/>
  <c r="AA34" i="9" s="1"/>
  <c r="I133" i="9"/>
  <c r="Y40" i="9" s="1" a="1"/>
  <c r="Y40" i="9" s="1"/>
  <c r="H67" i="9" a="1"/>
  <c r="H67" i="9" s="1"/>
  <c r="L58" i="9" a="1"/>
  <c r="L58" i="9" s="1"/>
  <c r="G68" i="9" a="1"/>
  <c r="G68" i="9" s="1"/>
  <c r="D117" i="9"/>
  <c r="T24" i="9" s="1" a="1"/>
  <c r="T24" i="9" s="1"/>
  <c r="H54" i="9" a="1"/>
  <c r="H54" i="9" s="1"/>
  <c r="N124" i="9"/>
  <c r="AD31" i="9" s="1" a="1"/>
  <c r="AD31" i="9" s="1"/>
  <c r="B8" i="9"/>
  <c r="E8" i="9" s="1"/>
  <c r="G76" i="9" a="1"/>
  <c r="G76" i="9" s="1"/>
  <c r="F122" i="9"/>
  <c r="V29" i="9" s="1" a="1"/>
  <c r="V29" i="9" s="1"/>
  <c r="P132" i="9"/>
  <c r="AF39" i="9"/>
  <c r="P63" i="9"/>
  <c r="F130" i="9"/>
  <c r="V37" i="9" s="1" a="1"/>
  <c r="V37" i="9" s="1"/>
  <c r="M62" i="9" a="1"/>
  <c r="M62" i="9" s="1"/>
  <c r="I74" i="9" a="1"/>
  <c r="I74" i="9" s="1"/>
  <c r="C129" i="9"/>
  <c r="S36" i="9" s="1" a="1"/>
  <c r="S36" i="9" s="1"/>
  <c r="H101" i="9"/>
  <c r="X8" i="9" s="1" a="1"/>
  <c r="X8" i="9" s="1"/>
  <c r="N77" i="9" a="1"/>
  <c r="N77" i="9" s="1"/>
  <c r="K116" i="9"/>
  <c r="AA23" i="9" s="1" a="1"/>
  <c r="AA23" i="9" s="1"/>
  <c r="E115" i="9"/>
  <c r="U22" i="9" s="1" a="1"/>
  <c r="U22" i="9" s="1"/>
  <c r="L62" i="9" a="1"/>
  <c r="L62" i="9" s="1"/>
  <c r="P114" i="9"/>
  <c r="AF21" i="9"/>
  <c r="E130" i="9"/>
  <c r="U37" i="9" s="1" a="1"/>
  <c r="U37" i="9" s="1"/>
  <c r="J63" i="9" a="1"/>
  <c r="J63" i="9" s="1"/>
  <c r="L51" i="9" a="1"/>
  <c r="L51" i="9" s="1"/>
  <c r="F117" i="9"/>
  <c r="V24" i="9" s="1" a="1"/>
  <c r="V24" i="9" s="1"/>
  <c r="F126" i="9"/>
  <c r="V33" i="9" s="1" a="1"/>
  <c r="V33" i="9" s="1"/>
  <c r="P106" i="9"/>
  <c r="AF13" i="9" s="1"/>
  <c r="B20" i="20" s="1"/>
  <c r="J62" i="9" a="1"/>
  <c r="J62" i="9" s="1"/>
  <c r="L117" i="9"/>
  <c r="AB24" i="9" s="1" a="1"/>
  <c r="AB24" i="9" s="1"/>
  <c r="M122" i="9"/>
  <c r="AC29" i="9" s="1" a="1"/>
  <c r="AC29" i="9" s="1"/>
  <c r="C117" i="9"/>
  <c r="S24" i="9" s="1" a="1"/>
  <c r="S24" i="9" s="1"/>
  <c r="G128" i="9"/>
  <c r="W35" i="9" s="1" a="1"/>
  <c r="W35" i="9" s="1"/>
  <c r="C123" i="9"/>
  <c r="S30" i="9" s="1" a="1"/>
  <c r="S30" i="9" s="1"/>
  <c r="M133" i="9"/>
  <c r="AC40" i="9" s="1" a="1"/>
  <c r="AC40" i="9" s="1"/>
  <c r="L63" i="9" a="1"/>
  <c r="L63" i="9" s="1"/>
  <c r="J65" i="9" a="1"/>
  <c r="J65" i="9" s="1"/>
  <c r="K99" i="9"/>
  <c r="AA6" i="9" s="1" a="1"/>
  <c r="AA6" i="9" s="1"/>
  <c r="H72" i="9" a="1"/>
  <c r="H72" i="9" s="1"/>
  <c r="P100" i="9"/>
  <c r="AF7" i="9" s="1"/>
  <c r="B29" i="20" s="1"/>
  <c r="E131" i="9"/>
  <c r="U38" i="9" s="1" a="1"/>
  <c r="U38" i="9" s="1"/>
  <c r="AF10" i="9"/>
  <c r="A27" i="20"/>
  <c r="A19" i="20"/>
  <c r="A28" i="20"/>
  <c r="A25" i="20"/>
  <c r="A4" i="20"/>
  <c r="A20" i="20"/>
  <c r="A5" i="20"/>
  <c r="A6" i="20"/>
  <c r="A18" i="20"/>
  <c r="A7" i="20"/>
  <c r="A10" i="20"/>
  <c r="A32" i="20"/>
  <c r="A33" i="20"/>
  <c r="F107" i="9"/>
  <c r="V14" i="9" s="1" a="1"/>
  <c r="V14" i="9" s="1"/>
  <c r="M135" i="9"/>
  <c r="AC42" i="9" s="1" a="1"/>
  <c r="AC42" i="9" s="1"/>
  <c r="N135" i="9"/>
  <c r="AD42" i="9" s="1" a="1"/>
  <c r="AD42" i="9" s="1"/>
  <c r="A19" i="21"/>
  <c r="B19" i="21" s="1"/>
  <c r="A10" i="21"/>
  <c r="B10" i="21" s="1"/>
  <c r="A20" i="21"/>
  <c r="B20" i="21"/>
  <c r="A22" i="21"/>
  <c r="B22" i="21" s="1"/>
  <c r="A38" i="21"/>
  <c r="B38" i="21" s="1"/>
  <c r="A8" i="21"/>
  <c r="B8" i="21" s="1"/>
  <c r="A9" i="21"/>
  <c r="B9" i="21" s="1"/>
  <c r="L135" i="9"/>
  <c r="AB42" i="9" s="1" a="1"/>
  <c r="AB42" i="9" s="1"/>
  <c r="A11" i="20"/>
  <c r="A39" i="21"/>
  <c r="B39" i="21" s="1"/>
  <c r="N86" i="9" a="1"/>
  <c r="N86" i="9" s="1"/>
  <c r="I135" i="9"/>
  <c r="Y42" i="9" s="1" a="1"/>
  <c r="Y42" i="9" s="1"/>
  <c r="M86" i="9" a="1"/>
  <c r="M86" i="9" s="1"/>
  <c r="K135" i="9"/>
  <c r="AA42" i="9" s="1" a="1"/>
  <c r="AA42" i="9" s="1"/>
  <c r="H135" i="9"/>
  <c r="L86" i="9" a="1"/>
  <c r="L86" i="9" s="1"/>
  <c r="G135" i="9"/>
  <c r="K86" i="9" a="1"/>
  <c r="K86" i="9" s="1"/>
  <c r="J86" i="9" a="1"/>
  <c r="J86" i="9" s="1"/>
  <c r="E135" i="9"/>
  <c r="U42" i="9" s="1" a="1"/>
  <c r="U42" i="9" s="1"/>
  <c r="I86" i="9" a="1"/>
  <c r="I86" i="9" s="1"/>
  <c r="D135" i="9"/>
  <c r="T42" i="9" s="1" a="1"/>
  <c r="T42" i="9" s="1"/>
  <c r="P135" i="9"/>
  <c r="AF42" i="9" s="1"/>
  <c r="C135" i="9"/>
  <c r="S42" i="9" s="1" a="1"/>
  <c r="S42" i="9" s="1"/>
  <c r="A30" i="20"/>
  <c r="R5" i="9"/>
  <c r="D14" i="19" s="1" a="1"/>
  <c r="D14" i="19" s="1"/>
  <c r="E14" i="19" s="1"/>
  <c r="AF23" i="9"/>
  <c r="G54" i="9" a="1"/>
  <c r="G54" i="9" s="1"/>
  <c r="AF37" i="9"/>
  <c r="W17" i="9" a="1"/>
  <c r="W17" i="9" s="1"/>
  <c r="G63" i="9" a="1"/>
  <c r="G63" i="9" s="1"/>
  <c r="A17" i="21"/>
  <c r="B17" i="21" s="1"/>
  <c r="A32" i="21"/>
  <c r="B32" i="21" s="1"/>
  <c r="A23" i="21"/>
  <c r="B23" i="21" s="1"/>
  <c r="A27" i="21"/>
  <c r="B27" i="21" s="1"/>
  <c r="A30" i="21"/>
  <c r="B30" i="21" s="1"/>
  <c r="A24" i="21"/>
  <c r="B24" i="21" s="1"/>
  <c r="A35" i="21"/>
  <c r="B35" i="21" s="1"/>
  <c r="A31" i="21"/>
  <c r="B31" i="21" s="1"/>
  <c r="A36" i="21"/>
  <c r="B36" i="21" s="1"/>
  <c r="A37" i="21"/>
  <c r="B37" i="21" s="1"/>
  <c r="A4" i="21"/>
  <c r="B4" i="21" s="1"/>
  <c r="G61" i="9" a="1"/>
  <c r="G61" i="9" s="1"/>
  <c r="E7" i="9" a="1"/>
  <c r="E7" i="9" s="1"/>
  <c r="Z41" i="9" a="1"/>
  <c r="Z41" i="9" s="1"/>
  <c r="H53" i="9" a="1"/>
  <c r="H53" i="9" s="1"/>
  <c r="J56" i="9" a="1"/>
  <c r="J56" i="9" s="1"/>
  <c r="A7" i="21"/>
  <c r="B7" i="21" s="1"/>
  <c r="H160" i="1"/>
  <c r="H162" i="1"/>
  <c r="C2" i="2"/>
  <c r="C13" i="9" l="1"/>
  <c r="AF36" i="9"/>
  <c r="B10" i="20" s="1"/>
  <c r="L66" i="9" a="1"/>
  <c r="L66" i="9" s="1"/>
  <c r="I345" i="1" a="1"/>
  <c r="I345" i="1" s="1"/>
  <c r="E4" i="8" s="1"/>
  <c r="AB22" i="9" a="1"/>
  <c r="AB22" i="9" s="1"/>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240" i="1"/>
  <c r="H36" i="1"/>
  <c r="H81" i="1"/>
  <c r="H40" i="1"/>
  <c r="H6" i="1"/>
  <c r="H72" i="1"/>
  <c r="H68" i="1"/>
  <c r="H55" i="1"/>
  <c r="H63" i="1"/>
  <c r="H41" i="1"/>
  <c r="H50" i="1"/>
  <c r="H60" i="1"/>
  <c r="H37" i="1"/>
  <c r="H21" i="1"/>
  <c r="H74" i="1"/>
  <c r="H243" i="1"/>
  <c r="H4" i="1"/>
  <c r="H56" i="1"/>
  <c r="H65" i="1"/>
  <c r="H16" i="1"/>
  <c r="H23" i="1"/>
  <c r="H22" i="1"/>
  <c r="H73" i="1"/>
  <c r="H25" i="1"/>
  <c r="H33" i="1"/>
  <c r="H44" i="1"/>
  <c r="H24" i="1"/>
  <c r="H53" i="1"/>
  <c r="H76" i="1"/>
  <c r="H39" i="1"/>
  <c r="H45" i="1"/>
  <c r="H10" i="1"/>
  <c r="H84" i="1"/>
  <c r="H62" i="1"/>
  <c r="H35" i="1"/>
  <c r="H59" i="1"/>
  <c r="H27" i="1"/>
  <c r="H66" i="1"/>
  <c r="H67" i="1"/>
  <c r="H38" i="1"/>
  <c r="H12" i="1"/>
  <c r="H51" i="1"/>
  <c r="H71" i="1"/>
  <c r="H127" i="2"/>
  <c r="I127" i="2" s="1"/>
  <c r="D127" i="2" s="1"/>
  <c r="H125" i="2"/>
  <c r="I125" i="2" s="1"/>
  <c r="D125" i="2" s="1"/>
  <c r="H123" i="2"/>
  <c r="I123" i="2" s="1"/>
  <c r="D123" i="2" s="1"/>
  <c r="H121" i="2"/>
  <c r="I121" i="2" s="1"/>
  <c r="D121" i="2" s="1"/>
  <c r="H119" i="2"/>
  <c r="I119" i="2" s="1"/>
  <c r="D119" i="2" s="1"/>
  <c r="H174" i="1"/>
  <c r="H173" i="1"/>
  <c r="H175" i="1"/>
  <c r="H176" i="1"/>
  <c r="C93" i="23"/>
  <c r="C94" i="23" s="1"/>
  <c r="I37" i="2"/>
  <c r="D37" i="2" s="1"/>
  <c r="H136" i="1"/>
  <c r="H135" i="1"/>
  <c r="H154" i="1"/>
  <c r="H121" i="1"/>
  <c r="H8" i="2"/>
  <c r="I8" i="2" s="1"/>
  <c r="D8" i="2" s="1"/>
  <c r="H18" i="2"/>
  <c r="I18" i="2" s="1"/>
  <c r="D18" i="2" s="1"/>
  <c r="H130" i="1"/>
  <c r="H54" i="2"/>
  <c r="I54" i="2" s="1"/>
  <c r="D54" i="2" s="1"/>
  <c r="G65" i="2"/>
  <c r="H188" i="1" s="1"/>
  <c r="H97" i="2"/>
  <c r="I97" i="2" s="1"/>
  <c r="D97" i="2" s="1"/>
  <c r="H86" i="2"/>
  <c r="I86" i="2" s="1"/>
  <c r="D86" i="2" s="1"/>
  <c r="G34" i="2"/>
  <c r="H131" i="1" s="1"/>
  <c r="G50" i="2"/>
  <c r="H157" i="1" s="1"/>
  <c r="G108" i="2"/>
  <c r="H246" i="1" s="1"/>
  <c r="G99" i="2"/>
  <c r="H236" i="1" s="1"/>
  <c r="G76" i="2"/>
  <c r="H201" i="1" s="1"/>
  <c r="G81" i="2"/>
  <c r="H207" i="1" s="1"/>
  <c r="G32" i="2"/>
  <c r="H128" i="1" s="1"/>
  <c r="G16" i="2"/>
  <c r="H108" i="1" s="1"/>
  <c r="G77" i="2"/>
  <c r="H202" i="1" s="1"/>
  <c r="G4" i="2"/>
  <c r="G31" i="2"/>
  <c r="H123" i="1" s="1"/>
  <c r="G55" i="2"/>
  <c r="H167" i="1" s="1"/>
  <c r="G70" i="2"/>
  <c r="G116" i="2"/>
  <c r="G100" i="2"/>
  <c r="H237" i="1" s="1"/>
  <c r="G68" i="2"/>
  <c r="H192" i="1" s="1"/>
  <c r="G64" i="2"/>
  <c r="H186" i="1" s="1"/>
  <c r="G94" i="2"/>
  <c r="H230" i="1" s="1"/>
  <c r="G43" i="2"/>
  <c r="H141" i="1" s="1"/>
  <c r="G24" i="2"/>
  <c r="H120" i="1" s="1"/>
  <c r="G52" i="2"/>
  <c r="H159" i="1" s="1"/>
  <c r="H57" i="2"/>
  <c r="I57" i="2" s="1"/>
  <c r="D57" i="2" s="1"/>
  <c r="G74" i="2"/>
  <c r="H199" i="1" s="1"/>
  <c r="G107" i="2"/>
  <c r="H245" i="1" s="1"/>
  <c r="G95" i="2"/>
  <c r="H231" i="1" s="1"/>
  <c r="H87" i="2"/>
  <c r="I87" i="2" s="1"/>
  <c r="D87" i="2" s="1"/>
  <c r="G41" i="2"/>
  <c r="H139" i="1" s="1"/>
  <c r="G104" i="2"/>
  <c r="H242" i="1" s="1"/>
  <c r="G101" i="2"/>
  <c r="H238" i="1" s="1"/>
  <c r="G19" i="2"/>
  <c r="H113" i="1" s="1"/>
  <c r="G5" i="2"/>
  <c r="H220" i="1" s="1"/>
  <c r="H105" i="1"/>
  <c r="H144" i="1"/>
  <c r="G12" i="2"/>
  <c r="H101" i="1" s="1"/>
  <c r="G29" i="2"/>
  <c r="H126" i="1" s="1"/>
  <c r="G91" i="2"/>
  <c r="H226" i="1" s="1"/>
  <c r="G51" i="2"/>
  <c r="H111" i="1"/>
  <c r="H155" i="1"/>
  <c r="H6" i="2"/>
  <c r="I6" i="2" s="1"/>
  <c r="D6" i="2" s="1"/>
  <c r="H20" i="2"/>
  <c r="I20" i="2" s="1"/>
  <c r="D20" i="2" s="1"/>
  <c r="G56" i="2"/>
  <c r="H171" i="1" s="1"/>
  <c r="H223" i="1"/>
  <c r="H221" i="1"/>
  <c r="H222" i="1"/>
  <c r="H115" i="1"/>
  <c r="H116" i="1"/>
  <c r="H170" i="1"/>
  <c r="H163" i="1"/>
  <c r="H194" i="1"/>
  <c r="H206" i="1"/>
  <c r="H229" i="1"/>
  <c r="H225" i="1"/>
  <c r="H224" i="1"/>
  <c r="H219" i="1"/>
  <c r="H179" i="1"/>
  <c r="H180" i="1"/>
  <c r="H94" i="1"/>
  <c r="H99" i="1"/>
  <c r="H93" i="1"/>
  <c r="I45" i="2"/>
  <c r="D45" i="2" s="1"/>
  <c r="C70" i="23"/>
  <c r="C71" i="23" s="1"/>
  <c r="H187" i="1"/>
  <c r="H172" i="1"/>
  <c r="H185" i="1"/>
  <c r="H210" i="1"/>
  <c r="H209" i="1"/>
  <c r="H251" i="1"/>
  <c r="H235" i="1"/>
  <c r="H254" i="1"/>
  <c r="H104" i="1"/>
  <c r="G28" i="2"/>
  <c r="H125" i="1" s="1"/>
  <c r="H211" i="1"/>
  <c r="G46" i="2"/>
  <c r="H32" i="2"/>
  <c r="I32" i="2" s="1"/>
  <c r="D32" i="2" s="1"/>
  <c r="H16" i="2"/>
  <c r="I16" i="2" s="1"/>
  <c r="D16" i="2" s="1"/>
  <c r="G35" i="2"/>
  <c r="I47" i="2"/>
  <c r="D47" i="2" s="1"/>
  <c r="H70" i="2"/>
  <c r="I70" i="2" s="1"/>
  <c r="D70" i="2" s="1"/>
  <c r="H60" i="2"/>
  <c r="I60" i="2" s="1"/>
  <c r="D60" i="2" s="1"/>
  <c r="H111" i="2"/>
  <c r="I111" i="2" s="1"/>
  <c r="D111" i="2" s="1"/>
  <c r="H105" i="2"/>
  <c r="I105" i="2" s="1"/>
  <c r="D105" i="2" s="1"/>
  <c r="H232" i="1"/>
  <c r="H182" i="1"/>
  <c r="H13" i="2"/>
  <c r="I13" i="2" s="1"/>
  <c r="D13" i="2" s="1"/>
  <c r="H133" i="1"/>
  <c r="G45" i="2"/>
  <c r="G113" i="2"/>
  <c r="H257" i="1" s="1"/>
  <c r="H90" i="2"/>
  <c r="I90" i="2" s="1"/>
  <c r="D90" i="2" s="1"/>
  <c r="H253" i="1"/>
  <c r="H109" i="1"/>
  <c r="H100" i="1"/>
  <c r="H44" i="2"/>
  <c r="I44" i="2" s="1"/>
  <c r="D44" i="2" s="1"/>
  <c r="H78" i="2"/>
  <c r="I78" i="2" s="1"/>
  <c r="D78" i="2" s="1"/>
  <c r="G98" i="2"/>
  <c r="H234" i="1" s="1"/>
  <c r="H256" i="1"/>
  <c r="H156" i="1"/>
  <c r="H29" i="2"/>
  <c r="I29" i="2" s="1"/>
  <c r="D29" i="2" s="1"/>
  <c r="H95" i="1"/>
  <c r="W42" i="9" a="1"/>
  <c r="W42" i="9" s="1"/>
  <c r="A18" i="21"/>
  <c r="B18" i="21" s="1"/>
  <c r="A21" i="21"/>
  <c r="B21" i="21" s="1"/>
  <c r="A6" i="21"/>
  <c r="B6" i="21" s="1"/>
  <c r="A34" i="21"/>
  <c r="B34" i="21" s="1"/>
  <c r="A12" i="21"/>
  <c r="B12" i="21" s="1"/>
  <c r="A29" i="21"/>
  <c r="B29" i="21" s="1"/>
  <c r="A33" i="21"/>
  <c r="B33" i="21" s="1"/>
  <c r="C8" i="9"/>
  <c r="E3" i="9"/>
  <c r="A11" i="21"/>
  <c r="B11" i="21" s="1"/>
  <c r="A28" i="21"/>
  <c r="B28" i="21" s="1"/>
  <c r="H71" i="9" a="1"/>
  <c r="H71" i="9" s="1"/>
  <c r="H69" i="9" a="1"/>
  <c r="H69" i="9" s="1"/>
  <c r="H59" i="9" a="1"/>
  <c r="H59" i="9" s="1"/>
  <c r="G2" i="21"/>
  <c r="A2" i="21" s="1"/>
  <c r="B2" i="21" s="1"/>
  <c r="A15" i="21"/>
  <c r="B15" i="21" s="1"/>
  <c r="A5" i="21"/>
  <c r="B5" i="21" s="1"/>
  <c r="A25" i="21"/>
  <c r="B25" i="21" s="1"/>
  <c r="A3" i="21"/>
  <c r="B3" i="21" s="1"/>
  <c r="W37" i="9" a="1"/>
  <c r="W37" i="9" s="1"/>
  <c r="A2" i="20"/>
  <c r="A39" i="20"/>
  <c r="D12" i="19" a="1"/>
  <c r="D12" i="19" s="1"/>
  <c r="A22" i="20"/>
  <c r="A40" i="20"/>
  <c r="C11" i="9"/>
  <c r="AF24" i="9"/>
  <c r="B40" i="20" s="1"/>
  <c r="A37" i="20"/>
  <c r="A16" i="20"/>
  <c r="A38" i="20"/>
  <c r="E18" i="9"/>
  <c r="A13" i="21"/>
  <c r="B13" i="21" s="1"/>
  <c r="A26" i="21"/>
  <c r="B26" i="21" s="1"/>
  <c r="A14" i="21"/>
  <c r="B14" i="21" s="1"/>
  <c r="AF28" i="9"/>
  <c r="B30" i="20" s="1"/>
  <c r="A8" i="20"/>
  <c r="A3" i="20"/>
  <c r="AF32" i="9"/>
  <c r="B14" i="20" s="1"/>
  <c r="W9" i="9" a="1"/>
  <c r="W9" i="9" s="1"/>
  <c r="I78" i="9" a="1"/>
  <c r="I78" i="9" s="1"/>
  <c r="B16" i="9"/>
  <c r="D132" i="9"/>
  <c r="T39" i="9" s="1" a="1"/>
  <c r="T39" i="9" s="1"/>
  <c r="G53" i="9" a="1"/>
  <c r="G53" i="9" s="1"/>
  <c r="N134" i="9"/>
  <c r="AD41" i="9" s="1" a="1"/>
  <c r="AD41" i="9" s="1"/>
  <c r="N106" i="9"/>
  <c r="I115" i="9"/>
  <c r="Y22" i="9" s="1" a="1"/>
  <c r="Y22" i="9" s="1"/>
  <c r="D130" i="9"/>
  <c r="T37" i="9" s="1" a="1"/>
  <c r="T37" i="9" s="1"/>
  <c r="Y11" i="9" a="1"/>
  <c r="Y11" i="9" s="1"/>
  <c r="I84" i="9" a="1"/>
  <c r="I84" i="9" s="1"/>
  <c r="H111" i="9"/>
  <c r="X18" i="9" s="1" a="1"/>
  <c r="X18" i="9" s="1"/>
  <c r="H73" i="9" a="1"/>
  <c r="H73" i="9" s="1"/>
  <c r="E122" i="9"/>
  <c r="U29" i="9" s="1" a="1"/>
  <c r="U29" i="9" s="1"/>
  <c r="G133" i="9"/>
  <c r="W40" i="9" s="1" a="1"/>
  <c r="W40" i="9" s="1"/>
  <c r="J57" i="9" a="1"/>
  <c r="J57" i="9" s="1"/>
  <c r="F134" i="9"/>
  <c r="V41" i="9" s="1" a="1"/>
  <c r="V41" i="9" s="1"/>
  <c r="J53" i="9" a="1"/>
  <c r="J53" i="9" s="1"/>
  <c r="L103" i="9"/>
  <c r="AB10" i="9" s="1" a="1"/>
  <c r="AB10" i="9" s="1"/>
  <c r="V23" i="9" a="1"/>
  <c r="V23" i="9" s="1"/>
  <c r="I82" i="9" a="1"/>
  <c r="I82" i="9" s="1"/>
  <c r="N51" i="9" a="1"/>
  <c r="N51" i="9" s="1"/>
  <c r="N58" i="9" a="1"/>
  <c r="N58" i="9" s="1"/>
  <c r="O58" i="9" s="1"/>
  <c r="Q58" i="9" s="1"/>
  <c r="AC22" i="9" a="1"/>
  <c r="AC22" i="9" s="1"/>
  <c r="C124" i="9"/>
  <c r="S31" i="9" s="1" a="1"/>
  <c r="S31" i="9" s="1"/>
  <c r="K124" i="9"/>
  <c r="AA31" i="9" s="1" a="1"/>
  <c r="AA31" i="9" s="1"/>
  <c r="N54" i="9" a="1"/>
  <c r="N54" i="9" s="1"/>
  <c r="Z12" i="9" a="1"/>
  <c r="Z12" i="9" s="1"/>
  <c r="L132" i="9"/>
  <c r="K110" i="9"/>
  <c r="AA17" i="9" s="1" a="1"/>
  <c r="AA17" i="9" s="1"/>
  <c r="I127" i="9"/>
  <c r="Y34" i="9" s="1" a="1"/>
  <c r="Y34" i="9" s="1"/>
  <c r="M103" i="9"/>
  <c r="AC10" i="9" s="1" a="1"/>
  <c r="AC10" i="9" s="1"/>
  <c r="E127" i="9"/>
  <c r="U34" i="9" s="1" a="1"/>
  <c r="U34" i="9" s="1"/>
  <c r="AC24" i="9" a="1"/>
  <c r="AC24" i="9" s="1"/>
  <c r="Z7" i="9" a="1"/>
  <c r="Z7" i="9" s="1"/>
  <c r="N73" i="9" a="1"/>
  <c r="N73" i="9" s="1"/>
  <c r="P107" i="9"/>
  <c r="AF14" i="9" s="1"/>
  <c r="B12" i="20" s="1"/>
  <c r="H70" i="9" a="1"/>
  <c r="H70" i="9" s="1"/>
  <c r="O70" i="9" s="1"/>
  <c r="Q70" i="9" s="1"/>
  <c r="N60" i="9" a="1"/>
  <c r="N60" i="9" s="1"/>
  <c r="K50" i="9" a="1"/>
  <c r="K50" i="9" s="1"/>
  <c r="C111" i="9"/>
  <c r="S18" i="9" s="1" a="1"/>
  <c r="S18" i="9" s="1"/>
  <c r="P113" i="9"/>
  <c r="AF20" i="9" s="1"/>
  <c r="B37" i="20" s="1"/>
  <c r="J55" i="9" a="1"/>
  <c r="J55" i="9" s="1"/>
  <c r="J64" i="9" a="1"/>
  <c r="J64" i="9" s="1"/>
  <c r="AA39" i="9" a="1"/>
  <c r="AA39" i="9" s="1"/>
  <c r="L111" i="9"/>
  <c r="AB18" i="9" s="1" a="1"/>
  <c r="AB18" i="9" s="1"/>
  <c r="AD39" i="9" a="1"/>
  <c r="AD39" i="9" s="1"/>
  <c r="I77" i="9" a="1"/>
  <c r="I77" i="9" s="1"/>
  <c r="F123" i="9"/>
  <c r="V30" i="9" s="1" a="1"/>
  <c r="V30" i="9" s="1"/>
  <c r="M118" i="9"/>
  <c r="AC25" i="9" s="1" a="1"/>
  <c r="AC25" i="9" s="1"/>
  <c r="P128" i="9"/>
  <c r="AF35" i="9" s="1"/>
  <c r="B39" i="20" s="1"/>
  <c r="P99" i="9"/>
  <c r="AF6" i="9" s="1"/>
  <c r="B7" i="20" s="1"/>
  <c r="K125" i="9"/>
  <c r="AA32" i="9" s="1" a="1"/>
  <c r="AA32" i="9" s="1"/>
  <c r="D118" i="9"/>
  <c r="T25" i="9" s="1" a="1"/>
  <c r="T25" i="9" s="1"/>
  <c r="J103" i="9"/>
  <c r="Z10" i="9" s="1" a="1"/>
  <c r="Z10" i="9" s="1"/>
  <c r="H104" i="9"/>
  <c r="X11" i="9" s="1" a="1"/>
  <c r="X11" i="9" s="1"/>
  <c r="P85" i="9"/>
  <c r="K57" i="9" a="1"/>
  <c r="K57" i="9" s="1"/>
  <c r="I85" i="9" a="1"/>
  <c r="I85" i="9" s="1"/>
  <c r="C101" i="9"/>
  <c r="S8" i="9" s="1" a="1"/>
  <c r="S8" i="9" s="1"/>
  <c r="J85" i="9" a="1"/>
  <c r="J85" i="9" s="1"/>
  <c r="N110" i="9"/>
  <c r="AD17" i="9" s="1" a="1"/>
  <c r="AD17" i="9" s="1"/>
  <c r="G67" i="9" a="1"/>
  <c r="G67" i="9" s="1"/>
  <c r="H131" i="9"/>
  <c r="X38" i="9" s="1" a="1"/>
  <c r="X38" i="9" s="1"/>
  <c r="N126" i="9"/>
  <c r="AD33" i="9" s="1" a="1"/>
  <c r="AD33" i="9" s="1"/>
  <c r="G66" i="9" a="1"/>
  <c r="G66" i="9" s="1"/>
  <c r="L78" i="9" a="1"/>
  <c r="L78" i="9" s="1"/>
  <c r="M129" i="9"/>
  <c r="AC36" i="9" s="1" a="1"/>
  <c r="AC36" i="9" s="1"/>
  <c r="D119" i="9"/>
  <c r="T26" i="9" s="1" a="1"/>
  <c r="T26" i="9" s="1"/>
  <c r="H75" i="9" a="1"/>
  <c r="H75" i="9" s="1"/>
  <c r="F131" i="9"/>
  <c r="V38" i="9" s="1" a="1"/>
  <c r="V38" i="9" s="1"/>
  <c r="N99" i="9"/>
  <c r="AD6" i="9" s="1" a="1"/>
  <c r="AD6" i="9" s="1"/>
  <c r="N50" i="9" a="1"/>
  <c r="N50" i="9" s="1"/>
  <c r="J111" i="9"/>
  <c r="Z18" i="9" s="1" a="1"/>
  <c r="Z18" i="9" s="1"/>
  <c r="N105" i="9"/>
  <c r="AD12" i="9" s="1" a="1"/>
  <c r="AD12" i="9" s="1"/>
  <c r="E121" i="9"/>
  <c r="I52" i="9" a="1"/>
  <c r="I52" i="9" s="1"/>
  <c r="M121" i="9"/>
  <c r="AC28" i="9" s="1" a="1"/>
  <c r="AC28" i="9" s="1"/>
  <c r="C134" i="9"/>
  <c r="S41" i="9" s="1" a="1"/>
  <c r="S41" i="9" s="1"/>
  <c r="N82" i="9" a="1"/>
  <c r="N82" i="9" s="1"/>
  <c r="D109" i="9"/>
  <c r="T16" i="9" s="1" a="1"/>
  <c r="T16" i="9" s="1"/>
  <c r="F119" i="9"/>
  <c r="V26" i="9" s="1" a="1"/>
  <c r="V26" i="9" s="1"/>
  <c r="K54" i="9" a="1"/>
  <c r="K54" i="9" s="1"/>
  <c r="F128" i="9"/>
  <c r="V35" i="9" s="1" a="1"/>
  <c r="V35" i="9" s="1"/>
  <c r="P133" i="9"/>
  <c r="AF40" i="9" s="1"/>
  <c r="B25" i="20" s="1"/>
  <c r="L76" i="9" a="1"/>
  <c r="L76" i="9" s="1"/>
  <c r="N62" i="9" a="1"/>
  <c r="N62" i="9" s="1"/>
  <c r="M72" i="9" a="1"/>
  <c r="M72" i="9" s="1"/>
  <c r="L129" i="9"/>
  <c r="L50" i="9" a="1"/>
  <c r="L50" i="9" s="1"/>
  <c r="L75" i="9" a="1"/>
  <c r="L75" i="9" s="1"/>
  <c r="G83" i="9" a="1"/>
  <c r="G83" i="9" s="1"/>
  <c r="M77" i="9" a="1"/>
  <c r="M77" i="9" s="1"/>
  <c r="P120" i="9"/>
  <c r="AF27" i="9" s="1"/>
  <c r="B19" i="20" s="1"/>
  <c r="G121" i="9"/>
  <c r="I80" i="9" a="1"/>
  <c r="I80" i="9" s="1"/>
  <c r="J110" i="9"/>
  <c r="Z17" i="9" s="1" a="1"/>
  <c r="Z17" i="9" s="1"/>
  <c r="I55" i="9" a="1"/>
  <c r="I55" i="9" s="1"/>
  <c r="K71" i="9" a="1"/>
  <c r="K71" i="9" s="1"/>
  <c r="L126" i="9"/>
  <c r="J51" i="9" a="1"/>
  <c r="J51" i="9" s="1"/>
  <c r="K123" i="9"/>
  <c r="AA30" i="9" s="1" a="1"/>
  <c r="AA30" i="9" s="1"/>
  <c r="L114" i="9"/>
  <c r="AB21" i="9" s="1" a="1"/>
  <c r="AB21" i="9" s="1"/>
  <c r="E125" i="9"/>
  <c r="U32" i="9" s="1" a="1"/>
  <c r="U32" i="9" s="1"/>
  <c r="C120" i="9"/>
  <c r="S27" i="9" s="1" a="1"/>
  <c r="S27" i="9" s="1"/>
  <c r="M81" i="9" a="1"/>
  <c r="M81" i="9" s="1"/>
  <c r="B17" i="9"/>
  <c r="C132" i="9"/>
  <c r="S39" i="9" s="1" a="1"/>
  <c r="S39" i="9" s="1"/>
  <c r="J121" i="9"/>
  <c r="Z28" i="9" s="1" a="1"/>
  <c r="Z28" i="9" s="1"/>
  <c r="L60" i="9" a="1"/>
  <c r="L60" i="9" s="1"/>
  <c r="K72" i="9" a="1"/>
  <c r="K72" i="9" s="1"/>
  <c r="E117" i="9"/>
  <c r="U24" i="9" s="1" a="1"/>
  <c r="U24" i="9" s="1"/>
  <c r="L104" i="9"/>
  <c r="AB11" i="9" s="1" a="1"/>
  <c r="AB11" i="9" s="1"/>
  <c r="L81" i="9" a="1"/>
  <c r="L81" i="9" s="1"/>
  <c r="L65" i="9" a="1"/>
  <c r="L65" i="9" s="1"/>
  <c r="D128" i="9"/>
  <c r="T35" i="9" s="1" a="1"/>
  <c r="T35" i="9" s="1"/>
  <c r="L127" i="9"/>
  <c r="AB34" i="9" s="1" a="1"/>
  <c r="AB34" i="9" s="1"/>
  <c r="H112" i="9"/>
  <c r="H102" i="9"/>
  <c r="H110" i="9"/>
  <c r="X17" i="9" s="1" a="1"/>
  <c r="X17" i="9" s="1"/>
  <c r="J122" i="9"/>
  <c r="Z29" i="9" s="1" a="1"/>
  <c r="Z29" i="9" s="1"/>
  <c r="P123" i="9"/>
  <c r="AF30" i="9" s="1"/>
  <c r="B16" i="20" s="1"/>
  <c r="H65" i="9" a="1"/>
  <c r="H65" i="9" s="1"/>
  <c r="J76" i="9" a="1"/>
  <c r="J76" i="9" s="1"/>
  <c r="G114" i="9"/>
  <c r="L82" i="9" a="1"/>
  <c r="L82" i="9" s="1"/>
  <c r="E119" i="9"/>
  <c r="M65" i="9" a="1"/>
  <c r="M65" i="9" s="1"/>
  <c r="H51" i="9" a="1"/>
  <c r="H51" i="9" s="1"/>
  <c r="P124" i="9"/>
  <c r="AF31" i="9" s="1"/>
  <c r="B36" i="20" s="1"/>
  <c r="U28" i="9" a="1"/>
  <c r="U28" i="9" s="1"/>
  <c r="P78" i="9"/>
  <c r="W6" i="9" a="1"/>
  <c r="W6" i="9" s="1"/>
  <c r="Z39" i="9" a="1"/>
  <c r="Z39" i="9" s="1"/>
  <c r="W22" i="9" a="1"/>
  <c r="W22" i="9" s="1"/>
  <c r="L123" i="9"/>
  <c r="J61" i="9" a="1"/>
  <c r="J61" i="9" s="1"/>
  <c r="E124" i="9"/>
  <c r="U31" i="9" s="1" a="1"/>
  <c r="U31" i="9" s="1"/>
  <c r="J102" i="9"/>
  <c r="Z9" i="9" s="1" a="1"/>
  <c r="Z9" i="9" s="1"/>
  <c r="L112" i="9"/>
  <c r="AB19" i="9" s="1" a="1"/>
  <c r="AB19" i="9" s="1"/>
  <c r="F105" i="9"/>
  <c r="V12" i="9" s="1" a="1"/>
  <c r="V12" i="9" s="1"/>
  <c r="C133" i="9"/>
  <c r="S40" i="9" s="1" a="1"/>
  <c r="S40" i="9" s="1"/>
  <c r="N123" i="9"/>
  <c r="AD30" i="9" s="1" a="1"/>
  <c r="AD30" i="9" s="1"/>
  <c r="B9" i="9"/>
  <c r="C9" i="9" s="1"/>
  <c r="J116" i="9"/>
  <c r="Z23" i="9" s="1" a="1"/>
  <c r="Z23" i="9" s="1"/>
  <c r="P101" i="9"/>
  <c r="AF8" i="9" s="1"/>
  <c r="B22" i="20" s="1"/>
  <c r="M78" i="9" a="1"/>
  <c r="M78" i="9" s="1"/>
  <c r="J104" i="9"/>
  <c r="Z11" i="9" s="1" a="1"/>
  <c r="Z11" i="9" s="1"/>
  <c r="J135" i="9"/>
  <c r="O135" i="9" s="1"/>
  <c r="P86" i="9"/>
  <c r="J66" i="9" a="1"/>
  <c r="J66" i="9" s="1"/>
  <c r="C108" i="9"/>
  <c r="S15" i="9" s="1" a="1"/>
  <c r="S15" i="9" s="1"/>
  <c r="H83" i="9" a="1"/>
  <c r="H83" i="9" s="1"/>
  <c r="H52" i="9" a="1"/>
  <c r="H52" i="9" s="1"/>
  <c r="B6" i="9"/>
  <c r="J60" i="9" a="1"/>
  <c r="J60" i="9" s="1"/>
  <c r="G104" i="9"/>
  <c r="W11" i="9" s="1" a="1"/>
  <c r="W11" i="9" s="1"/>
  <c r="C103" i="9"/>
  <c r="S10" i="9" s="1" a="1"/>
  <c r="S10" i="9" s="1"/>
  <c r="G120" i="9"/>
  <c r="W27" i="9" s="1" a="1"/>
  <c r="W27" i="9" s="1"/>
  <c r="I101" i="9"/>
  <c r="Y8" i="9" s="1" a="1"/>
  <c r="Y8" i="9" s="1"/>
  <c r="N127" i="9"/>
  <c r="D108" i="9"/>
  <c r="T15" i="9" s="1" a="1"/>
  <c r="T15" i="9" s="1"/>
  <c r="I54" i="9" a="1"/>
  <c r="I54" i="9" s="1"/>
  <c r="I112" i="9"/>
  <c r="Y19" i="9" s="1" a="1"/>
  <c r="Y19" i="9" s="1"/>
  <c r="J50" i="9" a="1"/>
  <c r="J50" i="9" s="1"/>
  <c r="H55" i="9" a="1"/>
  <c r="H55" i="9" s="1"/>
  <c r="B4" i="9"/>
  <c r="M59" i="9" a="1"/>
  <c r="M59" i="9" s="1"/>
  <c r="K79" i="9" a="1"/>
  <c r="K79" i="9" s="1"/>
  <c r="G79" i="9" a="1"/>
  <c r="G79" i="9" s="1"/>
  <c r="E100" i="9"/>
  <c r="U7" i="9" s="1" a="1"/>
  <c r="U7" i="9" s="1"/>
  <c r="C114" i="9"/>
  <c r="S21" i="9" s="1" a="1"/>
  <c r="S21" i="9" s="1"/>
  <c r="AB33" i="9" a="1"/>
  <c r="AB33" i="9" s="1"/>
  <c r="G131" i="9"/>
  <c r="L134" i="9"/>
  <c r="AB41" i="9" s="1" a="1"/>
  <c r="AB41" i="9" s="1"/>
  <c r="K130" i="9"/>
  <c r="AA37" i="9" s="1" a="1"/>
  <c r="AA37" i="9" s="1"/>
  <c r="F110" i="9"/>
  <c r="V17" i="9" s="1" a="1"/>
  <c r="V17" i="9" s="1"/>
  <c r="E103" i="9"/>
  <c r="U10" i="9" s="1" a="1"/>
  <c r="U10" i="9" s="1"/>
  <c r="H127" i="9"/>
  <c r="X34" i="9" s="1" a="1"/>
  <c r="X34" i="9" s="1"/>
  <c r="I117" i="9"/>
  <c r="Y24" i="9" s="1" a="1"/>
  <c r="Y24" i="9" s="1"/>
  <c r="M71" i="9" a="1"/>
  <c r="M71" i="9" s="1"/>
  <c r="M112" i="9"/>
  <c r="AC19" i="9" s="1" a="1"/>
  <c r="AC19" i="9" s="1"/>
  <c r="P115" i="9"/>
  <c r="AF22" i="9" s="1"/>
  <c r="B5" i="20" s="1"/>
  <c r="N84" i="9" a="1"/>
  <c r="N84" i="9" s="1"/>
  <c r="P102" i="9"/>
  <c r="AF9" i="9" s="1"/>
  <c r="B33" i="20" s="1"/>
  <c r="J68" i="9" a="1"/>
  <c r="J68" i="9" s="1"/>
  <c r="G73" i="9" a="1"/>
  <c r="G73" i="9" s="1"/>
  <c r="M108" i="9"/>
  <c r="AC15" i="9" s="1" a="1"/>
  <c r="AC15" i="9" s="1"/>
  <c r="K113" i="9"/>
  <c r="AA20" i="9" s="1" a="1"/>
  <c r="AA20" i="9" s="1"/>
  <c r="AE20" i="9" s="1"/>
  <c r="G71" i="9" a="1"/>
  <c r="G71" i="9" s="1"/>
  <c r="K121" i="9"/>
  <c r="AA28" i="9" s="1" a="1"/>
  <c r="AA28" i="9" s="1"/>
  <c r="L53" i="9" a="1"/>
  <c r="L53" i="9" s="1"/>
  <c r="P108" i="9"/>
  <c r="AF15" i="9" s="1"/>
  <c r="B4" i="20" s="1"/>
  <c r="H77" i="9" a="1"/>
  <c r="H77" i="9" s="1"/>
  <c r="C126" i="9"/>
  <c r="S33" i="9" s="1" a="1"/>
  <c r="S33" i="9" s="1"/>
  <c r="H123" i="9"/>
  <c r="X30" i="9" s="1" a="1"/>
  <c r="X30" i="9" s="1"/>
  <c r="J115" i="9"/>
  <c r="Z22" i="9" s="1" a="1"/>
  <c r="Z22" i="9" s="1"/>
  <c r="M102" i="9"/>
  <c r="AC9" i="9" s="1" a="1"/>
  <c r="AC9" i="9" s="1"/>
  <c r="J127" i="9"/>
  <c r="Z34" i="9" s="1" a="1"/>
  <c r="Z34" i="9" s="1"/>
  <c r="E116" i="9"/>
  <c r="U23" i="9" s="1" a="1"/>
  <c r="U23" i="9" s="1"/>
  <c r="G101" i="9"/>
  <c r="W8" i="9" s="1" a="1"/>
  <c r="W8" i="9" s="1"/>
  <c r="U26" i="9" a="1"/>
  <c r="U26" i="9" s="1"/>
  <c r="N119" i="9"/>
  <c r="AD26" i="9" s="1" a="1"/>
  <c r="AD26" i="9" s="1"/>
  <c r="I125" i="9"/>
  <c r="Y32" i="9" s="1" a="1"/>
  <c r="Y32" i="9" s="1"/>
  <c r="P110" i="9"/>
  <c r="AF17" i="9" s="1"/>
  <c r="B31" i="20" s="1"/>
  <c r="K108" i="9"/>
  <c r="AA15" i="9" s="1" a="1"/>
  <c r="AA15" i="9" s="1"/>
  <c r="L121" i="9"/>
  <c r="AB28" i="9" s="1" a="1"/>
  <c r="AB28" i="9" s="1"/>
  <c r="I69" i="9" a="1"/>
  <c r="I69" i="9" s="1"/>
  <c r="N71" i="9" a="1"/>
  <c r="N71" i="9" s="1"/>
  <c r="K60" i="9" a="1"/>
  <c r="K60" i="9" s="1"/>
  <c r="AB30" i="9" a="1"/>
  <c r="AB30" i="9" s="1"/>
  <c r="N59" i="9" a="1"/>
  <c r="N59" i="9" s="1"/>
  <c r="I100" i="9"/>
  <c r="G65" i="9" a="1"/>
  <c r="G65" i="9" s="1"/>
  <c r="J52" i="9" a="1"/>
  <c r="J52" i="9" s="1"/>
  <c r="K118" i="9"/>
  <c r="AA25" i="9" s="1" a="1"/>
  <c r="AA25" i="9" s="1"/>
  <c r="M128" i="9"/>
  <c r="AC35" i="9" s="1" a="1"/>
  <c r="AC35" i="9" s="1"/>
  <c r="AE35" i="9" s="1"/>
  <c r="E105" i="9"/>
  <c r="U12" i="9" s="1" a="1"/>
  <c r="U12" i="9" s="1"/>
  <c r="K103" i="9"/>
  <c r="AA10" i="9" s="1" a="1"/>
  <c r="AA10" i="9" s="1"/>
  <c r="H108" i="9"/>
  <c r="X15" i="9" s="1" a="1"/>
  <c r="X15" i="9" s="1"/>
  <c r="N74" i="9" a="1"/>
  <c r="N74" i="9" s="1"/>
  <c r="F135" i="9"/>
  <c r="V42" i="9" s="1" a="1"/>
  <c r="V42" i="9" s="1"/>
  <c r="B49" i="9"/>
  <c r="H49" i="9" s="1" a="1"/>
  <c r="H49" i="9" s="1"/>
  <c r="L73" i="9" a="1"/>
  <c r="L73" i="9" s="1"/>
  <c r="C115" i="9"/>
  <c r="S22" i="9" s="1" a="1"/>
  <c r="S22" i="9" s="1"/>
  <c r="D134" i="9"/>
  <c r="T41" i="9" s="1" a="1"/>
  <c r="T41" i="9" s="1"/>
  <c r="N108" i="9"/>
  <c r="AD15" i="9" s="1" a="1"/>
  <c r="AD15" i="9" s="1"/>
  <c r="I105" i="9"/>
  <c r="Y12" i="9" s="1" a="1"/>
  <c r="Y12" i="9" s="1"/>
  <c r="P81" i="9"/>
  <c r="P75" i="9"/>
  <c r="D107" i="9"/>
  <c r="T14" i="9" s="1" a="1"/>
  <c r="T14" i="9" s="1"/>
  <c r="F109" i="9"/>
  <c r="V16" i="9" s="1" a="1"/>
  <c r="V16" i="9" s="1"/>
  <c r="H124" i="9"/>
  <c r="K77" i="9" a="1"/>
  <c r="K77" i="9" s="1"/>
  <c r="I65" i="9" a="1"/>
  <c r="I65" i="9" s="1"/>
  <c r="E109" i="9"/>
  <c r="U16" i="9" s="1" a="1"/>
  <c r="U16" i="9" s="1"/>
  <c r="H125" i="9"/>
  <c r="X32" i="9" s="1" a="1"/>
  <c r="X32" i="9" s="1"/>
  <c r="C99" i="9"/>
  <c r="S6" i="9" s="1" a="1"/>
  <c r="S6" i="9" s="1"/>
  <c r="D99" i="9"/>
  <c r="T6" i="9" s="1" a="1"/>
  <c r="T6" i="9" s="1"/>
  <c r="L119" i="9"/>
  <c r="AB26" i="9" s="1" a="1"/>
  <c r="AB26" i="9" s="1"/>
  <c r="L71" i="9" a="1"/>
  <c r="L71" i="9" s="1"/>
  <c r="K126" i="9"/>
  <c r="AA33" i="9" s="1" a="1"/>
  <c r="AA33" i="9" s="1"/>
  <c r="H134" i="9"/>
  <c r="D106" i="9"/>
  <c r="T13" i="9" s="1" a="1"/>
  <c r="T13" i="9" s="1"/>
  <c r="D101" i="9"/>
  <c r="T8" i="9" s="1" a="1"/>
  <c r="T8" i="9" s="1"/>
  <c r="J101" i="9"/>
  <c r="Z8" i="9" s="1" a="1"/>
  <c r="Z8" i="9" s="1"/>
  <c r="L100" i="9"/>
  <c r="AB7" i="9" s="1" a="1"/>
  <c r="AB7" i="9" s="1"/>
  <c r="I75" i="9" a="1"/>
  <c r="I75" i="9" s="1"/>
  <c r="G64" i="9" a="1"/>
  <c r="G64" i="9" s="1"/>
  <c r="P79" i="9"/>
  <c r="M116" i="9"/>
  <c r="AC23" i="9" s="1" a="1"/>
  <c r="AC23" i="9" s="1"/>
  <c r="F113" i="9"/>
  <c r="V20" i="9" s="1" a="1"/>
  <c r="V20" i="9" s="1"/>
  <c r="G52" i="9" a="1"/>
  <c r="G52" i="9" s="1"/>
  <c r="P105" i="9"/>
  <c r="AF12" i="9" s="1"/>
  <c r="B23" i="20" s="1"/>
  <c r="W23" i="9" a="1"/>
  <c r="W23" i="9" s="1"/>
  <c r="P84" i="9"/>
  <c r="N115" i="9"/>
  <c r="L84" i="9" a="1"/>
  <c r="L84" i="9" s="1"/>
  <c r="AC27" i="9" a="1"/>
  <c r="AC27" i="9" s="1"/>
  <c r="N117" i="9"/>
  <c r="AD24" i="9" s="1" a="1"/>
  <c r="AD24" i="9" s="1"/>
  <c r="K104" i="9"/>
  <c r="AA11" i="9" s="1" a="1"/>
  <c r="AA11" i="9" s="1"/>
  <c r="N61" i="9" a="1"/>
  <c r="N61" i="9" s="1"/>
  <c r="B10" i="9"/>
  <c r="I102" i="9"/>
  <c r="Y9" i="9" s="1" a="1"/>
  <c r="Y9" i="9" s="1"/>
  <c r="P62" i="9"/>
  <c r="G123" i="9"/>
  <c r="W30" i="9" s="1" a="1"/>
  <c r="W30" i="9" s="1"/>
  <c r="X28" i="9" a="1"/>
  <c r="X28" i="9" s="1"/>
  <c r="L99" i="9"/>
  <c r="AB6" i="9" s="1" a="1"/>
  <c r="AB6" i="9" s="1"/>
  <c r="H119" i="9"/>
  <c r="J67" i="9" a="1"/>
  <c r="J67" i="9" s="1"/>
  <c r="J80" i="9" a="1"/>
  <c r="J80" i="9" s="1"/>
  <c r="N68" i="9" a="1"/>
  <c r="N68" i="9" s="1"/>
  <c r="W18" i="9" a="1"/>
  <c r="W18" i="9" s="1"/>
  <c r="K84" i="9" a="1"/>
  <c r="K84" i="9" s="1"/>
  <c r="D105" i="9"/>
  <c r="T12" i="9" s="1" a="1"/>
  <c r="T12" i="9" s="1"/>
  <c r="H130" i="9"/>
  <c r="X37" i="9" s="1" a="1"/>
  <c r="X37" i="9" s="1"/>
  <c r="K102" i="9"/>
  <c r="AA9" i="9" s="1" a="1"/>
  <c r="AA9" i="9" s="1"/>
  <c r="G122" i="9"/>
  <c r="W29" i="9" s="1" a="1"/>
  <c r="W29" i="9" s="1"/>
  <c r="K100" i="9"/>
  <c r="AA7" i="9" s="1" a="1"/>
  <c r="AA7" i="9" s="1"/>
  <c r="N107" i="9"/>
  <c r="AD14" i="9" s="1" a="1"/>
  <c r="AD14" i="9" s="1"/>
  <c r="AE14" i="9" s="1"/>
  <c r="F118" i="9"/>
  <c r="V25" i="9" s="1" a="1"/>
  <c r="V25" i="9" s="1"/>
  <c r="T10" i="9" a="1"/>
  <c r="T10" i="9" s="1"/>
  <c r="E101" i="9"/>
  <c r="U8" i="9" s="1" a="1"/>
  <c r="U8" i="9" s="1"/>
  <c r="H126" i="9"/>
  <c r="X33" i="9" s="1" a="1"/>
  <c r="X33" i="9" s="1"/>
  <c r="F111" i="9"/>
  <c r="V18" i="9" s="1" a="1"/>
  <c r="V18" i="9" s="1"/>
  <c r="L122" i="9"/>
  <c r="AB29" i="9" s="1" a="1"/>
  <c r="AB29" i="9" s="1"/>
  <c r="K61" i="9" a="1"/>
  <c r="K61" i="9" s="1"/>
  <c r="I134" i="9"/>
  <c r="Y41" i="9" s="1" a="1"/>
  <c r="Y41" i="9" s="1"/>
  <c r="D104" i="9"/>
  <c r="T11" i="9" s="1" a="1"/>
  <c r="T11" i="9" s="1"/>
  <c r="F114" i="9"/>
  <c r="V21" i="9" s="1" a="1"/>
  <c r="V21" i="9" s="1"/>
  <c r="Y21" i="9" a="1"/>
  <c r="Y21" i="9" s="1"/>
  <c r="B12" i="9"/>
  <c r="H76" i="9" a="1"/>
  <c r="H76" i="9" s="1"/>
  <c r="X13" i="9" a="1"/>
  <c r="X13" i="9" s="1"/>
  <c r="X27" i="9" a="1"/>
  <c r="X27" i="9" s="1"/>
  <c r="E15" i="9"/>
  <c r="O129" i="9"/>
  <c r="Q129" i="9" s="1"/>
  <c r="C14" i="9"/>
  <c r="L74" i="9" a="1"/>
  <c r="L74" i="9" s="1"/>
  <c r="I116" i="9"/>
  <c r="Y23" i="9" s="1" a="1"/>
  <c r="Y23" i="9" s="1"/>
  <c r="P55" i="9"/>
  <c r="Y30" i="9" a="1"/>
  <c r="Y30" i="9" s="1"/>
  <c r="F99" i="9"/>
  <c r="V6" i="9" s="1" a="1"/>
  <c r="V6" i="9" s="1"/>
  <c r="K105" i="9"/>
  <c r="AA12" i="9" s="1" a="1"/>
  <c r="AA12" i="9" s="1"/>
  <c r="C100" i="9"/>
  <c r="S7" i="9" s="1" a="1"/>
  <c r="S7" i="9" s="1"/>
  <c r="P109" i="9"/>
  <c r="AF16" i="9" s="1"/>
  <c r="B13" i="20" s="1"/>
  <c r="B5" i="9"/>
  <c r="I118" i="9"/>
  <c r="I109" i="9"/>
  <c r="Y16" i="9" s="1" a="1"/>
  <c r="Y16" i="9" s="1"/>
  <c r="V39" i="9" a="1"/>
  <c r="V39" i="9" s="1"/>
  <c r="L68" i="9" a="1"/>
  <c r="L68" i="9" s="1"/>
  <c r="P126" i="9"/>
  <c r="AF33" i="9" s="1"/>
  <c r="B24" i="20" s="1"/>
  <c r="L67" i="9" a="1"/>
  <c r="L67" i="9" s="1"/>
  <c r="L118" i="9"/>
  <c r="AB25" i="9" s="1" a="1"/>
  <c r="AB25" i="9" s="1"/>
  <c r="P119" i="9"/>
  <c r="AF26" i="9" s="1"/>
  <c r="B32" i="20" s="1"/>
  <c r="M123" i="9"/>
  <c r="AC30" i="9" s="1" a="1"/>
  <c r="AC30" i="9" s="1"/>
  <c r="M84" i="9" a="1"/>
  <c r="M84" i="9" s="1"/>
  <c r="I60" i="9" a="1"/>
  <c r="I60" i="9" s="1"/>
  <c r="M130" i="9"/>
  <c r="AC37" i="9" s="1" a="1"/>
  <c r="AC37" i="9" s="1"/>
  <c r="K64" i="9" a="1"/>
  <c r="K64" i="9" s="1"/>
  <c r="I124" i="9"/>
  <c r="Y31" i="9" s="1" a="1"/>
  <c r="Y31" i="9" s="1"/>
  <c r="L110" i="9"/>
  <c r="AB17" i="9" s="1" a="1"/>
  <c r="AB17" i="9" s="1"/>
  <c r="K109" i="9"/>
  <c r="AA16" i="9" s="1" a="1"/>
  <c r="AA16" i="9" s="1"/>
  <c r="E108" i="9"/>
  <c r="U15" i="9" s="1" a="1"/>
  <c r="U15" i="9" s="1"/>
  <c r="J59" i="9" a="1"/>
  <c r="J59" i="9" s="1"/>
  <c r="C131" i="9"/>
  <c r="S38" i="9" s="1" a="1"/>
  <c r="S38" i="9" s="1"/>
  <c r="J114" i="9"/>
  <c r="Z21" i="9" s="1" a="1"/>
  <c r="Z21" i="9" s="1"/>
  <c r="Z19" i="9" a="1"/>
  <c r="Z19" i="9" s="1"/>
  <c r="D122" i="9"/>
  <c r="T29" i="9" s="1" a="1"/>
  <c r="T29" i="9" s="1"/>
  <c r="M55" i="9" a="1"/>
  <c r="M55" i="9" s="1"/>
  <c r="L130" i="9"/>
  <c r="AB37" i="9" s="1" a="1"/>
  <c r="AB37" i="9" s="1"/>
  <c r="P57" i="9"/>
  <c r="G109" i="9"/>
  <c r="W16" i="9" s="1" a="1"/>
  <c r="W16" i="9" s="1"/>
  <c r="L109" i="9"/>
  <c r="AB16" i="9" s="1" a="1"/>
  <c r="AB16" i="9" s="1"/>
  <c r="M61" i="9" a="1"/>
  <c r="M61" i="9" s="1"/>
  <c r="Y15" i="9" a="1"/>
  <c r="Y15" i="9" s="1"/>
  <c r="K122" i="9"/>
  <c r="AA29" i="9" s="1" a="1"/>
  <c r="AA29" i="9" s="1"/>
  <c r="G56" i="9" a="1"/>
  <c r="G56" i="9" s="1"/>
  <c r="O56" i="9" s="1"/>
  <c r="Q56" i="9" s="1"/>
  <c r="I119" i="9"/>
  <c r="Y26" i="9" s="1" a="1"/>
  <c r="Y26" i="9" s="1"/>
  <c r="E126" i="9"/>
  <c r="U33" i="9" s="1" a="1"/>
  <c r="U33" i="9" s="1"/>
  <c r="AA8" i="9" a="1"/>
  <c r="AA8" i="9" s="1"/>
  <c r="N101" i="9"/>
  <c r="AD8" i="9" s="1" a="1"/>
  <c r="AD8" i="9" s="1"/>
  <c r="H50" i="9" a="1"/>
  <c r="H50" i="9" s="1"/>
  <c r="G55" i="9" a="1"/>
  <c r="G55" i="9" s="1"/>
  <c r="O88" i="9"/>
  <c r="Q88" i="9" s="1"/>
  <c r="X25" i="9" a="1"/>
  <c r="X25" i="9" s="1"/>
  <c r="H86" i="9" a="1"/>
  <c r="H86" i="9" s="1"/>
  <c r="O86" i="9" s="1"/>
  <c r="J345" i="1" a="1"/>
  <c r="J345" i="1" s="1"/>
  <c r="H80" i="9" a="1"/>
  <c r="H80" i="9" s="1"/>
  <c r="G59" i="9" a="1"/>
  <c r="G59" i="9" s="1"/>
  <c r="G82" i="9" a="1"/>
  <c r="G82" i="9" s="1"/>
  <c r="A36" i="20"/>
  <c r="O103" i="9"/>
  <c r="Q103" i="9" s="1"/>
  <c r="O128" i="9"/>
  <c r="Q128" i="9" s="1"/>
  <c r="A12" i="20"/>
  <c r="G81" i="9" a="1"/>
  <c r="G81" i="9" s="1"/>
  <c r="G69" i="9" a="1"/>
  <c r="G69" i="9" s="1"/>
  <c r="A17" i="20"/>
  <c r="X41" i="9" a="1"/>
  <c r="X41" i="9" s="1"/>
  <c r="D10" i="19" a="1"/>
  <c r="D10" i="19" s="1"/>
  <c r="D8" i="19" a="1"/>
  <c r="D8" i="19" s="1"/>
  <c r="W25" i="9" a="1"/>
  <c r="W25" i="9" s="1"/>
  <c r="A29" i="20"/>
  <c r="O120" i="9"/>
  <c r="Q120" i="9" s="1"/>
  <c r="E9" i="9"/>
  <c r="X42" i="9" a="1"/>
  <c r="X42" i="9" s="1"/>
  <c r="N78" i="9" a="1"/>
  <c r="N78" i="9" s="1"/>
  <c r="L59" i="9" a="1"/>
  <c r="L59" i="9" s="1"/>
  <c r="X22" i="9" a="1"/>
  <c r="X22" i="9" s="1"/>
  <c r="H66" i="9" a="1"/>
  <c r="H66" i="9" s="1"/>
  <c r="W41" i="9" a="1"/>
  <c r="W41" i="9" s="1"/>
  <c r="G85" i="9" a="1"/>
  <c r="G85" i="9" s="1"/>
  <c r="N66" i="9" a="1"/>
  <c r="N66" i="9" s="1"/>
  <c r="AD36" i="9" a="1"/>
  <c r="AD36" i="9" s="1"/>
  <c r="N80" i="9" a="1"/>
  <c r="N80" i="9" s="1"/>
  <c r="W7" i="9" a="1"/>
  <c r="W7" i="9" s="1"/>
  <c r="G51" i="9" a="1"/>
  <c r="G51" i="9" s="1"/>
  <c r="J82" i="9" a="1"/>
  <c r="J82" i="9" s="1"/>
  <c r="Z38" i="9" a="1"/>
  <c r="Z38" i="9" s="1"/>
  <c r="H82" i="9" a="1"/>
  <c r="H82" i="9" s="1"/>
  <c r="X40" i="9" a="1"/>
  <c r="X40" i="9" s="1"/>
  <c r="H84" i="9" a="1"/>
  <c r="H84" i="9" s="1"/>
  <c r="X36" i="9" a="1"/>
  <c r="X36" i="9" s="1"/>
  <c r="O89" i="9"/>
  <c r="Q89" i="9" s="1"/>
  <c r="AB36" i="9" a="1"/>
  <c r="AB36" i="9" s="1"/>
  <c r="O87" i="9"/>
  <c r="Q87" i="9" s="1"/>
  <c r="K345" i="1"/>
  <c r="H57" i="9" a="1"/>
  <c r="H57" i="9" s="1"/>
  <c r="W15" i="9" a="1"/>
  <c r="W15" i="9" s="1"/>
  <c r="L80" i="9" a="1"/>
  <c r="L80" i="9" s="1"/>
  <c r="X6" i="9" a="1"/>
  <c r="X6" i="9" s="1"/>
  <c r="AB15" i="9" a="1"/>
  <c r="AB15" i="9" s="1"/>
  <c r="H85" i="9" a="1"/>
  <c r="H85" i="9" s="1"/>
  <c r="O62" i="9"/>
  <c r="O63" i="9"/>
  <c r="Q63" i="9" s="1"/>
  <c r="C12" i="19" a="1"/>
  <c r="C12" i="19" s="1"/>
  <c r="G49" i="9" a="1"/>
  <c r="G49" i="9" s="1"/>
  <c r="F98" i="9"/>
  <c r="V5" i="9" s="1" a="1"/>
  <c r="V5" i="9" s="1"/>
  <c r="K49" i="9" a="1"/>
  <c r="K49" i="9" s="1"/>
  <c r="M49" i="9" a="1"/>
  <c r="M49" i="9" s="1"/>
  <c r="P98" i="9"/>
  <c r="AF5" i="9" s="1"/>
  <c r="O104" i="9"/>
  <c r="Q104" i="9" s="1"/>
  <c r="E49" i="9" a="1"/>
  <c r="E49" i="9" s="1"/>
  <c r="I49" i="9" a="1"/>
  <c r="I49" i="9" s="1"/>
  <c r="J49" i="9" a="1"/>
  <c r="J49" i="9" s="1"/>
  <c r="O133" i="9"/>
  <c r="W24" i="9" a="1"/>
  <c r="W24" i="9" s="1"/>
  <c r="C98" i="9"/>
  <c r="S5" i="9" s="1" a="1"/>
  <c r="S5" i="9" s="1"/>
  <c r="W38" i="9" a="1"/>
  <c r="W38" i="9" s="1"/>
  <c r="AD34" i="9" a="1"/>
  <c r="AD34" i="9" s="1"/>
  <c r="A21" i="20"/>
  <c r="K6" i="6"/>
  <c r="C4" i="8" s="1"/>
  <c r="I97" i="6"/>
  <c r="G97" i="6"/>
  <c r="E92" i="7"/>
  <c r="H15" i="7"/>
  <c r="C12" i="10"/>
  <c r="H13" i="7"/>
  <c r="N6" i="17"/>
  <c r="C5" i="8"/>
  <c r="C1034" i="17"/>
  <c r="K4" i="17" s="1"/>
  <c r="C7" i="8"/>
  <c r="D1034" i="17"/>
  <c r="K5" i="17" s="1"/>
  <c r="N5" i="17"/>
  <c r="H29" i="15"/>
  <c r="H41" i="15"/>
  <c r="H15" i="15"/>
  <c r="H14" i="15"/>
  <c r="H27" i="15"/>
  <c r="B28" i="20"/>
  <c r="B21" i="20"/>
  <c r="B9" i="20"/>
  <c r="B27" i="20"/>
  <c r="B38" i="20"/>
  <c r="B6" i="20"/>
  <c r="E18" i="19" a="1"/>
  <c r="E18" i="19" s="1"/>
  <c r="B34" i="20"/>
  <c r="B8" i="20"/>
  <c r="H10" i="7"/>
  <c r="H17" i="7"/>
  <c r="H21" i="7"/>
  <c r="G42" i="7"/>
  <c r="D135" i="18"/>
  <c r="C11" i="8" s="1"/>
  <c r="D129" i="14"/>
  <c r="C10" i="8" s="1"/>
  <c r="B15" i="20"/>
  <c r="J130" i="14"/>
  <c r="C12" i="8" s="1"/>
  <c r="C16" i="10"/>
  <c r="C43" i="12"/>
  <c r="B11" i="20"/>
  <c r="G50" i="15"/>
  <c r="I37" i="12"/>
  <c r="E135" i="18"/>
  <c r="E42" i="7"/>
  <c r="D2" i="2"/>
  <c r="Q62" i="9" l="1"/>
  <c r="L98" i="9"/>
  <c r="AB5" i="9" s="1" a="1"/>
  <c r="AB5" i="9" s="1"/>
  <c r="F49" i="9" a="1"/>
  <c r="F49" i="9" s="1"/>
  <c r="G98" i="9"/>
  <c r="W5" i="9" s="1" a="1"/>
  <c r="W5" i="9" s="1"/>
  <c r="O116" i="9"/>
  <c r="Q116" i="9" s="1"/>
  <c r="E98" i="9"/>
  <c r="T5" i="9" s="1" a="1"/>
  <c r="T5" i="9" s="1"/>
  <c r="B2" i="9"/>
  <c r="O117" i="9"/>
  <c r="Q117" i="9" s="1"/>
  <c r="AG20" i="9"/>
  <c r="C37" i="20" s="1"/>
  <c r="AG35" i="9"/>
  <c r="C39" i="20" s="1"/>
  <c r="E7" i="8"/>
  <c r="E6" i="8"/>
  <c r="E8" i="8"/>
  <c r="E13" i="8"/>
  <c r="AG14" i="9"/>
  <c r="C12" i="20" s="1"/>
  <c r="E10" i="8"/>
  <c r="E9" i="8"/>
  <c r="E5" i="8"/>
  <c r="E12" i="8"/>
  <c r="Q86" i="9"/>
  <c r="O123" i="9"/>
  <c r="Q123" i="9" s="1"/>
  <c r="H165" i="1"/>
  <c r="H164" i="1"/>
  <c r="H169" i="1"/>
  <c r="H161" i="1"/>
  <c r="H158" i="1"/>
  <c r="H168" i="1"/>
  <c r="H166" i="1"/>
  <c r="H189" i="1"/>
  <c r="H132" i="1"/>
  <c r="H147" i="1"/>
  <c r="H146" i="1"/>
  <c r="H150" i="1"/>
  <c r="H149" i="1"/>
  <c r="AE10" i="9"/>
  <c r="AG10" i="9" s="1"/>
  <c r="C27" i="20" s="1"/>
  <c r="O69" i="9"/>
  <c r="Q69" i="9" s="1"/>
  <c r="O126" i="9"/>
  <c r="Q126" i="9" s="1"/>
  <c r="O105" i="9"/>
  <c r="Q105" i="9" s="1"/>
  <c r="O99" i="9"/>
  <c r="O72" i="9"/>
  <c r="Q72" i="9" s="1"/>
  <c r="O78" i="9"/>
  <c r="Q78" i="9" s="1"/>
  <c r="E12" i="19"/>
  <c r="E16" i="19" s="1"/>
  <c r="O53" i="9"/>
  <c r="Q53" i="9" s="1"/>
  <c r="O57" i="9"/>
  <c r="Q57" i="9" s="1"/>
  <c r="AE40" i="9"/>
  <c r="AG40" i="9" s="1"/>
  <c r="C25" i="20" s="1"/>
  <c r="O61" i="9"/>
  <c r="Q61" i="9" s="1"/>
  <c r="O64" i="9"/>
  <c r="Q64" i="9" s="1"/>
  <c r="AE27" i="9"/>
  <c r="AG27" i="9" s="1"/>
  <c r="C19" i="20" s="1"/>
  <c r="O127" i="9"/>
  <c r="Q127" i="9" s="1"/>
  <c r="O55" i="9"/>
  <c r="Q55" i="9" s="1"/>
  <c r="O125" i="9"/>
  <c r="Q125" i="9" s="1"/>
  <c r="O102" i="9"/>
  <c r="Q102" i="9" s="1"/>
  <c r="O67" i="9"/>
  <c r="Q67" i="9" s="1"/>
  <c r="O77" i="9"/>
  <c r="Q77" i="9" s="1"/>
  <c r="O65" i="9"/>
  <c r="Q65" i="9" s="1"/>
  <c r="O54" i="9"/>
  <c r="Q54" i="9" s="1"/>
  <c r="O130" i="9"/>
  <c r="Q130" i="9" s="1"/>
  <c r="AE29" i="9"/>
  <c r="AG29" i="9" s="1"/>
  <c r="C28" i="20" s="1"/>
  <c r="O115" i="9"/>
  <c r="Q115" i="9" s="1"/>
  <c r="O124" i="9"/>
  <c r="Q124" i="9" s="1"/>
  <c r="Z42" i="9" a="1"/>
  <c r="Z42" i="9" s="1"/>
  <c r="AE42" i="9" s="1"/>
  <c r="AG42" i="9" s="1"/>
  <c r="C11" i="20" s="1"/>
  <c r="O73" i="9"/>
  <c r="Q73" i="9" s="1"/>
  <c r="O75" i="9"/>
  <c r="Q75" i="9" s="1"/>
  <c r="O74" i="9"/>
  <c r="Q74" i="9" s="1"/>
  <c r="O68" i="9"/>
  <c r="Q68" i="9" s="1"/>
  <c r="O131" i="9"/>
  <c r="Q131" i="9" s="1"/>
  <c r="AE23" i="9"/>
  <c r="AG23" i="9" s="1"/>
  <c r="C9" i="20" s="1"/>
  <c r="O71" i="9"/>
  <c r="Q71" i="9" s="1"/>
  <c r="AE33" i="9"/>
  <c r="AG33" i="9" s="1"/>
  <c r="C24" i="20" s="1"/>
  <c r="AE37" i="9"/>
  <c r="AG37" i="9" s="1"/>
  <c r="C21" i="20" s="1"/>
  <c r="AE6" i="9"/>
  <c r="AG6" i="9" s="1"/>
  <c r="C7" i="20" s="1"/>
  <c r="O60" i="9"/>
  <c r="Q60" i="9" s="1"/>
  <c r="O81" i="9"/>
  <c r="Q81" i="9" s="1"/>
  <c r="O83" i="9"/>
  <c r="Q83" i="9" s="1"/>
  <c r="O51" i="9"/>
  <c r="Q51" i="9" s="1"/>
  <c r="AE16" i="9"/>
  <c r="AG16" i="9" s="1"/>
  <c r="C13" i="20" s="1"/>
  <c r="O79" i="9"/>
  <c r="Q79" i="9" s="1"/>
  <c r="AE24" i="9"/>
  <c r="AG24" i="9" s="1"/>
  <c r="C40" i="20" s="1"/>
  <c r="AE32" i="9"/>
  <c r="AG32" i="9" s="1"/>
  <c r="C14" i="20" s="1"/>
  <c r="AE12" i="9"/>
  <c r="AG12" i="9" s="1"/>
  <c r="C23" i="20" s="1"/>
  <c r="AE8" i="9"/>
  <c r="AG8" i="9" s="1"/>
  <c r="C22" i="20" s="1"/>
  <c r="AE30" i="9"/>
  <c r="AG30" i="9" s="1"/>
  <c r="C16" i="20" s="1"/>
  <c r="O76" i="9"/>
  <c r="Q76" i="9" s="1"/>
  <c r="AE34" i="9"/>
  <c r="AG34" i="9" s="1"/>
  <c r="C8" i="20" s="1"/>
  <c r="AE11" i="9"/>
  <c r="AG11" i="9" s="1"/>
  <c r="C6" i="20" s="1"/>
  <c r="O50" i="9"/>
  <c r="Q50" i="9" s="1"/>
  <c r="AE41" i="9"/>
  <c r="AG41" i="9" s="1"/>
  <c r="C26" i="20" s="1"/>
  <c r="AE18" i="9"/>
  <c r="AG18" i="9" s="1"/>
  <c r="C18" i="20" s="1"/>
  <c r="O52" i="9"/>
  <c r="Q52" i="9" s="1"/>
  <c r="AD13" i="9" a="1"/>
  <c r="AD13" i="9" s="1"/>
  <c r="AE13" i="9" s="1"/>
  <c r="AG13" i="9" s="1"/>
  <c r="C20" i="20" s="1"/>
  <c r="O106" i="9"/>
  <c r="Q106" i="9" s="1"/>
  <c r="AE17" i="9"/>
  <c r="AG17" i="9" s="1"/>
  <c r="C31" i="20" s="1"/>
  <c r="E17" i="9"/>
  <c r="C17" i="9"/>
  <c r="X26" i="9" a="1"/>
  <c r="X26" i="9" s="1"/>
  <c r="AE26" i="9" s="1"/>
  <c r="AG26" i="9" s="1"/>
  <c r="C32" i="20" s="1"/>
  <c r="O119" i="9"/>
  <c r="Q119" i="9" s="1"/>
  <c r="X19" i="9" a="1"/>
  <c r="X19" i="9" s="1"/>
  <c r="AE19" i="9" s="1"/>
  <c r="AG19" i="9" s="1"/>
  <c r="C38" i="20" s="1"/>
  <c r="O112" i="9"/>
  <c r="Q112" i="9" s="1"/>
  <c r="O110" i="9"/>
  <c r="Q110" i="9" s="1"/>
  <c r="O109" i="9"/>
  <c r="Q109" i="9" s="1"/>
  <c r="U5" i="9" a="1"/>
  <c r="U5" i="9" s="1"/>
  <c r="O122" i="9"/>
  <c r="Q122" i="9" s="1"/>
  <c r="E12" i="9"/>
  <c r="C12" i="9"/>
  <c r="W28" i="9" a="1"/>
  <c r="W28" i="9" s="1"/>
  <c r="AE28" i="9" s="1"/>
  <c r="AG28" i="9" s="1"/>
  <c r="C30" i="20" s="1"/>
  <c r="O121" i="9"/>
  <c r="Q121" i="9" s="1"/>
  <c r="O134" i="9"/>
  <c r="C16" i="9"/>
  <c r="E16" i="9"/>
  <c r="AD22" i="9" a="1"/>
  <c r="AD22" i="9" s="1"/>
  <c r="AE22" i="9" s="1"/>
  <c r="AG22" i="9" s="1"/>
  <c r="C5" i="20" s="1"/>
  <c r="W21" i="9" a="1"/>
  <c r="W21" i="9" s="1"/>
  <c r="AE21" i="9" s="1"/>
  <c r="AG21" i="9" s="1"/>
  <c r="C15" i="20" s="1"/>
  <c r="O114" i="9"/>
  <c r="Q114" i="9" s="1"/>
  <c r="O84" i="9"/>
  <c r="Q84" i="9" s="1"/>
  <c r="X31" i="9" a="1"/>
  <c r="X31" i="9" s="1"/>
  <c r="AE31" i="9" s="1"/>
  <c r="AG31" i="9" s="1"/>
  <c r="C36" i="20" s="1"/>
  <c r="O118" i="9"/>
  <c r="Q118" i="9" s="1"/>
  <c r="C10" i="9"/>
  <c r="E10" i="9"/>
  <c r="X9" i="9" a="1"/>
  <c r="X9" i="9" s="1"/>
  <c r="AE9" i="9" s="1"/>
  <c r="AG9" i="9" s="1"/>
  <c r="C33" i="20" s="1"/>
  <c r="O107" i="9"/>
  <c r="Q107" i="9" s="1"/>
  <c r="O113" i="9"/>
  <c r="Q113" i="9" s="1"/>
  <c r="E5" i="9"/>
  <c r="C5" i="9"/>
  <c r="Q99" i="9"/>
  <c r="Y25" i="9" a="1"/>
  <c r="Y25" i="9" s="1"/>
  <c r="AE25" i="9" s="1"/>
  <c r="AG25" i="9" s="1"/>
  <c r="C17" i="20" s="1"/>
  <c r="O108" i="9"/>
  <c r="Q108" i="9" s="1"/>
  <c r="O111" i="9"/>
  <c r="Q111" i="9" s="1"/>
  <c r="J98" i="9"/>
  <c r="Z5" i="9" s="1" a="1"/>
  <c r="Z5" i="9" s="1"/>
  <c r="N49" i="9" a="1"/>
  <c r="N49" i="9" s="1"/>
  <c r="D49" i="9" a="1"/>
  <c r="D49" i="9" s="1"/>
  <c r="P49" i="9"/>
  <c r="D98" i="9"/>
  <c r="H98" i="9"/>
  <c r="X5" i="9" s="1" a="1"/>
  <c r="X5" i="9" s="1"/>
  <c r="N98" i="9"/>
  <c r="AD5" i="9" s="1" a="1"/>
  <c r="AD5" i="9" s="1"/>
  <c r="L49" i="9" a="1"/>
  <c r="L49" i="9" s="1"/>
  <c r="C49" i="9" a="1"/>
  <c r="C49" i="9" s="1"/>
  <c r="K98" i="9"/>
  <c r="AA5" i="9" s="1" a="1"/>
  <c r="AA5" i="9" s="1"/>
  <c r="I98" i="9"/>
  <c r="Y5" i="9" s="1" a="1"/>
  <c r="Y5" i="9" s="1"/>
  <c r="M98" i="9"/>
  <c r="AC5" i="9" s="1" a="1"/>
  <c r="AC5" i="9" s="1"/>
  <c r="Y7" i="9" a="1"/>
  <c r="Y7" i="9" s="1"/>
  <c r="AE7" i="9" s="1"/>
  <c r="AG7" i="9" s="1"/>
  <c r="C29" i="20" s="1"/>
  <c r="O100" i="9"/>
  <c r="Q100" i="9" s="1"/>
  <c r="O101" i="9"/>
  <c r="Q101" i="9" s="1"/>
  <c r="C4" i="9"/>
  <c r="E4" i="9"/>
  <c r="C6" i="9"/>
  <c r="E6" i="9"/>
  <c r="AB39" i="9" a="1"/>
  <c r="AB39" i="9" s="1"/>
  <c r="AE39" i="9" s="1"/>
  <c r="AG39" i="9" s="1"/>
  <c r="C34" i="20" s="1"/>
  <c r="O132" i="9"/>
  <c r="Q132" i="9" s="1"/>
  <c r="O85" i="9"/>
  <c r="Q85" i="9" s="1"/>
  <c r="O59" i="9"/>
  <c r="Q59" i="9" s="1"/>
  <c r="O80" i="9"/>
  <c r="Q80" i="9" s="1"/>
  <c r="O66" i="9"/>
  <c r="Q66" i="9" s="1"/>
  <c r="AE38" i="9"/>
  <c r="AG38" i="9" s="1"/>
  <c r="E20" i="19" s="1" a="1"/>
  <c r="E20" i="19" s="1"/>
  <c r="AE36" i="9"/>
  <c r="AG36" i="9" s="1"/>
  <c r="C10" i="20" s="1"/>
  <c r="O82" i="9"/>
  <c r="Q82" i="9" s="1"/>
  <c r="AE15" i="9"/>
  <c r="AG15" i="9" s="1"/>
  <c r="C4" i="20" s="1"/>
  <c r="E2" i="9"/>
  <c r="C2" i="9"/>
  <c r="B2" i="20"/>
  <c r="N7" i="17"/>
  <c r="C19" i="10" s="1"/>
  <c r="K6" i="17"/>
  <c r="H50" i="15"/>
  <c r="F1034" i="17"/>
  <c r="C14" i="8"/>
  <c r="C4" i="10" s="1"/>
  <c r="F135" i="18"/>
  <c r="H42" i="7"/>
  <c r="E11" i="8"/>
  <c r="E14" i="8" l="1"/>
  <c r="O49" i="9"/>
  <c r="C21" i="9" s="1"/>
  <c r="AE5" i="9"/>
  <c r="AG5" i="9" s="1"/>
  <c r="C2" i="20" s="1"/>
  <c r="C3" i="20"/>
  <c r="O98" i="9"/>
  <c r="Q98" i="9" s="1"/>
  <c r="P7" i="17"/>
  <c r="C15" i="10"/>
  <c r="C17" i="10" s="1"/>
  <c r="Q49" i="9" l="1"/>
  <c r="C23" i="9"/>
  <c r="C3" i="10" s="1"/>
  <c r="C11" i="10" s="1"/>
  <c r="C13" i="10" s="1"/>
  <c r="C21" i="10" s="1"/>
  <c r="AL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<sst xmlns="http://schemas.openxmlformats.org/spreadsheetml/2006/main" count="4430" uniqueCount="877">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</sst>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7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14" fontId="0" fillId="0" borderId="7"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44">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664551</xdr:colOff>
      <xdr:row>7</xdr:row>
      <xdr:rowOff>44451</xdr:rowOff>
    </xdr:from>
    <xdr:to>
      <xdr:col>13</xdr:col>
      <xdr:colOff>466824</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359665</xdr:colOff>
      <xdr:row>12</xdr:row>
      <xdr:rowOff>136208</xdr:rowOff>
    </xdr:from>
    <xdr:to>
      <xdr:col>14</xdr:col>
      <xdr:colOff>598754</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5624999" createdVersion="8" refreshedVersion="8" minRefreshableVersion="3" recordCount="1000" xr:uid="{B5BDFB73-D93A-4A7A-8149-666BC190B09B}">
  <cacheSource type="worksheet">
    <worksheetSource name="Table14"/>
  </cacheSource>
  <cacheFields count="9">
    <cacheField name="Date" numFmtId="14">
      <sharedItems containsNonDate="0" containsDate="1" containsString="0" containsBlank="1" minDate="2026-03-30T00:00:00" maxDate="2026-07-06T00:00:00" count="92">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3T00:00:00"/>
        <d v="2026-06-14T00:00:00"/>
        <d v="2026-06-15T00:00:00"/>
        <d v="2026-06-16T00:00:00"/>
        <d v="2026-06-17T00:00:00"/>
        <d v="2026-06-19T00:00:00"/>
        <d v="2026-06-20T00:00:00"/>
        <d v="2026-06-21T00:00:00"/>
        <d v="2026-06-22T00:00:00"/>
        <d v="2026-06-24T00:00:00"/>
        <d v="2026-06-23T00:00:00"/>
        <d v="2026-06-25T00:00:00"/>
        <d v="2026-06-28T00:00:00"/>
        <d v="2026-06-29T00:00:00"/>
        <d v="2026-06-27T00:00:00"/>
        <d v="2026-06-30T00:00:00"/>
        <d v="2026-07-01T00:00:00"/>
        <d v="2026-07-02T00:00:00"/>
        <d v="2026-07-03T00:00:00"/>
        <d v="2026-07-05T00:00:00"/>
        <d v="2026-07-04T00:00:00"/>
        <m/>
      </sharedItems>
      <fieldGroup par="8"/>
    </cacheField>
    <cacheField name="Party" numFmtId="0">
      <sharedItems containsBlank="1"/>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06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6/07/2026"/>
        </groupItems>
      </fieldGroup>
    </cacheField>
    <cacheField name="Months (Date)" numFmtId="0" databaseField="0">
      <fieldGroup base="0">
        <rangePr groupBy="months" startDate="2026-03-30T00:00:00" endDate="2026-07-06T00:00:00"/>
        <groupItems count="14">
          <s v="&lt;30/03/2026"/>
          <s v="Jan"/>
          <s v="Feb"/>
          <s v="Mar"/>
          <s v="Apr"/>
          <s v="May"/>
          <s v="Jun"/>
          <s v="Jul"/>
          <s v="Aug"/>
          <s v="Sept"/>
          <s v="Oct"/>
          <s v="Nov"/>
          <s v="Dec"/>
          <s v="&gt;06/07/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6203707"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793770.11704462336"/>
    </cacheField>
    <cacheField name="Rate" numFmtId="0">
      <sharedItems containsString="0" containsBlank="1" containsNumber="1" minValue="10" maxValue="12"/>
    </cacheField>
    <cacheField name="Total" numFmtId="164">
      <sharedItems containsSemiMixedTypes="0" containsString="0" containsNumber="1" minValue="0" maxValue="7401230.797366497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6435184"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20T00:00:00" maxDate="2026-07-05T00:00:00" count="26">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6666669"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03T00:00:00" count="3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Blank="1" containsMixedTypes="1" containsNumber="1" containsInteger="1" minValue="580" maxValue="1200"/>
    </cacheField>
    <cacheField name="Rent" numFmtId="164">
      <sharedItems containsString="0" containsBlank="1" containsNumber="1" containsInteger="1" minValue="24000" maxValue="100000"/>
    </cacheField>
    <cacheField name="Total" numFmtId="164">
      <sharedItems containsBlank="1" containsMixedTypes="1" containsNumber="1" containsInteger="1" minValue="0" maxValue="499200"/>
    </cacheField>
    <cacheField name="Paid" numFmtId="164">
      <sharedItems containsString="0" containsBlank="1" containsNumber="1" containsInteger="1" minValue="0" maxValue="0"/>
    </cacheField>
    <cacheField name="balance" numFmtId="164">
      <sharedItems containsMixedTypes="1"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6898146"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02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09.246117129631"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6-24T00:00:00"/>
    </cacheField>
    <cacheField name="Party Name" numFmtId="0">
      <sharedItems containsBlank="1" count="4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zaid ejaz" u="1"/>
        <s v="Reject" u="1"/>
        <s v="YING" u="1"/>
        <s v="Meow" u="1"/>
        <s v="Umer Sb" u="1"/>
        <s v="-" u="1"/>
        <s v="Sajjad" u="1"/>
        <s v="Haji Ejaz" u="1"/>
      </sharedItems>
    </cacheField>
    <cacheField name="Bill Number" numFmtId="0">
      <sharedItems containsBlank="1" containsMixedTypes="1" containsNumber="1" containsInteger="1" minValue="1613" maxValue="1782"/>
    </cacheField>
    <cacheField name="Quality" numFmtId="0">
      <sharedItems containsBlank="1"/>
    </cacheField>
    <cacheField name="Shipment Number" numFmtId="164">
      <sharedItems containsBlank="1" containsMixedTypes="1" containsNumber="1" containsInteger="1" minValue="1558" maxValue="17000" count="602">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0" maxValue="107006"/>
    </cacheField>
    <cacheField name="Tiyaar/gaz" numFmtId="164">
      <sharedItems containsString="0" containsBlank="1" containsNumber="1" containsInteger="1" minValue="0" maxValue="51781"/>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3"/>
    <s v="shafique ansari"/>
    <m/>
    <n v="200000"/>
    <s v="cash"/>
    <s v="Bank"/>
    <m/>
  </r>
  <r>
    <x v="63"/>
    <s v="Hafiz qureshi"/>
    <m/>
    <n v="80000"/>
    <s v="Cash"/>
    <s v="Bank"/>
    <m/>
  </r>
  <r>
    <x v="63"/>
    <s v="Arb Dasti"/>
    <n v="200000"/>
    <m/>
    <s v="shafique ansari"/>
    <s v="Bank"/>
    <m/>
  </r>
  <r>
    <x v="63"/>
    <s v="Arb Dasti"/>
    <n v="80000"/>
    <m/>
    <s v="HQ"/>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3"/>
    <s v="omer"/>
    <n v="780"/>
    <m/>
    <m/>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6"/>
    <s v="loom ac"/>
    <n v="5000"/>
    <m/>
    <s v="abid s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70"/>
    <s v="Building Acc"/>
    <n v="100000"/>
    <m/>
    <s v="Bricks//arshad"/>
    <s v="Bank"/>
    <m/>
  </r>
  <r>
    <x v="70"/>
    <s v="Haroon wood"/>
    <n v="100000"/>
    <m/>
    <s v="TID:453259"/>
    <s v="Bank"/>
    <m/>
  </r>
  <r>
    <x v="70"/>
    <s v="irfan punjabi"/>
    <n v="147520"/>
    <m/>
    <s v="NILL-"/>
    <s v="Bank"/>
    <m/>
  </r>
  <r>
    <x v="70"/>
    <s v="Arb Dasti"/>
    <m/>
    <n v="147520"/>
    <s v="irfan punjabi"/>
    <s v="Bank"/>
    <m/>
  </r>
  <r>
    <x v="70"/>
    <s v="loom ac"/>
    <n v="30000"/>
    <m/>
    <s v="abid sb"/>
    <s v="Bank"/>
    <m/>
  </r>
  <r>
    <x v="70"/>
    <s v="Faizan kamoki"/>
    <m/>
    <n v="56000"/>
    <s v="TID:605560"/>
    <s v="Bank"/>
    <m/>
  </r>
  <r>
    <x v="70"/>
    <s v="Building Acc"/>
    <n v="13500"/>
    <m/>
    <s v="Mazdoor x2 mistri x3"/>
    <s v="Bank"/>
    <m/>
  </r>
  <r>
    <x v="71"/>
    <s v="Transport"/>
    <n v="2000"/>
    <m/>
    <m/>
    <s v="Bank"/>
    <m/>
  </r>
  <r>
    <x v="71"/>
    <s v="Building Acc"/>
    <n v="3500"/>
    <m/>
    <m/>
    <s v="Bank"/>
    <m/>
  </r>
  <r>
    <x v="71"/>
    <s v="loom ac"/>
    <n v="20000"/>
    <m/>
    <s v="abid sb"/>
    <s v="Bank"/>
    <m/>
  </r>
  <r>
    <x v="71"/>
    <s v="rashan"/>
    <n v="17790"/>
    <m/>
    <m/>
    <s v="Bank"/>
    <m/>
  </r>
  <r>
    <x v="72"/>
    <s v="rashan"/>
    <n v="2580"/>
    <m/>
    <m/>
    <s v="Bank"/>
    <m/>
  </r>
  <r>
    <x v="72"/>
    <s v="advance salary"/>
    <n v="5000"/>
    <m/>
    <s v="Sabir"/>
    <s v="Bank"/>
    <m/>
  </r>
  <r>
    <x v="72"/>
    <s v="Arb Dasti"/>
    <m/>
    <n v="5000"/>
    <s v="TID:912321"/>
    <s v="Bank"/>
    <m/>
  </r>
  <r>
    <x v="72"/>
    <s v="advance salary"/>
    <n v="5000"/>
    <m/>
    <s v="Tanveer sb"/>
    <s v="Bank"/>
    <m/>
  </r>
  <r>
    <x v="72"/>
    <s v="shafique ansari"/>
    <m/>
    <n v="400000"/>
    <s v="300cash + 100k transfer"/>
    <s v="Bank"/>
    <m/>
  </r>
  <r>
    <x v="72"/>
    <s v="Arb Dasti"/>
    <n v="400000"/>
    <m/>
    <s v="shafique ansari"/>
    <s v="Bank"/>
    <m/>
  </r>
  <r>
    <x v="72"/>
    <s v="Arb Dasti"/>
    <n v="200000"/>
    <m/>
    <s v="TID:618833"/>
    <s v="Bank"/>
    <m/>
  </r>
  <r>
    <x v="72"/>
    <s v="Transport"/>
    <n v="8164"/>
    <m/>
    <s v="petrol 464"/>
    <s v="Bank"/>
    <m/>
  </r>
  <r>
    <x v="72"/>
    <s v="omer"/>
    <n v="1280"/>
    <m/>
    <m/>
    <s v="Bank"/>
    <m/>
  </r>
  <r>
    <x v="69"/>
    <s v="Building Acc"/>
    <n v="10000"/>
    <m/>
    <s v="mazdoor"/>
    <s v="Bank"/>
    <m/>
  </r>
  <r>
    <x v="72"/>
    <s v="Building Acc"/>
    <n v="12000"/>
    <m/>
    <s v="mazdoor"/>
    <s v="Bank"/>
    <m/>
  </r>
  <r>
    <x v="73"/>
    <s v="Arb Dasti"/>
    <m/>
    <n v="280000"/>
    <s v="TID:530602"/>
    <s v="Bank"/>
    <m/>
  </r>
  <r>
    <x v="73"/>
    <s v="madina dyes"/>
    <n v="94500"/>
    <m/>
    <s v="rubine + scarlet"/>
    <s v="Bank"/>
    <m/>
  </r>
  <r>
    <x v="73"/>
    <s v="rashan"/>
    <n v="6600"/>
    <m/>
    <s v="3 atta"/>
    <s v="Bank"/>
    <m/>
  </r>
  <r>
    <x v="73"/>
    <s v="Arb Dasti"/>
    <m/>
    <n v="84000"/>
    <s v="TID:916990"/>
    <s v="Bank"/>
    <m/>
  </r>
  <r>
    <x v="73"/>
    <s v="Arb Dasti"/>
    <m/>
    <n v="340000"/>
    <s v="Cash"/>
    <s v="Bank"/>
    <m/>
  </r>
  <r>
    <x v="73"/>
    <s v="Transport"/>
    <n v="5000"/>
    <m/>
    <s v="petrol 697"/>
    <s v="Bank"/>
    <m/>
  </r>
  <r>
    <x v="73"/>
    <s v="salary"/>
    <n v="17000"/>
    <m/>
    <s v="Ashraf Guard"/>
    <s v="Bank"/>
    <m/>
  </r>
  <r>
    <x v="73"/>
    <s v="Rauf khan"/>
    <m/>
    <n v="500000"/>
    <s v="TID:515839"/>
    <s v="Bank"/>
    <m/>
  </r>
  <r>
    <x v="74"/>
    <s v="Yousaf wood"/>
    <n v="400000"/>
    <m/>
    <s v="TID:814277"/>
    <s v="Bank"/>
    <m/>
  </r>
  <r>
    <x v="74"/>
    <s v="rashan"/>
    <n v="2670"/>
    <m/>
    <m/>
    <s v="Bank"/>
    <m/>
  </r>
  <r>
    <x v="74"/>
    <s v="Parts"/>
    <n v="250"/>
    <m/>
    <m/>
    <s v="Bank"/>
    <m/>
  </r>
  <r>
    <x v="74"/>
    <s v="Parts"/>
    <n v="34428"/>
    <m/>
    <s v="Diesel"/>
    <s v="Bank"/>
    <m/>
  </r>
  <r>
    <x v="74"/>
    <s v="Arb Dasti"/>
    <m/>
    <n v="250000"/>
    <s v="TID:569822"/>
    <s v="Bank"/>
    <m/>
  </r>
  <r>
    <x v="74"/>
    <s v="omer"/>
    <m/>
    <n v="740"/>
    <m/>
    <s v="Bank"/>
    <m/>
  </r>
  <r>
    <x v="74"/>
    <s v="Transport"/>
    <n v="740"/>
    <m/>
    <s v="mtag"/>
    <s v="Bank"/>
    <m/>
  </r>
  <r>
    <x v="74"/>
    <s v="advance salary"/>
    <m/>
    <m/>
    <s v="NILLL"/>
    <s v="Bank"/>
    <m/>
  </r>
  <r>
    <x v="74"/>
    <s v="advance salary"/>
    <n v="2000"/>
    <m/>
    <s v="khalid sb"/>
    <s v="Bank"/>
    <m/>
  </r>
  <r>
    <x v="74"/>
    <s v="omer"/>
    <n v="10000"/>
    <m/>
    <m/>
    <s v="Bank"/>
    <m/>
  </r>
  <r>
    <x v="74"/>
    <s v="Transport"/>
    <n v="5000"/>
    <m/>
    <m/>
    <s v="Bank"/>
    <m/>
  </r>
  <r>
    <x v="74"/>
    <s v="loom ac"/>
    <n v="5000"/>
    <m/>
    <s v="abid sb"/>
    <s v="Bank"/>
    <m/>
  </r>
  <r>
    <x v="74"/>
    <s v="misc"/>
    <n v="2000"/>
    <m/>
    <s v="Khalid sb medicine"/>
    <s v="Bank"/>
    <m/>
  </r>
  <r>
    <x v="74"/>
    <s v="advance salary"/>
    <n v="13333"/>
    <m/>
    <s v="yamin opt"/>
    <s v="Bank"/>
    <m/>
  </r>
  <r>
    <x v="74"/>
    <s v="salary"/>
    <n v="835027"/>
    <m/>
    <m/>
    <s v="Bank"/>
    <m/>
  </r>
  <r>
    <x v="74"/>
    <s v="omer"/>
    <n v="1000"/>
    <m/>
    <m/>
    <s v="Bank"/>
    <m/>
  </r>
  <r>
    <x v="74"/>
    <s v="misc"/>
    <m/>
    <m/>
    <m/>
    <s v="Bank"/>
    <m/>
  </r>
  <r>
    <x v="72"/>
    <s v="Rauf khan"/>
    <m/>
    <n v="918328"/>
    <s v="reciept #85//against maal -BSC"/>
    <s v="Bank"/>
    <m/>
  </r>
  <r>
    <x v="72"/>
    <s v="Arb Dasti"/>
    <n v="918328"/>
    <m/>
    <s v="Rauf Khan//against maal"/>
    <s v="Bank"/>
    <m/>
  </r>
  <r>
    <x v="75"/>
    <s v="omer"/>
    <n v="1000"/>
    <m/>
    <m/>
    <s v="Bank"/>
    <m/>
  </r>
  <r>
    <x v="75"/>
    <s v="Arb Dasti"/>
    <m/>
    <n v="70250"/>
    <s v="Madina dyes"/>
    <s v="Bank"/>
    <m/>
  </r>
  <r>
    <x v="75"/>
    <s v="madina dyes"/>
    <n v="70250"/>
    <m/>
    <s v="Rubine+4G+black"/>
    <s v="Bank"/>
    <m/>
  </r>
  <r>
    <x v="75"/>
    <s v="rashan"/>
    <n v="6600"/>
    <m/>
    <s v="atta x3"/>
    <s v="Bank"/>
    <m/>
  </r>
  <r>
    <x v="75"/>
    <s v="Arb Dasti"/>
    <m/>
    <n v="150000"/>
    <s v="Cash"/>
    <s v="Bank"/>
    <m/>
  </r>
  <r>
    <x v="75"/>
    <s v="salary"/>
    <n v="10000"/>
    <m/>
    <s v="aqeel fitter"/>
    <s v="Bank"/>
    <m/>
  </r>
  <r>
    <x v="75"/>
    <s v="salary"/>
    <n v="60000"/>
    <m/>
    <s v="waheed sb"/>
    <s v="Bank"/>
    <m/>
  </r>
  <r>
    <x v="75"/>
    <s v="salary"/>
    <n v="50000"/>
    <m/>
    <s v="waqas"/>
    <s v="Bank"/>
    <m/>
  </r>
  <r>
    <x v="75"/>
    <s v="salary"/>
    <n v="50000"/>
    <m/>
    <s v="Tanveer sb"/>
    <s v="Bank"/>
    <m/>
  </r>
  <r>
    <x v="75"/>
    <s v="omer"/>
    <m/>
    <n v="10000"/>
    <s v="cash"/>
    <s v="Bank"/>
    <m/>
  </r>
  <r>
    <x v="75"/>
    <s v="Parts"/>
    <n v="3300"/>
    <m/>
    <m/>
    <s v="Bank"/>
    <m/>
  </r>
  <r>
    <x v="75"/>
    <s v="Arb Dasti"/>
    <m/>
    <n v="3900"/>
    <s v="TID:721717"/>
    <s v="Bank"/>
    <m/>
  </r>
  <r>
    <x v="75"/>
    <s v="misc"/>
    <n v="2400"/>
    <m/>
    <s v="shoppers"/>
    <s v="Bank"/>
    <m/>
  </r>
  <r>
    <x v="76"/>
    <s v="Arb Dasti"/>
    <m/>
    <n v="50000"/>
    <s v="TID:463276"/>
    <s v="Bank"/>
    <m/>
  </r>
  <r>
    <x v="76"/>
    <s v="Finish"/>
    <n v="18500"/>
    <m/>
    <s v="BP26"/>
    <s v="Bank"/>
    <m/>
  </r>
  <r>
    <x v="76"/>
    <s v="Parts"/>
    <n v="12500"/>
    <m/>
    <s v="Gauges"/>
    <s v="Bank"/>
    <m/>
  </r>
  <r>
    <x v="76"/>
    <s v="Parts"/>
    <n v="1200"/>
    <m/>
    <s v="nuts x2"/>
    <s v="Bank"/>
    <m/>
  </r>
  <r>
    <x v="76"/>
    <s v="misc"/>
    <n v="5000"/>
    <m/>
    <s v="challan loader unofficial"/>
    <s v="Bank"/>
    <m/>
  </r>
  <r>
    <x v="76"/>
    <s v="Parts"/>
    <n v="750"/>
    <m/>
    <m/>
    <s v="Bank"/>
    <m/>
  </r>
  <r>
    <x v="76"/>
    <s v="Arb Dasti"/>
    <m/>
    <n v="100000"/>
    <s v="TID:698150"/>
    <s v="Bank"/>
    <m/>
  </r>
  <r>
    <x v="76"/>
    <s v="Babar wood"/>
    <n v="50000"/>
    <m/>
    <s v="TID:314767"/>
    <s v="Bank"/>
    <m/>
  </r>
  <r>
    <x v="76"/>
    <s v="zaheer shah wood"/>
    <n v="50000"/>
    <m/>
    <s v="TID:279114"/>
    <s v="Bank"/>
    <m/>
  </r>
  <r>
    <x v="76"/>
    <s v="Transport"/>
    <n v="5000"/>
    <m/>
    <s v="petrol 464"/>
    <s v="Bank"/>
    <m/>
  </r>
  <r>
    <x v="76"/>
    <s v="Arb Dasti"/>
    <m/>
    <n v="15000"/>
    <s v="TID:650100"/>
    <s v="Bank"/>
    <m/>
  </r>
  <r>
    <x v="76"/>
    <s v="salary"/>
    <n v="15000"/>
    <m/>
    <s v="Tanveer sb"/>
    <s v="Bank"/>
    <m/>
  </r>
  <r>
    <x v="76"/>
    <s v="Arb Dasti"/>
    <m/>
    <n v="100000"/>
    <s v="TID:990920"/>
    <s v="Bank"/>
    <m/>
  </r>
  <r>
    <x v="76"/>
    <s v="salary"/>
    <n v="100000"/>
    <m/>
    <s v="Ashfaq sahab boiler theka may2"/>
    <s v="Bank"/>
    <m/>
  </r>
  <r>
    <x v="77"/>
    <s v="Arb Dasti"/>
    <m/>
    <n v="15000"/>
    <s v="TID:612923"/>
    <s v="Bank"/>
    <m/>
  </r>
  <r>
    <x v="77"/>
    <s v="omer"/>
    <n v="3893"/>
    <m/>
    <m/>
    <s v="Bank"/>
    <m/>
  </r>
  <r>
    <x v="77"/>
    <s v="Parts"/>
    <n v="9396"/>
    <m/>
    <s v="Diesel"/>
    <s v="Bank"/>
    <m/>
  </r>
  <r>
    <x v="77"/>
    <s v="Arb Dasti"/>
    <m/>
    <n v="9396"/>
    <s v="Diesel"/>
    <s v="Bank"/>
    <m/>
  </r>
  <r>
    <x v="78"/>
    <s v="Parts"/>
    <n v="3910"/>
    <m/>
    <s v="Copper"/>
    <s v="Bank"/>
    <m/>
  </r>
  <r>
    <x v="78"/>
    <s v="Arb Dasti"/>
    <m/>
    <n v="3910"/>
    <s v="copper"/>
    <s v="Bank"/>
    <m/>
  </r>
  <r>
    <x v="78"/>
    <s v="Parts"/>
    <n v="250"/>
    <m/>
    <m/>
    <s v="Bank"/>
    <m/>
  </r>
  <r>
    <x v="78"/>
    <s v="Transport"/>
    <n v="4804"/>
    <m/>
    <s v="loader+bike"/>
    <s v="Bank"/>
    <m/>
  </r>
  <r>
    <x v="78"/>
    <s v="Parts"/>
    <n v="1000"/>
    <m/>
    <m/>
    <s v="Bank"/>
    <m/>
  </r>
  <r>
    <x v="78"/>
    <s v="Arb Dasti"/>
    <m/>
    <n v="248500"/>
    <s v="Sagheer 4360/57"/>
    <s v="Bank"/>
    <m/>
  </r>
  <r>
    <x v="78"/>
    <s v="Arb Dasti"/>
    <m/>
    <n v="275000"/>
    <s v="TID:410542"/>
    <s v="Bank"/>
    <m/>
  </r>
  <r>
    <x v="78"/>
    <s v="Moeez badshah"/>
    <m/>
    <n v="500000"/>
    <s v="Cash"/>
    <s v="Bank"/>
    <m/>
  </r>
  <r>
    <x v="78"/>
    <s v="Arb Dasti"/>
    <m/>
    <n v="545000"/>
    <s v="Cash"/>
    <s v="Bank"/>
    <m/>
  </r>
  <r>
    <x v="78"/>
    <s v="Electricity"/>
    <n v="1440059"/>
    <m/>
    <s v="LESCO"/>
    <s v="Bank"/>
    <m/>
  </r>
  <r>
    <x v="78"/>
    <s v="Parts"/>
    <n v="800"/>
    <m/>
    <s v="belt"/>
    <s v="Bank"/>
    <m/>
  </r>
  <r>
    <x v="78"/>
    <s v="loom ac"/>
    <n v="15000"/>
    <m/>
    <s v="abid sb"/>
    <s v="Bank"/>
    <m/>
  </r>
  <r>
    <x v="78"/>
    <s v="rashan"/>
    <n v="2400"/>
    <m/>
    <s v="atta"/>
    <s v="Bank"/>
    <m/>
  </r>
  <r>
    <x v="78"/>
    <s v="Transport"/>
    <n v="5000"/>
    <m/>
    <s v="petrol 697"/>
    <s v="Bank"/>
    <m/>
  </r>
  <r>
    <x v="78"/>
    <s v="salary"/>
    <n v="86333"/>
    <m/>
    <s v="Ashfaq sahab boiler theka may2"/>
    <s v="Bank"/>
    <m/>
  </r>
  <r>
    <x v="78"/>
    <s v="Building Acc"/>
    <n v="7200"/>
    <m/>
    <s v="2200 old mazdoor"/>
    <s v="Bank"/>
    <m/>
  </r>
  <r>
    <x v="78"/>
    <s v="misc"/>
    <n v="2000"/>
    <m/>
    <s v="Sewerage"/>
    <s v="Bank"/>
    <m/>
  </r>
  <r>
    <x v="75"/>
    <s v="Moeez badshah"/>
    <m/>
    <n v="495000"/>
    <s v="Cash"/>
    <s v="Bank"/>
    <m/>
  </r>
  <r>
    <x v="78"/>
    <s v="Farhaan ali"/>
    <m/>
    <n v="300000"/>
    <s v="Cash"/>
    <s v="Bank"/>
    <m/>
  </r>
  <r>
    <x v="78"/>
    <s v="Hafiz qureshi"/>
    <m/>
    <n v="100000"/>
    <s v="Cash"/>
    <s v="Bank"/>
    <m/>
  </r>
  <r>
    <x v="75"/>
    <s v="Arb Dasti"/>
    <n v="495000"/>
    <m/>
    <s v="Moeez badshah"/>
    <s v="Bank"/>
    <m/>
  </r>
  <r>
    <x v="78"/>
    <s v="Arb Dasti"/>
    <n v="300000"/>
    <m/>
    <s v="Farhaan ali"/>
    <s v="Bank"/>
    <m/>
  </r>
  <r>
    <x v="78"/>
    <s v="Arb Dasti"/>
    <n v="100000"/>
    <m/>
    <s v="hafiz qureshi"/>
    <s v="Bank"/>
    <m/>
  </r>
  <r>
    <x v="78"/>
    <s v="Arb Dasti"/>
    <m/>
    <n v="200000"/>
    <s v="unicolour"/>
    <s v="Bank"/>
    <m/>
  </r>
  <r>
    <x v="78"/>
    <s v="Unicolour"/>
    <n v="200000"/>
    <m/>
    <s v="816// reciept #844"/>
    <s v="Bank"/>
    <m/>
  </r>
  <r>
    <x v="78"/>
    <s v="Parts"/>
    <n v="500"/>
    <m/>
    <m/>
    <s v="Bank"/>
    <m/>
  </r>
  <r>
    <x v="79"/>
    <s v="Moeez badshah"/>
    <m/>
    <n v="170000"/>
    <m/>
    <s v="Bank"/>
    <m/>
  </r>
  <r>
    <x v="79"/>
    <s v="Arb Dasti"/>
    <n v="170000"/>
    <m/>
    <s v="Moeez badshah"/>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79"/>
    <s v="rashan"/>
    <n v="1670"/>
    <m/>
    <m/>
    <s v="Bank"/>
    <m/>
  </r>
  <r>
    <x v="79"/>
    <s v="Arb Dasti"/>
    <m/>
    <n v="87000"/>
    <s v="Cash deposit"/>
    <s v="Bank"/>
    <m/>
  </r>
  <r>
    <x v="79"/>
    <s v="Parts"/>
    <n v="39300"/>
    <m/>
    <s v="Stenter patti"/>
    <s v="Bank"/>
    <m/>
  </r>
  <r>
    <x v="79"/>
    <s v="Parts"/>
    <n v="850"/>
    <m/>
    <m/>
    <s v="Bank"/>
    <m/>
  </r>
  <r>
    <x v="79"/>
    <s v="Building Acc"/>
    <n v="5200"/>
    <m/>
    <s v="mazdoor"/>
    <s v="Bank"/>
    <m/>
  </r>
  <r>
    <x v="79"/>
    <s v="Arb Dasti"/>
    <m/>
    <n v="50000"/>
    <s v="TD:590789"/>
    <s v="Bank"/>
    <m/>
  </r>
  <r>
    <x v="79"/>
    <s v="Haroon wood"/>
    <n v="50000"/>
    <m/>
    <s v="TID:061027"/>
    <s v="Bank"/>
    <m/>
  </r>
  <r>
    <x v="79"/>
    <s v="Arb Dasti"/>
    <m/>
    <n v="36000"/>
    <s v="TID:638921"/>
    <s v="Bank"/>
    <m/>
  </r>
  <r>
    <x v="79"/>
    <s v="misc"/>
    <n v="40000"/>
    <m/>
    <s v="Boiler docs//ashfaq sb"/>
    <s v="Bank"/>
    <m/>
  </r>
  <r>
    <x v="79"/>
    <s v="omer"/>
    <n v="1450"/>
    <m/>
    <m/>
    <s v="Bank"/>
    <m/>
  </r>
  <r>
    <x v="81"/>
    <s v="Arb Dasti"/>
    <m/>
    <n v="50000"/>
    <s v="TID:427321"/>
    <s v="Bank"/>
    <m/>
  </r>
  <r>
    <x v="81"/>
    <s v="salary"/>
    <n v="60000"/>
    <m/>
    <s v="Khalid sb June1"/>
    <s v="Bank"/>
    <m/>
  </r>
  <r>
    <x v="81"/>
    <s v="Building Acc"/>
    <n v="5200"/>
    <m/>
    <s v="mazdoor"/>
    <s v="Bank"/>
    <m/>
  </r>
  <r>
    <x v="81"/>
    <s v="Transport"/>
    <n v="4111"/>
    <m/>
    <s v="Diesel"/>
    <s v="Bank"/>
    <m/>
  </r>
  <r>
    <x v="81"/>
    <s v="Parts"/>
    <n v="2000"/>
    <m/>
    <m/>
    <s v="Bank"/>
    <m/>
  </r>
  <r>
    <x v="81"/>
    <s v="Dasti"/>
    <n v="1500"/>
    <m/>
    <s v="groccery"/>
    <s v="Bank"/>
    <m/>
  </r>
  <r>
    <x v="81"/>
    <s v="salary"/>
    <n v="9650"/>
    <m/>
    <s v="Wajid//khubaib"/>
    <s v="Bank"/>
    <m/>
  </r>
  <r>
    <x v="82"/>
    <s v="Arb Dasti"/>
    <m/>
    <n v="10000"/>
    <s v="TID:487574"/>
    <s v="Bank"/>
    <m/>
  </r>
  <r>
    <x v="82"/>
    <s v="rashan"/>
    <n v="10110"/>
    <m/>
    <m/>
    <s v="Bank"/>
    <m/>
  </r>
  <r>
    <x v="83"/>
    <s v="Faizan kamoki"/>
    <m/>
    <n v="420000"/>
    <s v="TID:643796"/>
    <s v="Bank"/>
    <m/>
  </r>
  <r>
    <x v="83"/>
    <s v="Malik Zaheer"/>
    <n v="300000"/>
    <m/>
    <s v="TID:866605"/>
    <s v="Bank"/>
    <m/>
  </r>
  <r>
    <x v="83"/>
    <s v="advance salary"/>
    <n v="15000"/>
    <m/>
    <s v="bajwa"/>
    <s v="Bank"/>
    <m/>
  </r>
  <r>
    <x v="83"/>
    <s v="Dasti"/>
    <n v="420"/>
    <m/>
    <m/>
    <s v="Bank"/>
    <m/>
  </r>
  <r>
    <x v="81"/>
    <s v="Dasti"/>
    <n v="4000"/>
    <m/>
    <s v="Taha exp"/>
    <s v="Bank"/>
    <m/>
  </r>
  <r>
    <x v="84"/>
    <s v="omer"/>
    <n v="1800"/>
    <m/>
    <m/>
    <s v="Bank"/>
    <m/>
  </r>
  <r>
    <x v="84"/>
    <s v="Arb Dasti"/>
    <m/>
    <n v="10000"/>
    <s v="JC"/>
    <s v="Bank"/>
    <m/>
  </r>
  <r>
    <x v="84"/>
    <s v="advance salary"/>
    <n v="10000"/>
    <m/>
    <s v="Naeem electric"/>
    <s v="Bank"/>
    <m/>
  </r>
  <r>
    <x v="85"/>
    <s v="rashan"/>
    <n v="6600"/>
    <m/>
    <m/>
    <s v="Bank"/>
    <m/>
  </r>
  <r>
    <x v="85"/>
    <s v="Parts"/>
    <n v="10000"/>
    <m/>
    <s v="rula"/>
    <s v="Bank"/>
    <m/>
  </r>
  <r>
    <x v="85"/>
    <s v="salary"/>
    <n v="20000"/>
    <m/>
    <s v="Amjad fitter"/>
    <s v="Bank"/>
    <m/>
  </r>
  <r>
    <x v="85"/>
    <s v="Arb Dasti"/>
    <m/>
    <n v="5000"/>
    <m/>
    <s v="Bank"/>
    <m/>
  </r>
  <r>
    <x v="85"/>
    <s v="Parts"/>
    <n v="5000"/>
    <m/>
    <m/>
    <s v="Bank"/>
    <m/>
  </r>
  <r>
    <x v="86"/>
    <s v="Arb Dasti"/>
    <m/>
    <n v="23750"/>
    <s v="Madina dyes"/>
    <s v="Bank"/>
    <m/>
  </r>
  <r>
    <x v="86"/>
    <s v="madina dyes"/>
    <n v="23750"/>
    <m/>
    <s v="Finish"/>
    <s v="Bank"/>
    <m/>
  </r>
  <r>
    <x v="86"/>
    <s v="Aslam Multani"/>
    <n v="24000"/>
    <m/>
    <s v="TID:794961"/>
    <s v="Bank"/>
    <m/>
  </r>
  <r>
    <x v="86"/>
    <s v="Arb Dasti"/>
    <m/>
    <n v="24000"/>
    <s v="Aslam multani"/>
    <s v="Bank"/>
    <m/>
  </r>
  <r>
    <x v="86"/>
    <s v="Parts"/>
    <n v="7000"/>
    <m/>
    <m/>
    <s v="Bank"/>
    <m/>
  </r>
  <r>
    <x v="86"/>
    <s v="salary"/>
    <n v="15000"/>
    <m/>
    <s v="khubaib eid"/>
    <s v="Bank"/>
    <m/>
  </r>
  <r>
    <x v="86"/>
    <s v="Arb Dasti"/>
    <m/>
    <n v="175000"/>
    <s v="TID:335915"/>
    <s v="Bank"/>
    <m/>
  </r>
  <r>
    <x v="86"/>
    <s v="Kaleem ullah"/>
    <n v="200000"/>
    <m/>
    <s v="TID:310840"/>
    <s v="Bank"/>
    <m/>
  </r>
  <r>
    <x v="86"/>
    <s v="misc"/>
    <n v="15000"/>
    <m/>
    <s v="Lifter/Mazdoor"/>
    <s v="Bank"/>
    <m/>
  </r>
  <r>
    <x v="86"/>
    <s v="Parts"/>
    <n v="7000"/>
    <m/>
    <s v="rula"/>
    <s v="Bank"/>
    <m/>
  </r>
  <r>
    <x v="86"/>
    <s v="Arb Dasti"/>
    <m/>
    <n v="7000"/>
    <s v="muhammad sami"/>
    <s v="Bank"/>
    <m/>
  </r>
  <r>
    <x v="87"/>
    <s v="Arb Dasti"/>
    <m/>
    <n v="400000"/>
    <s v="TID:377426"/>
    <s v="Bank"/>
    <m/>
  </r>
  <r>
    <x v="87"/>
    <s v="Yousaf wood"/>
    <n v="400000"/>
    <m/>
    <s v="TID:998682"/>
    <s v="Bank"/>
    <m/>
  </r>
  <r>
    <x v="87"/>
    <s v="Rana Kamran"/>
    <n v="53500"/>
    <m/>
    <s v="TID:511381"/>
    <s v="Bank"/>
    <m/>
  </r>
  <r>
    <x v="87"/>
    <s v="Arb Dasti"/>
    <m/>
    <n v="53500"/>
    <s v="TID:511381"/>
    <s v="Bank"/>
    <m/>
  </r>
  <r>
    <x v="87"/>
    <s v="Building Acc"/>
    <n v="52000"/>
    <m/>
    <s v="Bricks"/>
    <s v="Bank"/>
    <m/>
  </r>
  <r>
    <x v="87"/>
    <s v="Arb Dasti"/>
    <m/>
    <n v="52000"/>
    <s v="Bricks"/>
    <s v="Bank"/>
    <m/>
  </r>
  <r>
    <x v="87"/>
    <s v="Arb Dasti"/>
    <m/>
    <n v="25000"/>
    <s v="TID:501832"/>
    <s v="Bank"/>
    <m/>
  </r>
  <r>
    <x v="87"/>
    <s v="misc"/>
    <n v="15000"/>
    <m/>
    <s v="Env "/>
    <s v="Bank"/>
    <m/>
  </r>
  <r>
    <x v="87"/>
    <s v="Dasti"/>
    <n v="5700"/>
    <m/>
    <s v="Exhaust//mama"/>
    <s v="Bank"/>
    <m/>
  </r>
  <r>
    <x v="87"/>
    <s v="Arb Dasti"/>
    <m/>
    <n v="7001"/>
    <s v="TID:160646"/>
    <s v="Bank"/>
    <m/>
  </r>
  <r>
    <x v="87"/>
    <s v="TEMP"/>
    <n v="7001"/>
    <m/>
    <m/>
    <s v="Bank"/>
    <m/>
  </r>
  <r>
    <x v="87"/>
    <s v="loom ac"/>
    <n v="7000"/>
    <m/>
    <s v="abid sb"/>
    <s v="Bank"/>
    <m/>
  </r>
  <r>
    <x v="87"/>
    <s v="Arb Dasti"/>
    <m/>
    <n v="100000"/>
    <s v="TID:813554"/>
    <s v="Bank"/>
    <m/>
  </r>
  <r>
    <x v="87"/>
    <s v="omer"/>
    <n v="540"/>
    <m/>
    <m/>
    <s v="Bank"/>
    <m/>
  </r>
  <r>
    <x v="88"/>
    <s v="Arb Dasti"/>
    <m/>
    <n v="300000"/>
    <s v="TID:984756"/>
    <s v="Bank"/>
    <m/>
  </r>
  <r>
    <x v="88"/>
    <s v="Arb Dasti"/>
    <m/>
    <n v="250000"/>
    <s v="TID:058016"/>
    <s v="Bank"/>
    <m/>
  </r>
  <r>
    <x v="88"/>
    <s v="Transport"/>
    <n v="290"/>
    <m/>
    <s v="Mtag"/>
    <s v="Bank"/>
    <m/>
  </r>
  <r>
    <x v="88"/>
    <s v="salary"/>
    <n v="40000"/>
    <m/>
    <s v="Tanveer sb"/>
    <s v="Bank"/>
    <m/>
  </r>
  <r>
    <x v="88"/>
    <s v="Arb Dasti"/>
    <m/>
    <n v="25000"/>
    <s v="Cash"/>
    <s v="Bank"/>
    <m/>
  </r>
  <r>
    <x v="88"/>
    <s v="Kaleem ullah"/>
    <n v="6000"/>
    <m/>
    <s v="unloading"/>
    <s v="Bank"/>
    <m/>
  </r>
  <r>
    <x v="88"/>
    <s v="Yousaf wood"/>
    <n v="6000"/>
    <m/>
    <s v="unloading"/>
    <s v="Bank"/>
    <m/>
  </r>
  <r>
    <x v="88"/>
    <s v="Transport"/>
    <n v="5000"/>
    <m/>
    <s v="petrol"/>
    <s v="Bank"/>
    <m/>
  </r>
  <r>
    <x v="88"/>
    <s v="Dasti"/>
    <n v="3000"/>
    <m/>
    <s v="Zubair driver 3k"/>
    <s v="Bank"/>
    <m/>
  </r>
  <r>
    <x v="88"/>
    <s v="advance salary"/>
    <m/>
    <m/>
    <s v="NILL"/>
    <s v="Bank"/>
    <m/>
  </r>
  <r>
    <x v="88"/>
    <s v="advance salary"/>
    <n v="3000"/>
    <m/>
    <s v="Haseen Khan"/>
    <s v="Bank"/>
    <m/>
  </r>
  <r>
    <x v="88"/>
    <s v="salary"/>
    <n v="563750"/>
    <m/>
    <s v="General"/>
    <s v="Bank"/>
    <m/>
  </r>
  <r>
    <x v="88"/>
    <s v="omer"/>
    <n v="20000"/>
    <m/>
    <s v="Cash reserve"/>
    <s v="Bank"/>
    <m/>
  </r>
  <r>
    <x v="89"/>
    <s v="omer"/>
    <n v="2300"/>
    <m/>
    <m/>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83"/>
    <s v="Farhaan ali"/>
    <m/>
    <n v="350000"/>
    <s v="BSC"/>
    <s v="Bank"/>
    <m/>
  </r>
  <r>
    <x v="87"/>
    <s v="Farhaan ali"/>
    <m/>
    <n v="400000"/>
    <s v="BSC"/>
    <s v="Bank"/>
    <m/>
  </r>
  <r>
    <x v="83"/>
    <s v="Arb Dasti"/>
    <n v="350000"/>
    <m/>
    <s v="Farhaan ali"/>
    <s v="Bank"/>
    <m/>
  </r>
  <r>
    <x v="87"/>
    <s v="Arb Dasti"/>
    <n v="400000"/>
    <m/>
    <s v="Farhaan ali"/>
    <s v="Bank"/>
    <m/>
  </r>
  <r>
    <x v="89"/>
    <s v="Arb Dasti"/>
    <m/>
    <n v="129000"/>
    <s v="TID:679625"/>
    <s v="Bank"/>
    <m/>
  </r>
  <r>
    <x v="89"/>
    <s v="salary"/>
    <n v="129000"/>
    <m/>
    <s v="Ashfaq sahab boiler theka June1"/>
    <s v="Bank"/>
    <m/>
  </r>
  <r>
    <x v="89"/>
    <s v="misc"/>
    <n v="2000"/>
    <m/>
    <s v="khalid sb package"/>
    <s v="Bank"/>
    <m/>
  </r>
  <r>
    <x v="89"/>
    <s v="misc"/>
    <n v="420"/>
    <m/>
    <s v="tapes"/>
    <s v="Bank"/>
    <m/>
  </r>
  <r>
    <x v="88"/>
    <s v="omer"/>
    <n v="1000"/>
    <m/>
    <m/>
    <s v="Bank"/>
    <m/>
  </r>
  <r>
    <x v="87"/>
    <s v="misc"/>
    <n v="1150"/>
    <m/>
    <s v="Litter x2 + pliers"/>
    <s v="Bank"/>
    <m/>
  </r>
  <r>
    <x v="87"/>
    <s v="omer"/>
    <n v="1250"/>
    <m/>
    <m/>
    <s v="Bank"/>
    <m/>
  </r>
  <r>
    <x v="87"/>
    <s v="Moeez badshah"/>
    <m/>
    <n v="140000"/>
    <s v="BSC"/>
    <s v="Bank"/>
    <m/>
  </r>
  <r>
    <x v="87"/>
    <s v="Arb Dasti"/>
    <n v="140000"/>
    <m/>
    <s v="Moeez badshah"/>
    <s v="Bank"/>
    <m/>
  </r>
  <r>
    <x v="87"/>
    <s v="ACM salman Zaffar"/>
    <m/>
    <n v="119000"/>
    <s v="Cheque"/>
    <s v="Bank"/>
    <m/>
  </r>
  <r>
    <x v="87"/>
    <s v="Arb Dasti"/>
    <n v="119000"/>
    <m/>
    <s v="salman zaffar cheque"/>
    <s v="Bank"/>
    <m/>
  </r>
  <r>
    <x v="87"/>
    <s v="ACM salman Zaffar"/>
    <m/>
    <n v="189000"/>
    <s v="Clear"/>
    <s v="Bank"/>
    <m/>
  </r>
  <r>
    <x v="87"/>
    <s v="Arb Dasti"/>
    <n v="189000"/>
    <m/>
    <s v="salman zaffar"/>
    <s v="Bank"/>
    <m/>
  </r>
  <r>
    <x v="88"/>
    <s v="Farhaan ali"/>
    <m/>
    <n v="97000"/>
    <s v="Bill Nill"/>
    <s v="Bank"/>
    <m/>
  </r>
  <r>
    <x v="88"/>
    <s v="Arb Dasti"/>
    <n v="97000"/>
    <m/>
    <s v="Farhaan ali"/>
    <s v="Bank"/>
    <m/>
  </r>
  <r>
    <x v="91"/>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93770.11704462336"/>
    <n v="10"/>
    <n v="7401230.7973664971"/>
  </r>
  <r>
    <x v="1"/>
    <n v="49525.420629114851"/>
    <n v="10"/>
    <n v="594305.04754937824"/>
  </r>
  <r>
    <x v="2"/>
    <n v="48639.356254572063"/>
    <n v="10"/>
    <n v="486393.5625457206"/>
  </r>
  <r>
    <x v="3"/>
    <n v="0"/>
    <n v="10.5"/>
    <n v="0"/>
  </r>
  <r>
    <x v="4"/>
    <n v="0"/>
    <n v="10"/>
    <n v="0"/>
  </r>
  <r>
    <x v="5"/>
    <n v="0"/>
    <n v="10"/>
    <n v="0"/>
  </r>
  <r>
    <x v="6"/>
    <n v="65986.64959765911"/>
    <n v="10"/>
    <n v="659866.49597659113"/>
  </r>
  <r>
    <x v="7"/>
    <n v="0"/>
    <n v="10"/>
    <n v="0"/>
  </r>
  <r>
    <x v="8"/>
    <n v="100178.31016825166"/>
    <n v="10"/>
    <n v="1202139.72201902"/>
  </r>
  <r>
    <x v="9"/>
    <n v="0"/>
    <n v="12"/>
    <n v="0"/>
  </r>
  <r>
    <x v="10"/>
    <n v="149661.6678858815"/>
    <m/>
    <n v="1122521.9458668618"/>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Payment"/>
    <m/>
    <m/>
    <m/>
    <x v="0"/>
    <n v="200000"/>
    <n v="-200000"/>
    <m/>
  </r>
  <r>
    <x v="20"/>
    <s v="Dyes"/>
    <s v="GSL-4G"/>
    <m/>
    <m/>
    <x v="0"/>
    <n v="0"/>
    <n v="0"/>
    <m/>
  </r>
  <r>
    <x v="20"/>
    <s v="Dyes"/>
    <m/>
    <m/>
    <m/>
    <x v="1"/>
    <n v="110000"/>
    <n v="-110000"/>
    <m/>
  </r>
  <r>
    <x v="21"/>
    <s v="Dye"/>
    <m/>
    <m/>
    <n v="94500"/>
    <x v="1"/>
    <n v="94500"/>
    <n v="0"/>
    <m/>
  </r>
  <r>
    <x v="22"/>
    <s v="Dyes"/>
    <m/>
    <m/>
    <n v="97250"/>
    <x v="1"/>
    <n v="70250"/>
    <n v="27000"/>
    <m/>
  </r>
  <r>
    <x v="23"/>
    <m/>
    <m/>
    <m/>
    <m/>
    <x v="0"/>
    <n v="200000"/>
    <n v="-200000"/>
    <m/>
  </r>
  <r>
    <x v="24"/>
    <m/>
    <m/>
    <m/>
    <m/>
    <x v="1"/>
    <n v="27000"/>
    <n v="-27000"/>
    <m/>
  </r>
  <r>
    <x v="8"/>
    <m/>
    <m/>
    <m/>
    <m/>
    <x v="9"/>
    <n v="0"/>
    <n v="0"/>
    <m/>
  </r>
  <r>
    <x v="25"/>
    <s v="Dyes//New party"/>
    <m/>
    <m/>
    <m/>
    <x v="9"/>
    <n v="0"/>
    <n v="0"/>
    <m/>
  </r>
  <r>
    <x v="8"/>
    <m/>
    <m/>
    <m/>
    <m/>
    <x v="9"/>
    <n v="0"/>
    <n v="0"/>
    <m/>
  </r>
  <r>
    <x v="8"/>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s v="-"/>
    <n v="53500"/>
    <e v="#VALUE!"/>
    <m/>
    <e v="#VALUE!"/>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m/>
    <x v="1"/>
    <m/>
    <m/>
    <m/>
    <n v="0"/>
    <n v="0"/>
    <n v="0"/>
  </r>
  <r>
    <m/>
    <x v="1"/>
    <m/>
    <m/>
    <m/>
    <n v="0"/>
    <n v="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19516"/>
    <n v="31.489375756018035"/>
    <n v="17845.647403072424"/>
    <n v="178456.47403072423"/>
    <m/>
  </r>
  <r>
    <d v="2026-05-25T00:00:00"/>
    <x v="6"/>
    <n v="1736"/>
    <s v="Crinkle"/>
    <x v="83"/>
    <n v="26048"/>
    <n v="27159"/>
    <n v="4.658739298918519"/>
    <n v="24834.491587417706"/>
    <n v="248344.9158741770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e v="#DIV/0!"/>
    <n v="6165.874177029993"/>
    <n v="61658.74177029993"/>
    <m/>
  </r>
  <r>
    <d v="2026-06-13T00:00:00"/>
    <x v="10"/>
    <n v="1757"/>
    <s v="Silky"/>
    <x v="97"/>
    <n v="30502"/>
    <n v="24765"/>
    <n v="25.757683535640169"/>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Silky"/>
    <x v="0"/>
    <n v="0"/>
    <n v="0"/>
    <e v="#DIV/0!"/>
    <n v="0"/>
    <n v="0"/>
    <m/>
  </r>
  <r>
    <d v="2026-06-13T00:00:00"/>
    <x v="33"/>
    <n v="1761"/>
    <s v="Satin"/>
    <x v="100"/>
    <n v="11205"/>
    <n v="11205"/>
    <n v="8.5588880760790005"/>
    <n v="10245.976591075349"/>
    <n v="153689.64886613021"/>
    <m/>
  </r>
  <r>
    <d v="2026-06-13T00:00:00"/>
    <x v="33"/>
    <n v="1762"/>
    <s v="Chamki"/>
    <x v="101"/>
    <n v="5702"/>
    <n v="5958"/>
    <n v="4.4534996768289545"/>
    <n v="5448.0614484272137"/>
    <n v="54480.614484272141"/>
    <m/>
  </r>
  <r>
    <m/>
    <x v="34"/>
    <n v="1763"/>
    <m/>
    <x v="0"/>
    <m/>
    <m/>
    <e v="#DIV/0!"/>
    <n v="0"/>
    <m/>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49.06871336179568"/>
    <n v="3986.8324798829558"/>
    <n v="39868.324798829555"/>
    <m/>
  </r>
  <r>
    <d v="2026-06-23T00:00:00"/>
    <x v="37"/>
    <n v="1778"/>
    <s v="Chamki"/>
    <x v="111"/>
    <n v="30000"/>
    <n v="31992"/>
    <m/>
    <n v="29253.840526700806"/>
    <n v="292538.40526700806"/>
    <m/>
  </r>
  <r>
    <d v="2026-06-23T00:00:00"/>
    <x v="0"/>
    <n v="1779"/>
    <s v="Chamki"/>
    <x v="110"/>
    <n v="25929"/>
    <n v="23184"/>
    <m/>
    <n v="21199.707388441846"/>
    <n v="211997.07388441847"/>
    <m/>
  </r>
  <r>
    <d v="2026-06-23T00:00:00"/>
    <x v="31"/>
    <n v="1780"/>
    <s v="Silky"/>
    <x v="112"/>
    <n v="49912"/>
    <n v="35923"/>
    <m/>
    <n v="32848.390636430144"/>
    <n v="427029.07827359188"/>
    <m/>
  </r>
  <r>
    <d v="2026-06-23T00:00:00"/>
    <x v="31"/>
    <n v="1781"/>
    <s v="Silky"/>
    <x v="112"/>
    <n v="49912"/>
    <n v="16643"/>
    <m/>
    <n v="15218.544257498172"/>
    <n v="197841.07534747623"/>
    <m/>
  </r>
  <r>
    <d v="2026-06-23T00:00:00"/>
    <x v="0"/>
    <n v="1782"/>
    <s v="Crinkle"/>
    <x v="113"/>
    <n v="50235"/>
    <n v="29885"/>
    <m/>
    <n v="27327.17629846379"/>
    <n v="273271.76298463787"/>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3">
      <pivotArea field="0" grandRow="1" outline="0" collapsedLevelsAreSubtotals="1" axis="axisRow" fieldPosition="0">
        <references count="1">
          <reference field="4294967294" count="1" selected="0">
            <x v="1"/>
          </reference>
        </references>
      </pivotArea>
    </format>
    <format dxfId="122">
      <pivotArea field="0" grandRow="1" outline="0" collapsedLevelsAreSubtotals="1" axis="axisRow" fieldPosition="0">
        <references count="1">
          <reference field="4294967294" count="1" selected="0">
            <x v="0"/>
          </reference>
        </references>
      </pivotArea>
    </format>
    <format dxfId="121">
      <pivotArea collapsedLevelsAreSubtotals="1" fieldPosition="0">
        <references count="2">
          <reference field="4294967294" count="1" selected="0">
            <x v="1"/>
          </reference>
          <reference field="0" count="0"/>
        </references>
      </pivotArea>
    </format>
    <format dxfId="12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7" firstHeaderRow="0" firstDataRow="1" firstDataCol="1" rowPageCount="1" colPageCount="1"/>
  <pivotFields count="9">
    <pivotField axis="axisRow" numFmtId="14" showAll="0">
      <items count="3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7">
      <pivotArea dataOnly="0" labelOnly="1" outline="0" fieldPosition="0">
        <references count="1">
          <reference field="1" count="1">
            <x v="1"/>
          </reference>
        </references>
      </pivotArea>
    </format>
    <format dxfId="9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7" firstHeaderRow="0" firstDataRow="1" firstDataCol="1"/>
  <pivotFields count="9">
    <pivotField axis="axisRow" numFmtId="14" showAll="0">
      <items count="9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91"/>
        <item x="75"/>
        <item x="76"/>
        <item x="77"/>
        <item x="78"/>
        <item x="79"/>
        <item x="80"/>
        <item x="81"/>
        <item x="82"/>
        <item x="83"/>
        <item x="84"/>
        <item x="85"/>
        <item x="86"/>
        <item x="87"/>
        <item x="88"/>
        <item x="89"/>
        <item x="90"/>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4">
    <i>
      <x/>
    </i>
    <i>
      <x v="3"/>
    </i>
    <i>
      <x v="4"/>
    </i>
    <i>
      <x v="5"/>
    </i>
    <i>
      <x v="6"/>
    </i>
    <i r="1">
      <x v="153"/>
    </i>
    <i r="1">
      <x v="154"/>
    </i>
    <i r="1">
      <x v="155"/>
    </i>
    <i r="1">
      <x v="156"/>
    </i>
    <i r="1">
      <x v="157"/>
    </i>
    <i r="1">
      <x v="158"/>
    </i>
    <i r="1">
      <x v="159"/>
    </i>
    <i r="1">
      <x v="160"/>
    </i>
    <i r="1">
      <x v="161"/>
    </i>
    <i r="1">
      <x v="162"/>
    </i>
    <i r="1">
      <x v="163"/>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7">
        <item x="8"/>
        <item x="1"/>
        <item x="2"/>
        <item x="3"/>
        <item x="4"/>
        <item x="5"/>
        <item x="6"/>
        <item x="7"/>
        <item x="9"/>
        <item x="10"/>
        <item x="11"/>
        <item x="12"/>
        <item x="13"/>
        <item x="14"/>
        <item x="15"/>
        <item x="0"/>
        <item x="16"/>
        <item x="17"/>
        <item x="18"/>
        <item x="19"/>
        <item x="20"/>
        <item x="21"/>
        <item x="22"/>
        <item x="23"/>
        <item x="24"/>
        <item x="25"/>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8" firstHeaderRow="0" firstDataRow="1" firstDataCol="1" rowPageCount="1" colPageCount="1"/>
  <pivotFields count="14">
    <pivotField showAll="0"/>
    <pivotField axis="axisPage" multipleItemSelectionAllowed="1" showAll="0">
      <items count="47">
        <item m="1" x="43"/>
        <item x="2"/>
        <item x="0"/>
        <item x="1"/>
        <item m="1" x="45"/>
        <item m="1" x="41"/>
        <item x="6"/>
        <item m="1" x="44"/>
        <item x="3"/>
        <item x="4"/>
        <item m="1" x="42"/>
        <item m="1" x="40"/>
        <item x="34"/>
        <item x="5"/>
        <item x="10"/>
        <item x="8"/>
        <item x="9"/>
        <item x="7"/>
        <item x="11"/>
        <item m="1" x="39"/>
        <item x="13"/>
        <item x="14"/>
        <item x="15"/>
        <item x="16"/>
        <item x="17"/>
        <item x="18"/>
        <item x="19"/>
        <item x="20"/>
        <item x="21"/>
        <item x="22"/>
        <item x="23"/>
        <item x="24"/>
        <item x="25"/>
        <item x="12"/>
        <item x="27"/>
        <item x="26"/>
        <item x="28"/>
        <item x="29"/>
        <item x="30"/>
        <item x="31"/>
        <item x="32"/>
        <item m="1" x="38"/>
        <item x="33"/>
        <item x="35"/>
        <item x="36"/>
        <item x="37"/>
        <item t="default"/>
      </items>
    </pivotField>
    <pivotField showAll="0"/>
    <pivotField showAll="0"/>
    <pivotField axis="axisRow" showAll="0">
      <items count="603">
        <item m="1" x="585"/>
        <item m="1" x="586"/>
        <item m="1" x="584"/>
        <item m="1" x="583"/>
        <item m="1" x="587"/>
        <item m="1" x="589"/>
        <item m="1" x="588"/>
        <item m="1" x="590"/>
        <item m="1" x="591"/>
        <item m="1" x="592"/>
        <item m="1" x="593"/>
        <item m="1" x="594"/>
        <item m="1" x="595"/>
        <item m="1" x="596"/>
        <item m="1" x="521"/>
        <item m="1" x="543"/>
        <item m="1" x="597"/>
        <item m="1" x="598"/>
        <item m="1" x="599"/>
        <item m="1" x="551"/>
        <item m="1" x="550"/>
        <item m="1" x="600"/>
        <item m="1" x="601"/>
        <item m="1" x="560"/>
        <item m="1" x="552"/>
        <item m="1" x="553"/>
        <item m="1" x="554"/>
        <item m="1" x="555"/>
        <item m="1" x="556"/>
        <item m="1" x="557"/>
        <item m="1" x="558"/>
        <item m="1" x="559"/>
        <item m="1" x="561"/>
        <item m="1" x="581"/>
        <item m="1" x="562"/>
        <item m="1" x="582"/>
        <item m="1" x="563"/>
        <item m="1" x="564"/>
        <item m="1" x="565"/>
        <item m="1" x="566"/>
        <item m="1" x="567"/>
        <item m="1" x="498"/>
        <item m="1" x="568"/>
        <item m="1" x="569"/>
        <item m="1" x="570"/>
        <item m="1" x="571"/>
        <item m="1" x="572"/>
        <item m="1" x="573"/>
        <item m="1" x="574"/>
        <item m="1" x="575"/>
        <item m="1" x="576"/>
        <item m="1" x="577"/>
        <item m="1" x="578"/>
        <item m="1" x="579"/>
        <item m="1" x="580"/>
        <item x="0"/>
        <item m="1" x="497"/>
        <item m="1" x="499"/>
        <item m="1" x="500"/>
        <item m="1" x="501"/>
        <item m="1" x="502"/>
        <item m="1" x="503"/>
        <item m="1" x="504"/>
        <item m="1" x="505"/>
        <item m="1" x="506"/>
        <item m="1" x="507"/>
        <item m="1" x="508"/>
        <item m="1" x="509"/>
        <item m="1" x="510"/>
        <item m="1" x="511"/>
        <item m="1" x="236"/>
        <item m="1" x="512"/>
        <item m="1" x="513"/>
        <item m="1" x="514"/>
        <item m="1" x="515"/>
        <item m="1" x="516"/>
        <item m="1" x="517"/>
        <item m="1" x="518"/>
        <item m="1" x="519"/>
        <item m="1" x="520"/>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4"/>
        <item m="1" x="545"/>
        <item m="1" x="546"/>
        <item m="1" x="547"/>
        <item m="1" x="548"/>
        <item m="1" x="549"/>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252"/>
        <item m="1" x="466"/>
        <item m="1" x="467"/>
        <item m="1" x="468"/>
        <item m="1" x="469"/>
        <item m="1" x="470"/>
        <item m="1" x="471"/>
        <item m="1" x="472"/>
        <item m="1" x="473"/>
        <item m="1" x="474"/>
        <item m="1" x="475"/>
        <item m="1" x="476"/>
        <item m="1" x="496"/>
        <item m="1" x="477"/>
        <item m="1" x="478"/>
        <item m="1" x="479"/>
        <item m="1" x="480"/>
        <item m="1" x="481"/>
        <item m="1" x="482"/>
        <item m="1" x="483"/>
        <item m="1" x="484"/>
        <item m="1" x="485"/>
        <item m="1" x="486"/>
        <item m="1" x="487"/>
        <item m="1" x="488"/>
        <item m="1" x="489"/>
        <item m="1" x="490"/>
        <item m="1" x="491"/>
        <item m="1" x="492"/>
        <item m="1" x="493"/>
        <item m="1" x="494"/>
        <item m="1" x="495"/>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292"/>
        <item m="1" x="415"/>
        <item m="1" x="283"/>
        <item m="1" x="284"/>
        <item m="1" x="285"/>
        <item m="1" x="286"/>
        <item m="1" x="287"/>
        <item m="1" x="288"/>
        <item m="1" x="289"/>
        <item m="1" x="290"/>
        <item m="1" x="291"/>
        <item m="1" x="293"/>
        <item m="1" x="294"/>
        <item m="1" x="295"/>
        <item m="1" x="296"/>
        <item m="1" x="297"/>
        <item m="1" x="298"/>
        <item m="1" x="299"/>
        <item m="1" x="300"/>
        <item m="1" x="301"/>
        <item m="1" x="302"/>
        <item m="1" x="303"/>
        <item m="1" x="304"/>
        <item m="1" x="305"/>
        <item m="1" x="306"/>
        <item m="1" x="233"/>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237"/>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234"/>
        <item m="1" x="358"/>
        <item m="1" x="359"/>
        <item m="1" x="231"/>
        <item m="1" x="240"/>
        <item m="1" x="232"/>
        <item m="1" x="235"/>
        <item m="1" x="238"/>
        <item m="1" x="239"/>
        <item m="1" x="241"/>
        <item m="1" x="242"/>
        <item m="1" x="243"/>
        <item m="1" x="244"/>
        <item m="1" x="245"/>
        <item m="1" x="246"/>
        <item m="1" x="247"/>
        <item m="1" x="248"/>
        <item m="1" x="249"/>
        <item m="1" x="250"/>
        <item m="1" x="157"/>
        <item m="1" x="251"/>
        <item m="1" x="253"/>
        <item m="1" x="254"/>
        <item m="1" x="255"/>
        <item m="1" x="212"/>
        <item m="1" x="188"/>
        <item m="1" x="256"/>
        <item m="1" x="257"/>
        <item m="1" x="258"/>
        <item m="1" x="180"/>
        <item m="1" x="259"/>
        <item m="1" x="260"/>
        <item m="1" x="261"/>
        <item m="1" x="262"/>
        <item m="1" x="227"/>
        <item m="1" x="263"/>
        <item m="1" x="264"/>
        <item m="1" x="265"/>
        <item m="1" x="266"/>
        <item m="1" x="267"/>
        <item m="1" x="268"/>
        <item m="1" x="269"/>
        <item m="1" x="270"/>
        <item m="1" x="271"/>
        <item m="1" x="272"/>
        <item m="1" x="273"/>
        <item m="1" x="274"/>
        <item m="1" x="282"/>
        <item m="1" x="275"/>
        <item m="1" x="276"/>
        <item m="1" x="177"/>
        <item m="1" x="178"/>
        <item m="1" x="277"/>
        <item m="1" x="189"/>
        <item m="1" x="278"/>
        <item m="1" x="279"/>
        <item m="1" x="280"/>
        <item m="1" x="281"/>
        <item m="1" x="176"/>
        <item m="1" x="174"/>
        <item m="1" x="173"/>
        <item m="1" x="175"/>
        <item m="1" x="179"/>
        <item m="1" x="126"/>
        <item m="1" x="122"/>
        <item m="1" x="181"/>
        <item m="1" x="182"/>
        <item m="1" x="183"/>
        <item m="1" x="184"/>
        <item m="1" x="185"/>
        <item m="1" x="186"/>
        <item m="1" x="187"/>
        <item m="1" x="190"/>
        <item m="1" x="191"/>
        <item m="1" x="192"/>
        <item m="1" x="193"/>
        <item m="1" x="194"/>
        <item m="1" x="195"/>
        <item m="1" x="196"/>
        <item m="1" x="197"/>
        <item m="1" x="198"/>
        <item m="1" x="199"/>
        <item m="1" x="200"/>
        <item m="1" x="201"/>
        <item m="1" x="202"/>
        <item m="1" x="203"/>
        <item m="1" x="115"/>
        <item m="1" x="204"/>
        <item m="1" x="205"/>
        <item m="1" x="206"/>
        <item m="1" x="123"/>
        <item m="1" x="207"/>
        <item m="1" x="208"/>
        <item m="1" x="209"/>
        <item m="1" x="210"/>
        <item m="1" x="211"/>
        <item m="1" x="213"/>
        <item m="1" x="214"/>
        <item m="1" x="215"/>
        <item m="1" x="216"/>
        <item m="1" x="121"/>
        <item m="1" x="217"/>
        <item m="1" x="218"/>
        <item m="1" x="219"/>
        <item m="1" x="220"/>
        <item m="1" x="221"/>
        <item m="1" x="222"/>
        <item m="1" x="128"/>
        <item m="1" x="223"/>
        <item m="1" x="168"/>
        <item m="1" x="224"/>
        <item m="1" x="120"/>
        <item m="1" x="225"/>
        <item m="1" x="226"/>
        <item m="1" x="132"/>
        <item m="1" x="228"/>
        <item m="1" x="229"/>
        <item m="1" x="230"/>
        <item m="1" x="114"/>
        <item m="1" x="116"/>
        <item m="1" x="117"/>
        <item m="1" x="118"/>
        <item m="1" x="119"/>
        <item m="1" x="124"/>
        <item m="1" x="125"/>
        <item m="1" x="127"/>
        <item m="1" x="129"/>
        <item m="1" x="130"/>
        <item m="1" x="131"/>
        <item m="1" x="133"/>
        <item m="1" x="134"/>
        <item m="1" x="135"/>
        <item m="1" x="136"/>
        <item m="1" x="137"/>
        <item m="1" x="138"/>
        <item m="1" x="139"/>
        <item m="1" x="140"/>
        <item x="84"/>
        <item m="1" x="141"/>
        <item m="1" x="142"/>
        <item m="1" x="143"/>
        <item m="1" x="144"/>
        <item m="1" x="145"/>
        <item m="1" x="146"/>
        <item m="1" x="147"/>
        <item m="1" x="148"/>
        <item m="1" x="149"/>
        <item m="1" x="150"/>
        <item m="1" x="151"/>
        <item m="1" x="152"/>
        <item m="1" x="153"/>
        <item m="1" x="154"/>
        <item m="1" x="155"/>
        <item m="1" x="156"/>
        <item m="1" x="158"/>
        <item m="1" x="159"/>
        <item x="16"/>
        <item m="1" x="160"/>
        <item m="1" x="161"/>
        <item m="1" x="162"/>
        <item m="1" x="163"/>
        <item m="1" x="164"/>
        <item m="1" x="165"/>
        <item m="1" x="166"/>
        <item m="1" x="167"/>
        <item m="1" x="172"/>
        <item m="1" x="169"/>
        <item m="1" x="170"/>
        <item m="1" x="171"/>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5">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02">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0" s="1"/>
        <i x="113" s="1"/>
        <i x="102" s="1"/>
        <i x="109" s="1"/>
        <i x="112" s="1"/>
        <i x="73" s="1"/>
        <i x="65" s="1"/>
        <i x="93" s="1"/>
        <i x="1" s="1"/>
        <i x="22" s="1"/>
        <i x="27" s="1"/>
        <i x="64" s="1"/>
        <i x="72" s="1"/>
        <i x="19" s="1"/>
        <i x="53" s="1"/>
        <i x="76" s="1"/>
        <i x="71" s="1"/>
        <i x="106" s="1"/>
        <i x="100" s="1"/>
        <i x="111" s="1"/>
        <i x="87" s="1"/>
        <i x="98" s="1"/>
        <i x="70" s="1"/>
        <i x="0" s="1"/>
        <i x="556" s="1" nd="1"/>
        <i x="585" s="1" nd="1"/>
        <i x="586" s="1" nd="1"/>
        <i x="594" s="1" nd="1"/>
        <i x="584" s="1" nd="1"/>
        <i x="583" s="1" nd="1"/>
        <i x="587" s="1" nd="1"/>
        <i x="598" s="1" nd="1"/>
        <i x="590" s="1" nd="1"/>
        <i x="591" s="1" nd="1"/>
        <i x="588" s="1" nd="1"/>
        <i x="589" s="1" nd="1"/>
        <i x="599" s="1" nd="1"/>
        <i x="592" s="1" nd="1"/>
        <i x="593" s="1" nd="1"/>
        <i x="596" s="1" nd="1"/>
        <i x="597" s="1" nd="1"/>
        <i x="595" s="1" nd="1"/>
        <i x="551" s="1" nd="1"/>
        <i x="601" s="1" nd="1"/>
        <i x="550" s="1" nd="1"/>
        <i x="600" s="1" nd="1"/>
        <i x="553" s="1" nd="1"/>
        <i x="514" s="1" nd="1"/>
        <i x="552" s="1" nd="1"/>
        <i x="554" s="1" nd="1"/>
        <i x="560" s="1" nd="1"/>
        <i x="555" s="1" nd="1"/>
        <i x="557" s="1" nd="1"/>
        <i x="573" s="1" nd="1"/>
        <i x="497" s="1" nd="1"/>
        <i x="561" s="1" nd="1"/>
        <i x="502" s="1" nd="1"/>
        <i x="567" s="1" nd="1"/>
        <i x="562" s="1" nd="1"/>
        <i x="565" s="1" nd="1"/>
        <i x="570" s="1" nd="1"/>
        <i x="581" s="1" nd="1"/>
        <i x="563" s="1" nd="1"/>
        <i x="575" s="1" nd="1"/>
        <i x="578" s="1" nd="1"/>
        <i x="569" s="1" nd="1"/>
        <i x="558" s="1" nd="1"/>
        <i x="566" s="1" nd="1"/>
        <i x="559" s="1" nd="1"/>
        <i x="564" s="1" nd="1"/>
        <i x="498" s="1" nd="1"/>
        <i x="568" s="1" nd="1"/>
        <i x="574" s="1" nd="1"/>
        <i x="236" s="1" nd="1"/>
        <i x="571" s="1" nd="1"/>
        <i x="576" s="1" nd="1"/>
        <i x="572" s="1" nd="1"/>
        <i x="538" s="1" nd="1"/>
        <i x="577" s="1" nd="1"/>
        <i x="579" s="1" nd="1"/>
        <i x="500" s="1" nd="1"/>
        <i x="507" s="1" nd="1"/>
        <i x="580" s="1" nd="1"/>
        <i x="504" s="1" nd="1"/>
        <i x="505" s="1" nd="1"/>
        <i x="499" s="1" nd="1"/>
        <i x="503" s="1" nd="1"/>
        <i x="391" s="1" nd="1"/>
        <i x="501" s="1" nd="1"/>
        <i x="510" s="1" nd="1"/>
        <i x="506" s="1" nd="1"/>
        <i x="508" s="1" nd="1"/>
        <i x="511" s="1" nd="1"/>
        <i x="518" s="1" nd="1"/>
        <i x="509" s="1" nd="1"/>
        <i x="517" s="1" nd="1"/>
        <i x="522" s="1" nd="1"/>
        <i x="516" s="1" nd="1"/>
        <i x="519" s="1" nd="1"/>
        <i x="529" s="1" nd="1"/>
        <i x="515" s="1" nd="1"/>
        <i x="512" s="1" nd="1"/>
        <i x="513" s="1" nd="1"/>
        <i x="528" s="1" nd="1"/>
        <i x="387" s="1" nd="1"/>
        <i x="521" s="1" nd="1"/>
        <i x="532" s="1" nd="1"/>
        <i x="527" s="1" nd="1"/>
        <i x="520" s="1" nd="1"/>
        <i x="544" s="1" nd="1"/>
        <i x="525" s="1" nd="1"/>
        <i x="535" s="1" nd="1"/>
        <i x="533" s="1" nd="1"/>
        <i x="523" s="1" nd="1"/>
        <i x="531" s="1" nd="1"/>
        <i x="530" s="1" nd="1"/>
        <i x="526" s="1" nd="1"/>
        <i x="536" s="1" nd="1"/>
        <i x="534" s="1" nd="1"/>
        <i x="537" s="1" nd="1"/>
        <i x="524" s="1" nd="1"/>
        <i x="466" s="1" nd="1"/>
        <i x="539" s="1" nd="1"/>
        <i x="540" s="1" nd="1"/>
        <i x="425" s="1" nd="1"/>
        <i x="427" s="1" nd="1"/>
        <i x="547" s="1" nd="1"/>
        <i x="421" s="1" nd="1"/>
        <i x="467" s="1" nd="1"/>
        <i x="541" s="1" nd="1"/>
        <i x="542" s="1" nd="1"/>
        <i x="424" s="1" nd="1"/>
        <i x="549" s="1" nd="1"/>
        <i x="423" s="1" nd="1"/>
        <i x="438" s="1" nd="1"/>
        <i x="548" s="1" nd="1"/>
        <i x="543" s="1" nd="1"/>
        <i x="442" s="1" nd="1"/>
        <i x="155" s="1" nd="1"/>
        <i x="546" s="1" nd="1"/>
        <i x="545" s="1" nd="1"/>
        <i x="463" s="1" nd="1"/>
        <i x="416" s="1" nd="1"/>
        <i x="428" s="1" nd="1"/>
        <i x="464" s="1" nd="1"/>
        <i x="462" s="1" nd="1"/>
        <i x="420" s="1" nd="1"/>
        <i x="422" s="1" nd="1"/>
        <i x="255" s="1" nd="1"/>
        <i x="426" s="1" nd="1"/>
        <i x="417" s="1" nd="1"/>
        <i x="452" s="1" nd="1"/>
        <i x="457" s="1" nd="1"/>
        <i x="418" s="1" nd="1"/>
        <i x="419" s="1" nd="1"/>
        <i x="429" s="1" nd="1"/>
        <i x="432" s="1" nd="1"/>
        <i x="439" s="1" nd="1"/>
        <i x="431" s="1" nd="1"/>
        <i x="434" s="1" nd="1"/>
        <i x="433" s="1" nd="1"/>
        <i x="475" s="1" nd="1"/>
        <i x="430" s="1" nd="1"/>
        <i x="156" s="1" nd="1"/>
        <i x="153" s="1" nd="1"/>
        <i x="455" s="1" nd="1"/>
        <i x="470" s="1" nd="1"/>
        <i x="435" s="1" nd="1"/>
        <i x="460" s="1" nd="1"/>
        <i x="472" s="1" nd="1"/>
        <i x="444" s="1" nd="1"/>
        <i x="484" s="1" nd="1"/>
        <i x="443" s="1" nd="1"/>
        <i x="440" s="1" nd="1"/>
        <i x="436" s="1" nd="1"/>
        <i x="437" s="1" nd="1"/>
        <i x="456" s="1" nd="1"/>
        <i x="445" s="1" nd="1"/>
        <i x="368" s="1" nd="1"/>
        <i x="446" s="1" nd="1"/>
        <i x="441" s="1" nd="1"/>
        <i x="448" s="1" nd="1"/>
        <i x="449" s="1" nd="1"/>
        <i x="477" s="1" nd="1"/>
        <i x="447" s="1" nd="1"/>
        <i x="465" s="1" nd="1"/>
        <i x="453" s="1" nd="1"/>
        <i x="450" s="1" nd="1"/>
        <i x="454" s="1" nd="1"/>
        <i x="451" s="1" nd="1"/>
        <i x="458" s="1" nd="1"/>
        <i x="157" s="1" nd="1"/>
        <i x="476" s="1" nd="1"/>
        <i x="471" s="1" nd="1"/>
        <i x="490" s="1" nd="1"/>
        <i x="459" s="1" nd="1"/>
        <i x="361" s="1" nd="1"/>
        <i x="469" s="1" nd="1"/>
        <i x="461" s="1" nd="1"/>
        <i x="485" s="1" nd="1"/>
        <i x="468" s="1" nd="1"/>
        <i x="483" s="1" nd="1"/>
        <i x="369" s="1" nd="1"/>
        <i x="474" s="1" nd="1"/>
        <i x="473" s="1" nd="1"/>
        <i x="489" s="1" nd="1"/>
        <i x="486" s="1" nd="1"/>
        <i x="380" s="1" nd="1"/>
        <i x="494" s="1" nd="1"/>
        <i x="478" s="1" nd="1"/>
        <i x="487" s="1" nd="1"/>
        <i x="492" s="1" nd="1"/>
        <i x="371" s="1" nd="1"/>
        <i x="397" s="1" nd="1"/>
        <i x="496" s="1" nd="1"/>
        <i x="493" s="1" nd="1"/>
        <i x="362" s="1" nd="1"/>
        <i x="382" s="1" nd="1"/>
        <i x="488" s="1" nd="1"/>
        <i x="364" s="1" nd="1"/>
        <i x="479" s="1" nd="1"/>
        <i x="482" s="1" nd="1"/>
        <i x="379" s="1" nd="1"/>
        <i x="491" s="1" nd="1"/>
        <i x="118" s="1" nd="1"/>
        <i x="152" s="1" nd="1"/>
        <i x="480" s="1" nd="1"/>
        <i x="481" s="1" nd="1"/>
        <i x="366" s="1" nd="1"/>
        <i x="384" s="1" nd="1"/>
        <i x="385" s="1" nd="1"/>
        <i x="398" s="1" nd="1"/>
        <i x="495" s="1" nd="1"/>
        <i x="360" s="1" nd="1"/>
        <i x="383" s="1" nd="1"/>
        <i x="376" s="1" nd="1"/>
        <i x="363" s="1" nd="1"/>
        <i x="367" s="1" nd="1"/>
        <i x="373" s="1" nd="1"/>
        <i x="365" s="1" nd="1"/>
        <i x="389" s="1" nd="1"/>
        <i x="393" s="1" nd="1"/>
        <i x="394" s="1" nd="1"/>
        <i x="386" s="1" nd="1"/>
        <i x="370" s="1" nd="1"/>
        <i x="235" s="1" nd="1"/>
        <i x="372" s="1" nd="1"/>
        <i x="374" s="1" nd="1"/>
        <i x="377" s="1" nd="1"/>
        <i x="390" s="1" nd="1"/>
        <i x="375" s="1" nd="1"/>
        <i x="396" s="1" nd="1"/>
        <i x="328" s="1" nd="1"/>
        <i x="307" s="1" nd="1"/>
        <i x="411" s="1" nd="1"/>
        <i x="378" s="1" nd="1"/>
        <i x="399" s="1" nd="1"/>
        <i x="395" s="1" nd="1"/>
        <i x="381" s="1" nd="1"/>
        <i x="403" s="1" nd="1"/>
        <i x="339" s="1" nd="1"/>
        <i x="302" s="1" nd="1"/>
        <i x="388" s="1" nd="1"/>
        <i x="412" s="1" nd="1"/>
        <i x="392" s="1" nd="1"/>
        <i x="415" s="1" nd="1"/>
        <i x="402" s="1" nd="1"/>
        <i x="407" s="1" nd="1"/>
        <i x="284" s="1" nd="1"/>
        <i x="404" s="1" nd="1"/>
        <i x="406" s="1" nd="1"/>
        <i x="324" s="1" nd="1"/>
        <i x="292" s="1" nd="1"/>
        <i x="401" s="1" nd="1"/>
        <i x="289" s="1" nd="1"/>
        <i x="400" s="1" nd="1"/>
        <i x="301" s="1" nd="1"/>
        <i x="285" s="1" nd="1"/>
        <i x="283" s="1" nd="1"/>
        <i x="405" s="1" nd="1"/>
        <i x="299" s="1" nd="1"/>
        <i x="293" s="1" nd="1"/>
        <i x="304" s="1" nd="1"/>
        <i x="321" s="1" nd="1"/>
        <i x="298" s="1" nd="1"/>
        <i x="309" s="1" nd="1"/>
        <i x="303" s="1" nd="1"/>
        <i x="300" s="1" nd="1"/>
        <i x="413" s="1" nd="1"/>
        <i x="357" s="1" nd="1"/>
        <i x="311" s="1" nd="1"/>
        <i x="312" s="1" nd="1"/>
        <i x="409" s="1" nd="1"/>
        <i x="408" s="1" nd="1"/>
        <i x="286" s="1" nd="1"/>
        <i x="288" s="1" nd="1"/>
        <i x="319" s="1" nd="1"/>
        <i x="295" s="1" nd="1"/>
        <i x="414" s="1" nd="1"/>
        <i x="353" s="1" nd="1"/>
        <i x="344" s="1" nd="1"/>
        <i x="332" s="1" nd="1"/>
        <i x="306" s="1" nd="1"/>
        <i x="291" s="1" nd="1"/>
        <i x="322" s="1" nd="1"/>
        <i x="341" s="1" nd="1"/>
        <i x="333" s="1" nd="1"/>
        <i x="329" s="1" nd="1"/>
        <i x="297" s="1" nd="1"/>
        <i x="317" s="1" nd="1"/>
        <i x="316" s="1" nd="1"/>
        <i x="331" s="1" nd="1"/>
        <i x="318" s="1" nd="1"/>
        <i x="410" s="1" nd="1"/>
        <i x="294" s="1" nd="1"/>
        <i x="290" s="1" nd="1"/>
        <i x="320" s="1" nd="1"/>
        <i x="287" s="1" nd="1"/>
        <i x="325" s="1" nd="1"/>
        <i x="326" s="1" nd="1"/>
        <i x="330" s="1" nd="1"/>
        <i x="234" s="1" nd="1"/>
        <i x="310" s="1" nd="1"/>
        <i x="305" s="1" nd="1"/>
        <i x="338" s="1" nd="1"/>
        <i x="337" s="1" nd="1"/>
        <i x="342" s="1" nd="1"/>
        <i x="296" s="1" nd="1"/>
        <i x="340" s="1" nd="1"/>
        <i x="327" s="1" nd="1"/>
        <i x="233" s="1" nd="1"/>
        <i x="308" s="1" nd="1"/>
        <i x="313" s="1" nd="1"/>
        <i x="314" s="1" nd="1"/>
        <i x="323" s="1" nd="1"/>
        <i x="315" s="1" nd="1"/>
        <i x="334" s="1" nd="1"/>
        <i x="251" s="1" nd="1"/>
        <i x="345" s="1" nd="1"/>
        <i x="335" s="1" nd="1"/>
        <i x="351" s="1" nd="1"/>
        <i x="348" s="1" nd="1"/>
        <i x="346" s="1" nd="1"/>
        <i x="246" s="1" nd="1"/>
        <i x="245" s="1" nd="1"/>
        <i x="358" s="1" nd="1"/>
        <i x="232" s="1" nd="1"/>
        <i x="244" s="1" nd="1"/>
        <i x="352" s="1" nd="1"/>
        <i x="359" s="1" nd="1"/>
        <i x="237" s="1" nd="1"/>
        <i x="354" s="1" nd="1"/>
        <i x="355" s="1" nd="1"/>
        <i x="336" s="1" nd="1"/>
        <i x="349" s="1" nd="1"/>
        <i x="356" s="1" nd="1"/>
        <i x="347" s="1" nd="1"/>
        <i x="267" s="1" nd="1"/>
        <i x="350" s="1" nd="1"/>
        <i x="231" s="1" nd="1"/>
        <i x="240" s="1" nd="1"/>
        <i x="239" s="1" nd="1"/>
        <i x="343" s="1" nd="1"/>
        <i x="227" s="1" nd="1"/>
        <i x="221" s="1" nd="1"/>
        <i x="192" s="1" nd="1"/>
        <i x="226" s="1" nd="1"/>
        <i x="146" s="1" nd="1"/>
        <i x="243" s="1" nd="1"/>
        <i x="241" s="1" nd="1"/>
        <i x="248" s="1" nd="1"/>
        <i x="249" s="1" nd="1"/>
        <i x="247" s="1" nd="1"/>
        <i x="242" s="1" nd="1"/>
        <i x="238" s="1" nd="1"/>
        <i x="188" s="1" nd="1"/>
        <i x="212" s="1" nd="1"/>
        <i x="264" s="1" nd="1"/>
        <i x="254" s="1" nd="1"/>
        <i x="250" s="1" nd="1"/>
        <i x="268" s="1" nd="1"/>
        <i x="253" s="1" nd="1"/>
        <i x="136" s="1" nd="1"/>
        <i x="263" s="1" nd="1"/>
        <i x="265" s="1" nd="1"/>
        <i x="252" s="1" nd="1"/>
        <i x="256" s="1" nd="1"/>
        <i x="266" s="1" nd="1"/>
        <i x="259" s="1" nd="1"/>
        <i x="257" s="1" nd="1"/>
        <i x="258" s="1" nd="1"/>
        <i x="180" s="1" nd="1"/>
        <i x="262" s="1" nd="1"/>
        <i x="260" s="1" nd="1"/>
        <i x="261" s="1" nd="1"/>
        <i x="270" s="1" nd="1"/>
        <i x="269" s="1" nd="1"/>
        <i x="189" s="1" nd="1"/>
        <i x="279" s="1" nd="1"/>
        <i x="278" s="1" nd="1"/>
        <i x="190" s="1" nd="1"/>
        <i x="277" s="1" nd="1"/>
        <i x="282" s="1" nd="1"/>
        <i x="275" s="1" nd="1"/>
        <i x="281" s="1" nd="1"/>
        <i x="181" s="1" nd="1"/>
        <i x="186" s="1" nd="1"/>
        <i x="271" s="1" nd="1"/>
        <i x="174" s="1" nd="1"/>
        <i x="173" s="1" nd="1"/>
        <i x="175" s="1" nd="1"/>
        <i x="178" s="1" nd="1"/>
        <i x="272" s="1" nd="1"/>
        <i x="273" s="1" nd="1"/>
        <i x="274" s="1" nd="1"/>
        <i x="276" s="1" nd="1"/>
        <i x="280" s="1" nd="1"/>
        <i x="185" s="1" nd="1"/>
        <i x="184" s="1" nd="1"/>
        <i x="182" s="1" nd="1"/>
        <i x="126" s="1" nd="1"/>
        <i x="199" s="1" nd="1"/>
        <i x="177" s="1" nd="1"/>
        <i x="176" s="1" nd="1"/>
        <i x="122" s="1" nd="1"/>
        <i x="179" s="1" nd="1"/>
        <i x="198" s="1" nd="1"/>
        <i x="193" s="1" nd="1"/>
        <i x="194" s="1" nd="1"/>
        <i x="168" s="1" nd="1"/>
        <i x="183" s="1" nd="1"/>
        <i x="206" s="1" nd="1"/>
        <i x="228" s="1" nd="1"/>
        <i x="123" s="1" nd="1"/>
        <i x="195" s="1" nd="1"/>
        <i x="197" s="1" nd="1"/>
        <i x="187" s="1" nd="1"/>
        <i x="203" s="1" nd="1"/>
        <i x="207" s="1" nd="1"/>
        <i x="201" s="1" nd="1"/>
        <i x="200" s="1" nd="1"/>
        <i x="116" s="1" nd="1"/>
        <i x="196" s="1" nd="1"/>
        <i x="119" s="1" nd="1"/>
        <i x="191" s="1" nd="1"/>
        <i x="214" s="1" nd="1"/>
        <i x="215" s="1" nd="1"/>
        <i x="213" s="1" nd="1"/>
        <i x="202" s="1" nd="1"/>
        <i x="224" s="1" nd="1"/>
        <i x="205" s="1" nd="1"/>
        <i x="204" s="1" nd="1"/>
        <i x="117" s="1" nd="1"/>
        <i x="211" s="1" nd="1"/>
        <i x="216" s="1" nd="1"/>
        <i x="220" s="1" nd="1"/>
        <i x="230" s="1" nd="1"/>
        <i x="229" s="1" nd="1"/>
        <i x="210" s="1" nd="1"/>
        <i x="209" s="1" nd="1"/>
        <i x="121" s="1" nd="1"/>
        <i x="223" s="1" nd="1"/>
        <i x="115" s="1" nd="1"/>
        <i x="170" s="1" nd="1"/>
        <i x="125" s="1" nd="1"/>
        <i x="219" s="1" nd="1"/>
        <i x="130" s="1" nd="1"/>
        <i x="120" s="1" nd="1"/>
        <i x="208" s="1" nd="1"/>
        <i x="135" s="1" nd="1"/>
        <i x="128" s="1" nd="1"/>
        <i x="218" s="1" nd="1"/>
        <i x="217" s="1" nd="1"/>
        <i x="147" s="1" nd="1"/>
        <i x="222" s="1" nd="1"/>
        <i x="124" s="1" nd="1"/>
        <i x="132" s="1" nd="1"/>
        <i x="166" s="1" nd="1"/>
        <i x="169" s="1" nd="1"/>
        <i x="225" s="1" nd="1"/>
        <i x="114" s="1" nd="1"/>
        <i x="129" s="1" nd="1"/>
        <i x="127" s="1" nd="1"/>
        <i x="131" s="1" nd="1"/>
        <i x="134" s="1" nd="1"/>
        <i x="133" s="1" nd="1"/>
        <i x="142" s="1" nd="1"/>
        <i x="138" s="1" nd="1"/>
        <i x="139" s="1" nd="1"/>
        <i x="141" s="1" nd="1"/>
        <i x="151" s="1" nd="1"/>
        <i x="144" s="1" nd="1"/>
        <i x="137" s="1" nd="1"/>
        <i x="140" s="1" nd="1"/>
        <i x="145" s="1" nd="1"/>
        <i x="162" s="1" nd="1"/>
        <i x="150" s="1" nd="1"/>
        <i x="143" s="1" nd="1"/>
        <i x="159" s="1" nd="1"/>
        <i x="148" s="1" nd="1"/>
        <i x="161" s="1" nd="1"/>
        <i x="160" s="1" nd="1"/>
        <i x="154" s="1" nd="1"/>
        <i x="158" s="1" nd="1"/>
        <i x="149" s="1" nd="1"/>
        <i x="164" s="1" nd="1"/>
        <i x="163" s="1" nd="1"/>
        <i x="165" s="1" nd="1"/>
        <i x="171" s="1" nd="1"/>
        <i x="167" s="1" nd="1"/>
        <i x="172" s="1" nd="1"/>
        <i x="58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9">
      <calculatedColumnFormula>B49</calculatedColumnFormula>
    </tableColumn>
    <tableColumn id="2" xr3:uid="{7EDCC2ED-0339-42B3-9633-FFEA7A3DD9F3}" name="Tiyaar" dataDxfId="118">
      <calculatedColumnFormula>SUMIFS(ledger!G:G, ledger!B:B, B2, ledger!E:E, "&lt;&gt;*RD*") / 1.0936</calculatedColumnFormula>
    </tableColumn>
    <tableColumn id="3" xr3:uid="{CC1535DD-3FE7-4F55-8040-E7643388A78E}" name="Rate"/>
    <tableColumn id="4" xr3:uid="{059CB70B-ADAD-4985-84AA-0D530BAC5567}" name="Total" dataDxfId="11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6" dataDxfId="115">
  <autoFilter ref="B7:E20" xr:uid="{449E5D32-DF9C-4018-96AB-CA98E118D910}"/>
  <tableColumns count="4">
    <tableColumn id="1" xr3:uid="{F663704C-91DD-4BB9-B7EB-EEB0C5EDED6C}" name="Description" dataDxfId="114"/>
    <tableColumn id="2" xr3:uid="{6D94D495-CD0B-4FD3-9771-81D731982A97}" name="Rate" dataDxfId="113" dataCellStyle="Comma"/>
    <tableColumn id="3" xr3:uid="{2D14CEAD-3602-40E7-A488-3584EBC9141E}" name="gazana" dataDxfId="112" dataCellStyle="Comma"/>
    <tableColumn id="4" xr3:uid="{06FEE63C-6480-4079-8426-51BC26B38B34}" name="sum" dataDxfId="11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0" totalsRowDxfId="109" dataCellStyle="Comma">
      <totalsRowFormula>SUM(Table12[Amount])</totalsRowFormula>
    </tableColumn>
    <tableColumn id="3" xr3:uid="{12F975D1-A51D-47BD-82DF-F0C35A709016}" name="Description"/>
    <tableColumn id="4" xr3:uid="{96712812-B120-49C2-B905-59FC86A743E8}" name="cost per meter" totalsRowFunction="custom" dataDxfId="108" totalsRowDxfId="10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6" dataDxfId="105" headerRowCellStyle="Comma" dataCellStyle="Comma">
  <autoFilter ref="B2:C5" xr:uid="{136E8F7F-D03F-4198-8335-91A003EA9E45}"/>
  <tableColumns count="2">
    <tableColumn id="1" xr3:uid="{279FA697-9952-479A-AC05-0D4992B41374}" name="Column1" dataDxfId="104" dataCellStyle="Comma"/>
    <tableColumn id="2" xr3:uid="{8A64998B-65EF-41CD-BCB0-3DDB7B359C54}" name="Column2" dataDxfId="10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2"/>
    <tableColumn id="2" xr3:uid="{51D27FA2-8DDF-4369-BAF7-7D1FE90E16A0}" name="Column2" dataDxfId="10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35" totalsRowCount="1">
  <autoFilter ref="B2:F134" xr:uid="{A0F58B95-D9E6-473F-8BE5-C4A8DDED103B}"/>
  <tableColumns count="5">
    <tableColumn id="1" xr3:uid="{8D801E24-A4A4-436D-ACAE-08E5208293FB}" name="Date" dataDxfId="100" totalsRowDxfId="9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43" dataDxfId="142"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41" dataCellStyle="Comma"/>
    <tableColumn id="2" xr3:uid="{5780FD5F-0890-44E6-B59C-8E37A559FE36}" name="Party Name" dataDxfId="140" dataCellStyle="Comma"/>
    <tableColumn id="3" xr3:uid="{5B3ECD85-9174-40AC-BFBD-49CAC97A83D3}" name="Bill Number" dataDxfId="139" dataCellStyle="Comma"/>
    <tableColumn id="4" xr3:uid="{11B50761-04B6-4262-AD4D-7182450037D1}" name="Quality" dataDxfId="138" dataCellStyle="Comma"/>
    <tableColumn id="5" xr3:uid="{2C556969-B713-4967-BD24-466AACCBE5F5}" name="Shipment Number" dataDxfId="137" totalsRowDxfId="136" dataCellStyle="Comma"/>
    <tableColumn id="6" xr3:uid="{F4E1FD2B-9017-4DEB-B772-BF447ECE56F7}" name="Kora/metre" dataDxfId="135" totalsRowDxfId="134" dataCellStyle="Comma"/>
    <tableColumn id="7" xr3:uid="{52ACC1DA-7A76-4A90-B809-3A1AE728E7EA}" name="Tiyaar/gaz" dataDxfId="133" totalsRowDxfId="132" dataCellStyle="Comma"/>
    <tableColumn id="8" xr3:uid="{31A0FF5E-56F0-44D1-9865-73256B964660}" name="shortage %" dataDxfId="131" totalsRowDxfId="130" dataCellStyle="Comma">
      <calculatedColumnFormula>_xlfn.XLOOKUP(Table1[[#This Row],[Shipment Number]], 'pivot '!A:A,'pivot '!G:G, "NF")</calculatedColumnFormula>
    </tableColumn>
    <tableColumn id="9" xr3:uid="{F99075E0-AC8E-094D-BB85-272AD2C6C568}" name="tiyar/meters" totalsRowFunction="custom" dataDxfId="129" totalsRowDxfId="128"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27" totalsRowDxfId="126"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25" totalsRowDxfId="124"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95" headerRowBorderDxfId="94" tableBorderDxfId="93">
  <autoFilter ref="A1:I96" xr:uid="{F8E8C957-ABE7-4E4F-8D4E-7D44E26B334F}"/>
  <tableColumns count="9">
    <tableColumn id="1" xr3:uid="{C2E817D6-AB98-4DDD-8890-736B27F261CD}" name="Date" dataDxfId="92" totalsRowDxfId="91"/>
    <tableColumn id="2" xr3:uid="{CFB51890-CCDC-463C-81C9-3F8BD7469CB9}" name="Party Name"/>
    <tableColumn id="3" xr3:uid="{A113D971-1C9D-4733-99C4-BD0CC4333209}" name="Vehicle Number"/>
    <tableColumn id="4" xr3:uid="{49780304-3DD1-4AE9-98EE-2BC7EB8F3B57}" name="Weight" dataDxfId="90" totalsRowDxfId="89" dataCellStyle="Comma"/>
    <tableColumn id="5" xr3:uid="{FCAF1BC6-1D8C-42AD-8BBC-F924BF2DC7FE}" name="Rate" dataDxfId="88" totalsRowDxfId="87" dataCellStyle="Comma"/>
    <tableColumn id="6" xr3:uid="{8C70A624-4134-410C-9C45-9FDEB51D51BF}" name="Rent" dataDxfId="86" totalsRowDxfId="85" dataCellStyle="Comma"/>
    <tableColumn id="7" xr3:uid="{EBCE10AE-9634-4982-9C95-37ABC8A7078C}" name="Total" totalsRowFunction="sum" dataDxfId="84" totalsRowDxfId="83" dataCellStyle="Comma">
      <calculatedColumnFormula>D2*E2</calculatedColumnFormula>
    </tableColumn>
    <tableColumn id="9" xr3:uid="{D4788559-C94A-44D9-B9AE-E72B214355AC}" name="Paid" totalsRowFunction="sum" dataDxfId="82" totalsRowDxfId="81" dataCellStyle="Comma"/>
    <tableColumn id="8" xr3:uid="{E26F5BF0-1875-4FC6-994D-49F202ED562B}" name="balance" totalsRowFunction="sum" dataDxfId="80" totalsRowDxfId="79"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034" totalsRowCount="1">
  <autoFilter ref="A1:G1033" xr:uid="{CB032221-B416-47A8-9A76-693DE76CFD04}"/>
  <sortState xmlns:xlrd2="http://schemas.microsoft.com/office/spreadsheetml/2017/richdata2" ref="A2:G1006">
    <sortCondition ref="A1:A1006"/>
  </sortState>
  <tableColumns count="7">
    <tableColumn id="1" xr3:uid="{554B1EED-65B6-4E9A-B646-82727FAC40DE}" name="Date" dataDxfId="77" totalsRowDxfId="8"/>
    <tableColumn id="2" xr3:uid="{32259059-42CF-4947-83DE-115AA430BE2B}" name="Party"/>
    <tableColumn id="3" xr3:uid="{A1320223-D55D-483C-91C3-AB19B95CC9D8}" name="Debit" totalsRowFunction="sum" dataDxfId="76" totalsRowDxfId="7" dataCellStyle="Comma"/>
    <tableColumn id="4" xr3:uid="{E9745767-9FF0-4B1C-9052-FF335D1D7588}" name="Credit" totalsRowFunction="sum" dataDxfId="75" totalsRowDxfId="6" dataCellStyle="Comma"/>
    <tableColumn id="5" xr3:uid="{5C88A48E-2467-4E6D-B626-2442B7FD0BE4}" name="Description"/>
    <tableColumn id="6" xr3:uid="{63CA4666-144E-4BE6-8B7C-7CB992BD3041}" name="Mode" totalsRowFunction="custom" dataDxfId="74"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3" tableBorderDxfId="72" totalsRowBorderDxfId="71">
  <autoFilter ref="J3:K6" xr:uid="{DCE01694-23ED-48BF-8B92-4186B9ED10A8}"/>
  <tableColumns count="2">
    <tableColumn id="1" xr3:uid="{C8484DAF-2989-4C2F-9AEC-A6917E1C57F6}" name="Type" dataDxfId="70"/>
    <tableColumn id="2" xr3:uid="{B07B7A2A-4D4E-4654-BED6-FE2F0A7BEC34}" name="Amount" dataDxfId="6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8" headerRowBorderDxfId="67" tableBorderDxfId="66" totalsRowBorderDxfId="65">
  <autoFilter ref="M3:O6" xr:uid="{D166BDD1-ACD7-45D7-8AE9-7350373F8CEB}"/>
  <tableColumns count="3">
    <tableColumn id="1" xr3:uid="{64F0205E-DEA7-4571-BA86-E4374A5FEE28}" name="Type" totalsRowLabel="Total" dataDxfId="64" totalsRowDxfId="63"/>
    <tableColumn id="2" xr3:uid="{15FA05F9-789C-4459-9BE0-5C1EC84D3365}" name="amount" totalsRowFunction="custom" dataDxfId="62" totalsRowDxfId="61">
      <totalsRowFormula>SUM(N5:N6)</totalsRowFormula>
    </tableColumn>
    <tableColumn id="3" xr3:uid="{3681D409-90C6-44D0-BDE2-4B5943A516F0}" name="Actual" totalsRowFunction="custom" totalsRowDxfId="60">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55" headerRowBorderDxfId="54">
  <autoFilter ref="A1:I41"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3"/>
    <tableColumn id="4" xr3:uid="{1889A312-9B41-4EC4-BD8F-05252F27084A}" name="Price" totalsRowFunction="sum"/>
    <tableColumn id="6" xr3:uid="{8B974B20-F003-4E67-8660-024FA4F324A9}" name="Party"/>
    <tableColumn id="7" xr3:uid="{0A5A5C21-FD61-47DA-9F54-66A6479FA557}" name="Paid" totalsRowFunction="sum" dataDxfId="52">
      <calculatedColumnFormula>SUMIFS(Table14[Debit], Table14[Date], Table8[[#This Row],[Date]], Table14[Party], Table8[[#This Row],[Party]])</calculatedColumnFormula>
    </tableColumn>
    <tableColumn id="8" xr3:uid="{8DCB3B43-2161-4081-82EC-CDB0F4DE4E6F}" name="Balance" totalsRowFunction="sum" dataDxfId="5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0" headerRowBorderDxfId="49">
  <autoFilter ref="A4:H49" xr:uid="{A4C80688-A8BA-4BA7-90B4-791CD99446B4}"/>
  <sortState xmlns:xlrd2="http://schemas.microsoft.com/office/spreadsheetml/2017/richdata2" ref="A5:H6">
    <sortCondition ref="A4:A6"/>
  </sortState>
  <tableColumns count="8">
    <tableColumn id="1" xr3:uid="{4A818912-918E-4111-ACFC-BC93FEF7C1AD}" name="Date" dataDxfId="48" totalsRowDxfId="47"/>
    <tableColumn id="8" xr3:uid="{477ACFD5-62AF-4F69-974B-E9B974C11D7D}" name="Party Name" dataDxfId="4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5">
      <calculatedColumnFormula>Table2[[#This Row],[Quantity]]*200*Table2[[#This Row],[Boxes]]</calculatedColumnFormula>
    </tableColumn>
    <tableColumn id="6" xr3:uid="{30432929-CBD4-4BA8-B63F-CD0F6CF6405F}" name="Paid" totalsRowFunction="sum" dataDxfId="44">
      <calculatedColumnFormula>SUMIFS(Table14[Debit], Table14[Date], Table2[[#This Row],[Date]], Table14[Party], Table2[[#This Row],[Party Name]])</calculatedColumnFormula>
    </tableColumn>
    <tableColumn id="7" xr3:uid="{BB689DF2-5D1E-436D-84C4-9745D88E8F3D}" name="Balance" totalsRowFunction="sum" dataDxfId="43">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2" totalsRowDxfId="41"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29" totalsRowCount="1">
  <autoFilter ref="B2:E128"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30" totalsRowCount="1">
  <autoFilter ref="H2:J129"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793770.11704462336</v>
      </c>
      <c r="D2">
        <v>10</v>
      </c>
      <c r="E2" s="14">
        <f>(SUMIFS(ledger!G:G, ledger!B:B, B2, ledger!E:E, "&lt;&gt;*RD*",ledger!D:D, "Silky") / 1.0936)*12 + (SUMIFS(ledger!G:G, ledger!B:B, B2, ledger!E:E, "&lt;&gt;*RD*",ledger!D:D, "Chamki") / 1.0936)*10</f>
        <v>7401230.7973664971</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2">_xlfn.UNIQUE(Table1[Party Name])</f>
        <v>BSC</v>
      </c>
      <c r="S5" s="22" cm="1">
        <f t="array" ref="S5">_xlfn.BYROW(B49,_xlfn.LAMBDA(_xlpm.party,SUMIFS(ledger!G:G,ledger!B:B,_xlpm.party,ledger!E:E,"&lt;&gt;*RD*")))+_xlfn.IFNA(C98,0)</f>
        <v>5214580.8824000005</v>
      </c>
      <c r="T5" s="22" cm="1">
        <f t="array" ref="T5">_xlfn.BYROW(B49, _xlfn.LAMBDA(_xlpm.party, SUMIFS(ledger!G:G, ledger!B:B, _xlpm.party, ledger!E:E, "&lt;&gt;*RD*") / 1.0936 ))+_xlfn.IFNA(E98,0)</f>
        <v>3920457.0980248726</v>
      </c>
      <c r="U5" s="22" cm="1">
        <f t="array" ref="U5">(_xlfn.BYROW(B49,_xlfn.LAMBDA(_xlpm.party,SUMIFS(ledger!G:G,ledger!B:B,_xlpm.party,ledger!E:E,"&lt;&gt;*RD*",ledger!D:D,"Chamki")+SUMIFS(ledger!G:G, ledger!B:B, _xlpm.party, ledger!E:E, "&lt;&gt;*RD*", ledger!D:D, "Crinkle")))/1.0936)+_xlfn.IFNA(E98,0)</f>
        <v>3700300.7337234826</v>
      </c>
      <c r="V5" s="70" cm="1">
        <f t="array" ref="V5">(_xlfn.BYROW(B49,_xlfn.LAMBDA(_xlpm.party,SUMIFS(ledger!G:G,ledger!B:B,_xlpm.party,ledger!E:E,"&lt;&gt;*RD*",ledger!D:D,"Silky")))/1.0936)+_xlfn.IFNA(F98,0)</f>
        <v>874597.6591075348</v>
      </c>
      <c r="W5" s="22" cm="1">
        <f t="array" ref="W5">(_xlfn.BYROW(B49,_xlfn.LAMBDA(_xlpm.party,
(SUMIFS(ledger!J:J,ledger!B:B,_xlpm.party,ledger!E:E,"&lt;&gt;*RD*",ledger!D:D,"Chamki",ledger!C:C,"&lt;&gt;Closing CF")+
SUMIFS(ledger!J:J,ledger!B:B,_xlpm.party,ledger!E:E,"&lt;&gt;*RD*",ledger!D:D,"Crinkle",ledger!C:C,"&lt;&gt;Closing CF")
)+_xlfn.IFNA(G98,0))))</f>
        <v>37003007.337234825</v>
      </c>
      <c r="X5" s="70" cm="1">
        <f t="array" ref="X5">_xlfn.BYROW(B49, _xlfn.LAMBDA(_xlpm.party,
   SUMIFS(ledger!J:J, ledger!B:B, _xlpm.party, ledger!E:E, "&lt;&gt;*RD*", ledger!D:D, "Silky", ledger!C:C, "&lt;&gt;Closing CF")
)) + _xlfn.IFNA(H98, 0)</f>
        <v>11281413.679590344</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50411516.847110465</v>
      </c>
      <c r="AF5" s="22">
        <f>(SUMIF(Table14[Party],#REF!,Table14[Credit]))+_xlfn.IFNA(P98,0)</f>
        <v>19750734</v>
      </c>
      <c r="AG5" s="33">
        <f>AE5-AF5</f>
        <v>30660782.847110465</v>
      </c>
      <c r="AH5" s="21">
        <v>10</v>
      </c>
      <c r="AI5" s="21">
        <v>13</v>
      </c>
      <c r="AL5" s="14">
        <f>SUM(AG5:AG47)</f>
        <v>38323869.181638636</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65986.64959765911</v>
      </c>
      <c r="D8">
        <v>10</v>
      </c>
      <c r="E8" s="14">
        <f>(SUMIFS(ledger!G:G, ledger!B:B, B8, ledger!E:E, "&lt;&gt;*RD*",ledger!D:D, "Silky") / 1.0936)*12 + (SUMIFS(ledger!G:G, ledger!B:B, B8, ledger!E:E, "&lt;&gt;*RD*",ledger!D:D, "chamki") / 1.0936)*10 +(SUMIFS(ledger!G:G, ledger!B:B, B8, ledger!E:E, "&lt;&gt;*RD*",ledger!D:D, "Crinkle") / 1.0936)*10</f>
        <v>659866.49597659113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275466</v>
      </c>
      <c r="T11" s="22" cm="1">
        <f t="array" ref="T11">_xlfn.BYROW(B55, _xlfn.LAMBDA(_xlpm.party, SUMIFS(ledger!G:G, ledger!B:B, _xlpm.party, ledger!E:E, "&lt;&gt;*RD*") / 1.0936 ))+_xlfn.IFNA(D104,0)</f>
        <v>251889.17337234825</v>
      </c>
      <c r="U11" s="22" cm="1">
        <f t="array" ref="U11">(_xlfn.BYROW(B55,_xlfn.LAMBDA(_xlpm.party,SUMIFS(ledger!G:G,ledger!B:B,_xlpm.party,ledger!E:E,"&lt;&gt;*RD*",ledger!D:D,"Chamki")+SUMIFS(ledger!G:G, ledger!B:B, _xlpm.party, ledger!E:E, "&lt;&gt;*RD*", ledger!D:D, "Crinkle")))/1.0936)+_xlfn.IFNA(E104,0)</f>
        <v>251889.17337234825</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2518891.7337234826</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2518891.7337234826</v>
      </c>
      <c r="AF11" s="22">
        <f>(SUMIF(Table14[Party],R11,Table14[Credit]))+_xlfn.IFNA(P104,0)</f>
        <v>1876321</v>
      </c>
      <c r="AG11" s="33">
        <f t="shared" si="2"/>
        <v>642570.73372348258</v>
      </c>
      <c r="AH11" s="21">
        <v>10</v>
      </c>
      <c r="AI11" s="21">
        <v>13</v>
      </c>
    </row>
    <row r="12" spans="2:38" x14ac:dyDescent="0.3">
      <c r="B12" t="str">
        <f t="shared" si="0"/>
        <v>Hafiz Qureshi</v>
      </c>
      <c r="C12" s="18">
        <f>SUMIFS(ledger!G:G, ledger!B:B, B12, ledger!E:E, "&lt;&gt;*RD*") / 1.0936</f>
        <v>149661.6678858815</v>
      </c>
      <c r="E12" s="14">
        <f>(SUMIFS(ledger!G:G, ledger!B:B, B12, ledger!E:E, "&lt;&gt;*RD*",ledger!D:D, "Silky") / 1.0936)*12 + (SUMIFS(ledger!G:G, ledger!B:B, B12, ledger!E:E, "&lt;&gt;*RD*",ledger!D:D, "Chamki") / 1.0936)*10</f>
        <v>1122521.9458668618</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801651</v>
      </c>
      <c r="T15" s="22" cm="1">
        <f t="array" ref="T15">_xlfn.BYROW(B59, _xlfn.LAMBDA(_xlpm.party, SUMIFS(ledger!G:G, ledger!B:B, _xlpm.party, ledger!E:E, "&lt;&gt;*RD*") / 1.0936 ))+_xlfn.IFNA(D108,0)</f>
        <v>733038.58814923197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49698.244330651069</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646077.17629846383</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7526829.736649598</v>
      </c>
      <c r="AF15" s="22">
        <f>(SUMIF(Table14[Party],R15,Table14[Credit]))+_xlfn.IFNA(P108,0)</f>
        <v>6125853</v>
      </c>
      <c r="AG15" s="33">
        <f t="shared" si="2"/>
        <v>1400976.736649598</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29792413.313825902</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237948</v>
      </c>
      <c r="T22" s="22" cm="1">
        <f t="array" ref="T22">_xlfn.BYROW(B66, _xlfn.LAMBDA(_xlpm.party, SUMIFS(ledger!G:G, ledger!B:B, _xlpm.party, ledger!E:E, "&lt;&gt;*RD*") / 1.0936 ))+_xlfn.IFNA(D115,0)</f>
        <v>217582.29700073157</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22370.153621068035</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262267.73957571329</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888942.02633504034</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592549.37820043892</v>
      </c>
      <c r="AE22" s="39">
        <f t="shared" si="1"/>
        <v>2481420.0804681787</v>
      </c>
      <c r="AF22" s="22">
        <f>(SUMIF(Table14[Party],R22,Table14[Credit]))+_xlfn.IFNA(P115,0)</f>
        <v>1890660</v>
      </c>
      <c r="AG22" s="33">
        <f t="shared" si="2"/>
        <v>590760.08046817873</v>
      </c>
      <c r="AH22" s="21">
        <v>10</v>
      </c>
      <c r="AI22" s="21">
        <v>13</v>
      </c>
    </row>
    <row r="23" spans="2:35" x14ac:dyDescent="0.3">
      <c r="B23" s="24" t="s">
        <v>31</v>
      </c>
      <c r="C23" s="37">
        <f>SUM(O49:O85)</f>
        <v>29792413.313825902</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7563331.4930504756</v>
      </c>
      <c r="AG36" s="33">
        <f t="shared" si="2"/>
        <v>204511.41111924034</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433237</v>
      </c>
      <c r="T38" s="22" cm="1">
        <f t="array" ref="T38">_xlfn.BYROW(B82, _xlfn.LAMBDA(_xlpm.party, SUMIFS(ledger!G:G, ledger!B:B, _xlpm.party, ledger!E:E, "&lt;&gt;*RD*") / 1.0936 ))+_xlfn.IFNA(D131,0)</f>
        <v>396156.73006583762</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999017.00804681797</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4816290.4169714712</v>
      </c>
      <c r="AF38" s="22">
        <f>(SUMIF(Table14[Party],R38,Table14[Credit]))+_xlfn.IFNA(P131,0)</f>
        <v>1918328</v>
      </c>
      <c r="AG38" s="33">
        <f t="shared" ref="AG38" si="4">AE38-AF38</f>
        <v>2897962.4169714712</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3">
      <c r="R42" t="str">
        <v>Moeez badshah</v>
      </c>
      <c r="S42" s="22" cm="1">
        <f t="array" ref="S42">_xlfn.BYROW(B86,_xlfn.LAMBDA(_xlpm.party,SUMIFS(ledger!G:G,ledger!B:B,_xlpm.party,ledger!E:E,"&lt;&gt;*RD*")))+_xlfn.IFNA(C135,0)</f>
        <v>137282</v>
      </c>
      <c r="T42" s="22" cm="1">
        <f t="array" ref="T42">_xlfn.BYROW(B86, _xlfn.LAMBDA(_xlpm.party, SUMIFS(ledger!G:G, ledger!B:B, _xlpm.party, ledger!E:E, "&lt;&gt;*RD*") / 1.0936 ))+_xlfn.IFNA(D135,0)</f>
        <v>125532.18727139723</v>
      </c>
      <c r="U42" s="22" cm="1">
        <f t="array" ref="U42">(_xlfn.BYROW(B86,_xlfn.LAMBDA(_xlpm.party,SUMIFS(ledger!G:G,ledger!B:B,_xlpm.party,ledger!E:E,"&lt;&gt;*RD*",ledger!D:D,"Chamki")+SUMIFS(ledger!G:G, ledger!B:B, _xlpm.party, ledger!E:E, "&lt;&gt;*RD*", ledger!D:D, "Crinkle")))/1.0936)+_xlfn.IFNA(E135,0)</f>
        <v>29253.840526700806</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292538.40526700806</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1447878.5662033651</v>
      </c>
      <c r="AF42" s="22">
        <f>(SUMIF(Table14[Party],R42,Table14[Credit]))+_xlfn.IFNA(P135,0)</f>
        <v>1460000</v>
      </c>
      <c r="AG42" s="33">
        <f t="shared" si="8"/>
        <v>-12121.433796634898</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6">_xlfn.UNIQUE(Table1[Party Name])</f>
        <v>BSC</v>
      </c>
      <c r="C49" s="22" cm="1">
        <f t="array" ref="C49:C86">_xlfn.BYROW(_xlfn.ANCHORARRAY(B49),_xlfn.LAMBDA(_xlpm.party,SUMIFS(ledger!G:G,ledger!B:B,_xlpm.party,ledger!E:E,"&lt;&gt;*RD*")))</f>
        <v>868067</v>
      </c>
      <c r="D49" s="22" cm="1">
        <f t="array" ref="D49:D86">_xlfn.BYROW(_xlfn.ANCHORARRAY(B49), _xlfn.LAMBDA(_xlpm.party, SUMIFS(ledger!G:G, ledger!B:B, _xlpm.party, ledger!E:E, "&lt;&gt;*RD*") / 1.0936 ))</f>
        <v>793770.11704462336</v>
      </c>
      <c r="E49" s="63" cm="1">
        <f t="array" ref="E49:E86">(_xlfn.BYROW(_xlfn.ANCHORARRAY(B49),_xlfn.LAMBDA(_xlpm.party,SUMIFS(ledger!G:G,ledger!B:B,_xlpm.party,ledger!E:E,"&lt;&gt;*RD*",ledger!D:D,"Chamki")+SUMIFS(ledger!G:G, ledger!B:B, _xlpm.party, ledger!E:E, "&lt;&gt;*RD*", ledger!D:D, "Crinkle")))/1.0936)</f>
        <v>573613.75274323346</v>
      </c>
      <c r="F49" s="63" cm="1">
        <f t="array" ref="F49:F86">(_xlfn.BYROW(_xlfn.ANCHORARRAY(B49),_xlfn.LAMBDA(_xlpm.party,SUMIFS(ledger!G:G,ledger!B:B,_xlpm.party,ledger!E:E,"&lt;&gt;*RD*",ledger!D:D,"Silky")))/1.0936)</f>
        <v>220156.36430138993</v>
      </c>
      <c r="G49" s="22" cm="1">
        <f t="array" ref="G49">(_xlfn.BYROW(B49,_xlfn.LAMBDA(_xlpm.party,
(SUMIFS(ledger!J:J,ledger!B:B,_xlpm.party,ledger!E:E,"&lt;&gt;*RD*",ledger!D:D,"Chamki",ledger!C:C,"&lt;&gt;Closing CF")+
SUMIFS(ledger!J:J,ledger!B:B,_xlpm.party,ledger!E:E,"&lt;&gt;*RD*",ledger!D:D,"Crinkle",ledger!C:C,"&lt;&gt;Closing CF")
))))</f>
        <v>5736137.5274323337</v>
      </c>
      <c r="H49" s="22" cm="1">
        <f t="array" ref="H49">_xlfn.BYROW(B49, _xlfn.LAMBDA(_xlpm.party,
   SUMIFS(ledger!J:J, ledger!B:B, _xlpm.party, ledger!E:E, "&lt;&gt;*RD*", ledger!D:D, "Silky", ledger!C:C, "&lt;&gt;Closing CF")
))</f>
        <v>2862032.7359180688</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8598170.2633504029</v>
      </c>
      <c r="P49" s="22">
        <f>(SUMIF(Table14[Party],B49,Table14[Credit]))</f>
        <v>0</v>
      </c>
      <c r="Q49" s="37">
        <f t="shared" ref="Q49:Q80" si="9">O49-P49</f>
        <v>8598170.2633504029</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72163</v>
      </c>
      <c r="D55" s="22">
        <v>65986.64959765911</v>
      </c>
      <c r="E55" s="63">
        <v>65986.64959765911</v>
      </c>
      <c r="F55" s="63">
        <v>0</v>
      </c>
      <c r="G55" s="22" cm="1">
        <f t="array" ref="G55">(_xlfn.BYROW(B55,_xlfn.LAMBDA(_xlpm.party,
(SUMIFS(ledger!J:J,ledger!B:B,_xlpm.party,ledger!E:E,"&lt;&gt;*RD*",ledger!D:D,"Chamki",ledger!C:C,"&lt;&gt;Closing CF")+
SUMIFS(ledger!J:J,ledger!B:B,_xlpm.party,ledger!E:E,"&lt;&gt;*RD*",ledger!D:D,"Crinkle",ledger!C:C,"&lt;&gt;Closing CF")
))))</f>
        <v>659866.49597659113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659866.49597659113</v>
      </c>
      <c r="P55" s="22">
        <f>(SUMIF(Table14[Party],B55,Table14[Credit]))</f>
        <v>150000</v>
      </c>
      <c r="Q55" s="37">
        <f t="shared" si="9"/>
        <v>509866.49597659113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793770.11704462336</v>
      </c>
      <c r="X58" s="18">
        <v>7401230.7973664971</v>
      </c>
    </row>
    <row r="59" spans="1:24" x14ac:dyDescent="0.3">
      <c r="B59" s="24" t="str">
        <v>Hafiz Qureshi</v>
      </c>
      <c r="C59" s="22">
        <v>163670</v>
      </c>
      <c r="D59" s="22">
        <v>149661.6678858815</v>
      </c>
      <c r="E59" s="63">
        <v>52614.301389904904</v>
      </c>
      <c r="F59" s="63">
        <v>49698.244330651069</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646077.17629846383</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1693060.5340160937</v>
      </c>
      <c r="P59" s="22">
        <f>(SUMIF(Table14[Party],B59,Table14[Credit]))</f>
        <v>586594</v>
      </c>
      <c r="Q59" s="37">
        <f t="shared" si="9"/>
        <v>1106466.5340160937</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65986.64959765911</v>
      </c>
      <c r="X64" s="18">
        <v>659866.49597659113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155658</v>
      </c>
      <c r="D66" s="22">
        <v>142335.40599853697</v>
      </c>
      <c r="E66" s="63">
        <v>0</v>
      </c>
      <c r="F66" s="63">
        <v>14804.316020482811</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163911.85076810536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888942.02633504034</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592549.37820043892</v>
      </c>
      <c r="O66" s="39">
        <f t="shared" si="10"/>
        <v>1645403.2553035845</v>
      </c>
      <c r="P66" s="22">
        <f>(SUMIF(Table14[Party],B66,Table14[Credit]))</f>
        <v>1055000</v>
      </c>
      <c r="Q66" s="37">
        <f t="shared" si="9"/>
        <v>590403.2553035845</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149661.6678858815</v>
      </c>
      <c r="X68" s="18">
        <v>1122521.9458668618</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1207761.5215801024</v>
      </c>
      <c r="X75" s="14">
        <v>11466457.571324071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5036540</v>
      </c>
      <c r="Q80" s="37">
        <f t="shared" si="9"/>
        <v>25105.025603512302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433237</v>
      </c>
      <c r="D82">
        <v>396156.73006583762</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999017.00804681797</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4816290.4169714712</v>
      </c>
      <c r="P82" s="22">
        <f>SUMIF(Table14[Party], B82, Table14[Credit])</f>
        <v>1918328</v>
      </c>
      <c r="Q82" s="37">
        <f t="shared" ref="Q82:Q83" si="12">O82-P82</f>
        <v>2897962.4169714712</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3">
      <c r="B86" t="str">
        <v>Moeez badshah</v>
      </c>
      <c r="C86">
        <v>137282</v>
      </c>
      <c r="D86">
        <v>125532.18727139723</v>
      </c>
      <c r="E86">
        <v>29253.840526700806</v>
      </c>
      <c r="F86">
        <v>96278.346744696421</v>
      </c>
      <c r="G86" s="22" cm="1">
        <f t="array" ref="G86">(_xlfn.BYROW(B86,_xlfn.LAMBDA(_xlpm.party,
(SUMIFS(ledger!J:J,ledger!B:B,_xlpm.party,ledger!E:E,"&lt;&gt;*RD*",ledger!D:D,"Chamki",ledger!C:C,"&lt;&gt;Closing CF")+
SUMIFS(ledger!J:J,ledger!B:B,_xlpm.party,ledger!E:E,"&lt;&gt;*RD*",ledger!D:D,"Crinkle",ledger!C:C,"&lt;&gt;Closing CF")
))))</f>
        <v>292538.40526700806</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1447878.5662033651</v>
      </c>
      <c r="P86" s="22">
        <f>SUMIF(Table14[Party], B86, Table14[Credit])</f>
        <v>1460000</v>
      </c>
      <c r="Q86" s="37">
        <f t="shared" si="14"/>
        <v>-12121.433796634898</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5">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1"/>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1">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2897962.4169714712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B16" sqref="B1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13553810</v>
      </c>
      <c r="D4" t="s">
        <v>188</v>
      </c>
      <c r="E4" s="43">
        <f ca="1">Table12[[#This Row],[Amount]]/Table1[[#Totals],[tiyar/meters]]</f>
        <v>5.0159019184180789</v>
      </c>
    </row>
    <row r="5" spans="1:5" x14ac:dyDescent="0.3">
      <c r="B5" t="s">
        <v>48</v>
      </c>
      <c r="C5" s="11">
        <f>SUM(Table8[Price])</f>
        <v>2333755</v>
      </c>
      <c r="E5" s="43">
        <f ca="1">Table12[[#This Row],[Amount]]/Table1[[#Totals],[tiyar/meters]]</f>
        <v>0.86366019455915233</v>
      </c>
    </row>
    <row r="6" spans="1:5" x14ac:dyDescent="0.3">
      <c r="B6" t="s">
        <v>49</v>
      </c>
      <c r="C6" s="11">
        <f>SUM(Table2[Price])</f>
        <v>1118300</v>
      </c>
      <c r="D6" t="s">
        <v>187</v>
      </c>
      <c r="E6" s="43">
        <f ca="1">Table12[[#This Row],[Amount]]/Table1[[#Totals],[tiyar/meters]]</f>
        <v>0.41385286612155092</v>
      </c>
    </row>
    <row r="7" spans="1:5" x14ac:dyDescent="0.3">
      <c r="B7" t="s">
        <v>50</v>
      </c>
      <c r="C7" s="11">
        <f>SUMIFS(Table14[Debit], Table14[Party],Table12[[#This Row],[Type]])</f>
        <v>215830</v>
      </c>
      <c r="E7" s="43">
        <f ca="1">Table12[[#This Row],[Amount]]/Table1[[#Totals],[tiyar/meters]]</f>
        <v>7.9872900022368173E-2</v>
      </c>
    </row>
    <row r="8" spans="1:5" x14ac:dyDescent="0.3">
      <c r="B8" t="s">
        <v>51</v>
      </c>
      <c r="C8" s="11">
        <f>Electricity!E5</f>
        <v>2907357</v>
      </c>
      <c r="E8" s="43">
        <f ca="1">Table12[[#This Row],[Amount]]/Table1[[#Totals],[tiyar/meters]]</f>
        <v>1.0759349255911239</v>
      </c>
    </row>
    <row r="9" spans="1:5" x14ac:dyDescent="0.3">
      <c r="B9" t="s">
        <v>52</v>
      </c>
      <c r="C9" s="11">
        <f>SUMIFS(Table14[Debit], Table14[Party],Table12[[#This Row],[Type]])+SUMIFS(Table14[Debit], Table14[Party],"Advance Salary")</f>
        <v>7424843</v>
      </c>
      <c r="E9" s="43">
        <f ca="1">Table12[[#This Row],[Amount]]/Table1[[#Totals],[tiyar/meters]]</f>
        <v>2.7477354520723729</v>
      </c>
    </row>
    <row r="10" spans="1:5" x14ac:dyDescent="0.3">
      <c r="B10" t="s">
        <v>53</v>
      </c>
      <c r="C10" s="11">
        <f>Table5[[#Totals],[Amount]]</f>
        <v>285845</v>
      </c>
      <c r="E10" s="43">
        <f ca="1">Table12[[#This Row],[Amount]]/Table1[[#Totals],[tiyar/meters]]</f>
        <v>0.10578357553117654</v>
      </c>
    </row>
    <row r="11" spans="1:5" x14ac:dyDescent="0.3">
      <c r="B11" t="s">
        <v>54</v>
      </c>
      <c r="C11" s="11">
        <f>Table13[[#Totals],[Debit]]</f>
        <v>261006.4</v>
      </c>
      <c r="E11" s="43">
        <f ca="1">Table12[[#This Row],[Amount]]/Table1[[#Totals],[tiyar/meters]]</f>
        <v>9.6591475199917703E-2</v>
      </c>
    </row>
    <row r="12" spans="1:5" x14ac:dyDescent="0.3">
      <c r="B12" t="s">
        <v>55</v>
      </c>
      <c r="C12" s="11">
        <f>Table15[[#Totals],[Amount]]</f>
        <v>860853</v>
      </c>
      <c r="E12" s="43">
        <f ca="1">Table12[[#This Row],[Amount]]/Table1[[#Totals],[tiyar/meters]]</f>
        <v>0.31857862949059773</v>
      </c>
    </row>
    <row r="13" spans="1:5" x14ac:dyDescent="0.3">
      <c r="C13" s="11"/>
      <c r="E13" s="43">
        <f ca="1">Table12[[#This Row],[Amount]]/Table1[[#Totals],[tiyar/meters]]</f>
        <v>0</v>
      </c>
    </row>
    <row r="14" spans="1:5" x14ac:dyDescent="0.3">
      <c r="C14" s="14">
        <f>SUM(Table12[Amount])</f>
        <v>28961599.399999999</v>
      </c>
      <c r="E14" s="43">
        <f ca="1">SUM(Table12[cost per meter])</f>
        <v>10.717911937006338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C21" sqref="C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29792413.313825902</v>
      </c>
    </row>
    <row r="4" spans="1:3" x14ac:dyDescent="0.3">
      <c r="B4" s="11" t="s">
        <v>44</v>
      </c>
      <c r="C4" s="11">
        <f>Table12[[#Totals],[Amount]]</f>
        <v>28961599.399999999</v>
      </c>
    </row>
    <row r="5" spans="1:3" x14ac:dyDescent="0.3">
      <c r="A5" s="6"/>
      <c r="B5" s="15" t="s">
        <v>68</v>
      </c>
      <c r="C5" s="15">
        <f>C3-C4</f>
        <v>830813.91382590309</v>
      </c>
    </row>
    <row r="10" spans="1:3" ht="15" thickBot="1" x14ac:dyDescent="0.35">
      <c r="B10" t="s">
        <v>66</v>
      </c>
      <c r="C10" s="14" t="s">
        <v>67</v>
      </c>
    </row>
    <row r="11" spans="1:3" x14ac:dyDescent="0.3">
      <c r="B11" s="56" t="s">
        <v>0</v>
      </c>
      <c r="C11" s="57">
        <f>C3</f>
        <v>29792413.313825902</v>
      </c>
    </row>
    <row r="12" spans="1:3" x14ac:dyDescent="0.3">
      <c r="B12" s="58" t="s">
        <v>69</v>
      </c>
      <c r="C12" s="59">
        <f>SUM(Table14[Credit])</f>
        <v>38624288.229517192</v>
      </c>
    </row>
    <row r="13" spans="1:3" ht="15" thickBot="1" x14ac:dyDescent="0.35">
      <c r="B13" s="74" t="s">
        <v>93</v>
      </c>
      <c r="C13" s="73">
        <f>(C11-C12)</f>
        <v>-8831874.9156912901</v>
      </c>
    </row>
    <row r="14" spans="1:3" ht="15" thickBot="1" x14ac:dyDescent="0.35">
      <c r="B14" s="58"/>
      <c r="C14" s="59"/>
    </row>
    <row r="15" spans="1:3" x14ac:dyDescent="0.3">
      <c r="B15" s="56" t="s">
        <v>44</v>
      </c>
      <c r="C15" s="57">
        <f>C4</f>
        <v>28961599.399999999</v>
      </c>
    </row>
    <row r="16" spans="1:3" x14ac:dyDescent="0.3">
      <c r="B16" s="58" t="s">
        <v>70</v>
      </c>
      <c r="C16" s="59">
        <f>SUM(Table14[Debit])</f>
        <v>38503655.68</v>
      </c>
    </row>
    <row r="17" spans="2:6" ht="15" thickBot="1" x14ac:dyDescent="0.35">
      <c r="B17" s="74" t="s">
        <v>71</v>
      </c>
      <c r="C17" s="73">
        <f>C15-C16</f>
        <v>-9542056.2800000012</v>
      </c>
    </row>
    <row r="18" spans="2:6" ht="15" thickBot="1" x14ac:dyDescent="0.35">
      <c r="B18" s="58"/>
      <c r="C18" s="59"/>
    </row>
    <row r="19" spans="2:6" ht="15" thickBot="1" x14ac:dyDescent="0.35">
      <c r="B19" s="75" t="s">
        <v>72</v>
      </c>
      <c r="C19" s="76">
        <f>Table18[[#Totals],[amount]]</f>
        <v>1282406.5495171919</v>
      </c>
    </row>
    <row r="20" spans="2:6" ht="15" thickBot="1" x14ac:dyDescent="0.35">
      <c r="B20" s="71"/>
      <c r="C20" s="72"/>
    </row>
    <row r="21" spans="2:6" ht="15" thickBot="1" x14ac:dyDescent="0.35">
      <c r="B21" s="60" t="s">
        <v>73</v>
      </c>
      <c r="C21" s="61">
        <f>(C13-C17)+C19</f>
        <v>1992587.9138259031</v>
      </c>
      <c r="E21" s="79" t="s">
        <v>74</v>
      </c>
      <c r="F21" s="121">
        <f>C5*0.05</f>
        <v>41540.695691295157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35"/>
  <sheetViews>
    <sheetView topLeftCell="A111" workbookViewId="0">
      <selection activeCell="B3" sqref="B3:B134"/>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6" x14ac:dyDescent="0.3">
      <c r="B129" s="1">
        <v>46198</v>
      </c>
      <c r="D129">
        <f>SUMIFS(Table14[Debit], Table14[Date], Table13[[#This Row],[Date]], Table14[Party], "Transport")</f>
        <v>4111</v>
      </c>
      <c r="E129">
        <f>SUMIFS(Table14[Credit], Table14[Date], Table13[[#This Row],[Date]], Table14[Party], "Transport")</f>
        <v>0</v>
      </c>
    </row>
    <row r="130" spans="2:6" x14ac:dyDescent="0.3">
      <c r="B130" s="1">
        <v>46199</v>
      </c>
      <c r="D130">
        <f>SUMIFS(Table14[Debit], Table14[Date], Table13[[#This Row],[Date]], Table14[Party], "Transport")</f>
        <v>0</v>
      </c>
      <c r="E130">
        <f>SUMIFS(Table14[Credit], Table14[Date], Table13[[#This Row],[Date]], Table14[Party], "Transport")</f>
        <v>0</v>
      </c>
    </row>
    <row r="131" spans="2:6" x14ac:dyDescent="0.3">
      <c r="B131" s="1">
        <v>46200</v>
      </c>
      <c r="D131">
        <f>SUMIFS(Table14[Debit], Table14[Date], Table13[[#This Row],[Date]], Table14[Party], "Transport")</f>
        <v>0</v>
      </c>
      <c r="E131">
        <f>SUMIFS(Table14[Credit], Table14[Date], Table13[[#This Row],[Date]], Table14[Party], "Transport")</f>
        <v>0</v>
      </c>
    </row>
    <row r="132" spans="2:6" x14ac:dyDescent="0.3">
      <c r="B132" s="1">
        <v>46201</v>
      </c>
      <c r="D132">
        <f>SUMIFS(Table14[Debit], Table14[Date], Table13[[#This Row],[Date]], Table14[Party], "Transport")</f>
        <v>0</v>
      </c>
      <c r="E132">
        <f>SUMIFS(Table14[Credit], Table14[Date], Table13[[#This Row],[Date]], Table14[Party], "Transport")</f>
        <v>0</v>
      </c>
    </row>
    <row r="133" spans="2:6" x14ac:dyDescent="0.3">
      <c r="B133" s="1">
        <v>46202</v>
      </c>
      <c r="D133">
        <f>SUMIFS(Table14[Debit], Table14[Date], Table13[[#This Row],[Date]], Table14[Party], "Transport")</f>
        <v>0</v>
      </c>
      <c r="E133">
        <f>SUMIFS(Table14[Credit], Table14[Date], Table13[[#This Row],[Date]], Table14[Party], "Transport")</f>
        <v>0</v>
      </c>
    </row>
    <row r="134" spans="2:6" x14ac:dyDescent="0.3">
      <c r="B134" s="1">
        <v>46203</v>
      </c>
      <c r="D134">
        <f>SUMIFS(Table14[Debit], Table14[Date], Table13[[#This Row],[Date]], Table14[Party], "Transport")</f>
        <v>0</v>
      </c>
      <c r="E134">
        <f>SUMIFS(Table14[Credit], Table14[Date], Table13[[#This Row],[Date]], Table14[Party], "Transport")</f>
        <v>0</v>
      </c>
    </row>
    <row r="135" spans="2:6" x14ac:dyDescent="0.3">
      <c r="B135" s="1"/>
      <c r="D135">
        <f>SUBTOTAL(109,Table13[Debit])</f>
        <v>261006.4</v>
      </c>
      <c r="E135">
        <f>SUBTOTAL(109,Table13[Credit])</f>
        <v>0</v>
      </c>
      <c r="F135">
        <f>Table13[[#Totals],[Debit]]-Table13[[#Totals],[Credit]]</f>
        <v>261006.4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249" zoomScale="107" zoomScaleNormal="107" workbookViewId="0">
      <selection activeCell="I237" sqref="I237:I26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39">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v>19516</v>
      </c>
      <c r="H215" s="114">
        <f>_xlfn.XLOOKUP(Table1[[#This Row],[Shipment Number]], 'pivot '!A:A,'pivot '!G:G, "NF")</f>
        <v>31.489375756018035</v>
      </c>
      <c r="I215" s="115">
        <f>Table1[[#This Row],[Tiyaar/gaz]]/1.0936</f>
        <v>17845.647403072424</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178456.47403072423</v>
      </c>
      <c r="K215" s="113"/>
    </row>
    <row r="216" spans="1:11" x14ac:dyDescent="0.3">
      <c r="A216" s="118">
        <v>46167</v>
      </c>
      <c r="B216" s="116" t="s">
        <v>280</v>
      </c>
      <c r="C216" s="113">
        <v>1736</v>
      </c>
      <c r="D216" s="113" t="s">
        <v>231</v>
      </c>
      <c r="E216" s="11">
        <v>1636</v>
      </c>
      <c r="F216" s="11">
        <v>26048</v>
      </c>
      <c r="G216" s="11">
        <v>27159</v>
      </c>
      <c r="H216" s="114">
        <f>_xlfn.XLOOKUP(Table1[[#This Row],[Shipment Number]], 'pivot '!A:A,'pivot '!G:G, "NF")</f>
        <v>4.658739298918519</v>
      </c>
      <c r="I216" s="115">
        <f>Table1[[#This Row],[Tiyaar/gaz]]/1.0936</f>
        <v>24834.491587417706</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248344.91587417707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t="e">
        <f>_xlfn.XLOOKUP(Table1[[#This Row],[Shipment Number]], 'pivot '!A:A,'pivot '!G:G, "NF")</f>
        <v>#DIV/0!</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25.757683535640169</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35" t="s">
        <v>86</v>
      </c>
      <c r="E240" s="136"/>
      <c r="F240" s="136">
        <v>0</v>
      </c>
      <c r="G240" s="11">
        <v>0</v>
      </c>
      <c r="H240" s="114" t="e">
        <f>_xlfn.XLOOKUP(Table1[[#This Row],[Shipment Number]], 'pivot '!A:A,'pivot '!G:G, "NF")</f>
        <v>#DIV/0!</v>
      </c>
      <c r="I240" s="115">
        <f>Table1[[#This Row],[Tiyaar/gaz]]/1.0936</f>
        <v>0</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44"/>
      <c r="B243" s="145"/>
      <c r="C243" s="135">
        <v>1763</v>
      </c>
      <c r="D243" s="135"/>
      <c r="E243" s="136"/>
      <c r="F243" s="136"/>
      <c r="G243" s="136"/>
      <c r="H243" s="114" t="e">
        <f>_xlfn.XLOOKUP(Table1[[#This Row],[Shipment Number]], 'pivot '!A:A,'pivot '!G:G, "NF")</f>
        <v>#DIV/0!</v>
      </c>
      <c r="I243" s="115">
        <f>Table1[[#This Row],[Tiyaar/gaz]]/1.0936</f>
        <v>0</v>
      </c>
      <c r="J243" s="115"/>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18">
        <v>46196</v>
      </c>
      <c r="B259" s="116" t="s">
        <v>21</v>
      </c>
      <c r="C259" s="113">
        <v>1779</v>
      </c>
      <c r="D259" s="113" t="s">
        <v>85</v>
      </c>
      <c r="E259" s="11">
        <v>2237</v>
      </c>
      <c r="F259" s="11">
        <v>25929</v>
      </c>
      <c r="G259" s="11">
        <v>23184</v>
      </c>
      <c r="H259" s="114">
        <f>_xlfn.XLOOKUP(Table1[[#This Row],[Shipment Number]], 'pivot '!A:A,'pivot '!G:G, "NF")</f>
        <v>2.8634352719935237</v>
      </c>
      <c r="I259" s="115">
        <f>Table1[[#This Row],[Tiyaar/gaz]]/1.0936</f>
        <v>21199.707388441846</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45.601321193463143</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c r="B263" s="116"/>
      <c r="C263" s="113"/>
      <c r="D263" s="113"/>
      <c r="E263" s="11"/>
      <c r="F263" s="11"/>
      <c r="G263" s="11"/>
      <c r="H263" s="114" t="e">
        <f>_xlfn.XLOOKUP(Table1[[#This Row],[Shipment Number]], 'pivot '!A:A,'pivot '!G:G, "NF")</f>
        <v>#DIV/0!</v>
      </c>
      <c r="I263" s="115"/>
      <c r="J263" s="115"/>
      <c r="K263" s="113"/>
    </row>
    <row r="264" spans="1:11" x14ac:dyDescent="0.3">
      <c r="A264" s="118"/>
      <c r="B264" s="116"/>
      <c r="C264" s="113"/>
      <c r="D264" s="113"/>
      <c r="E264" s="11"/>
      <c r="F264" s="11"/>
      <c r="G264" s="11"/>
      <c r="H264" s="114" t="e">
        <f>_xlfn.XLOOKUP(Table1[[#This Row],[Shipment Number]], 'pivot '!A:A,'pivot '!G:G, "NF")</f>
        <v>#DIV/0!</v>
      </c>
      <c r="I264" s="115"/>
      <c r="J264" s="115"/>
      <c r="K264" s="113"/>
    </row>
    <row r="265" spans="1:11" x14ac:dyDescent="0.3">
      <c r="A265" s="118"/>
      <c r="B265" s="116"/>
      <c r="C265" s="113"/>
      <c r="D265" s="113"/>
      <c r="E265" s="11"/>
      <c r="F265" s="11"/>
      <c r="G265" s="11"/>
      <c r="H265" s="114" t="e">
        <f>_xlfn.XLOOKUP(Table1[[#This Row],[Shipment Number]], 'pivot '!A:A,'pivot '!G:G, "NF")</f>
        <v>#DIV/0!</v>
      </c>
      <c r="I265" s="115"/>
      <c r="J265" s="115"/>
      <c r="K265" s="113"/>
    </row>
    <row r="266" spans="1:11" x14ac:dyDescent="0.3">
      <c r="A266" s="118"/>
      <c r="B266" s="116"/>
      <c r="C266" s="113"/>
      <c r="D266" s="113"/>
      <c r="E266" s="11"/>
      <c r="F266" s="11"/>
      <c r="G266" s="11"/>
      <c r="H266" s="114" t="e">
        <f>_xlfn.XLOOKUP(Table1[[#This Row],[Shipment Number]], 'pivot '!A:A,'pivot '!G:G, "NF")</f>
        <v>#DIV/0!</v>
      </c>
      <c r="I266" s="115"/>
      <c r="J266" s="115"/>
      <c r="K266" s="113"/>
    </row>
    <row r="267" spans="1:11" x14ac:dyDescent="0.3">
      <c r="A267" s="118"/>
      <c r="B267" s="116"/>
      <c r="C267" s="113"/>
      <c r="D267" s="113"/>
      <c r="E267" s="11"/>
      <c r="F267" s="11"/>
      <c r="G267" s="11"/>
      <c r="H267" s="114" t="e">
        <f>_xlfn.XLOOKUP(Table1[[#This Row],[Shipment Number]], 'pivot '!A:A,'pivot '!G:G, "NF")</f>
        <v>#DIV/0!</v>
      </c>
      <c r="I267" s="115"/>
      <c r="J267" s="115"/>
      <c r="K267" s="113"/>
    </row>
    <row r="268" spans="1:11" x14ac:dyDescent="0.3">
      <c r="A268" s="118"/>
      <c r="B268" s="116"/>
      <c r="C268" s="113"/>
      <c r="D268" s="113"/>
      <c r="E268" s="11"/>
      <c r="F268" s="11"/>
      <c r="G268" s="11"/>
      <c r="H268" s="114" t="e">
        <f>_xlfn.XLOOKUP(Table1[[#This Row],[Shipment Number]], 'pivot '!A:A,'pivot '!G:G, "NF")</f>
        <v>#DIV/0!</v>
      </c>
      <c r="I268" s="115"/>
      <c r="J268" s="115"/>
      <c r="K268" s="113"/>
    </row>
    <row r="269" spans="1:11" x14ac:dyDescent="0.3">
      <c r="A269" s="118"/>
      <c r="B269" s="116"/>
      <c r="C269" s="113"/>
      <c r="D269" s="113"/>
      <c r="E269" s="11"/>
      <c r="F269" s="11"/>
      <c r="G269" s="11"/>
      <c r="H269" s="114" t="e">
        <f>_xlfn.XLOOKUP(Table1[[#This Row],[Shipment Number]], 'pivot '!A:A,'pivot '!G:G, "NF")</f>
        <v>#DIV/0!</v>
      </c>
      <c r="I269" s="115"/>
      <c r="J269" s="115"/>
      <c r="K269" s="113"/>
    </row>
    <row r="270" spans="1:11" x14ac:dyDescent="0.3">
      <c r="A270" s="118"/>
      <c r="B270" s="116"/>
      <c r="C270" s="113"/>
      <c r="D270" s="113"/>
      <c r="E270" s="11"/>
      <c r="F270" s="11"/>
      <c r="G270" s="11"/>
      <c r="H270" s="114" t="e">
        <f>_xlfn.XLOOKUP(Table1[[#This Row],[Shipment Number]], 'pivot '!A:A,'pivot '!G:G, "NF")</f>
        <v>#DIV/0!</v>
      </c>
      <c r="I270" s="115"/>
      <c r="J270" s="115"/>
      <c r="K270" s="113"/>
    </row>
    <row r="271" spans="1:11" x14ac:dyDescent="0.3">
      <c r="A271" s="118"/>
      <c r="B271" s="116"/>
      <c r="C271" s="113"/>
      <c r="D271" s="113"/>
      <c r="E271" s="11"/>
      <c r="F271" s="11"/>
      <c r="G271" s="11"/>
      <c r="H271" s="114" t="e">
        <f>_xlfn.XLOOKUP(Table1[[#This Row],[Shipment Number]], 'pivot '!A:A,'pivot '!G:G, "NF")</f>
        <v>#DIV/0!</v>
      </c>
      <c r="I271" s="115"/>
      <c r="J271" s="115"/>
      <c r="K271" s="113"/>
    </row>
    <row r="272" spans="1:11" x14ac:dyDescent="0.3">
      <c r="A272" s="118"/>
      <c r="B272" s="116"/>
      <c r="C272" s="113"/>
      <c r="D272" s="113"/>
      <c r="E272" s="11"/>
      <c r="F272" s="11"/>
      <c r="G272" s="11"/>
      <c r="H272" s="114" t="e">
        <f>_xlfn.XLOOKUP(Table1[[#This Row],[Shipment Number]], 'pivot '!A:A,'pivot '!G:G, "NF")</f>
        <v>#DIV/0!</v>
      </c>
      <c r="I272" s="115"/>
      <c r="J272" s="115"/>
      <c r="K272" s="113"/>
    </row>
    <row r="273" spans="1:11" x14ac:dyDescent="0.3">
      <c r="A273" s="118"/>
      <c r="B273" s="116"/>
      <c r="C273" s="113"/>
      <c r="D273" s="113"/>
      <c r="E273" s="11"/>
      <c r="F273" s="11"/>
      <c r="G273" s="11"/>
      <c r="H273" s="114" t="e">
        <f>_xlfn.XLOOKUP(Table1[[#This Row],[Shipment Number]], 'pivot '!A:A,'pivot '!G:G, "NF")</f>
        <v>#DIV/0!</v>
      </c>
      <c r="I273" s="115"/>
      <c r="J273" s="115"/>
      <c r="K273" s="113"/>
    </row>
    <row r="274" spans="1:11" x14ac:dyDescent="0.3">
      <c r="A274" s="118"/>
      <c r="B274" s="116"/>
      <c r="C274" s="113"/>
      <c r="D274" s="113"/>
      <c r="E274" s="11"/>
      <c r="F274" s="11"/>
      <c r="G274" s="11"/>
      <c r="H274" s="114" t="e">
        <f>_xlfn.XLOOKUP(Table1[[#This Row],[Shipment Number]], 'pivot '!A:A,'pivot '!G:G, "NF")</f>
        <v>#DIV/0!</v>
      </c>
      <c r="I274" s="115"/>
      <c r="J274" s="115"/>
      <c r="K274" s="113"/>
    </row>
    <row r="275" spans="1:11" x14ac:dyDescent="0.3">
      <c r="A275" s="118"/>
      <c r="B275" s="116"/>
      <c r="C275" s="113"/>
      <c r="D275" s="113"/>
      <c r="E275" s="11"/>
      <c r="F275" s="11"/>
      <c r="G275" s="11"/>
      <c r="H275" s="114" t="e">
        <f>_xlfn.XLOOKUP(Table1[[#This Row],[Shipment Number]], 'pivot '!A:A,'pivot '!G:G, "NF")</f>
        <v>#DIV/0!</v>
      </c>
      <c r="I275" s="115"/>
      <c r="J275" s="115"/>
      <c r="K275" s="113"/>
    </row>
    <row r="276" spans="1:11" x14ac:dyDescent="0.3">
      <c r="A276" s="118"/>
      <c r="B276" s="116"/>
      <c r="C276" s="113"/>
      <c r="D276" s="113"/>
      <c r="E276" s="11"/>
      <c r="F276" s="11"/>
      <c r="G276" s="11"/>
      <c r="H276" s="114" t="e">
        <f>_xlfn.XLOOKUP(Table1[[#This Row],[Shipment Number]], 'pivot '!A:A,'pivot '!G:G, "NF")</f>
        <v>#DIV/0!</v>
      </c>
      <c r="I276" s="115"/>
      <c r="J276" s="115"/>
      <c r="K276" s="113"/>
    </row>
    <row r="277" spans="1:11" x14ac:dyDescent="0.3">
      <c r="A277" s="118"/>
      <c r="B277" s="116"/>
      <c r="C277" s="113"/>
      <c r="D277" s="113"/>
      <c r="E277" s="11"/>
      <c r="F277" s="11"/>
      <c r="G277" s="11"/>
      <c r="H277" s="114" t="e">
        <f>_xlfn.XLOOKUP(Table1[[#This Row],[Shipment Number]], 'pivot '!A:A,'pivot '!G:G, "NF")</f>
        <v>#DIV/0!</v>
      </c>
      <c r="I277" s="115"/>
      <c r="J277" s="115"/>
      <c r="K277" s="113"/>
    </row>
    <row r="278" spans="1:11" x14ac:dyDescent="0.3">
      <c r="A278" s="118"/>
      <c r="B278" s="116"/>
      <c r="C278" s="113"/>
      <c r="D278" s="113"/>
      <c r="E278" s="11"/>
      <c r="F278" s="11"/>
      <c r="G278" s="11"/>
      <c r="H278" s="114" t="e">
        <f>_xlfn.XLOOKUP(Table1[[#This Row],[Shipment Number]], 'pivot '!A:A,'pivot '!G:G, "NF")</f>
        <v>#DIV/0!</v>
      </c>
      <c r="I278" s="115"/>
      <c r="J278" s="115"/>
      <c r="K278" s="113"/>
    </row>
    <row r="279" spans="1:11" x14ac:dyDescent="0.3">
      <c r="A279" s="118"/>
      <c r="B279" s="116"/>
      <c r="C279" s="113"/>
      <c r="D279" s="113"/>
      <c r="E279" s="11"/>
      <c r="F279" s="11"/>
      <c r="G279" s="11"/>
      <c r="H279" s="114" t="e">
        <f>_xlfn.XLOOKUP(Table1[[#This Row],[Shipment Number]], 'pivot '!A:A,'pivot '!G:G, "NF")</f>
        <v>#DIV/0!</v>
      </c>
      <c r="I279" s="115"/>
      <c r="J279" s="115"/>
      <c r="K279" s="113"/>
    </row>
    <row r="280" spans="1:11" x14ac:dyDescent="0.3">
      <c r="A280" s="118"/>
      <c r="B280" s="116"/>
      <c r="C280" s="113"/>
      <c r="D280" s="113"/>
      <c r="E280" s="11"/>
      <c r="F280" s="11"/>
      <c r="G280" s="11"/>
      <c r="H280" s="114" t="e">
        <f>_xlfn.XLOOKUP(Table1[[#This Row],[Shipment Number]], 'pivot '!A:A,'pivot '!G:G, "NF")</f>
        <v>#DIV/0!</v>
      </c>
      <c r="I280" s="115"/>
      <c r="J280" s="115"/>
      <c r="K280" s="113"/>
    </row>
    <row r="281" spans="1:11" x14ac:dyDescent="0.3">
      <c r="A281" s="118"/>
      <c r="B281" s="116"/>
      <c r="C281" s="113"/>
      <c r="D281" s="113"/>
      <c r="E281" s="11"/>
      <c r="F281" s="11"/>
      <c r="G281" s="11"/>
      <c r="H281" s="114" t="e">
        <f>_xlfn.XLOOKUP(Table1[[#This Row],[Shipment Number]], 'pivot '!A:A,'pivot '!G:G, "NF")</f>
        <v>#DIV/0!</v>
      </c>
      <c r="I281" s="115"/>
      <c r="J281" s="115"/>
      <c r="K281" s="113"/>
    </row>
    <row r="282" spans="1:11" x14ac:dyDescent="0.3">
      <c r="A282" s="118"/>
      <c r="B282" s="116"/>
      <c r="C282" s="113"/>
      <c r="D282" s="113"/>
      <c r="E282" s="11"/>
      <c r="F282" s="11"/>
      <c r="G282" s="11"/>
      <c r="H282" s="114" t="e">
        <f>_xlfn.XLOOKUP(Table1[[#This Row],[Shipment Number]], 'pivot '!A:A,'pivot '!G:G, "NF")</f>
        <v>#DIV/0!</v>
      </c>
      <c r="I282" s="115"/>
      <c r="J282" s="115"/>
      <c r="K282" s="113"/>
    </row>
    <row r="283" spans="1:11" x14ac:dyDescent="0.3">
      <c r="A283" s="118"/>
      <c r="B283" s="116"/>
      <c r="C283" s="113"/>
      <c r="D283" s="113"/>
      <c r="E283" s="11"/>
      <c r="F283" s="11"/>
      <c r="G283" s="11"/>
      <c r="H283" s="114" t="e">
        <f>_xlfn.XLOOKUP(Table1[[#This Row],[Shipment Number]], 'pivot '!A:A,'pivot '!G:G, "NF")</f>
        <v>#DIV/0!</v>
      </c>
      <c r="I283" s="115"/>
      <c r="J283" s="115"/>
      <c r="K283" s="113"/>
    </row>
    <row r="284" spans="1:11" x14ac:dyDescent="0.3">
      <c r="A284" s="118"/>
      <c r="B284" s="116"/>
      <c r="C284" s="113"/>
      <c r="D284" s="113"/>
      <c r="E284" s="11"/>
      <c r="F284" s="11"/>
      <c r="G284" s="11"/>
      <c r="H284" s="114" t="e">
        <f>_xlfn.XLOOKUP(Table1[[#This Row],[Shipment Number]], 'pivot '!A:A,'pivot '!G:G, "NF")</f>
        <v>#DIV/0!</v>
      </c>
      <c r="I284" s="115"/>
      <c r="J284" s="115"/>
      <c r="K284" s="113"/>
    </row>
    <row r="285" spans="1:11" x14ac:dyDescent="0.3">
      <c r="A285" s="118"/>
      <c r="B285" s="116"/>
      <c r="C285" s="113"/>
      <c r="D285" s="113"/>
      <c r="E285" s="11"/>
      <c r="F285" s="11"/>
      <c r="G285" s="11"/>
      <c r="H285" s="114" t="e">
        <f>_xlfn.XLOOKUP(Table1[[#This Row],[Shipment Number]], 'pivot '!A:A,'pivot '!G:G, "NF")</f>
        <v>#DIV/0!</v>
      </c>
      <c r="I285" s="115"/>
      <c r="J285" s="115"/>
      <c r="K285" s="113"/>
    </row>
    <row r="286" spans="1:11" x14ac:dyDescent="0.3">
      <c r="A286" s="118"/>
      <c r="B286" s="116"/>
      <c r="C286" s="113"/>
      <c r="D286" s="113"/>
      <c r="E286" s="11"/>
      <c r="F286" s="11"/>
      <c r="G286" s="11"/>
      <c r="H286" s="114" t="e">
        <f>_xlfn.XLOOKUP(Table1[[#This Row],[Shipment Number]], 'pivot '!A:A,'pivot '!G:G, "NF")</f>
        <v>#DIV/0!</v>
      </c>
      <c r="I286" s="115"/>
      <c r="J286" s="115"/>
      <c r="K286" s="113"/>
    </row>
    <row r="287" spans="1:11" x14ac:dyDescent="0.3">
      <c r="A287" s="118"/>
      <c r="B287" s="116"/>
      <c r="C287" s="113"/>
      <c r="D287" s="113"/>
      <c r="E287" s="11"/>
      <c r="F287" s="11"/>
      <c r="G287" s="11"/>
      <c r="H287" s="114" t="e">
        <f>_xlfn.XLOOKUP(Table1[[#This Row],[Shipment Number]], 'pivot '!A:A,'pivot '!G:G, "NF")</f>
        <v>#DIV/0!</v>
      </c>
      <c r="I287" s="115"/>
      <c r="J287" s="115"/>
      <c r="K287" s="113"/>
    </row>
    <row r="288" spans="1:11" x14ac:dyDescent="0.3">
      <c r="A288" s="118"/>
      <c r="B288" s="116"/>
      <c r="C288" s="113"/>
      <c r="D288" s="113"/>
      <c r="E288" s="11"/>
      <c r="F288" s="11"/>
      <c r="G288" s="11"/>
      <c r="H288" s="114" t="e">
        <f>_xlfn.XLOOKUP(Table1[[#This Row],[Shipment Number]], 'pivot '!A:A,'pivot '!G:G, "NF")</f>
        <v>#DIV/0!</v>
      </c>
      <c r="I288" s="115"/>
      <c r="J288" s="115"/>
      <c r="K288" s="113"/>
    </row>
    <row r="289" spans="1:11" x14ac:dyDescent="0.3">
      <c r="A289" s="118"/>
      <c r="B289" s="116"/>
      <c r="C289" s="113"/>
      <c r="D289" s="113"/>
      <c r="E289" s="11"/>
      <c r="F289" s="11"/>
      <c r="G289" s="11"/>
      <c r="H289" s="114" t="e">
        <f>_xlfn.XLOOKUP(Table1[[#This Row],[Shipment Number]], 'pivot '!A:A,'pivot '!G:G, "NF")</f>
        <v>#DIV/0!</v>
      </c>
      <c r="I289" s="115"/>
      <c r="J289" s="115"/>
      <c r="K289" s="113"/>
    </row>
    <row r="290" spans="1:11" x14ac:dyDescent="0.3">
      <c r="A290" s="118"/>
      <c r="B290" s="116"/>
      <c r="C290" s="113"/>
      <c r="D290" s="113"/>
      <c r="E290" s="11"/>
      <c r="F290" s="11"/>
      <c r="G290" s="11"/>
      <c r="H290" s="114" t="e">
        <f>_xlfn.XLOOKUP(Table1[[#This Row],[Shipment Number]], 'pivot '!A:A,'pivot '!G:G, "NF")</f>
        <v>#DIV/0!</v>
      </c>
      <c r="I290" s="115"/>
      <c r="J290" s="115"/>
      <c r="K290" s="113"/>
    </row>
    <row r="291" spans="1:11" x14ac:dyDescent="0.3">
      <c r="A291" s="118"/>
      <c r="B291" s="116"/>
      <c r="C291" s="113"/>
      <c r="D291" s="113"/>
      <c r="E291" s="11"/>
      <c r="F291" s="11"/>
      <c r="G291" s="11"/>
      <c r="H291" s="114" t="e">
        <f>_xlfn.XLOOKUP(Table1[[#This Row],[Shipment Number]], 'pivot '!A:A,'pivot '!G:G, "NF")</f>
        <v>#DIV/0!</v>
      </c>
      <c r="I291" s="115"/>
      <c r="J291" s="115"/>
      <c r="K291" s="113"/>
    </row>
    <row r="292" spans="1:11" x14ac:dyDescent="0.3">
      <c r="A292" s="118"/>
      <c r="B292" s="116"/>
      <c r="C292" s="113"/>
      <c r="D292" s="113"/>
      <c r="E292" s="11"/>
      <c r="F292" s="11"/>
      <c r="G292" s="11"/>
      <c r="H292" s="114" t="e">
        <f>_xlfn.XLOOKUP(Table1[[#This Row],[Shipment Number]], 'pivot '!A:A,'pivot '!G:G, "NF")</f>
        <v>#DIV/0!</v>
      </c>
      <c r="I292" s="115"/>
      <c r="J292" s="115"/>
      <c r="K292" s="113"/>
    </row>
    <row r="293" spans="1:11" x14ac:dyDescent="0.3">
      <c r="A293" s="118"/>
      <c r="B293" s="116"/>
      <c r="C293" s="113"/>
      <c r="D293" s="113"/>
      <c r="E293" s="11"/>
      <c r="F293" s="11"/>
      <c r="G293" s="11"/>
      <c r="H293" s="114" t="e">
        <f>_xlfn.XLOOKUP(Table1[[#This Row],[Shipment Number]], 'pivot '!A:A,'pivot '!G:G, "NF")</f>
        <v>#DIV/0!</v>
      </c>
      <c r="I293" s="115"/>
      <c r="J293" s="115"/>
      <c r="K293" s="113"/>
    </row>
    <row r="294" spans="1:11" x14ac:dyDescent="0.3">
      <c r="A294" s="118"/>
      <c r="B294" s="116"/>
      <c r="C294" s="113"/>
      <c r="D294" s="113"/>
      <c r="E294" s="11"/>
      <c r="F294" s="11"/>
      <c r="G294" s="11"/>
      <c r="H294" s="114" t="e">
        <f>_xlfn.XLOOKUP(Table1[[#This Row],[Shipment Number]], 'pivot '!A:A,'pivot '!G:G, "NF")</f>
        <v>#DIV/0!</v>
      </c>
      <c r="I294" s="115"/>
      <c r="J294" s="115"/>
      <c r="K294" s="113"/>
    </row>
    <row r="295" spans="1:11" x14ac:dyDescent="0.3">
      <c r="A295" s="118"/>
      <c r="B295" s="116"/>
      <c r="C295" s="113"/>
      <c r="D295" s="113"/>
      <c r="E295" s="11"/>
      <c r="F295" s="11"/>
      <c r="G295" s="11"/>
      <c r="H295" s="114" t="e">
        <f>_xlfn.XLOOKUP(Table1[[#This Row],[Shipment Number]], 'pivot '!A:A,'pivot '!G:G, "NF")</f>
        <v>#DIV/0!</v>
      </c>
      <c r="I295" s="115"/>
      <c r="J295" s="115"/>
      <c r="K295" s="113"/>
    </row>
    <row r="296" spans="1:11" x14ac:dyDescent="0.3">
      <c r="A296" s="118"/>
      <c r="B296" s="116"/>
      <c r="C296" s="113"/>
      <c r="D296" s="113"/>
      <c r="E296" s="11"/>
      <c r="F296" s="11"/>
      <c r="G296" s="11"/>
      <c r="H296" s="114" t="e">
        <f>_xlfn.XLOOKUP(Table1[[#This Row],[Shipment Number]], 'pivot '!A:A,'pivot '!G:G, "NF")</f>
        <v>#DIV/0!</v>
      </c>
      <c r="I296" s="115"/>
      <c r="J296" s="115"/>
      <c r="K296" s="113"/>
    </row>
    <row r="297" spans="1:11" x14ac:dyDescent="0.3">
      <c r="A297" s="118"/>
      <c r="B297" s="116"/>
      <c r="C297" s="113"/>
      <c r="D297" s="113"/>
      <c r="E297" s="11"/>
      <c r="F297" s="11"/>
      <c r="G297" s="11"/>
      <c r="H297" s="114" t="e">
        <f>_xlfn.XLOOKUP(Table1[[#This Row],[Shipment Number]], 'pivot '!A:A,'pivot '!G:G, "NF")</f>
        <v>#DIV/0!</v>
      </c>
      <c r="I297" s="115"/>
      <c r="J297" s="115"/>
      <c r="K297" s="113"/>
    </row>
    <row r="298" spans="1:11" x14ac:dyDescent="0.3">
      <c r="A298" s="118"/>
      <c r="B298" s="116"/>
      <c r="C298" s="113"/>
      <c r="D298" s="113"/>
      <c r="E298" s="11"/>
      <c r="F298" s="11"/>
      <c r="G298" s="11"/>
      <c r="H298" s="114" t="e">
        <f>_xlfn.XLOOKUP(Table1[[#This Row],[Shipment Number]], 'pivot '!A:A,'pivot '!G:G, "NF")</f>
        <v>#DIV/0!</v>
      </c>
      <c r="I298" s="115"/>
      <c r="J298" s="115"/>
      <c r="K298" s="113"/>
    </row>
    <row r="299" spans="1:11" x14ac:dyDescent="0.3">
      <c r="A299" s="118"/>
      <c r="B299" s="116"/>
      <c r="C299" s="113"/>
      <c r="D299" s="113"/>
      <c r="E299" s="11"/>
      <c r="F299" s="11"/>
      <c r="G299" s="11"/>
      <c r="H299" s="114" t="e">
        <f>_xlfn.XLOOKUP(Table1[[#This Row],[Shipment Number]], 'pivot '!A:A,'pivot '!G:G, "NF")</f>
        <v>#DIV/0!</v>
      </c>
      <c r="I299" s="115"/>
      <c r="J299" s="115"/>
      <c r="K299" s="113"/>
    </row>
    <row r="300" spans="1:11" x14ac:dyDescent="0.3">
      <c r="A300" s="118"/>
      <c r="B300" s="116"/>
      <c r="C300" s="113"/>
      <c r="D300" s="113"/>
      <c r="E300" s="11"/>
      <c r="F300" s="11"/>
      <c r="G300" s="11"/>
      <c r="H300" s="114" t="e">
        <f>_xlfn.XLOOKUP(Table1[[#This Row],[Shipment Number]], 'pivot '!A:A,'pivot '!G:G, "NF")</f>
        <v>#DIV/0!</v>
      </c>
      <c r="I300" s="115"/>
      <c r="J300" s="115"/>
      <c r="K300" s="113"/>
    </row>
    <row r="301" spans="1:11" x14ac:dyDescent="0.3">
      <c r="A301" s="118"/>
      <c r="B301" s="116"/>
      <c r="C301" s="113"/>
      <c r="D301" s="113"/>
      <c r="E301" s="11"/>
      <c r="F301" s="11"/>
      <c r="G301" s="11"/>
      <c r="H301" s="114" t="e">
        <f>_xlfn.XLOOKUP(Table1[[#This Row],[Shipment Number]], 'pivot '!A:A,'pivot '!G:G, "NF")</f>
        <v>#DIV/0!</v>
      </c>
      <c r="I301" s="115"/>
      <c r="J301" s="115"/>
      <c r="K301" s="113"/>
    </row>
    <row r="302" spans="1:11" x14ac:dyDescent="0.3">
      <c r="A302" s="118"/>
      <c r="B302" s="116"/>
      <c r="C302" s="113"/>
      <c r="D302" s="113"/>
      <c r="E302" s="11"/>
      <c r="F302" s="11"/>
      <c r="G302" s="11"/>
      <c r="H302" s="114" t="e">
        <f>_xlfn.XLOOKUP(Table1[[#This Row],[Shipment Number]], 'pivot '!A:A,'pivot '!G:G, "NF")</f>
        <v>#DIV/0!</v>
      </c>
      <c r="I302" s="115"/>
      <c r="J302" s="115"/>
      <c r="K302" s="113"/>
    </row>
    <row r="303" spans="1:11" x14ac:dyDescent="0.3">
      <c r="A303" s="118"/>
      <c r="B303" s="116"/>
      <c r="C303" s="113"/>
      <c r="D303" s="113"/>
      <c r="E303" s="11"/>
      <c r="F303" s="11"/>
      <c r="G303" s="11"/>
      <c r="H303" s="114" t="e">
        <f>_xlfn.XLOOKUP(Table1[[#This Row],[Shipment Number]], 'pivot '!A:A,'pivot '!G:G, "NF")</f>
        <v>#DIV/0!</v>
      </c>
      <c r="I303" s="115"/>
      <c r="J303" s="115"/>
      <c r="K303" s="113"/>
    </row>
    <row r="304" spans="1:11" x14ac:dyDescent="0.3">
      <c r="A304" s="118"/>
      <c r="B304" s="116"/>
      <c r="C304" s="113"/>
      <c r="D304" s="113"/>
      <c r="E304" s="11"/>
      <c r="F304" s="11"/>
      <c r="G304" s="11"/>
      <c r="H304" s="114" t="e">
        <f>_xlfn.XLOOKUP(Table1[[#This Row],[Shipment Number]], 'pivot '!A:A,'pivot '!G:G, "NF")</f>
        <v>#DIV/0!</v>
      </c>
      <c r="I304" s="115"/>
      <c r="J304" s="115"/>
      <c r="K304" s="113"/>
    </row>
    <row r="305" spans="1:11" x14ac:dyDescent="0.3">
      <c r="A305" s="118"/>
      <c r="B305" s="116"/>
      <c r="C305" s="113"/>
      <c r="D305" s="113"/>
      <c r="E305" s="11"/>
      <c r="F305" s="11"/>
      <c r="G305" s="11"/>
      <c r="H305" s="114" t="e">
        <f>_xlfn.XLOOKUP(Table1[[#This Row],[Shipment Number]], 'pivot '!A:A,'pivot '!G:G, "NF")</f>
        <v>#DIV/0!</v>
      </c>
      <c r="I305" s="115"/>
      <c r="J305" s="115"/>
      <c r="K305" s="113"/>
    </row>
    <row r="306" spans="1:11" x14ac:dyDescent="0.3">
      <c r="A306" s="118"/>
      <c r="B306" s="116"/>
      <c r="C306" s="113"/>
      <c r="D306" s="113"/>
      <c r="E306" s="11"/>
      <c r="F306" s="11"/>
      <c r="G306" s="11"/>
      <c r="H306" s="114" t="e">
        <f>_xlfn.XLOOKUP(Table1[[#This Row],[Shipment Number]], 'pivot '!A:A,'pivot '!G:G, "NF")</f>
        <v>#DIV/0!</v>
      </c>
      <c r="I306" s="115"/>
      <c r="J306" s="115"/>
      <c r="K306" s="113"/>
    </row>
    <row r="307" spans="1:11" x14ac:dyDescent="0.3">
      <c r="A307" s="118"/>
      <c r="B307" s="116"/>
      <c r="C307" s="113"/>
      <c r="D307" s="113"/>
      <c r="E307" s="11"/>
      <c r="F307" s="11"/>
      <c r="G307" s="11"/>
      <c r="H307" s="114" t="e">
        <f>_xlfn.XLOOKUP(Table1[[#This Row],[Shipment Number]], 'pivot '!A:A,'pivot '!G:G, "NF")</f>
        <v>#DIV/0!</v>
      </c>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2702168.0687637161</v>
      </c>
      <c r="J345" s="43" cm="1">
        <f t="array" aca="1" ref="J345" ca="1">SUMPRODUCT( SUBTOTAL(109, OFFSET(Table1[billing], ROW(Table1[billing])-MIN(ROW(Table1[billing])), 0, 1)), --(Table1[Bill Number]&lt;&gt;"Closing CF") )</f>
        <v>31256348.939283103</v>
      </c>
      <c r="K345" s="14">
        <f>SUMIFS(Table1[billing], Table1[Bill Number], "&lt;&gt;January Closing CF")</f>
        <v>168812103.73394293</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228</v>
      </c>
      <c r="D1" t="s">
        <v>229</v>
      </c>
      <c r="E1" t="s">
        <v>78</v>
      </c>
    </row>
    <row r="2" spans="1:5" x14ac:dyDescent="0.3">
      <c r="A2" s="1">
        <v>46046</v>
      </c>
      <c r="B2" t="s">
        <v>230</v>
      </c>
      <c r="C2">
        <v>2069</v>
      </c>
      <c r="D2">
        <v>3875</v>
      </c>
      <c r="E2" t="s">
        <v>231</v>
      </c>
    </row>
    <row r="3" spans="1:5" x14ac:dyDescent="0.3">
      <c r="A3" s="1">
        <v>46048</v>
      </c>
      <c r="B3" t="s">
        <v>232</v>
      </c>
      <c r="C3">
        <v>2070</v>
      </c>
      <c r="D3">
        <v>60945</v>
      </c>
      <c r="E3" t="s">
        <v>233</v>
      </c>
    </row>
    <row r="4" spans="1:5" x14ac:dyDescent="0.3">
      <c r="A4" s="1">
        <v>46048</v>
      </c>
      <c r="C4">
        <v>2071</v>
      </c>
    </row>
    <row r="5" spans="1:5" x14ac:dyDescent="0.3">
      <c r="A5" s="1">
        <v>46048</v>
      </c>
      <c r="B5" t="s">
        <v>232</v>
      </c>
      <c r="C5">
        <v>2072</v>
      </c>
      <c r="D5">
        <v>15104</v>
      </c>
      <c r="E5" t="s">
        <v>233</v>
      </c>
    </row>
    <row r="6" spans="1:5" x14ac:dyDescent="0.3">
      <c r="A6" s="1">
        <v>46049</v>
      </c>
      <c r="B6" t="s">
        <v>9</v>
      </c>
      <c r="C6">
        <v>2073</v>
      </c>
      <c r="D6">
        <v>20111</v>
      </c>
      <c r="E6" t="s">
        <v>233</v>
      </c>
    </row>
    <row r="7" spans="1:5" x14ac:dyDescent="0.3">
      <c r="A7" s="1">
        <v>46049</v>
      </c>
      <c r="B7" t="s">
        <v>234</v>
      </c>
      <c r="C7">
        <v>2074</v>
      </c>
      <c r="D7">
        <v>1519</v>
      </c>
      <c r="E7" t="s">
        <v>233</v>
      </c>
    </row>
    <row r="8" spans="1:5" x14ac:dyDescent="0.3">
      <c r="A8" s="1">
        <v>46049</v>
      </c>
      <c r="B8" t="s">
        <v>234</v>
      </c>
      <c r="C8">
        <v>2075</v>
      </c>
      <c r="D8">
        <v>1519</v>
      </c>
      <c r="E8" t="s">
        <v>233</v>
      </c>
    </row>
    <row r="9" spans="1:5" x14ac:dyDescent="0.3">
      <c r="A9" s="1">
        <v>46053</v>
      </c>
      <c r="B9" t="s">
        <v>235</v>
      </c>
      <c r="C9">
        <v>2076</v>
      </c>
      <c r="D9">
        <v>50784</v>
      </c>
      <c r="E9" t="s">
        <v>86</v>
      </c>
    </row>
    <row r="10" spans="1:5" x14ac:dyDescent="0.3">
      <c r="A10" s="1">
        <v>46053</v>
      </c>
      <c r="B10" t="s">
        <v>236</v>
      </c>
      <c r="C10">
        <v>2077</v>
      </c>
      <c r="D10">
        <v>62470</v>
      </c>
      <c r="E10" t="s">
        <v>86</v>
      </c>
    </row>
    <row r="11" spans="1:5" x14ac:dyDescent="0.3">
      <c r="A11" s="1">
        <v>46053</v>
      </c>
      <c r="B11" t="s">
        <v>9</v>
      </c>
      <c r="C11">
        <v>2078</v>
      </c>
      <c r="D11">
        <v>25072</v>
      </c>
      <c r="E11" t="s">
        <v>233</v>
      </c>
    </row>
    <row r="12" spans="1:5" x14ac:dyDescent="0.3">
      <c r="A12" s="1">
        <v>46053</v>
      </c>
      <c r="B12" t="s">
        <v>21</v>
      </c>
      <c r="C12">
        <v>2079</v>
      </c>
      <c r="D12">
        <v>7968</v>
      </c>
      <c r="E12" t="s">
        <v>237</v>
      </c>
    </row>
    <row r="13" spans="1:5" x14ac:dyDescent="0.3">
      <c r="A13" s="1">
        <v>46056</v>
      </c>
      <c r="B13" t="s">
        <v>21</v>
      </c>
      <c r="C13">
        <v>2080</v>
      </c>
      <c r="D13">
        <v>53024</v>
      </c>
      <c r="E13" t="s">
        <v>238</v>
      </c>
    </row>
    <row r="14" spans="1:5" x14ac:dyDescent="0.3">
      <c r="A14" s="1">
        <v>46056</v>
      </c>
      <c r="B14" t="s">
        <v>21</v>
      </c>
      <c r="C14">
        <v>2081</v>
      </c>
      <c r="D14">
        <v>68014</v>
      </c>
      <c r="E14" t="s">
        <v>238</v>
      </c>
    </row>
    <row r="15" spans="1:5" x14ac:dyDescent="0.3">
      <c r="A15" s="1">
        <v>46056</v>
      </c>
      <c r="B15" t="s">
        <v>21</v>
      </c>
      <c r="C15">
        <v>2082</v>
      </c>
      <c r="D15">
        <v>83635</v>
      </c>
      <c r="E15" t="s">
        <v>238</v>
      </c>
    </row>
    <row r="16" spans="1:5" x14ac:dyDescent="0.3">
      <c r="A16" s="1">
        <v>46056</v>
      </c>
      <c r="B16" t="s">
        <v>22</v>
      </c>
      <c r="C16">
        <v>2083</v>
      </c>
      <c r="D16">
        <v>20008</v>
      </c>
      <c r="E16" t="s">
        <v>86</v>
      </c>
    </row>
    <row r="17" spans="1:5" x14ac:dyDescent="0.3">
      <c r="A17" s="1">
        <v>46057</v>
      </c>
      <c r="B17" t="s">
        <v>174</v>
      </c>
      <c r="C17">
        <v>2084</v>
      </c>
      <c r="D17">
        <v>5816</v>
      </c>
      <c r="E17" t="s">
        <v>86</v>
      </c>
    </row>
    <row r="18" spans="1:5" x14ac:dyDescent="0.3">
      <c r="A18" s="1">
        <v>46057</v>
      </c>
      <c r="B18" t="s">
        <v>9</v>
      </c>
      <c r="C18">
        <v>2085</v>
      </c>
      <c r="D18">
        <v>25013</v>
      </c>
      <c r="E18" t="s">
        <v>233</v>
      </c>
    </row>
    <row r="19" spans="1:5" x14ac:dyDescent="0.3">
      <c r="A19" s="1">
        <v>46057</v>
      </c>
      <c r="B19" t="s">
        <v>234</v>
      </c>
      <c r="C19">
        <v>2086</v>
      </c>
      <c r="D19" t="s">
        <v>239</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43" zoomScale="107" zoomScaleNormal="115" workbookViewId="0">
      <selection activeCell="B54" sqref="B54"/>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13553810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t="e">
        <v>#VALUE!</v>
      </c>
      <c r="O75" s="14"/>
      <c r="P75" s="14" t="e">
        <v>#VALUE!</v>
      </c>
    </row>
    <row r="76" spans="1:16" x14ac:dyDescent="0.3">
      <c r="A76" s="1">
        <v>46192</v>
      </c>
      <c r="B76" t="s">
        <v>517</v>
      </c>
      <c r="D76" s="11">
        <v>260</v>
      </c>
      <c r="E76" s="11">
        <v>990</v>
      </c>
      <c r="F76" s="11"/>
      <c r="G76" s="11">
        <f t="shared" si="4"/>
        <v>257400</v>
      </c>
      <c r="H76" s="11"/>
      <c r="I76" s="11">
        <f>(D76*E76)-Table3[[#This Row],[Paid]]</f>
        <v>257400</v>
      </c>
      <c r="L76" s="42" t="s">
        <v>103</v>
      </c>
      <c r="M76" s="14">
        <v>253</v>
      </c>
      <c r="N76" s="14" t="e">
        <v>#VALUE!</v>
      </c>
      <c r="O76" s="14"/>
      <c r="P76" s="14" t="e">
        <v>#VALUE!</v>
      </c>
    </row>
    <row r="77" spans="1:16" x14ac:dyDescent="0.3">
      <c r="A77" s="1">
        <v>46194</v>
      </c>
      <c r="B77" t="s">
        <v>168</v>
      </c>
      <c r="D77" s="11">
        <v>273</v>
      </c>
      <c r="E77" s="11">
        <v>610</v>
      </c>
      <c r="F77" s="11"/>
      <c r="G77" s="11">
        <f t="shared" si="4"/>
        <v>166530</v>
      </c>
      <c r="H77" s="11"/>
      <c r="I77" s="11">
        <f>(D77*E77)-Table3[[#This Row],[Paid]]</f>
        <v>166530</v>
      </c>
      <c r="L77" s="26" t="s">
        <v>28</v>
      </c>
      <c r="M77" s="14">
        <v>14573</v>
      </c>
      <c r="N77" s="14" t="e">
        <v>#VALUE!</v>
      </c>
      <c r="O77" s="14">
        <v>0</v>
      </c>
      <c r="P77" s="14" t="e">
        <v>#VALUE!</v>
      </c>
    </row>
    <row r="78" spans="1:16" x14ac:dyDescent="0.3">
      <c r="A78" s="1">
        <v>46195</v>
      </c>
      <c r="B78" t="s">
        <v>517</v>
      </c>
      <c r="D78" s="11">
        <v>273</v>
      </c>
      <c r="E78" s="11">
        <v>990</v>
      </c>
      <c r="F78" s="11"/>
      <c r="G78" s="11">
        <f t="shared" si="4"/>
        <v>270270</v>
      </c>
      <c r="H78" s="11"/>
      <c r="I78" s="11">
        <f>(D78*E78)-Table3[[#This Row],[Paid]]</f>
        <v>270270</v>
      </c>
    </row>
    <row r="79" spans="1:16" x14ac:dyDescent="0.3">
      <c r="A79" s="1">
        <v>46197</v>
      </c>
      <c r="B79" t="s">
        <v>168</v>
      </c>
      <c r="D79" s="11">
        <v>240</v>
      </c>
      <c r="E79" s="11">
        <v>610</v>
      </c>
      <c r="F79" s="11"/>
      <c r="G79" s="11">
        <f t="shared" si="4"/>
        <v>146400</v>
      </c>
      <c r="H79" s="11"/>
      <c r="I79" s="11">
        <f>(D79*E79)-Table3[[#This Row],[Paid]]</f>
        <v>146400</v>
      </c>
    </row>
    <row r="80" spans="1:16" x14ac:dyDescent="0.3">
      <c r="A80" s="1">
        <v>46205</v>
      </c>
      <c r="B80" t="s">
        <v>851</v>
      </c>
      <c r="D80" s="11">
        <v>253</v>
      </c>
      <c r="E80" s="11">
        <v>940</v>
      </c>
      <c r="F80" s="11">
        <v>53500</v>
      </c>
      <c r="G80" s="11">
        <f t="shared" si="4"/>
        <v>237820</v>
      </c>
      <c r="H80" s="11"/>
      <c r="I80" s="11">
        <f>(D80*E80)-Table3[[#This Row],[Paid]]</f>
        <v>237820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13553810</v>
      </c>
      <c r="H97" s="14">
        <f>SUBTOTAL(109,Table3[Paid])</f>
        <v>0</v>
      </c>
      <c r="I97" s="14">
        <f>SUBTOTAL(109,Table3[balance])</f>
        <v>17565884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034"/>
  <sheetViews>
    <sheetView tabSelected="1" topLeftCell="A1024" zoomScale="110" zoomScaleNormal="70" workbookViewId="0">
      <selection activeCell="J1030" sqref="J103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88671875" bestFit="1" customWidth="1"/>
    <col min="11" max="11" width="12.6640625" bestFit="1" customWidth="1"/>
    <col min="12" max="12" width="12.2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38503655.68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38624288.229517192</v>
      </c>
      <c r="M5" s="45" t="s">
        <v>108</v>
      </c>
      <c r="N5" s="46">
        <f>(SUMIFS(Table14[Credit],Table14[Mode],"Bank")-SUMIFS(Table14[Debit],Table14[Mode],"Bank")-SUMIFS(Table14[Withdrawal],Table14[Mode],"Transfer"))</f>
        <v>1893322.5495171919</v>
      </c>
      <c r="O5">
        <v>360000</v>
      </c>
    </row>
    <row r="6" spans="1:16" x14ac:dyDescent="0.3">
      <c r="A6" s="85">
        <v>46111</v>
      </c>
      <c r="B6" s="80" t="s">
        <v>220</v>
      </c>
      <c r="C6" s="11">
        <v>949282</v>
      </c>
      <c r="D6" s="86"/>
      <c r="E6" s="80" t="s">
        <v>618</v>
      </c>
      <c r="F6" s="87" t="s">
        <v>108</v>
      </c>
      <c r="J6" s="52" t="s">
        <v>43</v>
      </c>
      <c r="K6" s="53">
        <f>(K5-K4)</f>
        <v>120632.54951719195</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1282406.5495171919</v>
      </c>
      <c r="O7" s="89">
        <f>SUM(O5,O6)</f>
        <v>410000</v>
      </c>
      <c r="P7" s="14">
        <f>Table18[[#Totals],[amount]]-Table18[[#Totals],[Actual]]</f>
        <v>872406.54951719195</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7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10307080.4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11006954</v>
      </c>
      <c r="L168" s="14">
        <v>10959429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748</v>
      </c>
      <c r="K180" s="14">
        <v>203520</v>
      </c>
      <c r="L180" s="14">
        <v>391020</v>
      </c>
      <c r="N180">
        <v>22650</v>
      </c>
      <c r="O180">
        <v>16630</v>
      </c>
    </row>
    <row r="181" spans="1:15" x14ac:dyDescent="0.3">
      <c r="A181" s="38">
        <v>46130</v>
      </c>
      <c r="B181" t="s">
        <v>357</v>
      </c>
      <c r="C181" s="11">
        <v>30000</v>
      </c>
      <c r="D181" s="11"/>
      <c r="E181" t="s">
        <v>392</v>
      </c>
      <c r="F181" s="108" t="s">
        <v>108</v>
      </c>
      <c r="J181" s="42" t="s">
        <v>749</v>
      </c>
      <c r="K181" s="14"/>
      <c r="L181" s="14">
        <v>43290</v>
      </c>
      <c r="N181">
        <v>25000</v>
      </c>
      <c r="O181">
        <v>16630</v>
      </c>
    </row>
    <row r="182" spans="1:15" x14ac:dyDescent="0.3">
      <c r="A182" s="38">
        <v>46130</v>
      </c>
      <c r="B182" t="s">
        <v>55</v>
      </c>
      <c r="C182" s="11">
        <v>1800</v>
      </c>
      <c r="D182" s="11"/>
      <c r="F182" s="108" t="s">
        <v>108</v>
      </c>
      <c r="J182" s="42" t="s">
        <v>750</v>
      </c>
      <c r="K182" s="14">
        <v>1323328</v>
      </c>
      <c r="L182" s="14">
        <v>1552352</v>
      </c>
      <c r="N182">
        <v>20000</v>
      </c>
      <c r="O182">
        <v>7650</v>
      </c>
    </row>
    <row r="183" spans="1:15" x14ac:dyDescent="0.3">
      <c r="A183" s="38">
        <v>46130</v>
      </c>
      <c r="B183" t="s">
        <v>55</v>
      </c>
      <c r="C183" s="11">
        <v>550</v>
      </c>
      <c r="D183" s="11"/>
      <c r="F183" s="108" t="s">
        <v>108</v>
      </c>
      <c r="J183" s="42" t="s">
        <v>751</v>
      </c>
      <c r="K183" s="14">
        <v>1204000</v>
      </c>
      <c r="L183" s="14">
        <v>123100</v>
      </c>
      <c r="N183">
        <v>16650</v>
      </c>
      <c r="O183">
        <v>17000</v>
      </c>
    </row>
    <row r="184" spans="1:15" x14ac:dyDescent="0.3">
      <c r="A184" s="38">
        <v>46130</v>
      </c>
      <c r="B184" t="s">
        <v>54</v>
      </c>
      <c r="C184" s="11">
        <v>950</v>
      </c>
      <c r="D184" s="11"/>
      <c r="F184" s="108" t="s">
        <v>108</v>
      </c>
      <c r="J184" s="42" t="s">
        <v>752</v>
      </c>
      <c r="K184" s="14">
        <v>250740</v>
      </c>
      <c r="L184" s="14">
        <v>1311448</v>
      </c>
      <c r="N184">
        <v>29600</v>
      </c>
      <c r="O184">
        <v>16650</v>
      </c>
    </row>
    <row r="185" spans="1:15" x14ac:dyDescent="0.3">
      <c r="A185" s="38">
        <v>46130</v>
      </c>
      <c r="B185" t="s">
        <v>221</v>
      </c>
      <c r="C185" s="11">
        <v>48800</v>
      </c>
      <c r="D185" s="11"/>
      <c r="E185" t="s">
        <v>393</v>
      </c>
      <c r="F185" s="108" t="s">
        <v>108</v>
      </c>
      <c r="J185" s="42" t="s">
        <v>783</v>
      </c>
      <c r="K185" s="14">
        <v>729150</v>
      </c>
      <c r="L185" s="14">
        <v>748550</v>
      </c>
      <c r="N185">
        <v>16630</v>
      </c>
      <c r="O185">
        <v>24400</v>
      </c>
    </row>
    <row r="186" spans="1:15" x14ac:dyDescent="0.3">
      <c r="A186" s="38">
        <v>46130</v>
      </c>
      <c r="B186" t="s">
        <v>35</v>
      </c>
      <c r="C186" s="11"/>
      <c r="D186" s="11">
        <v>123800</v>
      </c>
      <c r="F186" s="108" t="s">
        <v>108</v>
      </c>
      <c r="J186" s="42" t="s">
        <v>784</v>
      </c>
      <c r="K186" s="14">
        <v>265000</v>
      </c>
      <c r="L186" s="14">
        <v>257950</v>
      </c>
      <c r="N186">
        <v>16650</v>
      </c>
      <c r="O186">
        <v>15000</v>
      </c>
    </row>
    <row r="187" spans="1:15" x14ac:dyDescent="0.3">
      <c r="A187" s="38">
        <v>46130</v>
      </c>
      <c r="B187" t="s">
        <v>219</v>
      </c>
      <c r="C187" s="11"/>
      <c r="D187" s="11">
        <v>48800</v>
      </c>
      <c r="E187" t="s">
        <v>394</v>
      </c>
      <c r="F187" s="108" t="s">
        <v>108</v>
      </c>
      <c r="J187" s="42" t="s">
        <v>785</v>
      </c>
      <c r="K187" s="14">
        <v>24396</v>
      </c>
      <c r="L187" s="14">
        <v>13289</v>
      </c>
      <c r="N187">
        <v>160000</v>
      </c>
      <c r="O187">
        <v>16650</v>
      </c>
    </row>
    <row r="188" spans="1:15" x14ac:dyDescent="0.3">
      <c r="A188" s="38">
        <v>46130</v>
      </c>
      <c r="B188" t="s">
        <v>219</v>
      </c>
      <c r="C188" s="11">
        <v>123800</v>
      </c>
      <c r="D188" s="11"/>
      <c r="E188" t="s">
        <v>395</v>
      </c>
      <c r="F188" s="108" t="s">
        <v>108</v>
      </c>
      <c r="J188" s="42" t="s">
        <v>786</v>
      </c>
      <c r="K188" s="14">
        <v>2172410</v>
      </c>
      <c r="L188" s="14">
        <v>2169256</v>
      </c>
      <c r="N188">
        <v>17000</v>
      </c>
      <c r="O188">
        <v>13650</v>
      </c>
    </row>
    <row r="189" spans="1:15" x14ac:dyDescent="0.3">
      <c r="A189" s="38">
        <v>46131</v>
      </c>
      <c r="B189" t="s">
        <v>269</v>
      </c>
      <c r="C189" s="11">
        <v>75000</v>
      </c>
      <c r="D189" s="11"/>
      <c r="E189" t="s">
        <v>396</v>
      </c>
      <c r="F189" s="108" t="s">
        <v>108</v>
      </c>
      <c r="J189" s="42" t="s">
        <v>853</v>
      </c>
      <c r="K189" s="14">
        <v>248500</v>
      </c>
      <c r="L189" s="14">
        <v>267740</v>
      </c>
      <c r="N189">
        <v>19200</v>
      </c>
      <c r="O189">
        <v>12000</v>
      </c>
    </row>
    <row r="190" spans="1:15" x14ac:dyDescent="0.3">
      <c r="A190" s="38">
        <v>46131</v>
      </c>
      <c r="B190" t="s">
        <v>219</v>
      </c>
      <c r="C190" s="11"/>
      <c r="D190" s="11">
        <v>75000</v>
      </c>
      <c r="E190" t="s">
        <v>397</v>
      </c>
      <c r="F190" s="108" t="s">
        <v>108</v>
      </c>
      <c r="J190" s="42" t="s">
        <v>854</v>
      </c>
      <c r="K190" s="14">
        <v>343000</v>
      </c>
      <c r="L190" s="14">
        <v>308470</v>
      </c>
      <c r="N190">
        <v>20000</v>
      </c>
      <c r="O190">
        <v>14000</v>
      </c>
    </row>
    <row r="191" spans="1:15" x14ac:dyDescent="0.3">
      <c r="A191" s="38">
        <v>46131</v>
      </c>
      <c r="B191" t="s">
        <v>116</v>
      </c>
      <c r="C191" s="11">
        <v>31000</v>
      </c>
      <c r="D191" s="11"/>
      <c r="E191" t="s">
        <v>61</v>
      </c>
      <c r="F191" s="108" t="s">
        <v>108</v>
      </c>
      <c r="J191" s="42" t="s">
        <v>855</v>
      </c>
      <c r="K191" s="14">
        <v>50000</v>
      </c>
      <c r="L191" s="14">
        <v>86461</v>
      </c>
      <c r="N191">
        <v>20850</v>
      </c>
      <c r="O191">
        <v>25000</v>
      </c>
    </row>
    <row r="192" spans="1:15" x14ac:dyDescent="0.3">
      <c r="A192" s="38">
        <v>46131</v>
      </c>
      <c r="B192" t="s">
        <v>219</v>
      </c>
      <c r="C192" s="11"/>
      <c r="D192" s="11">
        <v>31000</v>
      </c>
      <c r="E192" t="s">
        <v>316</v>
      </c>
      <c r="F192" s="108" t="s">
        <v>108</v>
      </c>
      <c r="J192" s="42" t="s">
        <v>856</v>
      </c>
      <c r="K192" s="14">
        <v>10000</v>
      </c>
      <c r="L192" s="14">
        <v>11800</v>
      </c>
      <c r="N192">
        <v>16650</v>
      </c>
      <c r="O192">
        <v>20000</v>
      </c>
    </row>
    <row r="193" spans="1:15" x14ac:dyDescent="0.3">
      <c r="A193" s="38">
        <v>46131</v>
      </c>
      <c r="B193" t="s">
        <v>219</v>
      </c>
      <c r="C193" s="11"/>
      <c r="D193" s="11">
        <v>48500</v>
      </c>
      <c r="E193" t="s">
        <v>398</v>
      </c>
      <c r="F193" s="108" t="s">
        <v>108</v>
      </c>
      <c r="J193" s="42" t="s">
        <v>857</v>
      </c>
      <c r="K193" s="14">
        <v>10000</v>
      </c>
      <c r="L193" s="14">
        <v>10110</v>
      </c>
      <c r="N193">
        <v>14000</v>
      </c>
      <c r="O193">
        <v>25000</v>
      </c>
    </row>
    <row r="194" spans="1:15" x14ac:dyDescent="0.3">
      <c r="A194" s="38">
        <v>46131</v>
      </c>
      <c r="B194" t="s">
        <v>222</v>
      </c>
      <c r="C194" s="11">
        <v>48500</v>
      </c>
      <c r="D194" s="11"/>
      <c r="E194" t="s">
        <v>240</v>
      </c>
      <c r="F194" s="108" t="s">
        <v>108</v>
      </c>
      <c r="J194" s="42" t="s">
        <v>858</v>
      </c>
      <c r="K194" s="14">
        <v>770000</v>
      </c>
      <c r="L194" s="14">
        <v>665420</v>
      </c>
      <c r="N194">
        <v>3900</v>
      </c>
      <c r="O194">
        <v>3900</v>
      </c>
    </row>
    <row r="195" spans="1:15" x14ac:dyDescent="0.3">
      <c r="A195" s="38">
        <v>46131</v>
      </c>
      <c r="B195" t="s">
        <v>386</v>
      </c>
      <c r="C195" s="11">
        <v>3000</v>
      </c>
      <c r="D195" s="11"/>
      <c r="E195" t="s">
        <v>266</v>
      </c>
      <c r="F195" s="108" t="s">
        <v>108</v>
      </c>
      <c r="J195" s="42" t="s">
        <v>859</v>
      </c>
      <c r="K195" s="14">
        <v>5000</v>
      </c>
      <c r="L195" s="14">
        <v>41600</v>
      </c>
      <c r="N195">
        <v>35000</v>
      </c>
      <c r="O195">
        <v>18120</v>
      </c>
    </row>
    <row r="196" spans="1:15" x14ac:dyDescent="0.3">
      <c r="A196" s="38">
        <v>46131</v>
      </c>
      <c r="B196" t="s">
        <v>425</v>
      </c>
      <c r="C196" s="11">
        <v>25000</v>
      </c>
      <c r="D196" s="11"/>
      <c r="E196" t="s">
        <v>240</v>
      </c>
      <c r="F196" s="108" t="s">
        <v>108</v>
      </c>
      <c r="J196" s="4" t="s">
        <v>860</v>
      </c>
      <c r="K196" s="14">
        <v>2679551</v>
      </c>
      <c r="L196" s="14">
        <v>2717251</v>
      </c>
      <c r="O196">
        <v>22650</v>
      </c>
    </row>
    <row r="197" spans="1:15" x14ac:dyDescent="0.3">
      <c r="A197" s="38">
        <v>46131</v>
      </c>
      <c r="B197" t="s">
        <v>244</v>
      </c>
      <c r="C197" s="11">
        <v>480</v>
      </c>
      <c r="D197" s="11"/>
      <c r="E197" t="s">
        <v>399</v>
      </c>
      <c r="F197" s="108" t="s">
        <v>108</v>
      </c>
      <c r="J197" s="4" t="s">
        <v>28</v>
      </c>
      <c r="K197" s="14">
        <v>37899048.229517192</v>
      </c>
      <c r="L197" s="14">
        <v>37852895.68</v>
      </c>
      <c r="O197">
        <v>22650</v>
      </c>
    </row>
    <row r="198" spans="1:15" x14ac:dyDescent="0.3">
      <c r="A198" s="38">
        <v>46131</v>
      </c>
      <c r="B198" t="s">
        <v>386</v>
      </c>
      <c r="C198" s="11">
        <v>4000</v>
      </c>
      <c r="D198" s="11" t="s">
        <v>400</v>
      </c>
      <c r="E198" t="s">
        <v>401</v>
      </c>
      <c r="F198" s="108" t="s">
        <v>108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7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7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7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7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7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7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7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7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71">
        <v>46209</v>
      </c>
      <c r="B1024" t="s">
        <v>269</v>
      </c>
      <c r="C1024" s="11">
        <v>20000</v>
      </c>
      <c r="D1024" s="11"/>
      <c r="E1024" t="s">
        <v>866</v>
      </c>
      <c r="F1024" s="108" t="s">
        <v>108</v>
      </c>
    </row>
    <row r="1025" spans="1:7" x14ac:dyDescent="0.3">
      <c r="A1025" s="38">
        <v>46209</v>
      </c>
      <c r="B1025" s="172" t="s">
        <v>476</v>
      </c>
      <c r="C1025" s="95">
        <v>100000</v>
      </c>
      <c r="D1025" s="95"/>
      <c r="E1025" s="172" t="s">
        <v>873</v>
      </c>
      <c r="F1025" s="173" t="s">
        <v>108</v>
      </c>
      <c r="G1025" s="172"/>
    </row>
    <row r="1026" spans="1:7" x14ac:dyDescent="0.3">
      <c r="A1026" s="171">
        <v>46209</v>
      </c>
      <c r="B1026" t="s">
        <v>674</v>
      </c>
      <c r="C1026" s="11">
        <v>150000</v>
      </c>
      <c r="D1026" s="11"/>
      <c r="E1026" t="s">
        <v>874</v>
      </c>
      <c r="F1026" s="108" t="s">
        <v>108</v>
      </c>
    </row>
    <row r="1027" spans="1:7" x14ac:dyDescent="0.3">
      <c r="A1027" s="38">
        <v>46209</v>
      </c>
      <c r="B1027" t="s">
        <v>211</v>
      </c>
      <c r="C1027" s="11">
        <v>100000</v>
      </c>
      <c r="D1027" s="11"/>
      <c r="E1027" t="s">
        <v>875</v>
      </c>
      <c r="F1027" s="108" t="s">
        <v>108</v>
      </c>
    </row>
    <row r="1028" spans="1:7" x14ac:dyDescent="0.3">
      <c r="A1028" s="171">
        <v>46209</v>
      </c>
      <c r="B1028" t="s">
        <v>826</v>
      </c>
      <c r="C1028" s="11">
        <v>5000</v>
      </c>
      <c r="D1028" s="11"/>
      <c r="E1028" t="s">
        <v>876</v>
      </c>
      <c r="F1028" s="108" t="s">
        <v>108</v>
      </c>
    </row>
    <row r="1029" spans="1:7" x14ac:dyDescent="0.3">
      <c r="A1029" s="38">
        <v>46209</v>
      </c>
      <c r="C1029" s="11"/>
      <c r="D1029" s="11"/>
      <c r="F1029" s="108"/>
    </row>
    <row r="1030" spans="1:7" x14ac:dyDescent="0.3">
      <c r="A1030" s="171">
        <v>46209</v>
      </c>
      <c r="C1030" s="11"/>
      <c r="D1030" s="11"/>
      <c r="F1030" s="108"/>
    </row>
    <row r="1031" spans="1:7" x14ac:dyDescent="0.3">
      <c r="A1031" s="38">
        <v>46209</v>
      </c>
      <c r="C1031" s="11"/>
      <c r="D1031" s="11"/>
      <c r="F1031" s="108"/>
    </row>
    <row r="1032" spans="1:7" x14ac:dyDescent="0.3">
      <c r="A1032" s="171">
        <v>46209</v>
      </c>
      <c r="C1032" s="11"/>
      <c r="D1032" s="11"/>
      <c r="F1032" s="108"/>
    </row>
    <row r="1033" spans="1:7" x14ac:dyDescent="0.3">
      <c r="A1033" s="38">
        <v>46209</v>
      </c>
      <c r="C1033" s="11"/>
      <c r="D1033" s="11"/>
      <c r="F1033" s="108"/>
    </row>
    <row r="1034" spans="1:7" x14ac:dyDescent="0.3">
      <c r="A1034" s="38"/>
      <c r="C1034" s="14">
        <f>SUBTOTAL(109,Table14[Debit])</f>
        <v>38503655.68</v>
      </c>
      <c r="D1034" s="14">
        <f>SUBTOTAL(109,Table14[Credit])</f>
        <v>38624288.229517192</v>
      </c>
      <c r="F1034" s="54">
        <f>(Table14[[#Totals],[Credit]]-Table14[[#Totals],[Debit]])</f>
        <v>120632.54951719195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23" zoomScale="107" zoomScaleNormal="210" workbookViewId="0">
      <selection activeCell="A40" sqref="A40"/>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M1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M11">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4" t="s">
        <v>28</v>
      </c>
      <c r="M12">
        <v>401875</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264</v>
      </c>
      <c r="F31" t="s">
        <v>115</v>
      </c>
      <c r="G31">
        <f>SUMIFS(Table14[Debit], Table14[Date], Table8[[#This Row],[Date]], Table14[Party], Table8[[#This Row],[Party]])</f>
        <v>200000</v>
      </c>
      <c r="H31">
        <f>Table8[[#This Row],[Price]]-Table8[[#This Row],[Paid]]</f>
        <v>-200000</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F33" t="s">
        <v>175</v>
      </c>
      <c r="G33">
        <f>SUMIFS(Table14[Debit], Table14[Date], Table8[[#This Row],[Date]], Table14[Party], Table8[[#This Row],[Party]])</f>
        <v>110000</v>
      </c>
      <c r="H33">
        <f>Table8[[#This Row],[Price]]-Table8[[#This Row],[Paid]]</f>
        <v>-110000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G39">
        <f>SUMIFS(Table14[Debit], Table14[Date], Table8[[#This Row],[Date]], Table14[Party], Table8[[#This Row],[Party]])</f>
        <v>0</v>
      </c>
      <c r="H39">
        <f>Table8[[#This Row],[Price]]-Table8[[#This Row],[Paid]]</f>
        <v>0</v>
      </c>
      <c r="L39" t="s">
        <v>145</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131</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158</v>
      </c>
      <c r="M41">
        <v>1</v>
      </c>
      <c r="N41">
        <v>40</v>
      </c>
      <c r="O41">
        <v>910</v>
      </c>
      <c r="P41">
        <f>Table23[[#This Row],[boxes]]*Table23[[#This Row],[kgs]]*Table23[[#This Row],[Rate]]</f>
        <v>36400</v>
      </c>
    </row>
    <row r="42" spans="1:16" x14ac:dyDescent="0.3">
      <c r="E42">
        <f>SUBTOTAL(109,Table8[Price])</f>
        <v>2333755</v>
      </c>
      <c r="G42">
        <f>SUBTOTAL(109,Table8[Paid])</f>
        <v>2323130</v>
      </c>
      <c r="H42">
        <f>SUBTOTAL(109,Table8[Balance])</f>
        <v>1076750</v>
      </c>
      <c r="L42" t="s">
        <v>124</v>
      </c>
      <c r="M42">
        <v>1</v>
      </c>
      <c r="O42">
        <v>1130</v>
      </c>
      <c r="P42">
        <f>Table23[[#This Row],[boxes]]*Table23[[#This Row],[kgs]]*Table23[[#This Row],[Rate]]</f>
        <v>0</v>
      </c>
    </row>
    <row r="43" spans="1:16" x14ac:dyDescent="0.3">
      <c r="L43" t="s">
        <v>145</v>
      </c>
      <c r="M43">
        <v>1</v>
      </c>
      <c r="N43">
        <v>10</v>
      </c>
      <c r="O43">
        <v>1300</v>
      </c>
      <c r="P43">
        <f>Table23[[#This Row],[boxes]]*Table23[[#This Row],[kgs]]*Table23[[#This Row],[Rate]]</f>
        <v>13000</v>
      </c>
    </row>
    <row r="44" spans="1:16" x14ac:dyDescent="0.3">
      <c r="L44" t="s">
        <v>132</v>
      </c>
      <c r="M44">
        <v>1</v>
      </c>
      <c r="N44">
        <v>4</v>
      </c>
      <c r="O44">
        <v>1650</v>
      </c>
      <c r="P44">
        <f>Table23[[#This Row],[boxes]]*Table23[[#This Row],[kgs]]*Table23[[#This Row],[Rate]]</f>
        <v>6600</v>
      </c>
    </row>
    <row r="45" spans="1:16" x14ac:dyDescent="0.3">
      <c r="L45" t="s">
        <v>128</v>
      </c>
      <c r="M45">
        <v>1</v>
      </c>
      <c r="O45">
        <v>1340</v>
      </c>
      <c r="P45">
        <f>Table23[[#This Row],[boxes]]*Table23[[#This Row],[kgs]]*Table23[[#This Row],[Rate]]</f>
        <v>0</v>
      </c>
    </row>
    <row r="46" spans="1:16" x14ac:dyDescent="0.3">
      <c r="L46" t="s">
        <v>131</v>
      </c>
      <c r="M46">
        <v>1</v>
      </c>
      <c r="O46">
        <v>1450</v>
      </c>
      <c r="P46">
        <f>Table23[[#This Row],[boxes]]*Table23[[#This Row],[kgs]]*Table23[[#This Row],[Rate]]</f>
        <v>0</v>
      </c>
    </row>
    <row r="47" spans="1:16" x14ac:dyDescent="0.3">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3" zoomScale="104" workbookViewId="0">
      <selection activeCell="A47" sqref="A47"/>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v>682100</v>
      </c>
      <c r="L6">
        <v>682100</v>
      </c>
      <c r="M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v>0</v>
      </c>
      <c r="L7">
        <v>55000</v>
      </c>
      <c r="M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v>0</v>
      </c>
      <c r="L8">
        <v>312000</v>
      </c>
      <c r="M8">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v>230700</v>
      </c>
      <c r="L9">
        <v>230700</v>
      </c>
      <c r="M9">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v>0</v>
      </c>
      <c r="L10">
        <v>54000</v>
      </c>
      <c r="M1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v>35000</v>
      </c>
      <c r="L11">
        <v>35000</v>
      </c>
      <c r="M11">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v>170500</v>
      </c>
      <c r="L12">
        <v>3000</v>
      </c>
      <c r="M12">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v>1118300</v>
      </c>
      <c r="L13">
        <v>1371800</v>
      </c>
      <c r="M13">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c r="B47" s="1"/>
      <c r="F47">
        <f>Table2[[#This Row],[Quantity]]*200*Table2[[#This Row],[Boxes]]</f>
        <v>0</v>
      </c>
      <c r="G47">
        <f>SUMIFS(Table14[Debit], Table14[Date], Table2[[#This Row],[Date]], Table14[Party], Table2[[#This Row],[Party Name]])</f>
        <v>0</v>
      </c>
      <c r="H47">
        <f>Table2[[#This Row],[Price]]-Table2[[#This Row],[Paid]]</f>
        <v>0</v>
      </c>
    </row>
    <row r="48" spans="1:8" x14ac:dyDescent="0.3">
      <c r="A48" s="1"/>
      <c r="B48" s="1"/>
      <c r="F48">
        <f>Table2[[#This Row],[Quantity]]*200*Table2[[#This Row],[Boxes]]</f>
        <v>0</v>
      </c>
      <c r="G48">
        <f>SUMIFS(Table14[Debit], Table14[Date], Table2[[#This Row],[Date]], Table14[Party], Table2[[#This Row],[Party Name]])</f>
        <v>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1118300</v>
      </c>
      <c r="G50">
        <f>SUBTOTAL(109,Table2[Paid])</f>
        <v>1371800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5" sqref="E5"/>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A24"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2996153</v>
      </c>
      <c r="C2" s="32">
        <f>GETPIVOTDATA("Sum of Tiyaar/gaz",$A$3)</f>
        <v>2955091</v>
      </c>
      <c r="D2" s="31">
        <f>((B2*48)+((C2/1.0936)*10))/C2</f>
        <v>57.811087606993205</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0</v>
      </c>
      <c r="C4" s="14">
        <v>0</v>
      </c>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19516</v>
      </c>
      <c r="D87" s="28">
        <f t="shared" si="37"/>
        <v>73.209698402886062</v>
      </c>
      <c r="E87" s="11">
        <f t="shared" si="38"/>
        <v>28486.092799999999</v>
      </c>
      <c r="F87" s="11">
        <f t="shared" si="39"/>
        <v>19516</v>
      </c>
      <c r="G87" s="78">
        <f t="shared" si="40"/>
        <v>31.489375756018035</v>
      </c>
      <c r="H87" s="28">
        <f t="shared" si="41"/>
        <v>17845.647403072424</v>
      </c>
      <c r="I87" s="28">
        <f t="shared" si="42"/>
        <v>73.209698402886062</v>
      </c>
    </row>
    <row r="88" spans="1:9" x14ac:dyDescent="0.3">
      <c r="A88" s="16">
        <v>1636</v>
      </c>
      <c r="B88" s="14">
        <v>26048</v>
      </c>
      <c r="C88" s="14">
        <v>27159</v>
      </c>
      <c r="D88" s="28">
        <f t="shared" si="37"/>
        <v>55.180563197252368</v>
      </c>
      <c r="E88" s="11">
        <f t="shared" si="38"/>
        <v>28486.092799999999</v>
      </c>
      <c r="F88" s="11">
        <f t="shared" si="39"/>
        <v>27159</v>
      </c>
      <c r="G88" s="78">
        <f t="shared" si="40"/>
        <v>4.658739298918519</v>
      </c>
      <c r="H88" s="28">
        <f t="shared" si="41"/>
        <v>24834.491587417706</v>
      </c>
      <c r="I88" s="28">
        <f t="shared" si="42"/>
        <v>55.180563197252368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c r="C99" s="14">
        <v>6743</v>
      </c>
      <c r="D99" s="28">
        <f t="shared" si="37"/>
        <v>9.1441111923920992</v>
      </c>
      <c r="E99" s="11">
        <f t="shared" si="38"/>
        <v>0</v>
      </c>
      <c r="F99" s="11">
        <f t="shared" si="39"/>
        <v>6743</v>
      </c>
      <c r="G99" s="78" t="e">
        <f t="shared" si="40"/>
        <v>#DIV/0!</v>
      </c>
      <c r="H99" s="28">
        <f t="shared" si="41"/>
        <v>6165.874177029993</v>
      </c>
      <c r="I99" s="28">
        <f t="shared" si="42"/>
        <v>9.1441111923920992</v>
      </c>
    </row>
    <row r="100" spans="1:9" x14ac:dyDescent="0.3">
      <c r="A100" s="16">
        <v>2217</v>
      </c>
      <c r="B100" s="14">
        <v>30502</v>
      </c>
      <c r="C100" s="14">
        <v>24765</v>
      </c>
      <c r="D100" s="28">
        <f t="shared" si="37"/>
        <v>68.263675093058367</v>
      </c>
      <c r="E100" s="11">
        <f t="shared" si="38"/>
        <v>33356.987199999996</v>
      </c>
      <c r="F100" s="11">
        <f t="shared" si="39"/>
        <v>24765</v>
      </c>
      <c r="G100" s="78">
        <f t="shared" si="40"/>
        <v>25.757683535640169</v>
      </c>
      <c r="H100" s="28">
        <f t="shared" si="41"/>
        <v>22645.391367959037</v>
      </c>
      <c r="I100" s="28">
        <f t="shared" si="42"/>
        <v>68.263675093058367</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29885</v>
      </c>
      <c r="D117" s="28">
        <f t="shared" si="37"/>
        <v>89.829404817956771</v>
      </c>
      <c r="E117" s="11">
        <f t="shared" si="38"/>
        <v>54936.995999999992</v>
      </c>
      <c r="F117" s="11">
        <f t="shared" si="39"/>
        <v>29885</v>
      </c>
      <c r="G117" s="78">
        <f t="shared" si="40"/>
        <v>45.601321193463143</v>
      </c>
      <c r="H117" s="28">
        <f t="shared" si="41"/>
        <v>27327.17629846379</v>
      </c>
      <c r="I117" s="28">
        <f t="shared" si="42"/>
        <v>89.829404817956771</v>
      </c>
    </row>
    <row r="118" spans="1:9" x14ac:dyDescent="0.3">
      <c r="A118" s="16" t="s">
        <v>28</v>
      </c>
      <c r="B118" s="30">
        <v>107006</v>
      </c>
      <c r="C118" s="30">
        <v>2955091</v>
      </c>
      <c r="D118" s="28">
        <f t="shared" si="37"/>
        <v>10.882226194603538</v>
      </c>
      <c r="E118" s="11">
        <f t="shared" si="38"/>
        <v>117021.76159999998</v>
      </c>
      <c r="F118" s="11">
        <f t="shared" si="39"/>
        <v>2955091</v>
      </c>
      <c r="G118" s="78">
        <f t="shared" si="40"/>
        <v>-2425.249115716611</v>
      </c>
      <c r="H118" s="28">
        <f t="shared" si="41"/>
        <v>2702168.0687637166</v>
      </c>
      <c r="I118" s="28">
        <f t="shared" si="42"/>
        <v>10.882226194603538</v>
      </c>
    </row>
    <row r="119" spans="1:9" x14ac:dyDescent="0.3">
      <c r="D119" s="28" t="e">
        <f t="shared" ref="D119:D127" si="43">I119</f>
        <v>#DIV/0!</v>
      </c>
      <c r="E119" s="11">
        <f t="shared" ref="E119:E127" si="44">B119 * 1.0936</f>
        <v>0</v>
      </c>
      <c r="F119" s="11">
        <f t="shared" ref="F119:F127" si="45">C119</f>
        <v>0</v>
      </c>
      <c r="G119" s="78" t="e">
        <f t="shared" ref="G119:G127" si="46">100- (F119/E119 *100)</f>
        <v>#DIV/0!</v>
      </c>
      <c r="H119" s="28">
        <f t="shared" ref="H119:H127" si="47">F119/1.0936</f>
        <v>0</v>
      </c>
      <c r="I119" s="28" t="e">
        <f t="shared" ref="I119:I127" si="48">((B119*48)+(H119*10))/C119</f>
        <v>#DIV/0!</v>
      </c>
    </row>
    <row r="120" spans="1:9" x14ac:dyDescent="0.3">
      <c r="D120" s="28" t="e">
        <f t="shared" si="43"/>
        <v>#DIV/0!</v>
      </c>
      <c r="E120" s="11">
        <f t="shared" si="44"/>
        <v>0</v>
      </c>
      <c r="F120" s="11">
        <f t="shared" si="45"/>
        <v>0</v>
      </c>
      <c r="G120" s="78" t="e">
        <f t="shared" si="46"/>
        <v>#DIV/0!</v>
      </c>
      <c r="H120" s="28">
        <f t="shared" si="47"/>
        <v>0</v>
      </c>
      <c r="I120" s="28" t="e">
        <f t="shared" si="48"/>
        <v>#DIV/0!</v>
      </c>
    </row>
    <row r="121" spans="1:9" x14ac:dyDescent="0.3">
      <c r="D121" s="28" t="e">
        <f t="shared" si="43"/>
        <v>#DIV/0!</v>
      </c>
      <c r="E121" s="11">
        <f t="shared" si="44"/>
        <v>0</v>
      </c>
      <c r="F121" s="11">
        <f t="shared" si="45"/>
        <v>0</v>
      </c>
      <c r="G121" s="78" t="e">
        <f t="shared" si="46"/>
        <v>#DIV/0!</v>
      </c>
      <c r="H121" s="28">
        <f t="shared" si="47"/>
        <v>0</v>
      </c>
      <c r="I121" s="28" t="e">
        <f t="shared" si="48"/>
        <v>#DIV/0!</v>
      </c>
    </row>
    <row r="122" spans="1:9" x14ac:dyDescent="0.3">
      <c r="D122" s="28" t="e">
        <f t="shared" si="43"/>
        <v>#DIV/0!</v>
      </c>
      <c r="E122" s="11">
        <f t="shared" si="44"/>
        <v>0</v>
      </c>
      <c r="F122" s="11">
        <f t="shared" si="45"/>
        <v>0</v>
      </c>
      <c r="G122" s="78" t="e">
        <f t="shared" si="46"/>
        <v>#DIV/0!</v>
      </c>
      <c r="H122" s="28">
        <f t="shared" si="47"/>
        <v>0</v>
      </c>
      <c r="I122" s="28" t="e">
        <f t="shared" si="48"/>
        <v>#DIV/0!</v>
      </c>
    </row>
    <row r="123" spans="1:9" x14ac:dyDescent="0.3">
      <c r="D123" s="28" t="e">
        <f t="shared" si="43"/>
        <v>#DIV/0!</v>
      </c>
      <c r="E123" s="11">
        <f t="shared" si="44"/>
        <v>0</v>
      </c>
      <c r="F123" s="11">
        <f t="shared" si="45"/>
        <v>0</v>
      </c>
      <c r="G123" s="78" t="e">
        <f t="shared" si="46"/>
        <v>#DIV/0!</v>
      </c>
      <c r="H123" s="28">
        <f t="shared" si="47"/>
        <v>0</v>
      </c>
      <c r="I123" s="28" t="e">
        <f t="shared" si="48"/>
        <v>#DIV/0!</v>
      </c>
    </row>
    <row r="124" spans="1:9" x14ac:dyDescent="0.3">
      <c r="D124" s="28" t="e">
        <f t="shared" si="43"/>
        <v>#DIV/0!</v>
      </c>
      <c r="E124" s="11">
        <f t="shared" si="44"/>
        <v>0</v>
      </c>
      <c r="F124" s="11">
        <f t="shared" si="45"/>
        <v>0</v>
      </c>
      <c r="G124" s="78" t="e">
        <f t="shared" si="46"/>
        <v>#DIV/0!</v>
      </c>
      <c r="H124" s="28">
        <f t="shared" si="47"/>
        <v>0</v>
      </c>
      <c r="I124" s="28" t="e">
        <f t="shared" si="48"/>
        <v>#DIV/0!</v>
      </c>
    </row>
    <row r="125" spans="1:9" x14ac:dyDescent="0.3">
      <c r="D125" s="28" t="e">
        <f t="shared" si="43"/>
        <v>#DIV/0!</v>
      </c>
      <c r="E125" s="11">
        <f t="shared" si="44"/>
        <v>0</v>
      </c>
      <c r="F125" s="11">
        <f t="shared" si="45"/>
        <v>0</v>
      </c>
      <c r="G125" s="78" t="e">
        <f t="shared" si="46"/>
        <v>#DIV/0!</v>
      </c>
      <c r="H125" s="28">
        <f t="shared" si="47"/>
        <v>0</v>
      </c>
      <c r="I125" s="28" t="e">
        <f t="shared" si="48"/>
        <v>#DIV/0!</v>
      </c>
    </row>
    <row r="126" spans="1:9" x14ac:dyDescent="0.3">
      <c r="D126" s="28" t="e">
        <f t="shared" si="43"/>
        <v>#DIV/0!</v>
      </c>
      <c r="E126" s="11">
        <f t="shared" si="44"/>
        <v>0</v>
      </c>
      <c r="F126" s="11">
        <f t="shared" si="45"/>
        <v>0</v>
      </c>
      <c r="G126" s="78" t="e">
        <f t="shared" si="46"/>
        <v>#DIV/0!</v>
      </c>
      <c r="H126" s="28">
        <f t="shared" si="47"/>
        <v>0</v>
      </c>
      <c r="I126" s="28" t="e">
        <f t="shared" si="48"/>
        <v>#DIV/0!</v>
      </c>
    </row>
    <row r="127" spans="1:9" x14ac:dyDescent="0.3">
      <c r="D127" s="28" t="e">
        <f t="shared" si="43"/>
        <v>#DIV/0!</v>
      </c>
      <c r="E127" s="11">
        <f t="shared" si="44"/>
        <v>0</v>
      </c>
      <c r="F127" s="11">
        <f t="shared" si="45"/>
        <v>0</v>
      </c>
      <c r="G127" s="78" t="e">
        <f t="shared" si="46"/>
        <v>#DIV/0!</v>
      </c>
      <c r="H127" s="28">
        <f t="shared" si="47"/>
        <v>0</v>
      </c>
      <c r="I127" s="28" t="e">
        <f t="shared" si="48"/>
        <v>#DIV/0!</v>
      </c>
    </row>
    <row r="128" spans="1:9" x14ac:dyDescent="0.3">
      <c r="D128" s="28" t="e">
        <f t="shared" ref="D128" si="49">I128</f>
        <v>#DIV/0!</v>
      </c>
      <c r="E128" s="11">
        <f t="shared" ref="E128" si="50">B128 * 1.0936</f>
        <v>0</v>
      </c>
      <c r="F128" s="11">
        <f t="shared" ref="F128" si="51">C128</f>
        <v>0</v>
      </c>
      <c r="G128" s="78" t="e">
        <f t="shared" ref="G128" si="52">100- (F128/E128 *100)</f>
        <v>#DIV/0!</v>
      </c>
      <c r="H128" s="28">
        <f t="shared" ref="H128" si="53">F128/1.0936</f>
        <v>0</v>
      </c>
      <c r="I128" s="28" t="e">
        <f t="shared" ref="I128" si="54">((B128*48)+(H128*10))/C128</f>
        <v>#DIV/0!</v>
      </c>
    </row>
    <row r="129" spans="4:9" x14ac:dyDescent="0.3">
      <c r="D129" s="28" t="e">
        <f t="shared" ref="D129:D149" si="55">I129</f>
        <v>#DIV/0!</v>
      </c>
      <c r="E129" s="11">
        <f t="shared" ref="E129:E149" si="56">B129 * 1.0936</f>
        <v>0</v>
      </c>
      <c r="F129" s="11">
        <f t="shared" ref="F129:F149" si="57">C129</f>
        <v>0</v>
      </c>
      <c r="G129" s="78" t="e">
        <f t="shared" ref="G129:G149" si="58">100- (F129/E129 *100)</f>
        <v>#DIV/0!</v>
      </c>
      <c r="H129" s="28">
        <f t="shared" ref="H129:H149" si="59">F129/1.0936</f>
        <v>0</v>
      </c>
      <c r="I129" s="28" t="e">
        <f t="shared" ref="I129:I149" si="60">((B129*48)+(H129*10))/C129</f>
        <v>#DIV/0!</v>
      </c>
    </row>
    <row r="130" spans="4:9" x14ac:dyDescent="0.3">
      <c r="D130" s="28" t="e">
        <f t="shared" si="55"/>
        <v>#DIV/0!</v>
      </c>
      <c r="E130" s="11">
        <f t="shared" si="56"/>
        <v>0</v>
      </c>
      <c r="F130" s="11">
        <f t="shared" si="57"/>
        <v>0</v>
      </c>
      <c r="G130" s="78" t="e">
        <f t="shared" si="58"/>
        <v>#DIV/0!</v>
      </c>
      <c r="H130" s="28">
        <f t="shared" si="59"/>
        <v>0</v>
      </c>
      <c r="I130" s="28" t="e">
        <f t="shared" si="60"/>
        <v>#DIV/0!</v>
      </c>
    </row>
    <row r="131" spans="4:9" x14ac:dyDescent="0.3">
      <c r="D131" s="28" t="e">
        <f t="shared" si="55"/>
        <v>#DIV/0!</v>
      </c>
      <c r="E131" s="11">
        <f t="shared" si="56"/>
        <v>0</v>
      </c>
      <c r="F131" s="11">
        <f t="shared" si="57"/>
        <v>0</v>
      </c>
      <c r="G131" s="78" t="e">
        <f t="shared" si="58"/>
        <v>#DIV/0!</v>
      </c>
      <c r="H131" s="28">
        <f t="shared" si="59"/>
        <v>0</v>
      </c>
      <c r="I131" s="28" t="e">
        <f t="shared" si="60"/>
        <v>#DIV/0!</v>
      </c>
    </row>
    <row r="132" spans="4:9" x14ac:dyDescent="0.3">
      <c r="D132" s="28" t="e">
        <f t="shared" si="55"/>
        <v>#DIV/0!</v>
      </c>
      <c r="E132" s="11">
        <f t="shared" si="56"/>
        <v>0</v>
      </c>
      <c r="F132" s="11">
        <f t="shared" si="57"/>
        <v>0</v>
      </c>
      <c r="G132" s="78" t="e">
        <f t="shared" si="58"/>
        <v>#DIV/0!</v>
      </c>
      <c r="H132" s="28">
        <f t="shared" si="59"/>
        <v>0</v>
      </c>
      <c r="I132" s="28" t="e">
        <f t="shared" si="60"/>
        <v>#DIV/0!</v>
      </c>
    </row>
    <row r="133" spans="4:9" x14ac:dyDescent="0.3">
      <c r="D133" s="28" t="e">
        <f t="shared" si="55"/>
        <v>#DIV/0!</v>
      </c>
      <c r="E133" s="11">
        <f t="shared" si="56"/>
        <v>0</v>
      </c>
      <c r="F133" s="11">
        <f t="shared" si="57"/>
        <v>0</v>
      </c>
      <c r="G133" s="78" t="e">
        <f t="shared" si="58"/>
        <v>#DIV/0!</v>
      </c>
      <c r="H133" s="28">
        <f t="shared" si="59"/>
        <v>0</v>
      </c>
      <c r="I133" s="28" t="e">
        <f t="shared" si="60"/>
        <v>#DIV/0!</v>
      </c>
    </row>
    <row r="134" spans="4:9" x14ac:dyDescent="0.3">
      <c r="D134" s="28" t="e">
        <f t="shared" si="55"/>
        <v>#DIV/0!</v>
      </c>
      <c r="E134" s="11">
        <f t="shared" si="56"/>
        <v>0</v>
      </c>
      <c r="F134" s="11">
        <f t="shared" si="57"/>
        <v>0</v>
      </c>
      <c r="G134" s="78" t="e">
        <f t="shared" si="58"/>
        <v>#DIV/0!</v>
      </c>
      <c r="H134" s="28">
        <f t="shared" si="59"/>
        <v>0</v>
      </c>
      <c r="I134" s="28" t="e">
        <f t="shared" si="60"/>
        <v>#DIV/0!</v>
      </c>
    </row>
    <row r="135" spans="4:9" x14ac:dyDescent="0.3">
      <c r="D135" s="28" t="e">
        <f t="shared" si="55"/>
        <v>#DIV/0!</v>
      </c>
      <c r="E135" s="11">
        <f t="shared" si="56"/>
        <v>0</v>
      </c>
      <c r="F135" s="11">
        <f t="shared" si="57"/>
        <v>0</v>
      </c>
      <c r="G135" s="78" t="e">
        <f t="shared" si="58"/>
        <v>#DIV/0!</v>
      </c>
      <c r="H135" s="28">
        <f t="shared" si="59"/>
        <v>0</v>
      </c>
      <c r="I135" s="28" t="e">
        <f t="shared" si="60"/>
        <v>#DIV/0!</v>
      </c>
    </row>
    <row r="136" spans="4:9" x14ac:dyDescent="0.3">
      <c r="D136" s="28" t="e">
        <f t="shared" si="55"/>
        <v>#DIV/0!</v>
      </c>
      <c r="E136" s="11">
        <f t="shared" si="56"/>
        <v>0</v>
      </c>
      <c r="F136" s="11">
        <f t="shared" si="57"/>
        <v>0</v>
      </c>
      <c r="G136" s="78" t="e">
        <f t="shared" si="58"/>
        <v>#DIV/0!</v>
      </c>
      <c r="H136" s="28">
        <f t="shared" si="59"/>
        <v>0</v>
      </c>
      <c r="I136" s="28" t="e">
        <f t="shared" si="60"/>
        <v>#DIV/0!</v>
      </c>
    </row>
    <row r="137" spans="4:9" x14ac:dyDescent="0.3">
      <c r="D137" s="28" t="e">
        <f t="shared" si="55"/>
        <v>#DIV/0!</v>
      </c>
      <c r="E137" s="11">
        <f t="shared" si="56"/>
        <v>0</v>
      </c>
      <c r="F137" s="11">
        <f t="shared" si="57"/>
        <v>0</v>
      </c>
      <c r="G137" s="78" t="e">
        <f t="shared" si="58"/>
        <v>#DIV/0!</v>
      </c>
      <c r="H137" s="28">
        <f t="shared" si="59"/>
        <v>0</v>
      </c>
      <c r="I137" s="28" t="e">
        <f t="shared" si="60"/>
        <v>#DIV/0!</v>
      </c>
    </row>
    <row r="138" spans="4:9" x14ac:dyDescent="0.3">
      <c r="D138" s="28" t="e">
        <f t="shared" si="55"/>
        <v>#DIV/0!</v>
      </c>
      <c r="E138" s="11">
        <f t="shared" si="56"/>
        <v>0</v>
      </c>
      <c r="F138" s="11">
        <f t="shared" si="57"/>
        <v>0</v>
      </c>
      <c r="G138" s="78" t="e">
        <f t="shared" si="58"/>
        <v>#DIV/0!</v>
      </c>
      <c r="H138" s="28">
        <f t="shared" si="59"/>
        <v>0</v>
      </c>
      <c r="I138" s="28" t="e">
        <f t="shared" si="60"/>
        <v>#DIV/0!</v>
      </c>
    </row>
    <row r="139" spans="4:9" x14ac:dyDescent="0.3">
      <c r="D139" s="28" t="e">
        <f t="shared" si="55"/>
        <v>#DIV/0!</v>
      </c>
      <c r="E139" s="11">
        <f t="shared" si="56"/>
        <v>0</v>
      </c>
      <c r="F139" s="11">
        <f t="shared" si="57"/>
        <v>0</v>
      </c>
      <c r="G139" s="78" t="e">
        <f t="shared" si="58"/>
        <v>#DIV/0!</v>
      </c>
      <c r="H139" s="28">
        <f t="shared" si="59"/>
        <v>0</v>
      </c>
      <c r="I139" s="28" t="e">
        <f t="shared" si="60"/>
        <v>#DIV/0!</v>
      </c>
    </row>
    <row r="140" spans="4:9" x14ac:dyDescent="0.3">
      <c r="D140" s="28" t="e">
        <f t="shared" si="55"/>
        <v>#DIV/0!</v>
      </c>
      <c r="E140" s="11">
        <f t="shared" si="56"/>
        <v>0</v>
      </c>
      <c r="F140" s="11">
        <f t="shared" si="57"/>
        <v>0</v>
      </c>
      <c r="G140" s="78" t="e">
        <f t="shared" si="58"/>
        <v>#DIV/0!</v>
      </c>
      <c r="H140" s="28">
        <f t="shared" si="59"/>
        <v>0</v>
      </c>
      <c r="I140" s="28" t="e">
        <f t="shared" si="60"/>
        <v>#DIV/0!</v>
      </c>
    </row>
    <row r="141" spans="4:9" x14ac:dyDescent="0.3">
      <c r="D141" s="28" t="e">
        <f t="shared" si="55"/>
        <v>#DIV/0!</v>
      </c>
      <c r="E141" s="11">
        <f t="shared" si="56"/>
        <v>0</v>
      </c>
      <c r="F141" s="11">
        <f t="shared" si="57"/>
        <v>0</v>
      </c>
      <c r="G141" s="78" t="e">
        <f t="shared" si="58"/>
        <v>#DIV/0!</v>
      </c>
      <c r="H141" s="28">
        <f t="shared" si="59"/>
        <v>0</v>
      </c>
      <c r="I141" s="28" t="e">
        <f t="shared" si="60"/>
        <v>#DIV/0!</v>
      </c>
    </row>
    <row r="142" spans="4:9" x14ac:dyDescent="0.3">
      <c r="D142" s="28" t="e">
        <f t="shared" si="55"/>
        <v>#DIV/0!</v>
      </c>
      <c r="E142" s="11">
        <f t="shared" si="56"/>
        <v>0</v>
      </c>
      <c r="F142" s="11">
        <f t="shared" si="57"/>
        <v>0</v>
      </c>
      <c r="G142" s="78" t="e">
        <f t="shared" si="58"/>
        <v>#DIV/0!</v>
      </c>
      <c r="H142" s="28">
        <f t="shared" si="59"/>
        <v>0</v>
      </c>
      <c r="I142" s="28" t="e">
        <f t="shared" si="60"/>
        <v>#DIV/0!</v>
      </c>
    </row>
    <row r="143" spans="4:9" x14ac:dyDescent="0.3">
      <c r="D143" s="28" t="e">
        <f t="shared" si="55"/>
        <v>#DIV/0!</v>
      </c>
      <c r="E143" s="11">
        <f t="shared" si="56"/>
        <v>0</v>
      </c>
      <c r="F143" s="11">
        <f t="shared" si="57"/>
        <v>0</v>
      </c>
      <c r="G143" s="78" t="e">
        <f t="shared" si="58"/>
        <v>#DIV/0!</v>
      </c>
      <c r="H143" s="28">
        <f t="shared" si="59"/>
        <v>0</v>
      </c>
      <c r="I143" s="28" t="e">
        <f t="shared" si="60"/>
        <v>#DIV/0!</v>
      </c>
    </row>
    <row r="144" spans="4:9" x14ac:dyDescent="0.3">
      <c r="D144" s="28" t="e">
        <f t="shared" si="55"/>
        <v>#DIV/0!</v>
      </c>
      <c r="E144" s="11">
        <f t="shared" si="56"/>
        <v>0</v>
      </c>
      <c r="F144" s="11">
        <f t="shared" si="57"/>
        <v>0</v>
      </c>
      <c r="G144" s="78" t="e">
        <f t="shared" si="58"/>
        <v>#DIV/0!</v>
      </c>
      <c r="H144" s="28">
        <f t="shared" si="59"/>
        <v>0</v>
      </c>
      <c r="I144" s="28" t="e">
        <f t="shared" si="60"/>
        <v>#DIV/0!</v>
      </c>
    </row>
    <row r="145" spans="4:9" x14ac:dyDescent="0.3">
      <c r="D145" s="28" t="e">
        <f t="shared" si="55"/>
        <v>#DIV/0!</v>
      </c>
      <c r="E145" s="11">
        <f t="shared" si="56"/>
        <v>0</v>
      </c>
      <c r="F145" s="11">
        <f t="shared" si="57"/>
        <v>0</v>
      </c>
      <c r="G145" s="78" t="e">
        <f t="shared" si="58"/>
        <v>#DIV/0!</v>
      </c>
      <c r="H145" s="28">
        <f t="shared" si="59"/>
        <v>0</v>
      </c>
      <c r="I145" s="28" t="e">
        <f t="shared" si="60"/>
        <v>#DIV/0!</v>
      </c>
    </row>
    <row r="146" spans="4:9" x14ac:dyDescent="0.3">
      <c r="D146" s="28" t="e">
        <f t="shared" si="55"/>
        <v>#DIV/0!</v>
      </c>
      <c r="E146" s="11">
        <f t="shared" si="56"/>
        <v>0</v>
      </c>
      <c r="F146" s="11">
        <f t="shared" si="57"/>
        <v>0</v>
      </c>
      <c r="G146" s="78" t="e">
        <f t="shared" si="58"/>
        <v>#DIV/0!</v>
      </c>
      <c r="H146" s="28">
        <f t="shared" si="59"/>
        <v>0</v>
      </c>
      <c r="I146" s="28" t="e">
        <f t="shared" si="60"/>
        <v>#DIV/0!</v>
      </c>
    </row>
    <row r="147" spans="4:9" x14ac:dyDescent="0.3">
      <c r="D147" s="28" t="e">
        <f t="shared" si="55"/>
        <v>#DIV/0!</v>
      </c>
      <c r="E147" s="11">
        <f t="shared" si="56"/>
        <v>0</v>
      </c>
      <c r="F147" s="11">
        <f t="shared" si="57"/>
        <v>0</v>
      </c>
      <c r="G147" s="78" t="e">
        <f t="shared" si="58"/>
        <v>#DIV/0!</v>
      </c>
      <c r="H147" s="28">
        <f t="shared" si="59"/>
        <v>0</v>
      </c>
      <c r="I147" s="28" t="e">
        <f t="shared" si="60"/>
        <v>#DIV/0!</v>
      </c>
    </row>
    <row r="148" spans="4:9" x14ac:dyDescent="0.3">
      <c r="D148" s="28" t="e">
        <f t="shared" si="55"/>
        <v>#DIV/0!</v>
      </c>
      <c r="E148" s="11">
        <f t="shared" si="56"/>
        <v>0</v>
      </c>
      <c r="F148" s="11">
        <f t="shared" si="57"/>
        <v>0</v>
      </c>
      <c r="G148" s="78" t="e">
        <f t="shared" si="58"/>
        <v>#DIV/0!</v>
      </c>
      <c r="H148" s="28">
        <f t="shared" si="59"/>
        <v>0</v>
      </c>
      <c r="I148" s="28" t="e">
        <f t="shared" si="60"/>
        <v>#DIV/0!</v>
      </c>
    </row>
    <row r="149" spans="4:9" x14ac:dyDescent="0.3">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30"/>
  <sheetViews>
    <sheetView topLeftCell="A108" workbookViewId="0">
      <selection activeCell="B110" sqref="B110:B12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c r="D129">
        <f>SUM(Table5[Amount])</f>
        <v>285845</v>
      </c>
      <c r="H129" s="1">
        <v>46199</v>
      </c>
      <c r="J129">
        <f>SUMIFS(Table14[Debit], Table14[Date], Table15[[#This Row],[Date]], Table14[Party], "Parts")</f>
        <v>0</v>
      </c>
    </row>
    <row r="130" spans="2:10" x14ac:dyDescent="0.3">
      <c r="H130" s="1"/>
      <c r="J130">
        <f>SUM(Table15[Amount])</f>
        <v>860853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G15" sqref="G15"/>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30660782.847110465</v>
      </c>
    </row>
    <row r="3" spans="1:3" ht="21" x14ac:dyDescent="0.4">
      <c r="A3" s="101" t="str">
        <f>Billing!R38</f>
        <v>Rauf Khan</v>
      </c>
      <c r="B3" s="104">
        <f>Billing!AF38</f>
        <v>1918328</v>
      </c>
      <c r="C3" s="102">
        <f>Billing!AG38</f>
        <v>2897962.4169714712</v>
      </c>
    </row>
    <row r="4" spans="1:3" ht="21" x14ac:dyDescent="0.4">
      <c r="A4" s="101" t="str">
        <f>Billing!R15</f>
        <v>Hafiz Qureshi</v>
      </c>
      <c r="B4" s="104">
        <f>Billing!AF15</f>
        <v>6125853</v>
      </c>
      <c r="C4" s="102">
        <f>Billing!AG15</f>
        <v>1400976.736649598</v>
      </c>
    </row>
    <row r="5" spans="1:3" ht="21" x14ac:dyDescent="0.4">
      <c r="A5" s="101" t="str">
        <f>Billing!R22</f>
        <v>Shafique Ansari</v>
      </c>
      <c r="B5" s="104">
        <f>Billing!AF22</f>
        <v>1890660</v>
      </c>
      <c r="C5" s="103">
        <f>Billing!AG22</f>
        <v>590760.08046817873</v>
      </c>
    </row>
    <row r="6" spans="1:3" ht="21" x14ac:dyDescent="0.4">
      <c r="A6" s="101" t="str">
        <f>Billing!R11</f>
        <v>Raaz Fabrics</v>
      </c>
      <c r="B6" s="104">
        <f>Billing!AF11</f>
        <v>1876321</v>
      </c>
      <c r="C6" s="103">
        <f>Billing!AG11</f>
        <v>642570.73372348258</v>
      </c>
    </row>
    <row r="7" spans="1:3" ht="21" x14ac:dyDescent="0.4">
      <c r="A7" s="101" t="str">
        <f>Billing!R6</f>
        <v>Ejaz Sahab</v>
      </c>
      <c r="B7" s="104">
        <f>Billing!AF6</f>
        <v>7214622</v>
      </c>
      <c r="C7" s="102">
        <f>Billing!AG6</f>
        <v>643830.81638624799</v>
      </c>
    </row>
    <row r="8" spans="1:3" ht="21" x14ac:dyDescent="0.4">
      <c r="A8" s="101" t="str">
        <f>Billing!R34</f>
        <v>Hafiz Shawl</v>
      </c>
      <c r="B8" s="104">
        <f>Billing!AF34</f>
        <v>55855</v>
      </c>
      <c r="C8" s="102">
        <f>Billing!AG34</f>
        <v>544044.4147768839</v>
      </c>
    </row>
    <row r="9" spans="1:3" ht="21" x14ac:dyDescent="0.4">
      <c r="A9" s="101" t="str">
        <f>Billing!R23</f>
        <v>Amjad sohail</v>
      </c>
      <c r="B9" s="104">
        <f>Billing!AF23</f>
        <v>4417830</v>
      </c>
      <c r="C9" s="102">
        <f>Billing!AG23</f>
        <v>451112.02633504104</v>
      </c>
    </row>
    <row r="10" spans="1:3" ht="21" x14ac:dyDescent="0.4">
      <c r="A10" s="101" t="str">
        <f>Billing!R36</f>
        <v>Faizan Kamoki</v>
      </c>
      <c r="B10" s="104">
        <f>Billing!AF36</f>
        <v>7563331.4930504756</v>
      </c>
      <c r="C10" s="102">
        <f>Billing!AG36</f>
        <v>204511.41111924034</v>
      </c>
    </row>
    <row r="11" spans="1:3" ht="21" x14ac:dyDescent="0.4">
      <c r="A11" s="101" t="str">
        <f>Billing!R42</f>
        <v>Moeez badshah</v>
      </c>
      <c r="B11" s="104">
        <f>Billing!AF42</f>
        <v>1460000</v>
      </c>
      <c r="C11" s="102">
        <f>Billing!AG42</f>
        <v>-12121.433796634898</v>
      </c>
    </row>
    <row r="12" spans="1:3" ht="21" x14ac:dyDescent="0.4">
      <c r="A12" s="101" t="str">
        <f>Billing!R14</f>
        <v>Ashraf Zia</v>
      </c>
      <c r="B12" s="104">
        <f>Billing!AF14</f>
        <v>130000</v>
      </c>
      <c r="C12" s="102">
        <f>Billing!AG14</f>
        <v>125724.21360643749</v>
      </c>
    </row>
    <row r="13" spans="1:3" ht="21" x14ac:dyDescent="0.4">
      <c r="A13" s="101" t="str">
        <f>Billing!R16</f>
        <v>Badshah Fabrics</v>
      </c>
      <c r="B13" s="104">
        <f>Billing!AF16</f>
        <v>6545761</v>
      </c>
      <c r="C13" s="102">
        <f>Billing!AG16</f>
        <v>91938.341623995453</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Billing!R25</f>
        <v>Shahid Qasayi</v>
      </c>
      <c r="B17" s="104">
        <f>Billing!AF25</f>
        <v>4752127</v>
      </c>
      <c r="C17" s="102">
        <f>Billing!AG25</f>
        <v>15621.719824433327</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322.97000731539447</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3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2026-07-06T22:35:14Z</dcterms:modified>
  <cp:category/>
  <cp:contentStatus/>
</cp:coreProperties>
</file>