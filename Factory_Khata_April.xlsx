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4877" documentId="8_{7831D67F-D179-4A48-BF3D-D20C81F1E395}" xr6:coauthVersionLast="47" xr6:coauthVersionMax="47" xr10:uidLastSave="{AC3F3C87-5038-4923-BE02-278FFC89F1C7}"/>
  <bookViews>
    <workbookView xWindow="-108" yWindow="-108" windowWidth="23256" windowHeight="12456" tabRatio="597" firstSheet="4" activeTab="12"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2" i="7" l="1"/>
  <c r="H42" i="7" s="1"/>
  <c r="G43" i="7"/>
  <c r="H43" i="7" s="1"/>
  <c r="J22" i="22"/>
  <c r="H22" i="22"/>
  <c r="K4" i="22"/>
  <c r="L4" i="22" s="1"/>
  <c r="K5" i="22"/>
  <c r="L5" i="22" s="1"/>
  <c r="K6" i="22"/>
  <c r="L6" i="22" s="1"/>
  <c r="K7" i="22"/>
  <c r="L7" i="22" s="1"/>
  <c r="K8" i="22"/>
  <c r="L8" i="22" s="1"/>
  <c r="K9" i="22"/>
  <c r="L9" i="22" s="1"/>
  <c r="K10" i="22"/>
  <c r="L10" i="22" s="1"/>
  <c r="K11" i="22"/>
  <c r="L11" i="22" s="1"/>
  <c r="K12" i="22"/>
  <c r="L12" i="22" s="1"/>
  <c r="K13" i="22"/>
  <c r="L13" i="22" s="1"/>
  <c r="K14" i="22"/>
  <c r="L14" i="22" s="1"/>
  <c r="K15" i="22"/>
  <c r="L15" i="22" s="1"/>
  <c r="K16" i="22"/>
  <c r="L16" i="22" s="1"/>
  <c r="K17" i="22"/>
  <c r="L17" i="22" s="1"/>
  <c r="K18" i="22"/>
  <c r="L18" i="22" s="1"/>
  <c r="K19" i="22"/>
  <c r="L19" i="22" s="1"/>
  <c r="K20" i="22"/>
  <c r="L20" i="22" s="1"/>
  <c r="K21" i="22"/>
  <c r="L21" i="22" s="1"/>
  <c r="K3" i="22"/>
  <c r="L3" i="22" s="1"/>
  <c r="G36" i="7"/>
  <c r="H36" i="7" s="1"/>
  <c r="L2" i="22"/>
  <c r="J2" i="22"/>
  <c r="J3" i="22"/>
  <c r="J4" i="22"/>
  <c r="J5" i="22"/>
  <c r="J6" i="22"/>
  <c r="J7" i="22"/>
  <c r="J8" i="22"/>
  <c r="J9" i="22"/>
  <c r="J10" i="22"/>
  <c r="J11" i="22"/>
  <c r="J12" i="22"/>
  <c r="J13" i="22"/>
  <c r="J14" i="22"/>
  <c r="J15" i="22"/>
  <c r="J16" i="22"/>
  <c r="J17" i="22"/>
  <c r="J18" i="22"/>
  <c r="J19" i="22"/>
  <c r="J20" i="22"/>
  <c r="J21" i="22"/>
  <c r="I292" i="1"/>
  <c r="J292" i="1" a="1"/>
  <c r="J292" i="1"/>
  <c r="I293" i="1"/>
  <c r="J293" i="1" a="1"/>
  <c r="J293" i="1"/>
  <c r="I291" i="1"/>
  <c r="J291" i="1"/>
  <c r="I290" i="1"/>
  <c r="J290" i="1"/>
  <c r="I283" i="1"/>
  <c r="J283" i="1" a="1"/>
  <c r="J283" i="1"/>
  <c r="I281" i="1"/>
  <c r="J281" i="1" a="1"/>
  <c r="J281" i="1"/>
  <c r="I282" i="1"/>
  <c r="J282" i="1" a="1"/>
  <c r="J282" i="1"/>
  <c r="I284" i="1"/>
  <c r="J284" i="1" a="1"/>
  <c r="J284" i="1"/>
  <c r="I285" i="1"/>
  <c r="J285" i="1" a="1"/>
  <c r="J285" i="1"/>
  <c r="I286" i="1"/>
  <c r="J286" i="1" a="1"/>
  <c r="J286" i="1"/>
  <c r="I287" i="1"/>
  <c r="J287" i="1" a="1"/>
  <c r="J287" i="1"/>
  <c r="I288" i="1"/>
  <c r="J288" i="1" a="1"/>
  <c r="J288" i="1"/>
  <c r="I289" i="1"/>
  <c r="J289" i="1" a="1"/>
  <c r="J289" i="1"/>
  <c r="I294" i="1"/>
  <c r="J294" i="1" a="1"/>
  <c r="J294" i="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80" i="1"/>
  <c r="J280" i="1" a="1"/>
  <c r="J280" i="1"/>
  <c r="I279" i="1"/>
  <c r="J279" i="1" a="1"/>
  <c r="J279" i="1"/>
  <c r="I278" i="1"/>
  <c r="J278" i="1"/>
  <c r="I271" i="1"/>
  <c r="J271" i="1" a="1"/>
  <c r="J271" i="1"/>
  <c r="I272" i="1"/>
  <c r="J272" i="1" a="1"/>
  <c r="J272" i="1"/>
  <c r="I273" i="1"/>
  <c r="J273" i="1" a="1"/>
  <c r="J273" i="1"/>
  <c r="I274" i="1"/>
  <c r="J274" i="1" a="1"/>
  <c r="J274" i="1"/>
  <c r="I275" i="1"/>
  <c r="J275" i="1" a="1"/>
  <c r="J275" i="1"/>
  <c r="I276" i="1"/>
  <c r="J276" i="1" a="1"/>
  <c r="J276" i="1"/>
  <c r="I277" i="1"/>
  <c r="J277" i="1" a="1"/>
  <c r="J277" i="1"/>
  <c r="C1063" i="17"/>
  <c r="C1058" i="17"/>
  <c r="C1053" i="17"/>
  <c r="I263" i="1"/>
  <c r="J263" i="1" a="1"/>
  <c r="J263" i="1"/>
  <c r="I264" i="1"/>
  <c r="J264" i="1" a="1"/>
  <c r="J264" i="1"/>
  <c r="I265" i="1"/>
  <c r="J265" i="1" a="1"/>
  <c r="J265" i="1"/>
  <c r="I266" i="1"/>
  <c r="J266" i="1" a="1"/>
  <c r="J266" i="1"/>
  <c r="I267" i="1"/>
  <c r="J267" i="1" a="1"/>
  <c r="J267" i="1"/>
  <c r="I268" i="1"/>
  <c r="J268" i="1" a="1"/>
  <c r="J268" i="1"/>
  <c r="I269" i="1"/>
  <c r="J269" i="1" a="1"/>
  <c r="J269" i="1"/>
  <c r="I270" i="1"/>
  <c r="J270" i="1" a="1"/>
  <c r="J270" i="1"/>
  <c r="G215" i="1"/>
  <c r="H287" i="1"/>
  <c r="H288" i="1"/>
  <c r="H289" i="1"/>
  <c r="H294" i="1"/>
  <c r="H295" i="1"/>
  <c r="H296" i="1"/>
  <c r="H297" i="1"/>
  <c r="H298" i="1"/>
  <c r="H299" i="1"/>
  <c r="H300" i="1"/>
  <c r="H301" i="1"/>
  <c r="H302" i="1"/>
  <c r="H303" i="1"/>
  <c r="H304" i="1"/>
  <c r="H305" i="1"/>
  <c r="H306" i="1"/>
  <c r="H307" i="1"/>
  <c r="E119" i="2"/>
  <c r="F119" i="2"/>
  <c r="E120" i="2"/>
  <c r="F120" i="2"/>
  <c r="H120" i="2"/>
  <c r="I120" i="2"/>
  <c r="D120" i="2"/>
  <c r="E121" i="2"/>
  <c r="F121" i="2"/>
  <c r="E122" i="2"/>
  <c r="F122" i="2"/>
  <c r="H122" i="2"/>
  <c r="I122" i="2"/>
  <c r="D122" i="2"/>
  <c r="E123" i="2"/>
  <c r="F123" i="2"/>
  <c r="E124" i="2"/>
  <c r="F124" i="2"/>
  <c r="H124" i="2"/>
  <c r="I124" i="2"/>
  <c r="D124" i="2"/>
  <c r="E125" i="2"/>
  <c r="F125" i="2"/>
  <c r="E126" i="2"/>
  <c r="F126" i="2"/>
  <c r="G126" i="2"/>
  <c r="H274" i="1"/>
  <c r="H126" i="2"/>
  <c r="I126" i="2"/>
  <c r="D126" i="2"/>
  <c r="E127" i="2"/>
  <c r="F127" i="2"/>
  <c r="I258" i="1"/>
  <c r="J258" i="1" a="1"/>
  <c r="J258" i="1"/>
  <c r="I259" i="1"/>
  <c r="J259" i="1" a="1"/>
  <c r="J259" i="1"/>
  <c r="I260" i="1"/>
  <c r="J260" i="1" a="1"/>
  <c r="J260" i="1"/>
  <c r="I261" i="1"/>
  <c r="J261" i="1" a="1"/>
  <c r="J261" i="1"/>
  <c r="I262" i="1"/>
  <c r="J262" i="1" a="1"/>
  <c r="J262" i="1"/>
  <c r="G38" i="7"/>
  <c r="H38" i="7" s="1"/>
  <c r="G39" i="7"/>
  <c r="H39" i="7" s="1"/>
  <c r="G40" i="7"/>
  <c r="H40" i="7" s="1"/>
  <c r="G41" i="7"/>
  <c r="H41" i="7" s="1"/>
  <c r="F49" i="15"/>
  <c r="G46" i="15"/>
  <c r="H46" i="15" s="1"/>
  <c r="G47" i="15"/>
  <c r="H47" i="15" s="1"/>
  <c r="G48" i="15"/>
  <c r="H48" i="15" s="1"/>
  <c r="G49" i="15"/>
  <c r="H49" i="15" s="1"/>
  <c r="D130" i="18"/>
  <c r="D131" i="18"/>
  <c r="D132" i="18"/>
  <c r="D133" i="18"/>
  <c r="D134" i="18"/>
  <c r="E130" i="18"/>
  <c r="E131" i="18"/>
  <c r="E132" i="18"/>
  <c r="E133" i="18"/>
  <c r="E134" i="18"/>
  <c r="C824"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I257" i="1"/>
  <c r="J257" i="1" a="1"/>
  <c r="J257" i="1"/>
  <c r="I253" i="1"/>
  <c r="J253" i="1" a="1"/>
  <c r="J253" i="1"/>
  <c r="I254" i="1"/>
  <c r="J254" i="1" a="1"/>
  <c r="J254" i="1"/>
  <c r="I255" i="1"/>
  <c r="J255" i="1" a="1"/>
  <c r="J255" i="1"/>
  <c r="I256" i="1"/>
  <c r="J256" i="1" a="1"/>
  <c r="J256" i="1"/>
  <c r="I243" i="1"/>
  <c r="J243" i="1" a="1"/>
  <c r="J243" i="1"/>
  <c r="I244" i="1"/>
  <c r="J244" i="1" a="1"/>
  <c r="J244" i="1"/>
  <c r="I245" i="1"/>
  <c r="J245" i="1" a="1"/>
  <c r="J245" i="1"/>
  <c r="I246" i="1"/>
  <c r="J246" i="1"/>
  <c r="I247" i="1"/>
  <c r="J247" i="1" a="1"/>
  <c r="J247" i="1"/>
  <c r="I248" i="1"/>
  <c r="J248" i="1" a="1"/>
  <c r="J248" i="1"/>
  <c r="I249" i="1"/>
  <c r="J249" i="1" a="1"/>
  <c r="J249" i="1"/>
  <c r="I250" i="1"/>
  <c r="J250" i="1" a="1"/>
  <c r="J250" i="1"/>
  <c r="I251" i="1"/>
  <c r="J251" i="1" a="1"/>
  <c r="J251" i="1"/>
  <c r="I252" i="1"/>
  <c r="J252" i="1" a="1"/>
  <c r="J252" i="1"/>
  <c r="C875" i="17"/>
  <c r="C857" i="17"/>
  <c r="G35" i="7"/>
  <c r="H35" i="7" s="1"/>
  <c r="G37" i="7"/>
  <c r="H37" i="7" s="1"/>
  <c r="I239" i="1"/>
  <c r="J239" i="1" a="1"/>
  <c r="J239" i="1"/>
  <c r="I240" i="1"/>
  <c r="J240" i="1" a="1"/>
  <c r="J240" i="1"/>
  <c r="I241" i="1"/>
  <c r="J241" i="1" a="1"/>
  <c r="J241" i="1"/>
  <c r="I242" i="1"/>
  <c r="J242" i="1" a="1"/>
  <c r="J242" i="1"/>
  <c r="I232" i="1"/>
  <c r="J232" i="1" a="1"/>
  <c r="J232" i="1"/>
  <c r="I233" i="1"/>
  <c r="J233" i="1" a="1"/>
  <c r="J233" i="1"/>
  <c r="I234" i="1"/>
  <c r="J234" i="1"/>
  <c r="I235" i="1"/>
  <c r="J235" i="1"/>
  <c r="I236" i="1"/>
  <c r="J236" i="1" a="1"/>
  <c r="J236" i="1"/>
  <c r="I237" i="1"/>
  <c r="J237" i="1" a="1"/>
  <c r="J237" i="1"/>
  <c r="I238" i="1"/>
  <c r="J238" i="1" a="1"/>
  <c r="J238" i="1"/>
  <c r="I226" i="1"/>
  <c r="J226" i="1" a="1"/>
  <c r="J226" i="1"/>
  <c r="I227" i="1"/>
  <c r="J227" i="1" a="1"/>
  <c r="J227" i="1"/>
  <c r="I228" i="1"/>
  <c r="J228" i="1" a="1"/>
  <c r="J228" i="1"/>
  <c r="I229" i="1"/>
  <c r="J229" i="1" a="1"/>
  <c r="J229" i="1"/>
  <c r="I230" i="1"/>
  <c r="J230" i="1" a="1"/>
  <c r="J230" i="1"/>
  <c r="I231" i="1"/>
  <c r="J231" i="1" a="1"/>
  <c r="J231" i="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H43" i="15" s="1"/>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24" i="1"/>
  <c r="J224" i="1"/>
  <c r="I225" i="1"/>
  <c r="J225" i="1"/>
  <c r="I221" i="1"/>
  <c r="J221" i="1"/>
  <c r="I222" i="1"/>
  <c r="J222" i="1"/>
  <c r="I223" i="1"/>
  <c r="J223" i="1"/>
  <c r="I215" i="1"/>
  <c r="J215" i="1" a="1"/>
  <c r="J215" i="1"/>
  <c r="I216" i="1"/>
  <c r="J216" i="1" a="1"/>
  <c r="J216" i="1"/>
  <c r="I219" i="1"/>
  <c r="J219" i="1" a="1"/>
  <c r="J219" i="1"/>
  <c r="I220" i="1"/>
  <c r="J220" i="1" a="1"/>
  <c r="J220" i="1"/>
  <c r="I211" i="1"/>
  <c r="J211" i="1"/>
  <c r="I212" i="1"/>
  <c r="J212" i="1"/>
  <c r="I208" i="1"/>
  <c r="J208" i="1" a="1"/>
  <c r="J208" i="1"/>
  <c r="I209" i="1"/>
  <c r="J209" i="1" a="1"/>
  <c r="J209" i="1"/>
  <c r="I210" i="1"/>
  <c r="J210" i="1" a="1"/>
  <c r="J210" i="1"/>
  <c r="I213" i="1"/>
  <c r="J213" i="1" a="1"/>
  <c r="J213" i="1"/>
  <c r="I214" i="1"/>
  <c r="J214" i="1" a="1"/>
  <c r="J214" i="1"/>
  <c r="C669" i="17"/>
  <c r="C649" i="17"/>
  <c r="G38" i="15"/>
  <c r="H38" i="15" s="1"/>
  <c r="G39" i="15"/>
  <c r="H39" i="15" s="1"/>
  <c r="G40" i="15"/>
  <c r="H40" i="15" s="1"/>
  <c r="G41" i="15"/>
  <c r="H41" i="15" s="1"/>
  <c r="G42" i="15"/>
  <c r="H42" i="15" s="1"/>
  <c r="B49" i="9" a="1"/>
  <c r="L88" i="9" a="1"/>
  <c r="L88" i="9"/>
  <c r="I97" i="1"/>
  <c r="J97" i="1" a="1"/>
  <c r="J97" i="1"/>
  <c r="I105" i="1"/>
  <c r="J105" i="1" a="1"/>
  <c r="J105" i="1"/>
  <c r="I111" i="1"/>
  <c r="J111" i="1" a="1"/>
  <c r="J111" i="1"/>
  <c r="I112" i="1"/>
  <c r="J112" i="1" a="1"/>
  <c r="J112" i="1"/>
  <c r="I113" i="1"/>
  <c r="J113" i="1" a="1"/>
  <c r="J113" i="1"/>
  <c r="I120" i="1"/>
  <c r="J120" i="1" a="1"/>
  <c r="J120" i="1"/>
  <c r="I121" i="1"/>
  <c r="J121" i="1" a="1"/>
  <c r="J121" i="1"/>
  <c r="I132" i="1"/>
  <c r="J132" i="1" a="1"/>
  <c r="J132" i="1"/>
  <c r="I133" i="1"/>
  <c r="J133" i="1" a="1"/>
  <c r="J133" i="1"/>
  <c r="I143" i="1"/>
  <c r="J143" i="1" a="1"/>
  <c r="J143" i="1"/>
  <c r="I145" i="1"/>
  <c r="J145" i="1" a="1"/>
  <c r="J145" i="1"/>
  <c r="I154" i="1"/>
  <c r="J154" i="1" a="1"/>
  <c r="J154" i="1"/>
  <c r="I155" i="1"/>
  <c r="J155" i="1" a="1"/>
  <c r="J155" i="1"/>
  <c r="I156" i="1"/>
  <c r="J156" i="1" a="1"/>
  <c r="J156" i="1"/>
  <c r="I157" i="1"/>
  <c r="J157" i="1" a="1"/>
  <c r="J157" i="1"/>
  <c r="I158" i="1"/>
  <c r="J158" i="1" a="1"/>
  <c r="J158" i="1"/>
  <c r="I160" i="1"/>
  <c r="J160" i="1" a="1"/>
  <c r="J160" i="1"/>
  <c r="I161" i="1"/>
  <c r="J161" i="1" a="1"/>
  <c r="J161" i="1"/>
  <c r="I162" i="1"/>
  <c r="J162" i="1" a="1"/>
  <c r="J162" i="1"/>
  <c r="I163" i="1"/>
  <c r="J163" i="1" a="1"/>
  <c r="J163" i="1"/>
  <c r="I164" i="1"/>
  <c r="J164" i="1" a="1"/>
  <c r="J164" i="1"/>
  <c r="I165" i="1"/>
  <c r="J165" i="1" a="1"/>
  <c r="J165" i="1"/>
  <c r="I166" i="1"/>
  <c r="J166" i="1" a="1"/>
  <c r="J166" i="1"/>
  <c r="I167" i="1"/>
  <c r="J167" i="1" a="1"/>
  <c r="J167" i="1"/>
  <c r="I168" i="1"/>
  <c r="J168" i="1" a="1"/>
  <c r="J168" i="1"/>
  <c r="I170" i="1"/>
  <c r="J170" i="1" a="1"/>
  <c r="J170" i="1"/>
  <c r="I169" i="1"/>
  <c r="J169" i="1" a="1"/>
  <c r="J169" i="1"/>
  <c r="I172" i="1"/>
  <c r="J172" i="1" a="1"/>
  <c r="J172" i="1"/>
  <c r="I185" i="1"/>
  <c r="J185" i="1" a="1"/>
  <c r="J185" i="1"/>
  <c r="I186" i="1"/>
  <c r="J186" i="1" a="1"/>
  <c r="J186" i="1"/>
  <c r="I187" i="1"/>
  <c r="J187" i="1" a="1"/>
  <c r="J187" i="1"/>
  <c r="I189" i="1"/>
  <c r="J189" i="1" a="1"/>
  <c r="J189" i="1"/>
  <c r="I203" i="1"/>
  <c r="J203" i="1" a="1"/>
  <c r="J203" i="1"/>
  <c r="I188" i="1"/>
  <c r="J188" i="1" a="1"/>
  <c r="J188" i="1"/>
  <c r="I190" i="1"/>
  <c r="J190" i="1" a="1"/>
  <c r="J190" i="1"/>
  <c r="I191" i="1"/>
  <c r="J191" i="1" a="1"/>
  <c r="J191" i="1"/>
  <c r="I192" i="1"/>
  <c r="J192" i="1" a="1"/>
  <c r="J192" i="1"/>
  <c r="I193" i="1"/>
  <c r="J193" i="1" a="1"/>
  <c r="J193" i="1"/>
  <c r="I194" i="1"/>
  <c r="J194" i="1" a="1"/>
  <c r="J194" i="1"/>
  <c r="I196" i="1"/>
  <c r="J196" i="1" a="1"/>
  <c r="J196" i="1"/>
  <c r="I197" i="1"/>
  <c r="J197" i="1" a="1"/>
  <c r="J197" i="1"/>
  <c r="I206" i="1"/>
  <c r="J206" i="1" a="1"/>
  <c r="J206" i="1"/>
  <c r="I207" i="1"/>
  <c r="J207" i="1" a="1"/>
  <c r="J207" i="1"/>
  <c r="I95" i="1"/>
  <c r="J95" i="1" a="1"/>
  <c r="J95" i="1"/>
  <c r="I96" i="1"/>
  <c r="J96" i="1" a="1"/>
  <c r="J96" i="1"/>
  <c r="I103" i="1"/>
  <c r="J103" i="1" a="1"/>
  <c r="J103" i="1"/>
  <c r="I104" i="1"/>
  <c r="J104" i="1" a="1"/>
  <c r="J104" i="1"/>
  <c r="I108" i="1"/>
  <c r="J108" i="1" a="1"/>
  <c r="J108" i="1"/>
  <c r="I110" i="1"/>
  <c r="J110" i="1" a="1"/>
  <c r="J110" i="1"/>
  <c r="I171" i="1"/>
  <c r="J171" i="1" a="1"/>
  <c r="J171" i="1"/>
  <c r="I181" i="1"/>
  <c r="J181" i="1" a="1"/>
  <c r="J181" i="1"/>
  <c r="I107" i="1"/>
  <c r="J107" i="1" a="1"/>
  <c r="J107" i="1"/>
  <c r="I109" i="1"/>
  <c r="J109" i="1" a="1"/>
  <c r="J109" i="1"/>
  <c r="I131" i="1"/>
  <c r="J131" i="1" a="1"/>
  <c r="J131" i="1"/>
  <c r="I198" i="1"/>
  <c r="J198" i="1" a="1"/>
  <c r="J198" i="1"/>
  <c r="R5" i="9" a="1"/>
  <c r="A34" i="20"/>
  <c r="I98" i="1"/>
  <c r="J98" i="1" a="1"/>
  <c r="J98" i="1"/>
  <c r="I100" i="1"/>
  <c r="J100" i="1" a="1"/>
  <c r="J100" i="1"/>
  <c r="I106" i="1"/>
  <c r="J106" i="1" a="1"/>
  <c r="J106" i="1"/>
  <c r="I93" i="1"/>
  <c r="J93" i="1" a="1"/>
  <c r="J93" i="1"/>
  <c r="I94" i="1"/>
  <c r="J94" i="1" a="1"/>
  <c r="J94" i="1"/>
  <c r="I99" i="1"/>
  <c r="J99" i="1" a="1"/>
  <c r="J99" i="1"/>
  <c r="I140" i="1"/>
  <c r="J140" i="1" a="1"/>
  <c r="J140" i="1"/>
  <c r="I117" i="1"/>
  <c r="J117" i="1" a="1"/>
  <c r="J117" i="1"/>
  <c r="I205" i="1"/>
  <c r="J205" i="1" a="1"/>
  <c r="J205" i="1"/>
  <c r="I137" i="1"/>
  <c r="J137" i="1" a="1"/>
  <c r="J137" i="1"/>
  <c r="I134" i="1"/>
  <c r="J134" i="1" a="1"/>
  <c r="J134" i="1"/>
  <c r="I142" i="1"/>
  <c r="J142" i="1" a="1"/>
  <c r="J142" i="1"/>
  <c r="I144" i="1"/>
  <c r="J144" i="1" a="1"/>
  <c r="J144" i="1"/>
  <c r="I202" i="1"/>
  <c r="J202" i="1" a="1"/>
  <c r="J202" i="1"/>
  <c r="I201" i="1"/>
  <c r="J201" i="1" a="1"/>
  <c r="J201" i="1"/>
  <c r="I141" i="1"/>
  <c r="J141" i="1" a="1"/>
  <c r="J141" i="1"/>
  <c r="I122" i="1"/>
  <c r="J122" i="1" a="1"/>
  <c r="J122" i="1"/>
  <c r="I123" i="1"/>
  <c r="J123" i="1" a="1"/>
  <c r="J123" i="1"/>
  <c r="I124" i="1"/>
  <c r="J124" i="1" a="1"/>
  <c r="J124" i="1"/>
  <c r="I125" i="1"/>
  <c r="J125" i="1" a="1"/>
  <c r="J125" i="1"/>
  <c r="I126" i="1"/>
  <c r="J126" i="1" a="1"/>
  <c r="J126" i="1"/>
  <c r="I127" i="1"/>
  <c r="J127" i="1" a="1"/>
  <c r="J127" i="1"/>
  <c r="I128" i="1"/>
  <c r="J128" i="1" a="1"/>
  <c r="J128" i="1"/>
  <c r="I101" i="1"/>
  <c r="J101" i="1" a="1"/>
  <c r="J101" i="1"/>
  <c r="I102" i="1"/>
  <c r="J102" i="1" a="1"/>
  <c r="J102" i="1"/>
  <c r="I129" i="1"/>
  <c r="J129" i="1" a="1"/>
  <c r="J129" i="1"/>
  <c r="I130" i="1"/>
  <c r="J130" i="1" a="1"/>
  <c r="J130" i="1"/>
  <c r="I146" i="1"/>
  <c r="J146" i="1" a="1"/>
  <c r="J146" i="1"/>
  <c r="I147" i="1"/>
  <c r="J147" i="1" a="1"/>
  <c r="J147" i="1"/>
  <c r="I148" i="1"/>
  <c r="J148" i="1" a="1"/>
  <c r="J148" i="1"/>
  <c r="I177" i="1"/>
  <c r="J177" i="1" a="1"/>
  <c r="J177" i="1"/>
  <c r="I178" i="1"/>
  <c r="J178" i="1" a="1"/>
  <c r="J178" i="1"/>
  <c r="I179" i="1"/>
  <c r="J179" i="1" a="1"/>
  <c r="J179" i="1"/>
  <c r="I180" i="1"/>
  <c r="J180" i="1" a="1"/>
  <c r="J180" i="1"/>
  <c r="I115" i="1"/>
  <c r="J115" i="1" a="1"/>
  <c r="J115" i="1"/>
  <c r="I116" i="1"/>
  <c r="J116" i="1" a="1"/>
  <c r="J116" i="1"/>
  <c r="I138" i="1"/>
  <c r="J138" i="1" a="1"/>
  <c r="J138" i="1"/>
  <c r="I139" i="1"/>
  <c r="J139" i="1" a="1"/>
  <c r="J139" i="1"/>
  <c r="I114" i="1"/>
  <c r="J114" i="1" a="1"/>
  <c r="J114" i="1"/>
  <c r="I135" i="1"/>
  <c r="J135" i="1" a="1"/>
  <c r="J135" i="1"/>
  <c r="I136" i="1"/>
  <c r="J136" i="1" a="1"/>
  <c r="J136" i="1"/>
  <c r="I173" i="1"/>
  <c r="J173" i="1"/>
  <c r="I174" i="1"/>
  <c r="J174" i="1"/>
  <c r="I175" i="1"/>
  <c r="J175" i="1"/>
  <c r="I176" i="1"/>
  <c r="J176" i="1"/>
  <c r="I118" i="1"/>
  <c r="J118" i="1" a="1"/>
  <c r="J118" i="1"/>
  <c r="I119" i="1"/>
  <c r="J119" i="1" a="1"/>
  <c r="J119" i="1"/>
  <c r="I204" i="1"/>
  <c r="J204" i="1" a="1"/>
  <c r="J204" i="1"/>
  <c r="I149" i="1"/>
  <c r="J149" i="1" a="1"/>
  <c r="J149" i="1"/>
  <c r="I150" i="1"/>
  <c r="J150" i="1" a="1"/>
  <c r="J150" i="1"/>
  <c r="I151" i="1"/>
  <c r="J151" i="1" a="1"/>
  <c r="J151" i="1"/>
  <c r="I152" i="1"/>
  <c r="J152" i="1" a="1"/>
  <c r="J152" i="1"/>
  <c r="I153" i="1"/>
  <c r="J153" i="1" a="1"/>
  <c r="J153" i="1"/>
  <c r="I182" i="1"/>
  <c r="J182" i="1" a="1"/>
  <c r="J182" i="1"/>
  <c r="I183" i="1"/>
  <c r="J183" i="1" a="1"/>
  <c r="J183" i="1"/>
  <c r="I159" i="1"/>
  <c r="J159" i="1" a="1"/>
  <c r="J159" i="1"/>
  <c r="I184" i="1"/>
  <c r="J184" i="1" a="1"/>
  <c r="J184" i="1"/>
  <c r="I195" i="1"/>
  <c r="J195" i="1" a="1"/>
  <c r="J195" i="1"/>
  <c r="I199" i="1"/>
  <c r="J199" i="1" a="1"/>
  <c r="J199"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00" i="1"/>
  <c r="J200" i="1" a="1"/>
  <c r="J200"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D86" i="14"/>
  <c r="D87" i="14"/>
  <c r="D88" i="14"/>
  <c r="D89" i="14"/>
  <c r="D90" i="14"/>
  <c r="D91" i="14"/>
  <c r="D92" i="14"/>
  <c r="J89" i="14"/>
  <c r="J90" i="14"/>
  <c r="J91" i="14"/>
  <c r="J92" i="14"/>
  <c r="H10" i="15"/>
  <c r="F10" i="15"/>
  <c r="G10" i="15"/>
  <c r="G67" i="6"/>
  <c r="D4" i="17"/>
  <c r="D3" i="17"/>
  <c r="C30" i="17"/>
  <c r="C31" i="17"/>
  <c r="D33" i="17"/>
  <c r="C44" i="17"/>
  <c r="C45" i="17"/>
  <c r="E129" i="2"/>
  <c r="G129" i="2"/>
  <c r="H276" i="1"/>
  <c r="F129" i="2"/>
  <c r="H129" i="2"/>
  <c r="I129" i="2"/>
  <c r="D129" i="2"/>
  <c r="E130" i="2"/>
  <c r="F130" i="2"/>
  <c r="E131" i="2"/>
  <c r="F131" i="2"/>
  <c r="E132" i="2"/>
  <c r="F132" i="2"/>
  <c r="E133" i="2"/>
  <c r="G133" i="2"/>
  <c r="H290" i="1"/>
  <c r="F133" i="2"/>
  <c r="E134" i="2"/>
  <c r="F134" i="2"/>
  <c r="H134" i="2"/>
  <c r="I134" i="2"/>
  <c r="D134" i="2"/>
  <c r="E135" i="2"/>
  <c r="F135" i="2"/>
  <c r="E136" i="2"/>
  <c r="F136" i="2"/>
  <c r="H136" i="2"/>
  <c r="I136" i="2"/>
  <c r="D136" i="2"/>
  <c r="E137" i="2"/>
  <c r="F137" i="2"/>
  <c r="G137" i="2"/>
  <c r="H284" i="1"/>
  <c r="E138" i="2"/>
  <c r="F138" i="2"/>
  <c r="G138" i="2"/>
  <c r="H286" i="1"/>
  <c r="E139" i="2"/>
  <c r="F139" i="2"/>
  <c r="G139" i="2"/>
  <c r="H139" i="2"/>
  <c r="I139" i="2"/>
  <c r="D139" i="2"/>
  <c r="E140" i="2"/>
  <c r="G140" i="2"/>
  <c r="F140" i="2"/>
  <c r="H140" i="2"/>
  <c r="I140" i="2"/>
  <c r="D140" i="2"/>
  <c r="E141" i="2"/>
  <c r="F141" i="2"/>
  <c r="G141" i="2"/>
  <c r="H141" i="2"/>
  <c r="I141" i="2"/>
  <c r="D141" i="2"/>
  <c r="E142" i="2"/>
  <c r="F142" i="2"/>
  <c r="G142" i="2"/>
  <c r="H142" i="2"/>
  <c r="I142" i="2"/>
  <c r="D142" i="2"/>
  <c r="E143" i="2"/>
  <c r="F143" i="2"/>
  <c r="G143" i="2"/>
  <c r="H143" i="2"/>
  <c r="I143" i="2"/>
  <c r="D143" i="2"/>
  <c r="E144" i="2"/>
  <c r="F144" i="2"/>
  <c r="G144" i="2"/>
  <c r="H144" i="2"/>
  <c r="I144" i="2"/>
  <c r="D144" i="2"/>
  <c r="E145" i="2"/>
  <c r="F145" i="2"/>
  <c r="G145" i="2"/>
  <c r="H145" i="2"/>
  <c r="I145" i="2"/>
  <c r="D145" i="2"/>
  <c r="E146" i="2"/>
  <c r="F146" i="2"/>
  <c r="G146" i="2"/>
  <c r="H146" i="2"/>
  <c r="I146" i="2"/>
  <c r="D146" i="2"/>
  <c r="E147" i="2"/>
  <c r="F147" i="2"/>
  <c r="G147" i="2"/>
  <c r="H147" i="2"/>
  <c r="I147" i="2"/>
  <c r="D147" i="2"/>
  <c r="E148" i="2"/>
  <c r="F148" i="2"/>
  <c r="G148" i="2"/>
  <c r="H148" i="2"/>
  <c r="I148" i="2"/>
  <c r="D148" i="2"/>
  <c r="E149" i="2"/>
  <c r="F149" i="2"/>
  <c r="G149" i="2"/>
  <c r="H149" i="2"/>
  <c r="I149" i="2"/>
  <c r="D149" i="2"/>
  <c r="E21" i="7"/>
  <c r="E13" i="7"/>
  <c r="E17" i="7"/>
  <c r="E15" i="7"/>
  <c r="G35" i="15"/>
  <c r="H35" i="15" s="1"/>
  <c r="G36" i="15"/>
  <c r="H36" i="15" s="1"/>
  <c r="G37" i="15"/>
  <c r="H37" i="15" s="1"/>
  <c r="G57" i="6"/>
  <c r="G58" i="6"/>
  <c r="G59" i="6"/>
  <c r="G60" i="6"/>
  <c r="G61" i="6"/>
  <c r="G62" i="6"/>
  <c r="G63" i="6"/>
  <c r="G64" i="6"/>
  <c r="J88" i="14"/>
  <c r="E128" i="2"/>
  <c r="F128" i="2"/>
  <c r="G128" i="2"/>
  <c r="H277" i="1"/>
  <c r="C516" i="17"/>
  <c r="C507"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2" i="17"/>
  <c r="C99" i="23"/>
  <c r="C101" i="23"/>
  <c r="C102" i="23"/>
  <c r="C103" i="23"/>
  <c r="C104" i="23"/>
  <c r="C105" i="23"/>
  <c r="C106" i="23"/>
  <c r="C107" i="23"/>
  <c r="C108" i="23"/>
  <c r="C100" i="23"/>
  <c r="C109" i="23"/>
  <c r="C110" i="23"/>
  <c r="C111" i="23"/>
  <c r="C112" i="23"/>
  <c r="B114" i="23"/>
  <c r="F31" i="15"/>
  <c r="G31" i="15"/>
  <c r="H31" i="15" s="1"/>
  <c r="G30" i="15"/>
  <c r="H30" i="15" s="1"/>
  <c r="F29" i="15"/>
  <c r="G29" i="15"/>
  <c r="H29" i="15" s="1"/>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3"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2" i="17"/>
  <c r="K714" i="17"/>
  <c r="C355"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H27" i="15" s="1"/>
  <c r="G23" i="15"/>
  <c r="H23" i="15" s="1"/>
  <c r="G21" i="6"/>
  <c r="G22" i="6"/>
  <c r="G23" i="6"/>
  <c r="G24" i="6"/>
  <c r="G25" i="6"/>
  <c r="I21" i="6"/>
  <c r="I22" i="6"/>
  <c r="I23" i="6"/>
  <c r="I24" i="6"/>
  <c r="I2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7" i="17"/>
  <c r="C261" i="17"/>
  <c r="J65" i="14" s="1"/>
  <c r="C260" i="17"/>
  <c r="G16" i="7"/>
  <c r="H16" i="7" s="1"/>
  <c r="G17" i="7"/>
  <c r="G18" i="7"/>
  <c r="H18" i="7" s="1"/>
  <c r="G19" i="7"/>
  <c r="H19" i="7" s="1"/>
  <c r="G15" i="7"/>
  <c r="G13" i="7"/>
  <c r="G32" i="7"/>
  <c r="H32" i="7" s="1"/>
  <c r="F20" i="15"/>
  <c r="G17" i="15"/>
  <c r="H17" i="15" s="1"/>
  <c r="G18" i="15"/>
  <c r="H18" i="15" s="1"/>
  <c r="G19" i="15"/>
  <c r="H19" i="15" s="1"/>
  <c r="G20" i="15"/>
  <c r="H20" i="15" s="1"/>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H12" i="15" s="1"/>
  <c r="G13" i="15"/>
  <c r="H13" i="15" s="1"/>
  <c r="G14" i="15"/>
  <c r="H14" i="15" s="1"/>
  <c r="G15" i="15"/>
  <c r="H15" i="15" s="1"/>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C6" i="8"/>
  <c r="F50" i="15"/>
  <c r="G2" i="21" a="1"/>
  <c r="A16" i="21"/>
  <c r="B16" i="2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56" i="7" s="1"/>
  <c r="P36" i="7"/>
  <c r="P37" i="7"/>
  <c r="P38" i="7"/>
  <c r="P39" i="7"/>
  <c r="P40" i="7"/>
  <c r="P41" i="7"/>
  <c r="P42" i="7"/>
  <c r="P43" i="7"/>
  <c r="P44" i="7"/>
  <c r="P45" i="7"/>
  <c r="P46" i="7"/>
  <c r="P47" i="7"/>
  <c r="P48" i="7"/>
  <c r="P49" i="7"/>
  <c r="P50" i="7"/>
  <c r="P51" i="7"/>
  <c r="P52" i="7"/>
  <c r="P53" i="7"/>
  <c r="P54" i="7"/>
  <c r="P55" i="7"/>
  <c r="P34" i="7"/>
  <c r="K27" i="15"/>
  <c r="K30" i="15"/>
  <c r="K26" i="15"/>
  <c r="K25" i="15"/>
  <c r="I36" i="12"/>
  <c r="J35" i="14"/>
  <c r="J36" i="14"/>
  <c r="D35" i="14"/>
  <c r="D36" i="14"/>
  <c r="D35" i="18"/>
  <c r="D36" i="18"/>
  <c r="D37" i="18"/>
  <c r="E35" i="18"/>
  <c r="E36" i="18"/>
  <c r="E37" i="18"/>
  <c r="J25" i="15"/>
  <c r="J27" i="15"/>
  <c r="J30"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c r="E67" i="7"/>
  <c r="E68" i="7"/>
  <c r="E69" i="7"/>
  <c r="E70" i="7"/>
  <c r="E71" i="7"/>
  <c r="E72" i="7"/>
  <c r="E73" i="7"/>
  <c r="E74" i="7"/>
  <c r="E75" i="7"/>
  <c r="E76" i="7"/>
  <c r="E77" i="7"/>
  <c r="E78" i="7"/>
  <c r="E79" i="7"/>
  <c r="E80" i="7"/>
  <c r="E81" i="7"/>
  <c r="E82" i="7"/>
  <c r="E83" i="7"/>
  <c r="E84" i="7"/>
  <c r="E85" i="7"/>
  <c r="E86" i="7"/>
  <c r="E87" i="7"/>
  <c r="E66" i="7"/>
  <c r="E92" i="7" s="1"/>
  <c r="E83" i="2"/>
  <c r="G83" i="2"/>
  <c r="F83" i="2"/>
  <c r="H83" i="2"/>
  <c r="I83" i="2"/>
  <c r="D83" i="2"/>
  <c r="E84" i="2"/>
  <c r="F84" i="2"/>
  <c r="H84" i="2"/>
  <c r="I84" i="2"/>
  <c r="D84" i="2"/>
  <c r="E85" i="2"/>
  <c r="F85" i="2"/>
  <c r="H85" i="2"/>
  <c r="I85" i="2"/>
  <c r="D85" i="2"/>
  <c r="E86" i="2"/>
  <c r="F86" i="2"/>
  <c r="E87" i="2"/>
  <c r="G87" i="2"/>
  <c r="H215" i="1"/>
  <c r="F87" i="2"/>
  <c r="E88" i="2"/>
  <c r="F88" i="2"/>
  <c r="E89" i="2"/>
  <c r="F89" i="2"/>
  <c r="E90" i="2"/>
  <c r="F90" i="2"/>
  <c r="G90" i="2"/>
  <c r="E91" i="2"/>
  <c r="F91" i="2"/>
  <c r="G91" i="2"/>
  <c r="H226" i="1"/>
  <c r="E92" i="2"/>
  <c r="F92" i="2"/>
  <c r="H92" i="2"/>
  <c r="I92" i="2"/>
  <c r="D92" i="2"/>
  <c r="E93" i="2"/>
  <c r="F93" i="2"/>
  <c r="H93" i="2"/>
  <c r="I93" i="2"/>
  <c r="D93" i="2"/>
  <c r="E94" i="2"/>
  <c r="G94" i="2"/>
  <c r="H230" i="1"/>
  <c r="F94" i="2"/>
  <c r="H94" i="2"/>
  <c r="I94" i="2"/>
  <c r="D94" i="2"/>
  <c r="E95" i="2"/>
  <c r="F95" i="2"/>
  <c r="H95" i="2"/>
  <c r="I95" i="2"/>
  <c r="D95" i="2"/>
  <c r="E96" i="2"/>
  <c r="F96" i="2"/>
  <c r="H96" i="2"/>
  <c r="I96" i="2"/>
  <c r="D96" i="2"/>
  <c r="E97" i="2"/>
  <c r="F97" i="2"/>
  <c r="E98" i="2"/>
  <c r="F98" i="2"/>
  <c r="H98" i="2"/>
  <c r="I98" i="2"/>
  <c r="D98" i="2"/>
  <c r="E99" i="2"/>
  <c r="F99" i="2"/>
  <c r="E100" i="2"/>
  <c r="F100" i="2"/>
  <c r="E101" i="2"/>
  <c r="F101" i="2"/>
  <c r="H101" i="2"/>
  <c r="I101" i="2"/>
  <c r="D101" i="2"/>
  <c r="E102" i="2"/>
  <c r="F102" i="2"/>
  <c r="G102" i="2"/>
  <c r="H239" i="1"/>
  <c r="E103" i="2"/>
  <c r="F103" i="2"/>
  <c r="E104" i="2"/>
  <c r="F104" i="2"/>
  <c r="H104" i="2"/>
  <c r="I104" i="2"/>
  <c r="D104" i="2"/>
  <c r="E105" i="2"/>
  <c r="F105" i="2"/>
  <c r="E106" i="2"/>
  <c r="F106" i="2"/>
  <c r="E107" i="2"/>
  <c r="F107" i="2"/>
  <c r="H107" i="2"/>
  <c r="I107" i="2"/>
  <c r="D107" i="2"/>
  <c r="E108" i="2"/>
  <c r="F108" i="2"/>
  <c r="H108" i="2"/>
  <c r="I108" i="2"/>
  <c r="D108" i="2"/>
  <c r="E109" i="2"/>
  <c r="G109" i="2"/>
  <c r="H247" i="1"/>
  <c r="F109" i="2"/>
  <c r="H109" i="2"/>
  <c r="I109" i="2"/>
  <c r="D109" i="2"/>
  <c r="E110" i="2"/>
  <c r="F110" i="2"/>
  <c r="H110" i="2"/>
  <c r="I110" i="2"/>
  <c r="D110" i="2"/>
  <c r="E111" i="2"/>
  <c r="G111" i="2"/>
  <c r="H252" i="1"/>
  <c r="F111" i="2"/>
  <c r="E112" i="2"/>
  <c r="F112" i="2"/>
  <c r="E113" i="2"/>
  <c r="F113" i="2"/>
  <c r="H113" i="2"/>
  <c r="I113" i="2"/>
  <c r="D113" i="2"/>
  <c r="E114" i="2"/>
  <c r="F114" i="2"/>
  <c r="G114" i="2"/>
  <c r="H249" i="1"/>
  <c r="E115" i="2"/>
  <c r="F115" i="2"/>
  <c r="H115" i="2"/>
  <c r="I115" i="2"/>
  <c r="D115" i="2"/>
  <c r="E116" i="2"/>
  <c r="F116" i="2"/>
  <c r="H116" i="2"/>
  <c r="I116" i="2"/>
  <c r="D116" i="2"/>
  <c r="E117" i="2"/>
  <c r="F117" i="2"/>
  <c r="H117" i="2"/>
  <c r="I117" i="2"/>
  <c r="D117" i="2"/>
  <c r="E118" i="2"/>
  <c r="F118" i="2"/>
  <c r="H118" i="2"/>
  <c r="I118" i="2"/>
  <c r="D118" i="2"/>
  <c r="E74" i="2"/>
  <c r="F74" i="2"/>
  <c r="H74" i="2"/>
  <c r="I74" i="2"/>
  <c r="D74" i="2"/>
  <c r="E75" i="2"/>
  <c r="F75" i="2"/>
  <c r="H75" i="2"/>
  <c r="I75" i="2"/>
  <c r="D75" i="2"/>
  <c r="E76" i="2"/>
  <c r="F76" i="2"/>
  <c r="E77" i="2"/>
  <c r="F77" i="2"/>
  <c r="H77" i="2"/>
  <c r="I77" i="2"/>
  <c r="D77" i="2"/>
  <c r="E78" i="2"/>
  <c r="F78" i="2"/>
  <c r="H78" i="2"/>
  <c r="I78" i="2"/>
  <c r="D78" i="2"/>
  <c r="E79" i="2"/>
  <c r="F79" i="2"/>
  <c r="G79" i="2"/>
  <c r="H204" i="1"/>
  <c r="E80" i="2"/>
  <c r="F80" i="2"/>
  <c r="H80" i="2"/>
  <c r="I80" i="2"/>
  <c r="D80" i="2"/>
  <c r="E81" i="2"/>
  <c r="F81" i="2"/>
  <c r="H81" i="2"/>
  <c r="I81" i="2"/>
  <c r="D81" i="2"/>
  <c r="E82" i="2"/>
  <c r="F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c r="E57" i="2"/>
  <c r="F57" i="2"/>
  <c r="E58" i="2"/>
  <c r="F58" i="2"/>
  <c r="G58" i="2"/>
  <c r="F27" i="2"/>
  <c r="G27" i="2"/>
  <c r="H124" i="1"/>
  <c r="E27" i="2"/>
  <c r="E59" i="2"/>
  <c r="F59" i="2"/>
  <c r="H59" i="2"/>
  <c r="I59" i="2"/>
  <c r="D59" i="2"/>
  <c r="F28" i="2"/>
  <c r="H28" i="2"/>
  <c r="I28" i="2"/>
  <c r="D28" i="2"/>
  <c r="E28" i="2"/>
  <c r="G28" i="2"/>
  <c r="H125" i="1"/>
  <c r="E60" i="2"/>
  <c r="F60" i="2"/>
  <c r="E61" i="2"/>
  <c r="F61" i="2"/>
  <c r="G61" i="2"/>
  <c r="H181" i="1"/>
  <c r="F62" i="2"/>
  <c r="H62" i="2"/>
  <c r="I62" i="2"/>
  <c r="D62" i="2"/>
  <c r="E62" i="2"/>
  <c r="E63" i="2"/>
  <c r="G63" i="2"/>
  <c r="F63" i="2"/>
  <c r="H63" i="2"/>
  <c r="I63" i="2"/>
  <c r="D63" i="2"/>
  <c r="E64" i="2"/>
  <c r="F64" i="2"/>
  <c r="H64" i="2"/>
  <c r="I64" i="2"/>
  <c r="D64" i="2"/>
  <c r="E65" i="2"/>
  <c r="F65" i="2"/>
  <c r="H65" i="2"/>
  <c r="I65" i="2"/>
  <c r="D65" i="2"/>
  <c r="E66" i="2"/>
  <c r="F66" i="2"/>
  <c r="H66" i="2"/>
  <c r="I66" i="2"/>
  <c r="D66" i="2"/>
  <c r="E67" i="2"/>
  <c r="F67" i="2"/>
  <c r="H67" i="2"/>
  <c r="I67" i="2"/>
  <c r="D67" i="2"/>
  <c r="G67" i="2"/>
  <c r="H191" i="1"/>
  <c r="E68" i="2"/>
  <c r="F68" i="2"/>
  <c r="H68" i="2"/>
  <c r="I68" i="2"/>
  <c r="D68" i="2"/>
  <c r="E69" i="2"/>
  <c r="F69" i="2"/>
  <c r="H69" i="2"/>
  <c r="I69" i="2"/>
  <c r="D69" i="2"/>
  <c r="E70" i="2"/>
  <c r="F70" i="2"/>
  <c r="H70" i="2"/>
  <c r="I70" i="2"/>
  <c r="D70" i="2"/>
  <c r="E71" i="2"/>
  <c r="F71" i="2"/>
  <c r="H71" i="2"/>
  <c r="I71" i="2"/>
  <c r="D71" i="2"/>
  <c r="E72" i="2"/>
  <c r="F72" i="2"/>
  <c r="H72" i="2"/>
  <c r="I72" i="2"/>
  <c r="D72" i="2"/>
  <c r="E73" i="2"/>
  <c r="F73" i="2"/>
  <c r="E45" i="2"/>
  <c r="G45" i="2"/>
  <c r="F45" i="2"/>
  <c r="H45" i="2"/>
  <c r="E46" i="2"/>
  <c r="F46" i="2"/>
  <c r="H46" i="2"/>
  <c r="I46" i="2"/>
  <c r="D46" i="2"/>
  <c r="E47" i="2"/>
  <c r="F47" i="2"/>
  <c r="G47" i="2"/>
  <c r="H151" i="1"/>
  <c r="E48" i="2"/>
  <c r="F48" i="2"/>
  <c r="H48" i="2"/>
  <c r="I48" i="2"/>
  <c r="D48" i="2"/>
  <c r="F20" i="2"/>
  <c r="E20" i="2"/>
  <c r="E49" i="2"/>
  <c r="F49" i="2"/>
  <c r="H49" i="2"/>
  <c r="I49" i="2"/>
  <c r="D49" i="2"/>
  <c r="F21" i="2"/>
  <c r="H21" i="2"/>
  <c r="I21" i="2"/>
  <c r="D21" i="2"/>
  <c r="E21" i="2"/>
  <c r="E50" i="2"/>
  <c r="F50" i="2"/>
  <c r="H50" i="2"/>
  <c r="I50" i="2"/>
  <c r="D50" i="2"/>
  <c r="E51" i="2"/>
  <c r="F51" i="2"/>
  <c r="H51" i="2"/>
  <c r="I51" i="2"/>
  <c r="D51" i="2"/>
  <c r="E52" i="2"/>
  <c r="F52" i="2"/>
  <c r="H52" i="2"/>
  <c r="I52" i="2"/>
  <c r="D52" i="2"/>
  <c r="E53" i="2"/>
  <c r="F53" i="2"/>
  <c r="E54" i="2"/>
  <c r="F54" i="2"/>
  <c r="F24" i="2"/>
  <c r="H24" i="2"/>
  <c r="I24" i="2"/>
  <c r="D24" i="2"/>
  <c r="E24" i="2"/>
  <c r="E55" i="2"/>
  <c r="F55" i="2"/>
  <c r="H55" i="2"/>
  <c r="I55" i="2"/>
  <c r="D55" i="2"/>
  <c r="F25" i="2"/>
  <c r="H25" i="2"/>
  <c r="I25" i="2"/>
  <c r="D25" i="2"/>
  <c r="E25" i="2"/>
  <c r="F26" i="2"/>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c r="I33" i="2"/>
  <c r="D33" i="2"/>
  <c r="F6" i="2"/>
  <c r="H6" i="2"/>
  <c r="I6" i="2"/>
  <c r="D6" i="2"/>
  <c r="E6" i="2"/>
  <c r="F5" i="2"/>
  <c r="H5" i="2"/>
  <c r="I5" i="2"/>
  <c r="D5" i="2"/>
  <c r="E5" i="2"/>
  <c r="E34" i="2"/>
  <c r="F34" i="2"/>
  <c r="H34" i="2"/>
  <c r="I34" i="2"/>
  <c r="D34" i="2"/>
  <c r="F18" i="2"/>
  <c r="E18" i="2"/>
  <c r="E35" i="2"/>
  <c r="F35" i="2"/>
  <c r="H35" i="2"/>
  <c r="I35" i="2"/>
  <c r="D35" i="2"/>
  <c r="E36" i="2"/>
  <c r="F36" i="2"/>
  <c r="F22" i="2"/>
  <c r="H22" i="2"/>
  <c r="I22" i="2"/>
  <c r="D22" i="2"/>
  <c r="E22" i="2"/>
  <c r="F7" i="2"/>
  <c r="E7" i="2"/>
  <c r="E37" i="2"/>
  <c r="F37" i="2"/>
  <c r="H37" i="2"/>
  <c r="I37" i="2"/>
  <c r="D37" i="2"/>
  <c r="E39" i="2"/>
  <c r="F39" i="2"/>
  <c r="H39" i="2"/>
  <c r="I39" i="2"/>
  <c r="D39" i="2"/>
  <c r="E40" i="2"/>
  <c r="F40" i="2"/>
  <c r="H40" i="2"/>
  <c r="I40" i="2"/>
  <c r="D40" i="2"/>
  <c r="E41" i="2"/>
  <c r="F41" i="2"/>
  <c r="H41" i="2"/>
  <c r="I41" i="2"/>
  <c r="D41" i="2"/>
  <c r="E42" i="2"/>
  <c r="F42" i="2"/>
  <c r="H42" i="2"/>
  <c r="I42" i="2"/>
  <c r="D42" i="2"/>
  <c r="F43" i="2"/>
  <c r="H43" i="2"/>
  <c r="I43" i="2"/>
  <c r="D43" i="2"/>
  <c r="E43" i="2"/>
  <c r="E44" i="2"/>
  <c r="F44" i="2"/>
  <c r="H44" i="2"/>
  <c r="I44" i="2"/>
  <c r="D44" i="2"/>
  <c r="F19" i="2"/>
  <c r="H19" i="2"/>
  <c r="I19" i="2"/>
  <c r="D19" i="2"/>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c r="E8" i="18"/>
  <c r="E3" i="18"/>
  <c r="E4" i="18"/>
  <c r="E5" i="18"/>
  <c r="E6" i="18"/>
  <c r="E7" i="18"/>
  <c r="E9" i="18"/>
  <c r="E10" i="18"/>
  <c r="E11" i="18"/>
  <c r="E12" i="18"/>
  <c r="E13" i="18"/>
  <c r="E14" i="18"/>
  <c r="E15" i="18"/>
  <c r="E16" i="18"/>
  <c r="E17" i="18"/>
  <c r="E18" i="18"/>
  <c r="E19" i="18"/>
  <c r="E20" i="18"/>
  <c r="F13" i="2"/>
  <c r="H13" i="2"/>
  <c r="I13" i="2"/>
  <c r="D13" i="2"/>
  <c r="E13" i="2"/>
  <c r="F23" i="2"/>
  <c r="H23" i="2"/>
  <c r="I23" i="2"/>
  <c r="D23" i="2"/>
  <c r="E23" i="2"/>
  <c r="F15" i="2"/>
  <c r="E15" i="2"/>
  <c r="F16" i="2"/>
  <c r="E16" i="2"/>
  <c r="G16" i="2"/>
  <c r="H108" i="1"/>
  <c r="F17" i="2"/>
  <c r="H17" i="2"/>
  <c r="I17" i="2"/>
  <c r="D17" i="2"/>
  <c r="E17" i="2"/>
  <c r="F29" i="2"/>
  <c r="H29" i="2"/>
  <c r="I29" i="2"/>
  <c r="D29" i="2"/>
  <c r="E29" i="2"/>
  <c r="F30" i="2"/>
  <c r="F31" i="2"/>
  <c r="G31" i="2"/>
  <c r="H123" i="1"/>
  <c r="E31" i="2"/>
  <c r="F32" i="2"/>
  <c r="H32" i="2"/>
  <c r="I32" i="2"/>
  <c r="D32" i="2"/>
  <c r="F14" i="2"/>
  <c r="H14" i="2"/>
  <c r="I14" i="2"/>
  <c r="D14" i="2"/>
  <c r="E14" i="2"/>
  <c r="E30" i="2"/>
  <c r="E32" i="2"/>
  <c r="N4" i="17"/>
  <c r="F12" i="2"/>
  <c r="H12" i="2"/>
  <c r="I12" i="2"/>
  <c r="D12" i="2"/>
  <c r="E12" i="2"/>
  <c r="F11" i="2"/>
  <c r="H11" i="2"/>
  <c r="I11" i="2"/>
  <c r="E11" i="2"/>
  <c r="F9" i="2"/>
  <c r="G9" i="2"/>
  <c r="H96" i="1"/>
  <c r="E9" i="2"/>
  <c r="E8" i="2"/>
  <c r="F8" i="2"/>
  <c r="E10" i="2"/>
  <c r="F10" i="2"/>
  <c r="H10" i="2"/>
  <c r="I10" i="2"/>
  <c r="D10" i="2"/>
  <c r="E4" i="2"/>
  <c r="F4" i="2"/>
  <c r="G4" i="2"/>
  <c r="H4" i="2"/>
  <c r="I4" i="2"/>
  <c r="D4" i="2"/>
  <c r="N3" i="7"/>
  <c r="N5" i="7"/>
  <c r="E6" i="11"/>
  <c r="D6" i="11"/>
  <c r="F3" i="2"/>
  <c r="J15" i="14"/>
  <c r="B2" i="2"/>
  <c r="H97" i="6"/>
  <c r="I51" i="6"/>
  <c r="C114" i="23"/>
  <c r="C116" i="23"/>
  <c r="C92" i="23"/>
  <c r="C69" i="23"/>
  <c r="C46" i="23"/>
  <c r="C48" i="23"/>
  <c r="C21" i="23"/>
  <c r="H133" i="2"/>
  <c r="I133" i="2"/>
  <c r="D133" i="2"/>
  <c r="H131" i="2"/>
  <c r="I131" i="2"/>
  <c r="D131" i="2"/>
  <c r="H82" i="2"/>
  <c r="I82" i="2"/>
  <c r="D82" i="2"/>
  <c r="H112" i="2"/>
  <c r="I112" i="2"/>
  <c r="D112" i="2"/>
  <c r="G131" i="2"/>
  <c r="G93" i="2"/>
  <c r="H228" i="1"/>
  <c r="H128" i="2"/>
  <c r="I128" i="2"/>
  <c r="D128" i="2"/>
  <c r="G112" i="2"/>
  <c r="H255" i="1"/>
  <c r="G125" i="2"/>
  <c r="H273" i="1"/>
  <c r="H279" i="1"/>
  <c r="G39" i="2"/>
  <c r="H137" i="1"/>
  <c r="G57" i="2"/>
  <c r="H185" i="1"/>
  <c r="H88" i="2"/>
  <c r="I88" i="2"/>
  <c r="D88" i="2"/>
  <c r="G110" i="2"/>
  <c r="H250" i="1"/>
  <c r="G23" i="2"/>
  <c r="H119" i="1"/>
  <c r="G75" i="2"/>
  <c r="H200" i="1"/>
  <c r="G69" i="2"/>
  <c r="H193" i="1"/>
  <c r="H89" i="2"/>
  <c r="I89" i="2"/>
  <c r="D89" i="2"/>
  <c r="G20" i="2"/>
  <c r="H114" i="1"/>
  <c r="G96" i="2"/>
  <c r="H232" i="1"/>
  <c r="H9" i="2"/>
  <c r="I9" i="2"/>
  <c r="D9" i="2"/>
  <c r="G66" i="2"/>
  <c r="H190" i="1"/>
  <c r="H61" i="2"/>
  <c r="I61" i="2"/>
  <c r="D61" i="2"/>
  <c r="C4" i="8"/>
  <c r="H341" i="1"/>
  <c r="H20" i="1"/>
  <c r="H13" i="1"/>
  <c r="H15" i="1"/>
  <c r="H9" i="1"/>
  <c r="H14" i="1"/>
  <c r="H58" i="1"/>
  <c r="H29" i="1"/>
  <c r="H77" i="1"/>
  <c r="H69" i="1"/>
  <c r="H19" i="1"/>
  <c r="H2" i="1"/>
  <c r="H31" i="1"/>
  <c r="H57" i="1"/>
  <c r="H48" i="1"/>
  <c r="H17" i="1"/>
  <c r="H42" i="1"/>
  <c r="H8" i="1"/>
  <c r="H34" i="1"/>
  <c r="H342" i="1"/>
  <c r="H79" i="1"/>
  <c r="H11" i="1"/>
  <c r="H47" i="1"/>
  <c r="H64" i="1"/>
  <c r="H70" i="1"/>
  <c r="H7" i="1"/>
  <c r="H82" i="1"/>
  <c r="H343" i="1"/>
  <c r="H28" i="1"/>
  <c r="H78" i="1"/>
  <c r="H46" i="1"/>
  <c r="H52" i="1"/>
  <c r="H54" i="1"/>
  <c r="H49" i="1"/>
  <c r="H85" i="1"/>
  <c r="H30" i="1"/>
  <c r="H43" i="1"/>
  <c r="H75" i="1"/>
  <c r="H61" i="1"/>
  <c r="H344" i="1"/>
  <c r="H32" i="1"/>
  <c r="H26" i="1"/>
  <c r="H83" i="1"/>
  <c r="H18" i="1"/>
  <c r="H3" i="1"/>
  <c r="H5" i="1"/>
  <c r="H86" i="1"/>
  <c r="H36" i="1"/>
  <c r="H81" i="1"/>
  <c r="H40" i="1"/>
  <c r="H6" i="1"/>
  <c r="H72" i="1"/>
  <c r="H68" i="1"/>
  <c r="H55" i="1"/>
  <c r="H63" i="1"/>
  <c r="H41" i="1"/>
  <c r="H50" i="1"/>
  <c r="H60" i="1"/>
  <c r="H37" i="1"/>
  <c r="H21" i="1"/>
  <c r="H74" i="1"/>
  <c r="H4" i="1"/>
  <c r="H56" i="1"/>
  <c r="H65" i="1"/>
  <c r="H16" i="1"/>
  <c r="H23" i="1"/>
  <c r="H22" i="1"/>
  <c r="H73" i="1"/>
  <c r="H25" i="1"/>
  <c r="H33" i="1"/>
  <c r="H44" i="1"/>
  <c r="H24" i="1"/>
  <c r="H53" i="1"/>
  <c r="H76" i="1"/>
  <c r="H39" i="1"/>
  <c r="H45" i="1"/>
  <c r="H10" i="1"/>
  <c r="H84" i="1"/>
  <c r="H62" i="1"/>
  <c r="H35" i="1"/>
  <c r="H59" i="1"/>
  <c r="H27" i="1"/>
  <c r="H66" i="1"/>
  <c r="H67" i="1"/>
  <c r="H38" i="1"/>
  <c r="H12" i="1"/>
  <c r="H51" i="1"/>
  <c r="H71" i="1"/>
  <c r="H125" i="2"/>
  <c r="I125" i="2"/>
  <c r="D125" i="2"/>
  <c r="H121" i="2"/>
  <c r="I121" i="2"/>
  <c r="D121" i="2"/>
  <c r="H119" i="2"/>
  <c r="I119" i="2"/>
  <c r="D119" i="2"/>
  <c r="C93" i="23"/>
  <c r="C94" i="23"/>
  <c r="H8" i="2"/>
  <c r="I8" i="2"/>
  <c r="D8" i="2"/>
  <c r="H54" i="2"/>
  <c r="I54" i="2"/>
  <c r="D54" i="2"/>
  <c r="G65" i="2"/>
  <c r="H188" i="1"/>
  <c r="G108" i="2"/>
  <c r="H246" i="1"/>
  <c r="G81" i="2"/>
  <c r="H207" i="1"/>
  <c r="G32" i="2"/>
  <c r="H128" i="1"/>
  <c r="G52" i="2"/>
  <c r="H159" i="1"/>
  <c r="H57" i="2"/>
  <c r="I57" i="2"/>
  <c r="D57" i="2"/>
  <c r="H87" i="2"/>
  <c r="I87" i="2"/>
  <c r="D87" i="2"/>
  <c r="G104" i="2"/>
  <c r="H242" i="1"/>
  <c r="H20" i="2"/>
  <c r="I20" i="2"/>
  <c r="D20" i="2"/>
  <c r="H171" i="1"/>
  <c r="I45" i="2"/>
  <c r="D45" i="2"/>
  <c r="C70" i="23"/>
  <c r="C71" i="23"/>
  <c r="H16" i="2"/>
  <c r="I16" i="2"/>
  <c r="D16" i="2"/>
  <c r="G35" i="2"/>
  <c r="H111" i="2"/>
  <c r="I111" i="2"/>
  <c r="D111" i="2"/>
  <c r="H105" i="2"/>
  <c r="I105" i="2"/>
  <c r="D105" i="2"/>
  <c r="G98" i="2"/>
  <c r="H234" i="1"/>
  <c r="K6" i="6"/>
  <c r="I97" i="6"/>
  <c r="G97" i="6"/>
  <c r="H256" i="1"/>
  <c r="G59" i="2"/>
  <c r="H178" i="1"/>
  <c r="G10" i="2"/>
  <c r="G17" i="2"/>
  <c r="H110" i="1"/>
  <c r="G7" i="2"/>
  <c r="G5" i="2"/>
  <c r="H220" i="1"/>
  <c r="G73" i="2"/>
  <c r="H198" i="1"/>
  <c r="G116" i="2"/>
  <c r="H260" i="1"/>
  <c r="H137" i="2"/>
  <c r="I137" i="2"/>
  <c r="D137" i="2"/>
  <c r="G8" i="2"/>
  <c r="H91" i="2"/>
  <c r="I91" i="2"/>
  <c r="D91" i="2"/>
  <c r="H90" i="2"/>
  <c r="I90" i="2"/>
  <c r="D90" i="2"/>
  <c r="G6" i="2"/>
  <c r="H117" i="1"/>
  <c r="G72" i="2"/>
  <c r="H197" i="1"/>
  <c r="H58" i="2"/>
  <c r="I58" i="2"/>
  <c r="D58" i="2"/>
  <c r="H79" i="2"/>
  <c r="I79" i="2"/>
  <c r="D79" i="2"/>
  <c r="G74" i="2"/>
  <c r="H199" i="1"/>
  <c r="G101" i="2"/>
  <c r="H238" i="1"/>
  <c r="G85" i="2"/>
  <c r="H213" i="1"/>
  <c r="G132" i="2"/>
  <c r="H283" i="1"/>
  <c r="G15" i="2"/>
  <c r="G136" i="2"/>
  <c r="H293" i="1"/>
  <c r="G121" i="2"/>
  <c r="H267" i="1"/>
  <c r="G80" i="2"/>
  <c r="H205" i="1"/>
  <c r="G89" i="2"/>
  <c r="H222" i="1"/>
  <c r="H282" i="1"/>
  <c r="G107" i="2"/>
  <c r="H245" i="1"/>
  <c r="H102" i="2"/>
  <c r="I102" i="2"/>
  <c r="D102" i="2"/>
  <c r="H31" i="2"/>
  <c r="I31" i="2"/>
  <c r="D31" i="2"/>
  <c r="G44" i="2"/>
  <c r="H143" i="1"/>
  <c r="G46" i="2"/>
  <c r="G60" i="2"/>
  <c r="G118" i="2"/>
  <c r="H263" i="1"/>
  <c r="G135" i="2"/>
  <c r="H292" i="1"/>
  <c r="H281" i="1"/>
  <c r="H138" i="2"/>
  <c r="I138" i="2"/>
  <c r="D138" i="2"/>
  <c r="G134" i="2"/>
  <c r="H291" i="1"/>
  <c r="G48" i="2"/>
  <c r="H152" i="1"/>
  <c r="G12" i="2"/>
  <c r="H101" i="1"/>
  <c r="G13" i="2"/>
  <c r="H102" i="1"/>
  <c r="G43" i="2"/>
  <c r="H141" i="1"/>
  <c r="G37" i="2"/>
  <c r="G54" i="2"/>
  <c r="G49" i="2"/>
  <c r="H153" i="1"/>
  <c r="G64" i="2"/>
  <c r="H186" i="1"/>
  <c r="G76" i="2"/>
  <c r="H201" i="1"/>
  <c r="I106" i="9"/>
  <c r="Y13" i="9" a="1"/>
  <c r="Y13" i="9"/>
  <c r="F115" i="9"/>
  <c r="V22" i="9" a="1"/>
  <c r="V22" i="9"/>
  <c r="N84" i="9" a="1"/>
  <c r="N84" i="9"/>
  <c r="L134" i="9"/>
  <c r="AB41" i="9" a="1"/>
  <c r="AB41" i="9"/>
  <c r="H102" i="9"/>
  <c r="X9" i="9" a="1"/>
  <c r="X9" i="9"/>
  <c r="G83" i="9" a="1"/>
  <c r="G83" i="9"/>
  <c r="N110" i="9"/>
  <c r="AD17" i="9" a="1"/>
  <c r="AD17" i="9"/>
  <c r="J135" i="9"/>
  <c r="Z42" i="9" a="1"/>
  <c r="Z42" i="9"/>
  <c r="L67" i="9" a="1"/>
  <c r="L67" i="9"/>
  <c r="G116" i="9"/>
  <c r="W23" i="9" a="1"/>
  <c r="W23" i="9"/>
  <c r="H126" i="9"/>
  <c r="X33" i="9" a="1"/>
  <c r="X33" i="9"/>
  <c r="G117" i="9"/>
  <c r="W24" i="9" a="1"/>
  <c r="W24" i="9"/>
  <c r="H101" i="9"/>
  <c r="X8" i="9" a="1"/>
  <c r="X8" i="9"/>
  <c r="N115" i="9"/>
  <c r="E99" i="9"/>
  <c r="U6" i="9" a="1"/>
  <c r="U6" i="9"/>
  <c r="P100" i="9"/>
  <c r="A38" i="20"/>
  <c r="A25" i="20"/>
  <c r="A16" i="20"/>
  <c r="A21" i="20"/>
  <c r="H72" i="9" a="1"/>
  <c r="H72" i="9"/>
  <c r="G56" i="9" a="1"/>
  <c r="G56" i="9"/>
  <c r="C124" i="9"/>
  <c r="S31" i="9" a="1"/>
  <c r="S31" i="9"/>
  <c r="D115" i="9"/>
  <c r="T22" i="9" a="1"/>
  <c r="T22" i="9"/>
  <c r="A13" i="20"/>
  <c r="A15" i="20"/>
  <c r="A37" i="20"/>
  <c r="A8" i="20"/>
  <c r="P75" i="9"/>
  <c r="Q75" i="9" s="1"/>
  <c r="A40" i="20"/>
  <c r="P116" i="9"/>
  <c r="AF23" i="9"/>
  <c r="B8" i="20" s="1"/>
  <c r="M102" i="9"/>
  <c r="AC9" i="9" a="1"/>
  <c r="AC9" i="9"/>
  <c r="G58" i="9" a="1"/>
  <c r="G58" i="9"/>
  <c r="J53" i="9" a="1"/>
  <c r="J53" i="9"/>
  <c r="K122" i="9"/>
  <c r="AA29" i="9" a="1"/>
  <c r="AA29" i="9"/>
  <c r="F118" i="9"/>
  <c r="V25" i="9" a="1"/>
  <c r="V25" i="9"/>
  <c r="J85" i="9" a="1"/>
  <c r="J85" i="9"/>
  <c r="M107" i="9"/>
  <c r="AC14" i="9" a="1"/>
  <c r="AC14" i="9"/>
  <c r="H77" i="9" a="1"/>
  <c r="H77" i="9"/>
  <c r="L129" i="9"/>
  <c r="F130" i="9"/>
  <c r="V37" i="9" a="1"/>
  <c r="V37" i="9"/>
  <c r="N74" i="9" a="1"/>
  <c r="N74" i="9"/>
  <c r="L65" i="9" a="1"/>
  <c r="L65" i="9"/>
  <c r="F128" i="9"/>
  <c r="V35" i="9" a="1"/>
  <c r="V35" i="9"/>
  <c r="H73" i="9" a="1"/>
  <c r="H73" i="9"/>
  <c r="P58" i="9"/>
  <c r="Q58" i="9" s="1"/>
  <c r="M127" i="9"/>
  <c r="AC34" i="9" a="1"/>
  <c r="AC34" i="9"/>
  <c r="B18" i="9"/>
  <c r="C18" i="9"/>
  <c r="P66" i="9"/>
  <c r="Q66" i="9" s="1"/>
  <c r="K128" i="9"/>
  <c r="AA35" i="9" a="1"/>
  <c r="AA35" i="9"/>
  <c r="E132" i="9"/>
  <c r="U39" i="9" a="1"/>
  <c r="U39" i="9"/>
  <c r="M132" i="9"/>
  <c r="AC39" i="9" a="1"/>
  <c r="AC39" i="9"/>
  <c r="M55" i="9" a="1"/>
  <c r="M55" i="9"/>
  <c r="P109" i="9"/>
  <c r="AF16" i="9"/>
  <c r="AG16" i="9" s="1"/>
  <c r="C12" i="20" s="1"/>
  <c r="G122" i="9"/>
  <c r="W29" i="9" a="1"/>
  <c r="W29" i="9"/>
  <c r="H85" i="9" a="1"/>
  <c r="H85" i="9"/>
  <c r="C100" i="9"/>
  <c r="S7" i="9" a="1"/>
  <c r="S7" i="9"/>
  <c r="K84" i="9" a="1"/>
  <c r="K84" i="9"/>
  <c r="L100" i="9"/>
  <c r="AB7" i="9" a="1"/>
  <c r="AB7" i="9"/>
  <c r="E105" i="9"/>
  <c r="U12" i="9" a="1"/>
  <c r="U12" i="9"/>
  <c r="I54" i="9" a="1"/>
  <c r="I54" i="9"/>
  <c r="C133" i="9"/>
  <c r="S40" i="9" a="1"/>
  <c r="S40" i="9"/>
  <c r="L60" i="9" a="1"/>
  <c r="L60" i="9"/>
  <c r="D109" i="9"/>
  <c r="T16" i="9" a="1"/>
  <c r="T16" i="9"/>
  <c r="P128" i="9"/>
  <c r="AF35" i="9"/>
  <c r="B39" i="20" s="1"/>
  <c r="A39" i="20"/>
  <c r="H129" i="9"/>
  <c r="X36" i="9" a="1"/>
  <c r="X36" i="9"/>
  <c r="G57" i="9" a="1"/>
  <c r="G57" i="9"/>
  <c r="M75" i="9" a="1"/>
  <c r="M75" i="9"/>
  <c r="D133" i="9"/>
  <c r="T40" i="9" a="1"/>
  <c r="T40" i="9"/>
  <c r="A8" i="21"/>
  <c r="B8" i="21"/>
  <c r="I70" i="9" a="1"/>
  <c r="I70" i="9"/>
  <c r="L85" i="9" a="1"/>
  <c r="L85" i="9"/>
  <c r="H58" i="9" a="1"/>
  <c r="H58" i="9"/>
  <c r="G105" i="9"/>
  <c r="W12" i="9" a="1"/>
  <c r="W12" i="9"/>
  <c r="P122" i="9"/>
  <c r="A27" i="20"/>
  <c r="K100" i="9"/>
  <c r="AA7" i="9" a="1"/>
  <c r="AA7" i="9"/>
  <c r="P108" i="9"/>
  <c r="AF15" i="9"/>
  <c r="AG15" i="9" s="1"/>
  <c r="C4" i="20" s="1"/>
  <c r="J63" i="9" a="1"/>
  <c r="J63" i="9"/>
  <c r="I75" i="9" a="1"/>
  <c r="I75" i="9"/>
  <c r="H108" i="9"/>
  <c r="X15" i="9" a="1"/>
  <c r="X15" i="9"/>
  <c r="L53" i="9" a="1"/>
  <c r="L53" i="9"/>
  <c r="I112" i="9"/>
  <c r="N123" i="9"/>
  <c r="AD30" i="9" a="1"/>
  <c r="AD30" i="9"/>
  <c r="E117" i="9"/>
  <c r="U24" i="9" a="1"/>
  <c r="U24" i="9"/>
  <c r="K54" i="9" a="1"/>
  <c r="K54" i="9"/>
  <c r="P99" i="9"/>
  <c r="AF6" i="9"/>
  <c r="B6" i="20" s="1"/>
  <c r="H111" i="9"/>
  <c r="X18" i="9" a="1"/>
  <c r="X18" i="9"/>
  <c r="A22" i="20"/>
  <c r="P64" i="9"/>
  <c r="Q64" i="9" s="1"/>
  <c r="N55" i="9" a="1"/>
  <c r="N55" i="9"/>
  <c r="A20" i="20"/>
  <c r="M57" i="9" a="1"/>
  <c r="M57" i="9"/>
  <c r="M106" i="9"/>
  <c r="AC13" i="9" a="1"/>
  <c r="AC13" i="9"/>
  <c r="L57" i="9" a="1"/>
  <c r="L57" i="9"/>
  <c r="AD43" i="9" a="1"/>
  <c r="AD43" i="9"/>
  <c r="M83" i="9" a="1"/>
  <c r="M83" i="9"/>
  <c r="K73" i="9" a="1"/>
  <c r="K73" i="9"/>
  <c r="L55" i="9" a="1"/>
  <c r="L55" i="9"/>
  <c r="M80" i="9" a="1"/>
  <c r="M80" i="9"/>
  <c r="J113" i="9"/>
  <c r="Z20" i="9" a="1"/>
  <c r="Z20" i="9"/>
  <c r="N121" i="9"/>
  <c r="AD28" i="9" a="1"/>
  <c r="AD28" i="9"/>
  <c r="J114" i="9"/>
  <c r="Z21" i="9" a="1"/>
  <c r="Z21" i="9"/>
  <c r="J68" i="9" a="1"/>
  <c r="J68" i="9"/>
  <c r="I84" i="9" a="1"/>
  <c r="I84" i="9"/>
  <c r="J128" i="9"/>
  <c r="Z35" i="9" a="1"/>
  <c r="Z35" i="9"/>
  <c r="A30" i="20"/>
  <c r="A29" i="20"/>
  <c r="E108" i="9"/>
  <c r="U15" i="9" a="1"/>
  <c r="U15" i="9"/>
  <c r="F99" i="9"/>
  <c r="V6" i="9" a="1"/>
  <c r="V6" i="9"/>
  <c r="J80" i="9" a="1"/>
  <c r="J80" i="9"/>
  <c r="D101" i="9"/>
  <c r="T8" i="9" a="1"/>
  <c r="T8" i="9"/>
  <c r="J52" i="9" a="1"/>
  <c r="J52" i="9"/>
  <c r="P102" i="9"/>
  <c r="AF9" i="9"/>
  <c r="B33" i="20" s="1"/>
  <c r="N127" i="9"/>
  <c r="F105" i="9"/>
  <c r="V12" i="9" a="1"/>
  <c r="V12" i="9"/>
  <c r="J121" i="9"/>
  <c r="Z28" i="9" a="1"/>
  <c r="Z28" i="9"/>
  <c r="C134" i="9"/>
  <c r="S41" i="9" a="1"/>
  <c r="S41" i="9"/>
  <c r="L111" i="9"/>
  <c r="AB18" i="9" a="1"/>
  <c r="AB18" i="9"/>
  <c r="D130" i="9"/>
  <c r="T37" i="9" a="1"/>
  <c r="T37" i="9"/>
  <c r="N122" i="9"/>
  <c r="AD29" i="9" a="1"/>
  <c r="AD29" i="9"/>
  <c r="H74" i="9" a="1"/>
  <c r="H74" i="9"/>
  <c r="J72" i="9" a="1"/>
  <c r="J72" i="9"/>
  <c r="D102" i="9"/>
  <c r="T9" i="9" a="1"/>
  <c r="T9" i="9"/>
  <c r="J106" i="9"/>
  <c r="Z13" i="9" a="1"/>
  <c r="Z13" i="9"/>
  <c r="A24" i="21"/>
  <c r="B24" i="21"/>
  <c r="J71" i="9" a="1"/>
  <c r="J71" i="9"/>
  <c r="K134" i="9"/>
  <c r="AA41" i="9" a="1"/>
  <c r="AA41" i="9"/>
  <c r="H56" i="9" a="1"/>
  <c r="H56" i="9"/>
  <c r="J99" i="9"/>
  <c r="Z6" i="9" a="1"/>
  <c r="Z6" i="9"/>
  <c r="K99" i="9"/>
  <c r="AA6" i="9" a="1"/>
  <c r="AA6" i="9"/>
  <c r="J123" i="9"/>
  <c r="Z30" i="9" a="1"/>
  <c r="Z30" i="9"/>
  <c r="L75" i="9" a="1"/>
  <c r="L75" i="9"/>
  <c r="P71" i="9"/>
  <c r="Q71" i="9" s="1"/>
  <c r="E114" i="9"/>
  <c r="U21" i="9" a="1"/>
  <c r="U21" i="9"/>
  <c r="G109" i="9"/>
  <c r="W16" i="9" a="1"/>
  <c r="W16" i="9"/>
  <c r="I109" i="9"/>
  <c r="Y16" i="9" a="1"/>
  <c r="Y16" i="9"/>
  <c r="N107" i="9"/>
  <c r="AD14" i="9" a="1"/>
  <c r="AD14" i="9"/>
  <c r="M116" i="9"/>
  <c r="AC23" i="9" a="1"/>
  <c r="AC23" i="9"/>
  <c r="D134" i="9"/>
  <c r="T41" i="9" a="1"/>
  <c r="T41" i="9"/>
  <c r="J104" i="9"/>
  <c r="Z11" i="9" a="1"/>
  <c r="Z11" i="9"/>
  <c r="J67" i="9" a="1"/>
  <c r="J67" i="9"/>
  <c r="L68" i="9" a="1"/>
  <c r="L68" i="9"/>
  <c r="P84" i="9"/>
  <c r="Q84" i="9" s="1"/>
  <c r="I105" i="9"/>
  <c r="Y12" i="9" a="1"/>
  <c r="Y12" i="9"/>
  <c r="H123" i="9"/>
  <c r="X30" i="9" a="1"/>
  <c r="X30" i="9"/>
  <c r="G131" i="9"/>
  <c r="W38" i="9" a="1"/>
  <c r="W38" i="9"/>
  <c r="N58" i="9" a="1"/>
  <c r="N58" i="9"/>
  <c r="N63" i="9" a="1"/>
  <c r="N63" i="9"/>
  <c r="K114" i="9"/>
  <c r="AA21" i="9" a="1"/>
  <c r="AA21" i="9"/>
  <c r="E120" i="9"/>
  <c r="P73" i="9"/>
  <c r="Q73" i="9" s="1"/>
  <c r="M59" i="9" a="1"/>
  <c r="M59" i="9"/>
  <c r="L127" i="9"/>
  <c r="AB34" i="9" a="1"/>
  <c r="AB34" i="9"/>
  <c r="C101" i="9"/>
  <c r="S8" i="9" a="1"/>
  <c r="S8" i="9"/>
  <c r="K111" i="9"/>
  <c r="AA18" i="9" a="1"/>
  <c r="AA18" i="9"/>
  <c r="K127" i="9"/>
  <c r="AA34" i="9" a="1"/>
  <c r="AA34" i="9"/>
  <c r="I135" i="9"/>
  <c r="Y42" i="9" a="1"/>
  <c r="Y42" i="9"/>
  <c r="E111" i="9"/>
  <c r="U18" i="9" a="1"/>
  <c r="U18" i="9"/>
  <c r="H122" i="9"/>
  <c r="X29" i="9" a="1"/>
  <c r="X29" i="9"/>
  <c r="L107" i="9"/>
  <c r="AB14" i="9" a="1"/>
  <c r="AB14" i="9"/>
  <c r="P57" i="9"/>
  <c r="Q57" i="9" s="1"/>
  <c r="G64" i="9" a="1"/>
  <c r="G64" i="9"/>
  <c r="H55" i="9" a="1"/>
  <c r="H55" i="9"/>
  <c r="B9" i="9"/>
  <c r="C9" i="9"/>
  <c r="K57" i="9" a="1"/>
  <c r="K57" i="9"/>
  <c r="M51" i="9" a="1"/>
  <c r="M51" i="9"/>
  <c r="K109" i="9"/>
  <c r="AA16" i="9" a="1"/>
  <c r="AA16" i="9"/>
  <c r="P55" i="9"/>
  <c r="Q55" i="9" s="1"/>
  <c r="H134" i="9"/>
  <c r="X41" i="9" a="1"/>
  <c r="X41" i="9"/>
  <c r="J102" i="9"/>
  <c r="Z9" i="9" a="1"/>
  <c r="Z9" i="9"/>
  <c r="A11" i="20"/>
  <c r="I124" i="9"/>
  <c r="Y31" i="9" a="1"/>
  <c r="Y31" i="9"/>
  <c r="B12" i="9"/>
  <c r="E12" i="9"/>
  <c r="H119" i="9"/>
  <c r="X26" i="9" a="1"/>
  <c r="X26" i="9"/>
  <c r="D99" i="9"/>
  <c r="T6" i="9" a="1"/>
  <c r="T6" i="9"/>
  <c r="N71" i="9" a="1"/>
  <c r="N71" i="9"/>
  <c r="P115" i="9"/>
  <c r="AF22" i="9"/>
  <c r="AG22" i="9" s="1"/>
  <c r="C9" i="20" s="1"/>
  <c r="G120" i="9"/>
  <c r="W27" i="9" a="1"/>
  <c r="W27" i="9"/>
  <c r="P124" i="9"/>
  <c r="AF31" i="9"/>
  <c r="B36" i="20" s="1"/>
  <c r="L126" i="9"/>
  <c r="AB33" i="9" a="1"/>
  <c r="AB33" i="9"/>
  <c r="N50" i="9" a="1"/>
  <c r="N50" i="9"/>
  <c r="H70" i="9" a="1"/>
  <c r="H70" i="9"/>
  <c r="A3" i="20"/>
  <c r="A34" i="21"/>
  <c r="B34" i="21"/>
  <c r="L61" i="9" a="1"/>
  <c r="L61" i="9"/>
  <c r="A4" i="20"/>
  <c r="P68" i="9"/>
  <c r="Q68" i="9" s="1"/>
  <c r="G129" i="9"/>
  <c r="W36" i="9" a="1"/>
  <c r="W36" i="9"/>
  <c r="N79" i="9" a="1"/>
  <c r="N79" i="9"/>
  <c r="H120" i="9"/>
  <c r="N64" i="9" a="1"/>
  <c r="N64" i="9"/>
  <c r="I99" i="9"/>
  <c r="Y6" i="9" a="1"/>
  <c r="Y6" i="9"/>
  <c r="I66" i="9" a="1"/>
  <c r="I66" i="9"/>
  <c r="J100" i="9"/>
  <c r="Z7" i="9" a="1"/>
  <c r="Z7" i="9"/>
  <c r="L133" i="9"/>
  <c r="AB40" i="9" a="1"/>
  <c r="AB40" i="9"/>
  <c r="I101" i="9"/>
  <c r="Y8" i="9" a="1"/>
  <c r="Y8" i="9"/>
  <c r="K123" i="9"/>
  <c r="AA30" i="9" a="1"/>
  <c r="AA30" i="9"/>
  <c r="M121" i="9"/>
  <c r="AC28" i="9" a="1"/>
  <c r="AC28" i="9"/>
  <c r="G53" i="9" a="1"/>
  <c r="G53" i="9"/>
  <c r="A28" i="21"/>
  <c r="B28" i="21"/>
  <c r="M120" i="9"/>
  <c r="AC27" i="9" a="1"/>
  <c r="AC27" i="9"/>
  <c r="M68" i="9" a="1"/>
  <c r="M68" i="9"/>
  <c r="M113" i="9"/>
  <c r="AC20" i="9" a="1"/>
  <c r="AC20" i="9"/>
  <c r="I131" i="9"/>
  <c r="Y38" i="9" a="1"/>
  <c r="Y38" i="9"/>
  <c r="E112" i="9"/>
  <c r="U19" i="9" a="1"/>
  <c r="U19" i="9"/>
  <c r="N111" i="9"/>
  <c r="AD18" i="9" a="1"/>
  <c r="AD18" i="9"/>
  <c r="G135" i="9"/>
  <c r="W42" i="9" a="1"/>
  <c r="W42" i="9"/>
  <c r="J86" i="9" a="1"/>
  <c r="J86" i="9"/>
  <c r="E129" i="9"/>
  <c r="U36" i="9" a="1"/>
  <c r="U36" i="9"/>
  <c r="C122" i="9"/>
  <c r="S29" i="9" a="1"/>
  <c r="S29" i="9"/>
  <c r="K64" i="9" a="1"/>
  <c r="K64" i="9"/>
  <c r="D104" i="9"/>
  <c r="T11" i="9" a="1"/>
  <c r="T11" i="9"/>
  <c r="I102" i="9"/>
  <c r="Y9" i="9" a="1"/>
  <c r="Y9" i="9"/>
  <c r="C99" i="9"/>
  <c r="S6" i="9" a="1"/>
  <c r="S6" i="9"/>
  <c r="K71" i="9" a="1"/>
  <c r="K71" i="9"/>
  <c r="K69" i="9" a="1"/>
  <c r="K69" i="9"/>
  <c r="D113" i="9"/>
  <c r="T20" i="9" a="1"/>
  <c r="T20" i="9"/>
  <c r="F124" i="9"/>
  <c r="G65" i="9" a="1"/>
  <c r="G65" i="9"/>
  <c r="K50" i="9" a="1"/>
  <c r="K50" i="9"/>
  <c r="G100" i="9"/>
  <c r="W7" i="9" a="1"/>
  <c r="W7" i="9"/>
  <c r="M71" i="9" a="1"/>
  <c r="M71" i="9"/>
  <c r="C103" i="9"/>
  <c r="S10" i="9" a="1"/>
  <c r="S10" i="9"/>
  <c r="P107" i="9"/>
  <c r="AF14" i="9"/>
  <c r="B11" i="20" s="1"/>
  <c r="P106" i="9"/>
  <c r="AF13" i="9"/>
  <c r="B20" i="20" s="1"/>
  <c r="H127" i="9"/>
  <c r="X34" i="9" a="1"/>
  <c r="X34" i="9"/>
  <c r="M63" i="9" a="1"/>
  <c r="M63" i="9"/>
  <c r="H112" i="9"/>
  <c r="X19" i="9" a="1"/>
  <c r="X19" i="9"/>
  <c r="H67" i="9" a="1"/>
  <c r="H67" i="9"/>
  <c r="C117" i="9"/>
  <c r="S24" i="9" a="1"/>
  <c r="S24" i="9"/>
  <c r="J84" i="9" a="1"/>
  <c r="J84" i="9"/>
  <c r="M114" i="9"/>
  <c r="AC21" i="9" a="1"/>
  <c r="AC21" i="9"/>
  <c r="I103" i="9"/>
  <c r="Y10" i="9" a="1"/>
  <c r="Y10" i="9"/>
  <c r="A36" i="20"/>
  <c r="I69" i="9" a="1"/>
  <c r="I69" i="9"/>
  <c r="M65" i="9" a="1"/>
  <c r="M65" i="9"/>
  <c r="F131" i="9"/>
  <c r="V38" i="9" a="1"/>
  <c r="V38" i="9"/>
  <c r="A7" i="20"/>
  <c r="A6" i="21"/>
  <c r="B6" i="21"/>
  <c r="P118" i="9"/>
  <c r="AF25" i="9"/>
  <c r="B16" i="20" s="1"/>
  <c r="G107" i="9"/>
  <c r="W14" i="9" a="1"/>
  <c r="W14" i="9"/>
  <c r="L58" i="9" a="1"/>
  <c r="L58" i="9"/>
  <c r="A14" i="20"/>
  <c r="N81" i="9" a="1"/>
  <c r="N81" i="9"/>
  <c r="H135" i="9"/>
  <c r="E126" i="9"/>
  <c r="U33" i="9" a="1"/>
  <c r="U33" i="9"/>
  <c r="M130" i="9"/>
  <c r="AC37" i="9" a="1"/>
  <c r="AC37" i="9"/>
  <c r="I134" i="9"/>
  <c r="Y41" i="9" a="1"/>
  <c r="Y41" i="9"/>
  <c r="N61" i="9" a="1"/>
  <c r="N61" i="9"/>
  <c r="E109" i="9"/>
  <c r="U16" i="9" a="1"/>
  <c r="U16" i="9"/>
  <c r="K108" i="9"/>
  <c r="AA15" i="9" a="1"/>
  <c r="AA15" i="9"/>
  <c r="J60" i="9" a="1"/>
  <c r="J60" i="9"/>
  <c r="E119" i="9"/>
  <c r="U26" i="9" a="1"/>
  <c r="U26" i="9"/>
  <c r="I55" i="9" a="1"/>
  <c r="I55" i="9"/>
  <c r="H75" i="9" a="1"/>
  <c r="H75" i="9"/>
  <c r="N73" i="9" a="1"/>
  <c r="N73" i="9"/>
  <c r="A14" i="21"/>
  <c r="B14" i="21"/>
  <c r="J109" i="9"/>
  <c r="Z16" i="9" a="1"/>
  <c r="Z16" i="9"/>
  <c r="F125" i="9"/>
  <c r="V32" i="9" a="1"/>
  <c r="V32" i="9"/>
  <c r="L120" i="9"/>
  <c r="AB27" i="9" a="1"/>
  <c r="AB27" i="9"/>
  <c r="J105" i="9"/>
  <c r="Z12" i="9" a="1"/>
  <c r="Z12" i="9"/>
  <c r="R5" i="9"/>
  <c r="D14" i="19" a="1"/>
  <c r="D14" i="19"/>
  <c r="E14" i="19"/>
  <c r="A28" i="20"/>
  <c r="K86" i="9" a="1"/>
  <c r="K86" i="9"/>
  <c r="F104" i="9"/>
  <c r="V11" i="9" a="1"/>
  <c r="V11" i="9"/>
  <c r="H114" i="9"/>
  <c r="X21" i="9" a="1"/>
  <c r="X21" i="9"/>
  <c r="Y44" i="9" a="1"/>
  <c r="Y44" i="9"/>
  <c r="I119" i="9"/>
  <c r="Y26" i="9" a="1"/>
  <c r="Y26" i="9"/>
  <c r="M123" i="9"/>
  <c r="L122" i="9"/>
  <c r="AB29" i="9" a="1"/>
  <c r="AB29" i="9"/>
  <c r="K104" i="9"/>
  <c r="AA11" i="9" a="1"/>
  <c r="AA11" i="9"/>
  <c r="D107" i="9"/>
  <c r="T14" i="9" a="1"/>
  <c r="T14" i="9"/>
  <c r="G101" i="9"/>
  <c r="W8" i="9" a="1"/>
  <c r="W8" i="9"/>
  <c r="K130" i="9"/>
  <c r="AA37" i="9" a="1"/>
  <c r="AA37" i="9"/>
  <c r="P86" i="9"/>
  <c r="Q86" i="9" s="1"/>
  <c r="P123" i="9"/>
  <c r="AF30" i="9"/>
  <c r="AG30" i="9" s="1"/>
  <c r="C15" i="20" s="1"/>
  <c r="I80" i="9" a="1"/>
  <c r="I80" i="9"/>
  <c r="G67" i="9" a="1"/>
  <c r="G67" i="9"/>
  <c r="I127" i="9"/>
  <c r="Y34" i="9" a="1"/>
  <c r="Y34" i="9"/>
  <c r="A13" i="21"/>
  <c r="B13" i="21"/>
  <c r="K81" i="9" a="1"/>
  <c r="K81" i="9"/>
  <c r="M58" i="9" a="1"/>
  <c r="M58" i="9"/>
  <c r="M54" i="9" a="1"/>
  <c r="M54" i="9"/>
  <c r="F106" i="9"/>
  <c r="V13" i="9" a="1"/>
  <c r="V13" i="9"/>
  <c r="H63" i="9" a="1"/>
  <c r="H63" i="9"/>
  <c r="D120" i="9"/>
  <c r="T27" i="9" a="1"/>
  <c r="T27" i="9"/>
  <c r="P82" i="9"/>
  <c r="Q82" i="9" s="1"/>
  <c r="L56" i="9" a="1"/>
  <c r="L56" i="9"/>
  <c r="I73" i="9" a="1"/>
  <c r="I73" i="9"/>
  <c r="P112" i="9"/>
  <c r="AF19" i="9"/>
  <c r="AG19" i="9" s="1"/>
  <c r="C38" i="20" s="1"/>
  <c r="H87" i="9" a="1"/>
  <c r="H87" i="9"/>
  <c r="G76" i="9" a="1"/>
  <c r="G76" i="9"/>
  <c r="I89" i="9" a="1"/>
  <c r="I89" i="9"/>
  <c r="L59" i="9" a="1"/>
  <c r="L59" i="9"/>
  <c r="AC44" i="9" a="1"/>
  <c r="AC44" i="9"/>
  <c r="J87" i="9" a="1"/>
  <c r="J87" i="9"/>
  <c r="H99" i="9"/>
  <c r="X6" i="9" a="1"/>
  <c r="X6" i="9"/>
  <c r="M101" i="9"/>
  <c r="AC8" i="9" a="1"/>
  <c r="AC8" i="9"/>
  <c r="H78" i="9" a="1"/>
  <c r="H78" i="9"/>
  <c r="J120" i="9"/>
  <c r="Z27" i="9" a="1"/>
  <c r="Z27" i="9"/>
  <c r="L79" i="9" a="1"/>
  <c r="L79" i="9"/>
  <c r="K53" i="9" a="1"/>
  <c r="K53" i="9"/>
  <c r="K115" i="9"/>
  <c r="AA22" i="9" a="1"/>
  <c r="AA22" i="9"/>
  <c r="I122" i="9"/>
  <c r="Y29" i="9" a="1"/>
  <c r="Y29" i="9"/>
  <c r="J131" i="9"/>
  <c r="AD44" i="9" a="1"/>
  <c r="AD44" i="9"/>
  <c r="H79" i="9" a="1"/>
  <c r="H79" i="9"/>
  <c r="L69" i="9" a="1"/>
  <c r="L69" i="9"/>
  <c r="L128" i="9"/>
  <c r="AB35" i="9" a="1"/>
  <c r="AB35" i="9"/>
  <c r="P104" i="9"/>
  <c r="AF11" i="9"/>
  <c r="B5" i="20" s="1"/>
  <c r="J79" i="9" a="1"/>
  <c r="J79" i="9"/>
  <c r="B11" i="9"/>
  <c r="C11" i="9"/>
  <c r="K135" i="9"/>
  <c r="AA42" i="9" a="1"/>
  <c r="AA42" i="9"/>
  <c r="Y43" i="9" a="1"/>
  <c r="Y43" i="9"/>
  <c r="L86" i="9" a="1"/>
  <c r="L86" i="9"/>
  <c r="M124" i="9"/>
  <c r="AC31" i="9" a="1"/>
  <c r="AC31" i="9"/>
  <c r="P87" i="9"/>
  <c r="Q87" i="9" s="1"/>
  <c r="D127" i="9"/>
  <c r="T34" i="9" a="1"/>
  <c r="T34" i="9"/>
  <c r="J124" i="9"/>
  <c r="Z31" i="9" a="1"/>
  <c r="Z31" i="9"/>
  <c r="B15" i="9"/>
  <c r="C15" i="9"/>
  <c r="I71" i="9" a="1"/>
  <c r="I71" i="9"/>
  <c r="G124" i="9"/>
  <c r="W31" i="9" a="1"/>
  <c r="W31" i="9"/>
  <c r="G61" i="9" a="1"/>
  <c r="G61" i="9"/>
  <c r="M61" i="9" a="1"/>
  <c r="M61" i="9"/>
  <c r="I60" i="9" a="1"/>
  <c r="I60" i="9"/>
  <c r="I116" i="9"/>
  <c r="H130" i="9"/>
  <c r="X37" i="9" a="1"/>
  <c r="X37" i="9"/>
  <c r="P105" i="9"/>
  <c r="AF12" i="9"/>
  <c r="AG12" i="9" s="1"/>
  <c r="C23" i="20" s="1"/>
  <c r="I65" i="9" a="1"/>
  <c r="I65" i="9"/>
  <c r="I100" i="9"/>
  <c r="Y7" i="9" a="1"/>
  <c r="Y7" i="9"/>
  <c r="K121" i="9"/>
  <c r="AA28" i="9" a="1"/>
  <c r="AA28" i="9"/>
  <c r="E100" i="9"/>
  <c r="U7" i="9" a="1"/>
  <c r="U7" i="9"/>
  <c r="H83" i="9" a="1"/>
  <c r="H83" i="9"/>
  <c r="J61" i="9" a="1"/>
  <c r="J61" i="9"/>
  <c r="L81" i="9" a="1"/>
  <c r="L81" i="9"/>
  <c r="G121" i="9"/>
  <c r="W28" i="9" a="1"/>
  <c r="W28" i="9"/>
  <c r="N105" i="9"/>
  <c r="P85" i="9"/>
  <c r="Q85" i="9" s="1"/>
  <c r="K110" i="9"/>
  <c r="AA17" i="9" a="1"/>
  <c r="AA17" i="9"/>
  <c r="B16" i="9"/>
  <c r="E16" i="9"/>
  <c r="N132" i="9"/>
  <c r="AD39" i="9" a="1"/>
  <c r="AD39" i="9"/>
  <c r="I126" i="9"/>
  <c r="Y33" i="9" a="1"/>
  <c r="Y33" i="9"/>
  <c r="E130" i="9"/>
  <c r="U37" i="9" a="1"/>
  <c r="U37" i="9"/>
  <c r="M86" i="9" a="1"/>
  <c r="M86" i="9"/>
  <c r="N129" i="9"/>
  <c r="AD36" i="9" a="1"/>
  <c r="AD36" i="9"/>
  <c r="E134" i="9"/>
  <c r="U41" i="9" a="1"/>
  <c r="U41" i="9"/>
  <c r="G70" i="9" a="1"/>
  <c r="G70" i="9"/>
  <c r="L109" i="9"/>
  <c r="AB16" i="9" a="1"/>
  <c r="AB16" i="9"/>
  <c r="M84" i="9" a="1"/>
  <c r="M84" i="9"/>
  <c r="L74" i="9" a="1"/>
  <c r="L74" i="9"/>
  <c r="D105" i="9"/>
  <c r="T12" i="9" a="1"/>
  <c r="T12" i="9"/>
  <c r="G52" i="9" a="1"/>
  <c r="G52" i="9"/>
  <c r="H124" i="9"/>
  <c r="X31" i="9" a="1"/>
  <c r="X31" i="9"/>
  <c r="N59" i="9" a="1"/>
  <c r="N59" i="9"/>
  <c r="G71" i="9" a="1"/>
  <c r="G71" i="9"/>
  <c r="K79" i="9" a="1"/>
  <c r="K79" i="9"/>
  <c r="C108" i="9"/>
  <c r="S15" i="9" a="1"/>
  <c r="S15" i="9"/>
  <c r="P78" i="9"/>
  <c r="Q78" i="9" s="1"/>
  <c r="L104" i="9"/>
  <c r="AB11" i="9" a="1"/>
  <c r="AB11" i="9"/>
  <c r="P120" i="9"/>
  <c r="AF27" i="9"/>
  <c r="B19" i="20" s="1"/>
  <c r="J111" i="9"/>
  <c r="Z18" i="9" a="1"/>
  <c r="Z18" i="9"/>
  <c r="D118" i="9"/>
  <c r="T25" i="9" a="1"/>
  <c r="T25" i="9"/>
  <c r="L132" i="9"/>
  <c r="AB39" i="9" a="1"/>
  <c r="AB39" i="9"/>
  <c r="C106" i="9"/>
  <c r="S13" i="9" a="1"/>
  <c r="S13" i="9"/>
  <c r="D125" i="9"/>
  <c r="T32" i="9" a="1"/>
  <c r="T32" i="9"/>
  <c r="I83" i="9" a="1"/>
  <c r="I83" i="9"/>
  <c r="E102" i="9"/>
  <c r="U9" i="9" a="1"/>
  <c r="U9" i="9"/>
  <c r="D116" i="9"/>
  <c r="T23" i="9" a="1"/>
  <c r="T23" i="9"/>
  <c r="H132" i="9"/>
  <c r="X39" i="9" a="1"/>
  <c r="X39" i="9"/>
  <c r="W43" i="9" a="1"/>
  <c r="W43" i="9"/>
  <c r="E104" i="9"/>
  <c r="U11" i="9" a="1"/>
  <c r="U11" i="9"/>
  <c r="I107" i="9"/>
  <c r="Y14" i="9" a="1"/>
  <c r="Y14" i="9"/>
  <c r="I72" i="9" a="1"/>
  <c r="I72" i="9"/>
  <c r="P60" i="9"/>
  <c r="Q60" i="9" s="1"/>
  <c r="P61" i="9"/>
  <c r="Q61" i="9" s="1"/>
  <c r="C113" i="9"/>
  <c r="S20" i="9" a="1"/>
  <c r="S20" i="9"/>
  <c r="J74" i="9" a="1"/>
  <c r="J74" i="9"/>
  <c r="N118" i="9"/>
  <c r="AD25" i="9" a="1"/>
  <c r="AD25" i="9"/>
  <c r="P53" i="9"/>
  <c r="Q53" i="9" s="1"/>
  <c r="H54" i="9" a="1"/>
  <c r="H54" i="9"/>
  <c r="X44" i="9" a="1"/>
  <c r="X44" i="9"/>
  <c r="K52" i="9" a="1"/>
  <c r="K52" i="9"/>
  <c r="M70" i="9" a="1"/>
  <c r="M70" i="9"/>
  <c r="I111" i="9"/>
  <c r="Y18" i="9" a="1"/>
  <c r="Y18" i="9"/>
  <c r="L89" i="9" a="1"/>
  <c r="L89" i="9"/>
  <c r="K89" i="9" a="1"/>
  <c r="K89" i="9"/>
  <c r="G114" i="9"/>
  <c r="W21" i="9" a="1"/>
  <c r="W21" i="9"/>
  <c r="B17" i="9"/>
  <c r="C17" i="9"/>
  <c r="M72" i="9" a="1"/>
  <c r="M72" i="9"/>
  <c r="L78" i="9" a="1"/>
  <c r="L78" i="9"/>
  <c r="P113" i="9"/>
  <c r="AF20" i="9"/>
  <c r="B37" i="20" s="1"/>
  <c r="J57" i="9" a="1"/>
  <c r="J57" i="9"/>
  <c r="I53" i="9" a="1"/>
  <c r="I53" i="9"/>
  <c r="N86" i="9" a="1"/>
  <c r="N86" i="9"/>
  <c r="D100" i="9"/>
  <c r="T7" i="9" a="1"/>
  <c r="T7" i="9"/>
  <c r="I81" i="9" a="1"/>
  <c r="I81" i="9"/>
  <c r="N131" i="9"/>
  <c r="AD38" i="9" a="1"/>
  <c r="AD38" i="9"/>
  <c r="G60" i="9" a="1"/>
  <c r="G60" i="9"/>
  <c r="H109" i="9"/>
  <c r="X16" i="9" a="1"/>
  <c r="X16" i="9"/>
  <c r="L113" i="9"/>
  <c r="AB20" i="9" a="1"/>
  <c r="AB20" i="9"/>
  <c r="H106" i="9"/>
  <c r="K63" i="9" a="1"/>
  <c r="K63" i="9"/>
  <c r="C109" i="9"/>
  <c r="S16" i="9" a="1"/>
  <c r="S16" i="9"/>
  <c r="N113" i="9"/>
  <c r="AD20" i="9" a="1"/>
  <c r="AD20" i="9"/>
  <c r="M73" i="9" a="1"/>
  <c r="M73" i="9"/>
  <c r="K74" i="9" a="1"/>
  <c r="K74" i="9"/>
  <c r="G54" i="9" a="1"/>
  <c r="G54" i="9"/>
  <c r="K87" i="9" a="1"/>
  <c r="K87" i="9"/>
  <c r="I104" i="9"/>
  <c r="Y11" i="9" a="1"/>
  <c r="Y11" i="9"/>
  <c r="K62" i="9" a="1"/>
  <c r="K62" i="9"/>
  <c r="J59" i="9" a="1"/>
  <c r="J59" i="9"/>
  <c r="B5" i="9"/>
  <c r="C5" i="9"/>
  <c r="F111" i="9"/>
  <c r="V18" i="9" a="1"/>
  <c r="V18" i="9"/>
  <c r="L99" i="9"/>
  <c r="AB6" i="9" a="1"/>
  <c r="AB6" i="9"/>
  <c r="J101" i="9"/>
  <c r="Z8" i="9" a="1"/>
  <c r="Z8" i="9"/>
  <c r="L73" i="9" a="1"/>
  <c r="L73" i="9"/>
  <c r="E116" i="9"/>
  <c r="U23" i="9" a="1"/>
  <c r="U23" i="9"/>
  <c r="M112" i="9"/>
  <c r="AC19" i="9" a="1"/>
  <c r="AC19" i="9"/>
  <c r="D108" i="9"/>
  <c r="T15" i="9" a="1"/>
  <c r="T15" i="9"/>
  <c r="J116" i="9"/>
  <c r="Z23" i="9" a="1"/>
  <c r="Z23" i="9"/>
  <c r="H65" i="9" a="1"/>
  <c r="H65" i="9"/>
  <c r="C120" i="9"/>
  <c r="S27" i="9" a="1"/>
  <c r="S27" i="9"/>
  <c r="P133" i="9"/>
  <c r="AF40" i="9"/>
  <c r="AG40" i="9" s="1"/>
  <c r="C25" i="20" s="1"/>
  <c r="N126" i="9"/>
  <c r="AD33" i="9" a="1"/>
  <c r="AD33" i="9"/>
  <c r="C111" i="9"/>
  <c r="S18" i="9" a="1"/>
  <c r="S18" i="9"/>
  <c r="G133" i="9"/>
  <c r="W40" i="9" a="1"/>
  <c r="W40" i="9"/>
  <c r="P77" i="9"/>
  <c r="Q77" i="9" s="1"/>
  <c r="J56" i="9" a="1"/>
  <c r="J56" i="9"/>
  <c r="G127" i="9"/>
  <c r="W34" i="9" a="1"/>
  <c r="W34" i="9"/>
  <c r="K132" i="9"/>
  <c r="AA39" i="9" a="1"/>
  <c r="AA39" i="9"/>
  <c r="L63" i="9" a="1"/>
  <c r="L63" i="9"/>
  <c r="I120" i="9"/>
  <c r="Y27" i="9" a="1"/>
  <c r="Y27" i="9"/>
  <c r="L115" i="9"/>
  <c r="AB22" i="9" a="1"/>
  <c r="AB22" i="9"/>
  <c r="I61" i="9" a="1"/>
  <c r="I61" i="9"/>
  <c r="F133" i="9"/>
  <c r="V40" i="9" a="1"/>
  <c r="V40" i="9"/>
  <c r="L72" i="9" a="1"/>
  <c r="L72" i="9"/>
  <c r="M99" i="9"/>
  <c r="AC6" i="9" a="1"/>
  <c r="AC6" i="9"/>
  <c r="P50" i="9"/>
  <c r="Q50" i="9" s="1"/>
  <c r="J132" i="9"/>
  <c r="Z39" i="9" a="1"/>
  <c r="Z39" i="9"/>
  <c r="I86" i="9" a="1"/>
  <c r="I86" i="9"/>
  <c r="C107" i="9"/>
  <c r="S14" i="9" a="1"/>
  <c r="S14" i="9"/>
  <c r="E133" i="9"/>
  <c r="U40" i="9" a="1"/>
  <c r="U40" i="9"/>
  <c r="F100" i="9"/>
  <c r="V7" i="9" a="1"/>
  <c r="V7" i="9"/>
  <c r="N114" i="9"/>
  <c r="AD21" i="9" a="1"/>
  <c r="AD21" i="9"/>
  <c r="H173" i="1"/>
  <c r="H176" i="1"/>
  <c r="H174" i="1"/>
  <c r="H175" i="1"/>
  <c r="H150" i="1"/>
  <c r="H149" i="1"/>
  <c r="H144" i="1"/>
  <c r="H134" i="1"/>
  <c r="H142" i="1"/>
  <c r="H99" i="1"/>
  <c r="H93" i="1"/>
  <c r="H94" i="1"/>
  <c r="H104" i="1"/>
  <c r="H103" i="1"/>
  <c r="H95" i="1"/>
  <c r="G19" i="2"/>
  <c r="H113" i="1"/>
  <c r="H248" i="1"/>
  <c r="G11" i="2"/>
  <c r="H98" i="1"/>
  <c r="H15" i="2"/>
  <c r="I15" i="2"/>
  <c r="D15" i="2"/>
  <c r="G38" i="2"/>
  <c r="H136" i="1"/>
  <c r="G68" i="2"/>
  <c r="H192" i="1"/>
  <c r="H27" i="2"/>
  <c r="I27" i="2"/>
  <c r="D27" i="2"/>
  <c r="H76" i="2"/>
  <c r="I76" i="2"/>
  <c r="D76" i="2"/>
  <c r="H114" i="2"/>
  <c r="I114" i="2"/>
  <c r="D114" i="2"/>
  <c r="G105" i="2"/>
  <c r="H235" i="1"/>
  <c r="G86" i="2"/>
  <c r="H214" i="1"/>
  <c r="H7" i="2"/>
  <c r="I7" i="2"/>
  <c r="D7" i="2"/>
  <c r="G41" i="2"/>
  <c r="H139" i="1"/>
  <c r="G120" i="2"/>
  <c r="H265" i="1"/>
  <c r="G24" i="2"/>
  <c r="H120" i="1"/>
  <c r="G22" i="2"/>
  <c r="H118" i="1"/>
  <c r="G71" i="2"/>
  <c r="H196" i="1"/>
  <c r="G117" i="2"/>
  <c r="G99" i="2"/>
  <c r="H236" i="1"/>
  <c r="G26" i="2"/>
  <c r="H122" i="1"/>
  <c r="G40" i="2"/>
  <c r="H138" i="1"/>
  <c r="G36" i="2"/>
  <c r="G119" i="2"/>
  <c r="H264" i="1"/>
  <c r="G113" i="2"/>
  <c r="H56" i="2"/>
  <c r="I56" i="2"/>
  <c r="D56" i="2"/>
  <c r="G82" i="2"/>
  <c r="H208" i="1"/>
  <c r="G84" i="2"/>
  <c r="G50" i="2"/>
  <c r="H157" i="1"/>
  <c r="G55" i="2"/>
  <c r="H163" i="1"/>
  <c r="H73" i="2"/>
  <c r="I73" i="2"/>
  <c r="D73" i="2"/>
  <c r="G21" i="2"/>
  <c r="G33" i="2"/>
  <c r="H130" i="1"/>
  <c r="G88" i="2"/>
  <c r="H216" i="1"/>
  <c r="H135" i="2"/>
  <c r="I135" i="2"/>
  <c r="D135" i="2"/>
  <c r="G127" i="2"/>
  <c r="H275" i="1"/>
  <c r="G34" i="2"/>
  <c r="H131" i="1"/>
  <c r="G14" i="2"/>
  <c r="H106" i="1"/>
  <c r="G42" i="2"/>
  <c r="H140" i="1"/>
  <c r="H47" i="2"/>
  <c r="I47" i="2"/>
  <c r="D47" i="2"/>
  <c r="G115" i="2"/>
  <c r="H258" i="1"/>
  <c r="H251" i="1"/>
  <c r="H100" i="1"/>
  <c r="G130" i="2"/>
  <c r="H278" i="1"/>
  <c r="H130" i="2"/>
  <c r="I130" i="2"/>
  <c r="D130" i="2"/>
  <c r="H109" i="1"/>
  <c r="H107" i="1"/>
  <c r="H229" i="1"/>
  <c r="H225" i="1"/>
  <c r="H224" i="1"/>
  <c r="H105" i="1"/>
  <c r="H97" i="1"/>
  <c r="H111" i="1"/>
  <c r="H145" i="1"/>
  <c r="H155" i="1"/>
  <c r="H211" i="1"/>
  <c r="H212" i="1"/>
  <c r="H53" i="2"/>
  <c r="I53" i="2"/>
  <c r="D53" i="2"/>
  <c r="G53" i="2"/>
  <c r="G100" i="2"/>
  <c r="H100" i="2"/>
  <c r="I100" i="2"/>
  <c r="D100" i="2"/>
  <c r="H97" i="2"/>
  <c r="I97" i="2"/>
  <c r="D97" i="2"/>
  <c r="G97" i="2"/>
  <c r="H233" i="1"/>
  <c r="H123" i="2"/>
  <c r="I123" i="2"/>
  <c r="D123" i="2"/>
  <c r="G123" i="2"/>
  <c r="H30" i="2"/>
  <c r="I30" i="2"/>
  <c r="D30" i="2"/>
  <c r="G30" i="2"/>
  <c r="H127" i="1"/>
  <c r="H147" i="1"/>
  <c r="H146" i="1"/>
  <c r="G103" i="2"/>
  <c r="H241" i="1"/>
  <c r="H103" i="2"/>
  <c r="I103" i="2"/>
  <c r="D103" i="2"/>
  <c r="H132" i="1"/>
  <c r="H189" i="1"/>
  <c r="H209" i="1"/>
  <c r="H210" i="1"/>
  <c r="H182" i="1"/>
  <c r="H183" i="1"/>
  <c r="H179" i="1"/>
  <c r="H219" i="1"/>
  <c r="H180" i="1"/>
  <c r="H195" i="1"/>
  <c r="H184" i="1"/>
  <c r="H133" i="1"/>
  <c r="G18" i="2"/>
  <c r="C22" i="23"/>
  <c r="C23" i="23"/>
  <c r="G106" i="2"/>
  <c r="H244" i="1"/>
  <c r="H106" i="2"/>
  <c r="I106" i="2"/>
  <c r="D106" i="2"/>
  <c r="G29" i="2"/>
  <c r="H126" i="1"/>
  <c r="G77" i="2"/>
  <c r="H202" i="1"/>
  <c r="H253" i="1"/>
  <c r="H127" i="2"/>
  <c r="I127" i="2"/>
  <c r="D127" i="2"/>
  <c r="G62" i="2"/>
  <c r="H177" i="1"/>
  <c r="H132" i="2"/>
  <c r="I132" i="2"/>
  <c r="D132" i="2"/>
  <c r="H172" i="1"/>
  <c r="H60" i="2"/>
  <c r="I60" i="2"/>
  <c r="D60" i="2"/>
  <c r="G95" i="2"/>
  <c r="H231" i="1"/>
  <c r="G70" i="2"/>
  <c r="H18" i="2"/>
  <c r="I18" i="2"/>
  <c r="D18" i="2"/>
  <c r="G78" i="2"/>
  <c r="H203" i="1"/>
  <c r="G122" i="2"/>
  <c r="H38" i="2"/>
  <c r="I38" i="2"/>
  <c r="D38" i="2"/>
  <c r="H36" i="2"/>
  <c r="I36" i="2"/>
  <c r="D36" i="2"/>
  <c r="H26" i="2"/>
  <c r="I26" i="2"/>
  <c r="D26" i="2"/>
  <c r="H99" i="2"/>
  <c r="I99" i="2"/>
  <c r="D99" i="2"/>
  <c r="H187" i="1"/>
  <c r="G51" i="2"/>
  <c r="G25" i="2"/>
  <c r="H86" i="2"/>
  <c r="I86" i="2"/>
  <c r="D86" i="2"/>
  <c r="H261" i="1"/>
  <c r="H221" i="1"/>
  <c r="G92" i="2"/>
  <c r="H227" i="1"/>
  <c r="H254" i="1"/>
  <c r="G124" i="2"/>
  <c r="H272" i="1"/>
  <c r="A11" i="21"/>
  <c r="B11" i="21"/>
  <c r="A33" i="21"/>
  <c r="B33" i="21"/>
  <c r="A22" i="21"/>
  <c r="B22" i="21"/>
  <c r="A9" i="20"/>
  <c r="J70" i="9" a="1"/>
  <c r="J70" i="9"/>
  <c r="AB43" i="9" a="1"/>
  <c r="AB43" i="9"/>
  <c r="C119" i="9"/>
  <c r="S26" i="9" a="1"/>
  <c r="S26" i="9"/>
  <c r="F127" i="9"/>
  <c r="V34" i="9" a="1"/>
  <c r="V34" i="9"/>
  <c r="G84" i="9" a="1"/>
  <c r="G84" i="9"/>
  <c r="F121" i="9"/>
  <c r="V28" i="9" a="1"/>
  <c r="V28" i="9"/>
  <c r="L116" i="9"/>
  <c r="AB23" i="9" a="1"/>
  <c r="AB23" i="9"/>
  <c r="I110" i="9"/>
  <c r="Y17" i="9" a="1"/>
  <c r="Y17" i="9"/>
  <c r="C128" i="9"/>
  <c r="S35" i="9" a="1"/>
  <c r="S35" i="9"/>
  <c r="P65" i="9"/>
  <c r="Q65" i="9" s="1"/>
  <c r="D121" i="9"/>
  <c r="T28" i="9" a="1"/>
  <c r="T28" i="9"/>
  <c r="A10" i="20"/>
  <c r="H53" i="9" a="1"/>
  <c r="H53" i="9"/>
  <c r="G2" i="21"/>
  <c r="A2" i="21"/>
  <c r="B2" i="21"/>
  <c r="A31" i="21"/>
  <c r="B31" i="21"/>
  <c r="E18" i="9"/>
  <c r="A29" i="21"/>
  <c r="B29" i="21"/>
  <c r="A36" i="21"/>
  <c r="B36" i="21"/>
  <c r="A12" i="21"/>
  <c r="B12" i="21"/>
  <c r="A3" i="21"/>
  <c r="B3" i="21"/>
  <c r="A21" i="21"/>
  <c r="B21" i="21"/>
  <c r="A10" i="21"/>
  <c r="B10" i="21"/>
  <c r="A19" i="21"/>
  <c r="B19" i="21"/>
  <c r="L130" i="9"/>
  <c r="AB37" i="9" a="1"/>
  <c r="AB37" i="9"/>
  <c r="P119" i="9"/>
  <c r="AF26" i="9"/>
  <c r="AG26" i="9" s="1"/>
  <c r="C32" i="20" s="1"/>
  <c r="H76" i="9" a="1"/>
  <c r="H76" i="9"/>
  <c r="K102" i="9"/>
  <c r="AA9" i="9" a="1"/>
  <c r="AA9" i="9"/>
  <c r="N117" i="9"/>
  <c r="AD24" i="9" a="1"/>
  <c r="AD24" i="9"/>
  <c r="L71" i="9" a="1"/>
  <c r="L71" i="9"/>
  <c r="B49" i="9"/>
  <c r="I98" i="9"/>
  <c r="Y5" i="9" a="1"/>
  <c r="Y5" i="9"/>
  <c r="P110" i="9"/>
  <c r="AF17" i="9"/>
  <c r="B31" i="20" s="1"/>
  <c r="M108" i="9"/>
  <c r="AC15" i="9" a="1"/>
  <c r="AC15" i="9"/>
  <c r="G79" i="9" a="1"/>
  <c r="G79" i="9"/>
  <c r="H52" i="9" a="1"/>
  <c r="H52" i="9"/>
  <c r="L112" i="9"/>
  <c r="AB19" i="9" a="1"/>
  <c r="AB19" i="9"/>
  <c r="H110" i="9"/>
  <c r="X17" i="9" a="1"/>
  <c r="X17" i="9"/>
  <c r="E125" i="9"/>
  <c r="U32" i="9" a="1"/>
  <c r="U32" i="9"/>
  <c r="N62" i="9" a="1"/>
  <c r="N62" i="9"/>
  <c r="D119" i="9"/>
  <c r="T26" i="9" a="1"/>
  <c r="T26" i="9"/>
  <c r="M118" i="9"/>
  <c r="AC25" i="9" a="1"/>
  <c r="AC25" i="9"/>
  <c r="K124" i="9"/>
  <c r="AA31" i="9" a="1"/>
  <c r="AA31" i="9"/>
  <c r="I78" i="9" a="1"/>
  <c r="I78" i="9"/>
  <c r="A25" i="21"/>
  <c r="B25" i="21"/>
  <c r="G126" i="9"/>
  <c r="W33" i="9" a="1"/>
  <c r="W33" i="9"/>
  <c r="G103" i="9"/>
  <c r="W10" i="9" a="1"/>
  <c r="W10" i="9"/>
  <c r="P130" i="9"/>
  <c r="AF37" i="9"/>
  <c r="B21" i="20" s="1"/>
  <c r="D103" i="9"/>
  <c r="T10" i="9" a="1"/>
  <c r="T10" i="9"/>
  <c r="J77" i="9" a="1"/>
  <c r="J77" i="9"/>
  <c r="G50" i="9" a="1"/>
  <c r="G50" i="9"/>
  <c r="I50" i="9" a="1"/>
  <c r="I50" i="9"/>
  <c r="A26" i="20"/>
  <c r="J65" i="9" a="1"/>
  <c r="J65" i="9"/>
  <c r="N125" i="9"/>
  <c r="AD32" i="9" a="1"/>
  <c r="AD32" i="9"/>
  <c r="A30" i="21"/>
  <c r="B30" i="21"/>
  <c r="Z43" i="9" a="1"/>
  <c r="Z43" i="9"/>
  <c r="K65" i="9" a="1"/>
  <c r="K65" i="9"/>
  <c r="D117" i="9"/>
  <c r="T24" i="9" a="1"/>
  <c r="T24" i="9"/>
  <c r="C104" i="9"/>
  <c r="S11" i="9" a="1"/>
  <c r="S11" i="9"/>
  <c r="M104" i="9"/>
  <c r="AC11" i="9" a="1"/>
  <c r="AC11" i="9"/>
  <c r="N109" i="9"/>
  <c r="AD16" i="9" a="1"/>
  <c r="AD16" i="9"/>
  <c r="G75" i="9" a="1"/>
  <c r="G75" i="9"/>
  <c r="F116" i="9"/>
  <c r="V23" i="9" a="1"/>
  <c r="V23" i="9"/>
  <c r="B14" i="9"/>
  <c r="E14" i="9"/>
  <c r="A33" i="20"/>
  <c r="E131" i="9"/>
  <c r="U38" i="9" a="1"/>
  <c r="U38" i="9"/>
  <c r="K133" i="9"/>
  <c r="AA40" i="9" a="1"/>
  <c r="AA40" i="9"/>
  <c r="K88" i="9" a="1"/>
  <c r="K88" i="9"/>
  <c r="A5" i="21"/>
  <c r="B5" i="21"/>
  <c r="A18" i="21"/>
  <c r="B18" i="21"/>
  <c r="A38" i="21"/>
  <c r="B38" i="21"/>
  <c r="A17" i="21"/>
  <c r="B17" i="21"/>
  <c r="J89" i="9" a="1"/>
  <c r="J89" i="9"/>
  <c r="A20" i="21"/>
  <c r="B20" i="21"/>
  <c r="A27" i="21"/>
  <c r="B27" i="21"/>
  <c r="A35" i="20"/>
  <c r="A35" i="21"/>
  <c r="B35" i="21"/>
  <c r="A7" i="21"/>
  <c r="B7" i="21"/>
  <c r="A6" i="20"/>
  <c r="A23" i="20"/>
  <c r="H68" i="9" a="1"/>
  <c r="H68" i="9"/>
  <c r="B13" i="9"/>
  <c r="E13" i="9"/>
  <c r="H88" i="9" a="1"/>
  <c r="H88" i="9"/>
  <c r="AF7" i="9"/>
  <c r="AG7" i="9" s="1"/>
  <c r="C29" i="20" s="1"/>
  <c r="AF29" i="9"/>
  <c r="B28" i="20" s="1"/>
  <c r="P98" i="9"/>
  <c r="AF5" i="9"/>
  <c r="AG5" i="9" s="1"/>
  <c r="H98" i="9"/>
  <c r="X5" i="9" a="1"/>
  <c r="X5" i="9"/>
  <c r="J49" i="9" a="1"/>
  <c r="J49" i="9"/>
  <c r="B2" i="9"/>
  <c r="L49" i="9" a="1"/>
  <c r="L49" i="9"/>
  <c r="G63" i="9" a="1"/>
  <c r="G63" i="9"/>
  <c r="N52" i="9" a="1"/>
  <c r="N52" i="9"/>
  <c r="C131" i="9"/>
  <c r="S38" i="9" a="1"/>
  <c r="S38" i="9"/>
  <c r="AC30" i="9" a="1"/>
  <c r="AC30" i="9"/>
  <c r="I118" i="9"/>
  <c r="Y25" i="9" a="1"/>
  <c r="Y25" i="9"/>
  <c r="E101" i="9"/>
  <c r="U8" i="9" a="1"/>
  <c r="U8" i="9"/>
  <c r="L84" i="9" a="1"/>
  <c r="L84" i="9"/>
  <c r="H125" i="9"/>
  <c r="X32" i="9" a="1"/>
  <c r="X32" i="9"/>
  <c r="N108" i="9"/>
  <c r="AD15" i="9" a="1"/>
  <c r="AD15" i="9"/>
  <c r="M128" i="9"/>
  <c r="AC35" i="9" a="1"/>
  <c r="AC35" i="9"/>
  <c r="N119" i="9"/>
  <c r="AD26" i="9" a="1"/>
  <c r="AD26" i="9"/>
  <c r="C114" i="9"/>
  <c r="S21" i="9" a="1"/>
  <c r="S21" i="9"/>
  <c r="J66" i="9" a="1"/>
  <c r="J66" i="9"/>
  <c r="H51" i="9" a="1"/>
  <c r="H51" i="9"/>
  <c r="C132" i="9"/>
  <c r="S39" i="9" a="1"/>
  <c r="S39" i="9"/>
  <c r="E121" i="9"/>
  <c r="U28" i="9" a="1"/>
  <c r="U28" i="9"/>
  <c r="H131" i="9"/>
  <c r="X38" i="9" a="1"/>
  <c r="X38" i="9"/>
  <c r="K125" i="9"/>
  <c r="AA32" i="9" a="1"/>
  <c r="AA32" i="9"/>
  <c r="N60" i="9" a="1"/>
  <c r="N60" i="9"/>
  <c r="N54" i="9" a="1"/>
  <c r="N54" i="9"/>
  <c r="E122" i="9"/>
  <c r="U29" i="9" a="1"/>
  <c r="U29" i="9"/>
  <c r="J125" i="9"/>
  <c r="Z32" i="9" a="1"/>
  <c r="Z32" i="9"/>
  <c r="D131" i="9"/>
  <c r="T38" i="9" a="1"/>
  <c r="T38" i="9"/>
  <c r="C121" i="9"/>
  <c r="S28" i="9" a="1"/>
  <c r="S28" i="9"/>
  <c r="G106" i="9"/>
  <c r="W13" i="9" a="1"/>
  <c r="W13" i="9"/>
  <c r="M133" i="9"/>
  <c r="AC40" i="9" a="1"/>
  <c r="AC40" i="9"/>
  <c r="J69" i="9" a="1"/>
  <c r="J69" i="9"/>
  <c r="P72" i="9"/>
  <c r="Q72" i="9" s="1"/>
  <c r="P70" i="9"/>
  <c r="Q70" i="9" s="1"/>
  <c r="C135" i="9"/>
  <c r="S42" i="9" a="1"/>
  <c r="S42" i="9"/>
  <c r="M105" i="9"/>
  <c r="AC12" i="9" a="1"/>
  <c r="AC12" i="9"/>
  <c r="I58" i="9" a="1"/>
  <c r="I58" i="9"/>
  <c r="H133" i="9"/>
  <c r="X40" i="9" a="1"/>
  <c r="X40" i="9"/>
  <c r="K82" i="9" a="1"/>
  <c r="K82" i="9"/>
  <c r="N76" i="9" a="1"/>
  <c r="N76" i="9"/>
  <c r="J73" i="9" a="1"/>
  <c r="J73" i="9"/>
  <c r="J117" i="9"/>
  <c r="Z24" i="9" a="1"/>
  <c r="Z24" i="9"/>
  <c r="G87" i="9" a="1"/>
  <c r="G87" i="9"/>
  <c r="L131" i="9"/>
  <c r="AB38" i="9" a="1"/>
  <c r="AB38" i="9"/>
  <c r="I74" i="9" a="1"/>
  <c r="I74" i="9"/>
  <c r="K76" i="9" a="1"/>
  <c r="K76" i="9"/>
  <c r="M122" i="9"/>
  <c r="AC29" i="9" a="1"/>
  <c r="AC29" i="9"/>
  <c r="F120" i="9"/>
  <c r="V27" i="9" a="1"/>
  <c r="V27" i="9"/>
  <c r="D114" i="9"/>
  <c r="T21" i="9" a="1"/>
  <c r="T21" i="9"/>
  <c r="K85" i="9" a="1"/>
  <c r="K85" i="9"/>
  <c r="G128" i="9"/>
  <c r="W35" i="9" a="1"/>
  <c r="W35" i="9"/>
  <c r="P125" i="9"/>
  <c r="AF32" i="9"/>
  <c r="AG32" i="9" s="1"/>
  <c r="C13" i="20" s="1"/>
  <c r="C102" i="9"/>
  <c r="S9" i="9" a="1"/>
  <c r="S9" i="9"/>
  <c r="N102" i="9"/>
  <c r="AD9" i="9" a="1"/>
  <c r="AD9" i="9"/>
  <c r="P56" i="9"/>
  <c r="Q56" i="9" s="1"/>
  <c r="K101" i="9"/>
  <c r="AA8" i="9" a="1"/>
  <c r="AA8" i="9"/>
  <c r="N116" i="9"/>
  <c r="AD23" i="9" a="1"/>
  <c r="AD23" i="9"/>
  <c r="I108" i="9"/>
  <c r="Y15" i="9" a="1"/>
  <c r="Y15" i="9"/>
  <c r="B7" i="9"/>
  <c r="I67" i="9" a="1"/>
  <c r="I67" i="9"/>
  <c r="AB44" i="9" a="1"/>
  <c r="AB44" i="9"/>
  <c r="D49" i="9" a="1"/>
  <c r="D49" i="9"/>
  <c r="N101" i="9"/>
  <c r="AD8" i="9" a="1"/>
  <c r="AD8" i="9"/>
  <c r="L110" i="9"/>
  <c r="AB17" i="9" a="1"/>
  <c r="AB17" i="9"/>
  <c r="L118" i="9"/>
  <c r="AB25" i="9" a="1"/>
  <c r="AB25" i="9"/>
  <c r="K105" i="9"/>
  <c r="AA12" i="9" a="1"/>
  <c r="AA12" i="9"/>
  <c r="F114" i="9"/>
  <c r="V21" i="9" a="1"/>
  <c r="V21" i="9"/>
  <c r="G123" i="9"/>
  <c r="W30" i="9" a="1"/>
  <c r="W30" i="9"/>
  <c r="F113" i="9"/>
  <c r="K126" i="9"/>
  <c r="AA33" i="9" a="1"/>
  <c r="AA33" i="9"/>
  <c r="F109" i="9"/>
  <c r="V16" i="9" a="1"/>
  <c r="V16" i="9"/>
  <c r="F135" i="9"/>
  <c r="V42" i="9" a="1"/>
  <c r="V42" i="9"/>
  <c r="K60" i="9" a="1"/>
  <c r="K60" i="9"/>
  <c r="J127" i="9"/>
  <c r="Z34" i="9" a="1"/>
  <c r="Z34" i="9"/>
  <c r="K113" i="9"/>
  <c r="AA20" i="9" a="1"/>
  <c r="AA20" i="9"/>
  <c r="I117" i="9"/>
  <c r="Y24" i="9" a="1"/>
  <c r="Y24" i="9"/>
  <c r="B4" i="9"/>
  <c r="M78" i="9" a="1"/>
  <c r="M78" i="9"/>
  <c r="E124" i="9"/>
  <c r="J76" i="9" a="1"/>
  <c r="J76" i="9"/>
  <c r="L114" i="9"/>
  <c r="AB21" i="9" a="1"/>
  <c r="AB21" i="9"/>
  <c r="M77" i="9" a="1"/>
  <c r="M77" i="9"/>
  <c r="F119" i="9"/>
  <c r="V26" i="9" a="1"/>
  <c r="V26" i="9"/>
  <c r="N99" i="9"/>
  <c r="AD6" i="9" a="1"/>
  <c r="AD6" i="9"/>
  <c r="I85" i="9" a="1"/>
  <c r="I85" i="9"/>
  <c r="F123" i="9"/>
  <c r="V30" i="9" a="1"/>
  <c r="V30" i="9"/>
  <c r="N51" i="9" a="1"/>
  <c r="N51" i="9"/>
  <c r="N106" i="9"/>
  <c r="AD13" i="9" a="1"/>
  <c r="AD13" i="9"/>
  <c r="K51" i="9" a="1"/>
  <c r="K51" i="9"/>
  <c r="D111" i="9"/>
  <c r="T18" i="9" a="1"/>
  <c r="T18" i="9"/>
  <c r="K112" i="9"/>
  <c r="AA19" i="9" a="1"/>
  <c r="AA19" i="9"/>
  <c r="J83" i="9" a="1"/>
  <c r="J83" i="9"/>
  <c r="H121" i="9"/>
  <c r="X28" i="9" a="1"/>
  <c r="X28" i="9"/>
  <c r="P59" i="9"/>
  <c r="Q59" i="9" s="1"/>
  <c r="J134" i="9"/>
  <c r="Z41" i="9" a="1"/>
  <c r="Z41" i="9"/>
  <c r="I62" i="9" a="1"/>
  <c r="I62" i="9"/>
  <c r="F129" i="9"/>
  <c r="V36" i="9" a="1"/>
  <c r="V36" i="9"/>
  <c r="G132" i="9"/>
  <c r="N65" i="9" a="1"/>
  <c r="N65" i="9"/>
  <c r="H61" i="9" a="1"/>
  <c r="H61" i="9"/>
  <c r="F112" i="9"/>
  <c r="V19" i="9" a="1"/>
  <c r="V19" i="9"/>
  <c r="M62" i="9" a="1"/>
  <c r="M62" i="9"/>
  <c r="N69" i="9" a="1"/>
  <c r="N69" i="9"/>
  <c r="G77" i="9" a="1"/>
  <c r="G77" i="9"/>
  <c r="M69" i="9" a="1"/>
  <c r="M69" i="9"/>
  <c r="N56" i="9" a="1"/>
  <c r="N56" i="9"/>
  <c r="J62" i="9" a="1"/>
  <c r="J62" i="9"/>
  <c r="M115" i="9"/>
  <c r="AC22" i="9" a="1"/>
  <c r="AC22" i="9"/>
  <c r="M131" i="9"/>
  <c r="AC38" i="9" a="1"/>
  <c r="AC38" i="9"/>
  <c r="I130" i="9"/>
  <c r="Y37" i="9" a="1"/>
  <c r="Y37" i="9"/>
  <c r="K80" i="9" a="1"/>
  <c r="K80" i="9"/>
  <c r="L101" i="9"/>
  <c r="AB8" i="9" a="1"/>
  <c r="AB8" i="9"/>
  <c r="I59" i="9" a="1"/>
  <c r="I59" i="9"/>
  <c r="N112" i="9"/>
  <c r="AD19" i="9" a="1"/>
  <c r="AD19" i="9"/>
  <c r="N103" i="9"/>
  <c r="AD10" i="9" a="1"/>
  <c r="AD10" i="9"/>
  <c r="J112" i="9"/>
  <c r="Z19" i="9" a="1"/>
  <c r="Z19" i="9"/>
  <c r="N130" i="9"/>
  <c r="AD37" i="9" a="1"/>
  <c r="AD37" i="9"/>
  <c r="G134" i="9"/>
  <c r="W41" i="9" a="1"/>
  <c r="W41" i="9"/>
  <c r="H113" i="9"/>
  <c r="X20" i="9" a="1"/>
  <c r="X20" i="9"/>
  <c r="G115" i="9"/>
  <c r="W22" i="9" a="1"/>
  <c r="W22" i="9"/>
  <c r="J54" i="9" a="1"/>
  <c r="J54" i="9"/>
  <c r="L102" i="9"/>
  <c r="AB9" i="9" a="1"/>
  <c r="AB9" i="9"/>
  <c r="C118" i="9"/>
  <c r="S25" i="9" a="1"/>
  <c r="S25" i="9"/>
  <c r="G108" i="9"/>
  <c r="W15" i="9" a="1"/>
  <c r="W15" i="9"/>
  <c r="I88" i="9" a="1"/>
  <c r="I88" i="9"/>
  <c r="H66" i="9" a="1"/>
  <c r="H66" i="9"/>
  <c r="I77" i="9" a="1"/>
  <c r="I77" i="9"/>
  <c r="L103" i="9"/>
  <c r="AB10" i="9" a="1"/>
  <c r="AB10" i="9"/>
  <c r="N134" i="9"/>
  <c r="AD41" i="9" a="1"/>
  <c r="AD41" i="9"/>
  <c r="G110" i="9"/>
  <c r="W17" i="9" a="1"/>
  <c r="W17" i="9"/>
  <c r="I57" i="9" a="1"/>
  <c r="I57" i="9"/>
  <c r="P52" i="9"/>
  <c r="Q52" i="9" s="1"/>
  <c r="C123" i="9"/>
  <c r="S30" i="9" a="1"/>
  <c r="S30" i="9"/>
  <c r="J130" i="9"/>
  <c r="Z37" i="9" a="1"/>
  <c r="Z37" i="9"/>
  <c r="E128" i="9"/>
  <c r="U35" i="9" a="1"/>
  <c r="U35" i="9"/>
  <c r="P74" i="9"/>
  <c r="Q74" i="9" s="1"/>
  <c r="P54" i="9"/>
  <c r="Q54" i="9" s="1"/>
  <c r="N72" i="9" a="1"/>
  <c r="N72" i="9"/>
  <c r="H115" i="9"/>
  <c r="X22" i="9" a="1"/>
  <c r="X22" i="9"/>
  <c r="H62" i="9" a="1"/>
  <c r="H62" i="9"/>
  <c r="L51" i="9" a="1"/>
  <c r="L51" i="9"/>
  <c r="L108" i="9"/>
  <c r="AB15" i="9" a="1"/>
  <c r="AB15" i="9"/>
  <c r="M126" i="9"/>
  <c r="AC33" i="9" a="1"/>
  <c r="AC33" i="9"/>
  <c r="C110" i="9"/>
  <c r="S17" i="9" a="1"/>
  <c r="S17" i="9"/>
  <c r="N53" i="9" a="1"/>
  <c r="N53" i="9"/>
  <c r="C130" i="9"/>
  <c r="S37" i="9" a="1"/>
  <c r="S37" i="9"/>
  <c r="H60" i="9" a="1"/>
  <c r="H60" i="9"/>
  <c r="J81" i="9" a="1"/>
  <c r="J81" i="9"/>
  <c r="K68" i="9" a="1"/>
  <c r="K68" i="9"/>
  <c r="E115" i="9"/>
  <c r="U22" i="9" a="1"/>
  <c r="U22" i="9"/>
  <c r="G74" i="9" a="1"/>
  <c r="G74" i="9"/>
  <c r="H105" i="9"/>
  <c r="X12" i="9" a="1"/>
  <c r="X12" i="9"/>
  <c r="K55" i="9" a="1"/>
  <c r="K55" i="9"/>
  <c r="M50" i="9" a="1"/>
  <c r="M50" i="9"/>
  <c r="I128" i="9"/>
  <c r="Y35" i="9" a="1"/>
  <c r="Y35" i="9"/>
  <c r="L124" i="9"/>
  <c r="AB31" i="9" a="1"/>
  <c r="AB31" i="9"/>
  <c r="K116" i="9"/>
  <c r="AA23" i="9" a="1"/>
  <c r="AA23" i="9"/>
  <c r="C127" i="9"/>
  <c r="S34" i="9" a="1"/>
  <c r="S34" i="9"/>
  <c r="J108" i="9"/>
  <c r="Z15" i="9" a="1"/>
  <c r="Z15" i="9"/>
  <c r="G72" i="9" a="1"/>
  <c r="G72" i="9"/>
  <c r="M111" i="9"/>
  <c r="AC18" i="9" a="1"/>
  <c r="AC18" i="9"/>
  <c r="M109" i="9"/>
  <c r="AC16" i="9" a="1"/>
  <c r="AC16" i="9"/>
  <c r="K70" i="9" a="1"/>
  <c r="K70" i="9"/>
  <c r="G102" i="9"/>
  <c r="W9" i="9" a="1"/>
  <c r="W9" i="9"/>
  <c r="P89" i="9"/>
  <c r="Q89" i="9" s="1"/>
  <c r="N88" i="9" a="1"/>
  <c r="N88" i="9"/>
  <c r="F126" i="9"/>
  <c r="V33" i="9" a="1"/>
  <c r="V33" i="9"/>
  <c r="K59" i="9" a="1"/>
  <c r="K59" i="9"/>
  <c r="P67" i="9"/>
  <c r="Q67" i="9" s="1"/>
  <c r="P134" i="9"/>
  <c r="AF41" i="9"/>
  <c r="B26" i="20" s="1"/>
  <c r="J107" i="9"/>
  <c r="Z14" i="9" a="1"/>
  <c r="Z14" i="9"/>
  <c r="N124" i="9"/>
  <c r="AD31" i="9" a="1"/>
  <c r="AD31" i="9"/>
  <c r="P121" i="9"/>
  <c r="AF28" i="9"/>
  <c r="AG28" i="9" s="1"/>
  <c r="C30" i="20" s="1"/>
  <c r="M134" i="9"/>
  <c r="AC41" i="9" a="1"/>
  <c r="AC41" i="9"/>
  <c r="C116" i="9"/>
  <c r="S23" i="9" a="1"/>
  <c r="S23" i="9"/>
  <c r="L77" i="9" a="1"/>
  <c r="L77" i="9"/>
  <c r="N75" i="9" a="1"/>
  <c r="N75" i="9"/>
  <c r="K78" i="9" a="1"/>
  <c r="K78" i="9"/>
  <c r="L52" i="9" a="1"/>
  <c r="L52" i="9"/>
  <c r="N57" i="9" a="1"/>
  <c r="N57" i="9"/>
  <c r="H128" i="9"/>
  <c r="X35" i="9" a="1"/>
  <c r="X35" i="9"/>
  <c r="P69" i="9"/>
  <c r="Q69" i="9" s="1"/>
  <c r="C129" i="9"/>
  <c r="S36" i="9" a="1"/>
  <c r="S36" i="9"/>
  <c r="E113" i="9"/>
  <c r="U20" i="9" a="1"/>
  <c r="U20" i="9"/>
  <c r="P80" i="9"/>
  <c r="Q80" i="9" s="1"/>
  <c r="L117" i="9"/>
  <c r="AB24" i="9" a="1"/>
  <c r="AB24" i="9"/>
  <c r="P83" i="9"/>
  <c r="Q83" i="9" s="1"/>
  <c r="N133" i="9"/>
  <c r="AD40" i="9" a="1"/>
  <c r="AD40" i="9"/>
  <c r="E106" i="9"/>
  <c r="U13" i="9" a="1"/>
  <c r="U13" i="9"/>
  <c r="K117" i="9"/>
  <c r="AA24" i="9" a="1"/>
  <c r="AA24" i="9"/>
  <c r="K56" i="9" a="1"/>
  <c r="K56" i="9"/>
  <c r="J75" i="9" a="1"/>
  <c r="J75" i="9"/>
  <c r="K75" i="9" a="1"/>
  <c r="K75" i="9"/>
  <c r="H64" i="9" a="1"/>
  <c r="H64" i="9"/>
  <c r="L54" i="9" a="1"/>
  <c r="L54" i="9"/>
  <c r="M89" i="9" a="1"/>
  <c r="M89" i="9"/>
  <c r="J88" i="9" a="1"/>
  <c r="J88" i="9"/>
  <c r="F107" i="9"/>
  <c r="V14" i="9" a="1"/>
  <c r="V14" i="9"/>
  <c r="P131" i="9"/>
  <c r="AF38" i="9"/>
  <c r="E18" i="19" s="1" a="1"/>
  <c r="E18" i="19" s="1"/>
  <c r="M125" i="9"/>
  <c r="AC32" i="9" a="1"/>
  <c r="AC32" i="9"/>
  <c r="M87" i="9" a="1"/>
  <c r="M87" i="9"/>
  <c r="B8" i="9"/>
  <c r="N67" i="9" a="1"/>
  <c r="N67" i="9"/>
  <c r="I114" i="9"/>
  <c r="Y21" i="9" a="1"/>
  <c r="Y21" i="9"/>
  <c r="G118" i="9"/>
  <c r="W25" i="9" a="1"/>
  <c r="W25" i="9"/>
  <c r="H103" i="9"/>
  <c r="X10" i="9" a="1"/>
  <c r="X10" i="9"/>
  <c r="D135" i="9"/>
  <c r="T42" i="9" a="1"/>
  <c r="T42" i="9"/>
  <c r="I123" i="9"/>
  <c r="Y30" i="9" a="1"/>
  <c r="Y30" i="9"/>
  <c r="N85" i="9" a="1"/>
  <c r="N85" i="9"/>
  <c r="G125" i="9"/>
  <c r="W32" i="9" a="1"/>
  <c r="W32" i="9"/>
  <c r="J133" i="9"/>
  <c r="Z40" i="9" a="1"/>
  <c r="Z40" i="9"/>
  <c r="L125" i="9"/>
  <c r="AB32" i="9" a="1"/>
  <c r="AB32" i="9"/>
  <c r="I68" i="9" a="1"/>
  <c r="I68" i="9"/>
  <c r="I132" i="9"/>
  <c r="Y39" i="9" a="1"/>
  <c r="Y39" i="9"/>
  <c r="N100" i="9"/>
  <c r="AD7" i="9" a="1"/>
  <c r="AD7" i="9"/>
  <c r="D124" i="9"/>
  <c r="T31" i="9" a="1"/>
  <c r="T31" i="9"/>
  <c r="I129" i="9"/>
  <c r="D126" i="9"/>
  <c r="T33" i="9" a="1"/>
  <c r="T33" i="9"/>
  <c r="I64" i="9" a="1"/>
  <c r="I64" i="9"/>
  <c r="E118" i="9"/>
  <c r="U25" i="9" a="1"/>
  <c r="U25" i="9"/>
  <c r="P132" i="9"/>
  <c r="AF39" i="9"/>
  <c r="B34" i="20" s="1"/>
  <c r="H107" i="9"/>
  <c r="X14" i="9" a="1"/>
  <c r="X14" i="9"/>
  <c r="M64" i="9" a="1"/>
  <c r="M64" i="9"/>
  <c r="I87" i="9" a="1"/>
  <c r="I87" i="9"/>
  <c r="AA43" i="9" a="1"/>
  <c r="AA43" i="9"/>
  <c r="AA44" i="9" a="1"/>
  <c r="AA44" i="9"/>
  <c r="G111" i="9"/>
  <c r="W18" i="9" a="1"/>
  <c r="W18" i="9"/>
  <c r="L64" i="9" a="1"/>
  <c r="L64" i="9"/>
  <c r="M110" i="9"/>
  <c r="AC17" i="9" a="1"/>
  <c r="AC17" i="9"/>
  <c r="G130" i="9"/>
  <c r="W37" i="9" a="1"/>
  <c r="W37" i="9"/>
  <c r="M85" i="9" a="1"/>
  <c r="M85" i="9"/>
  <c r="P114" i="9"/>
  <c r="AF21" i="9"/>
  <c r="AG21" i="9" s="1"/>
  <c r="C14" i="20" s="1"/>
  <c r="L83" i="9" a="1"/>
  <c r="L83" i="9"/>
  <c r="P103" i="9"/>
  <c r="AF10" i="9"/>
  <c r="B27" i="20" s="1"/>
  <c r="G68" i="9" a="1"/>
  <c r="G68" i="9"/>
  <c r="K67" i="9" a="1"/>
  <c r="K67" i="9"/>
  <c r="P76" i="9"/>
  <c r="Q76" i="9" s="1"/>
  <c r="N83" i="9" a="1"/>
  <c r="N83" i="9"/>
  <c r="P127" i="9"/>
  <c r="AF34" i="9"/>
  <c r="AG34" i="9" s="1"/>
  <c r="C7" i="20" s="1"/>
  <c r="M117" i="9"/>
  <c r="AC24" i="9" a="1"/>
  <c r="AC24" i="9"/>
  <c r="E135" i="9"/>
  <c r="U42" i="9" a="1"/>
  <c r="U42" i="9"/>
  <c r="H81" i="9" a="1"/>
  <c r="H81" i="9"/>
  <c r="K119" i="9"/>
  <c r="AA26" i="9" a="1"/>
  <c r="AA26" i="9"/>
  <c r="M79" i="9" a="1"/>
  <c r="M79" i="9"/>
  <c r="P117" i="9"/>
  <c r="AF24" i="9"/>
  <c r="B40" i="20" s="1"/>
  <c r="C112" i="9"/>
  <c r="S19" i="9" a="1"/>
  <c r="S19" i="9"/>
  <c r="H118" i="9"/>
  <c r="X25" i="9" a="1"/>
  <c r="X25" i="9"/>
  <c r="I56" i="9" a="1"/>
  <c r="I56" i="9"/>
  <c r="J129" i="9"/>
  <c r="Z36" i="9" a="1"/>
  <c r="Z36" i="9"/>
  <c r="I51" i="9" a="1"/>
  <c r="I51" i="9"/>
  <c r="J126" i="9"/>
  <c r="Z33" i="9" a="1"/>
  <c r="Z33" i="9"/>
  <c r="X43" i="9" a="1"/>
  <c r="X43" i="9"/>
  <c r="I63" i="9" a="1"/>
  <c r="I63" i="9"/>
  <c r="F103" i="9"/>
  <c r="V10" i="9" a="1"/>
  <c r="V10" i="9"/>
  <c r="I113" i="9"/>
  <c r="Y20" i="9" a="1"/>
  <c r="Y20" i="9"/>
  <c r="G112" i="9"/>
  <c r="W19" i="9" a="1"/>
  <c r="W19" i="9"/>
  <c r="M66" i="9" a="1"/>
  <c r="M66" i="9"/>
  <c r="M52" i="9" a="1"/>
  <c r="M52" i="9"/>
  <c r="M82" i="9" a="1"/>
  <c r="M82" i="9"/>
  <c r="P111" i="9"/>
  <c r="AF18" i="9"/>
  <c r="AG18" i="9" s="1"/>
  <c r="C18" i="20" s="1"/>
  <c r="E123" i="9"/>
  <c r="U30" i="9" a="1"/>
  <c r="U30" i="9"/>
  <c r="J78" i="9" a="1"/>
  <c r="J78" i="9"/>
  <c r="M76" i="9" a="1"/>
  <c r="M76" i="9"/>
  <c r="P63" i="9"/>
  <c r="Q63" i="9" s="1"/>
  <c r="P135" i="9"/>
  <c r="AF42" i="9"/>
  <c r="B10" i="20" s="1"/>
  <c r="K106" i="9"/>
  <c r="AA13" i="9" a="1"/>
  <c r="AA13" i="9"/>
  <c r="K120" i="9"/>
  <c r="AA27" i="9" a="1"/>
  <c r="AA27" i="9"/>
  <c r="I115" i="9"/>
  <c r="Y22" i="9" a="1"/>
  <c r="Y22" i="9"/>
  <c r="I82" i="9" a="1"/>
  <c r="I82" i="9"/>
  <c r="E127" i="9"/>
  <c r="U34" i="9" a="1"/>
  <c r="U34" i="9"/>
  <c r="J64" i="9" a="1"/>
  <c r="J64" i="9"/>
  <c r="J103" i="9"/>
  <c r="Z10" i="9" a="1"/>
  <c r="Z10" i="9"/>
  <c r="M129" i="9"/>
  <c r="AC36" i="9" a="1"/>
  <c r="AC36" i="9"/>
  <c r="I52" i="9" a="1"/>
  <c r="I52" i="9"/>
  <c r="L76" i="9" a="1"/>
  <c r="L76" i="9"/>
  <c r="J110" i="9"/>
  <c r="Z17" i="9" a="1"/>
  <c r="Z17" i="9"/>
  <c r="M81" i="9" a="1"/>
  <c r="M81" i="9"/>
  <c r="D128" i="9"/>
  <c r="T35" i="9" a="1"/>
  <c r="T35" i="9"/>
  <c r="L82" i="9" a="1"/>
  <c r="L82" i="9"/>
  <c r="U31" i="9" a="1"/>
  <c r="U31" i="9"/>
  <c r="P101" i="9"/>
  <c r="AF8" i="9"/>
  <c r="B22" i="20" s="1"/>
  <c r="G104" i="9"/>
  <c r="W11" i="9" a="1"/>
  <c r="W11" i="9"/>
  <c r="J50" i="9" a="1"/>
  <c r="J50" i="9"/>
  <c r="F110" i="9"/>
  <c r="V17" i="9" a="1"/>
  <c r="V17" i="9"/>
  <c r="C126" i="9"/>
  <c r="S33" i="9" a="1"/>
  <c r="S33" i="9"/>
  <c r="I125" i="9"/>
  <c r="Y32" i="9" a="1"/>
  <c r="Y32" i="9"/>
  <c r="K118" i="9"/>
  <c r="AA25" i="9" a="1"/>
  <c r="AA25" i="9"/>
  <c r="C115" i="9"/>
  <c r="S22" i="9" a="1"/>
  <c r="S22" i="9"/>
  <c r="K77" i="9" a="1"/>
  <c r="K77" i="9"/>
  <c r="D106" i="9"/>
  <c r="T13" i="9" a="1"/>
  <c r="T13" i="9"/>
  <c r="V20" i="9" a="1"/>
  <c r="V20" i="9"/>
  <c r="P62" i="9"/>
  <c r="Q62" i="9" s="1"/>
  <c r="D122" i="9"/>
  <c r="T29" i="9" a="1"/>
  <c r="T29" i="9"/>
  <c r="P126" i="9"/>
  <c r="AF33" i="9"/>
  <c r="AG33" i="9" s="1"/>
  <c r="C24" i="20" s="1"/>
  <c r="Y23" i="9" a="1"/>
  <c r="Y23" i="9"/>
  <c r="K61" i="9" a="1"/>
  <c r="K61" i="9"/>
  <c r="B10" i="9"/>
  <c r="P79" i="9"/>
  <c r="Q79" i="9" s="1"/>
  <c r="L119" i="9"/>
  <c r="AB26" i="9" a="1"/>
  <c r="AB26" i="9"/>
  <c r="P81" i="9"/>
  <c r="Q81" i="9" s="1"/>
  <c r="K103" i="9"/>
  <c r="AA10" i="9" a="1"/>
  <c r="AA10" i="9"/>
  <c r="L121" i="9"/>
  <c r="AB28" i="9" a="1"/>
  <c r="AB28" i="9"/>
  <c r="J115" i="9"/>
  <c r="Z22" i="9" a="1"/>
  <c r="Z22" i="9"/>
  <c r="G73" i="9" a="1"/>
  <c r="G73" i="9"/>
  <c r="E103" i="9"/>
  <c r="U10" i="9" a="1"/>
  <c r="U10" i="9"/>
  <c r="Y19" i="9" a="1"/>
  <c r="Y19" i="9"/>
  <c r="B6" i="9"/>
  <c r="L123" i="9"/>
  <c r="AB30" i="9" a="1"/>
  <c r="AB30" i="9"/>
  <c r="J122" i="9"/>
  <c r="Z29" i="9" a="1"/>
  <c r="Z29" i="9"/>
  <c r="K72" i="9" a="1"/>
  <c r="K72" i="9"/>
  <c r="J51" i="9" a="1"/>
  <c r="J51" i="9"/>
  <c r="L50" i="9" a="1"/>
  <c r="L50" i="9"/>
  <c r="N82" i="9" a="1"/>
  <c r="N82" i="9"/>
  <c r="H104" i="9"/>
  <c r="X11" i="9" a="1"/>
  <c r="X11" i="9"/>
  <c r="J55" i="9" a="1"/>
  <c r="J55" i="9"/>
  <c r="M103" i="9"/>
  <c r="AC10" i="9" a="1"/>
  <c r="AC10" i="9"/>
  <c r="F134" i="9"/>
  <c r="V41" i="9" a="1"/>
  <c r="V41" i="9"/>
  <c r="D132" i="9"/>
  <c r="T39" i="9" a="1"/>
  <c r="T39" i="9"/>
  <c r="K129" i="9"/>
  <c r="AA36" i="9" a="1"/>
  <c r="AA36" i="9"/>
  <c r="H117" i="9"/>
  <c r="X24" i="9" a="1"/>
  <c r="X24" i="9"/>
  <c r="M60" i="9" a="1"/>
  <c r="M60" i="9"/>
  <c r="N135" i="9"/>
  <c r="AD42" i="9" a="1"/>
  <c r="AD42" i="9"/>
  <c r="I133" i="9"/>
  <c r="Y40" i="9" a="1"/>
  <c r="Y40" i="9"/>
  <c r="N120" i="9"/>
  <c r="AD27" i="9" a="1"/>
  <c r="AD27" i="9"/>
  <c r="I121" i="9"/>
  <c r="Y28" i="9" a="1"/>
  <c r="Y28" i="9"/>
  <c r="K58" i="9" a="1"/>
  <c r="K58" i="9"/>
  <c r="M119" i="9"/>
  <c r="AC26" i="9" a="1"/>
  <c r="AC26" i="9"/>
  <c r="D112" i="9"/>
  <c r="T19" i="9" a="1"/>
  <c r="T19" i="9"/>
  <c r="K131" i="9"/>
  <c r="M56" i="9" a="1"/>
  <c r="M56" i="9"/>
  <c r="K83" i="9" a="1"/>
  <c r="K83" i="9"/>
  <c r="N128" i="9"/>
  <c r="AD35" i="9" a="1"/>
  <c r="AD35" i="9"/>
  <c r="G99" i="9"/>
  <c r="H100" i="9"/>
  <c r="X7" i="9" a="1"/>
  <c r="X7" i="9"/>
  <c r="AC43" i="9" a="1"/>
  <c r="AC43" i="9"/>
  <c r="N87" i="9" a="1"/>
  <c r="N87" i="9"/>
  <c r="I79" i="9" a="1"/>
  <c r="I79" i="9"/>
  <c r="F122" i="9"/>
  <c r="V29" i="9" a="1"/>
  <c r="V29" i="9"/>
  <c r="H116" i="9"/>
  <c r="X23" i="9" a="1"/>
  <c r="X23" i="9"/>
  <c r="L70" i="9" a="1"/>
  <c r="L70" i="9"/>
  <c r="L106" i="9"/>
  <c r="AB13" i="9" a="1"/>
  <c r="AB13" i="9"/>
  <c r="G78" i="9" a="1"/>
  <c r="G78" i="9"/>
  <c r="C125" i="9"/>
  <c r="S32" i="9" a="1"/>
  <c r="S32" i="9"/>
  <c r="G119" i="9"/>
  <c r="W26" i="9" a="1"/>
  <c r="W26" i="9"/>
  <c r="E110" i="9"/>
  <c r="U17" i="9" a="1"/>
  <c r="U17" i="9"/>
  <c r="G113" i="9"/>
  <c r="W20" i="9" a="1"/>
  <c r="W20" i="9"/>
  <c r="F101" i="9"/>
  <c r="V8" i="9" a="1"/>
  <c r="V8" i="9"/>
  <c r="V31" i="9" a="1"/>
  <c r="V31" i="9"/>
  <c r="M74" i="9" a="1"/>
  <c r="M74" i="9"/>
  <c r="B3" i="9"/>
  <c r="F117" i="9"/>
  <c r="V24" i="9" a="1"/>
  <c r="V24" i="9"/>
  <c r="D110" i="9"/>
  <c r="T17" i="9" a="1"/>
  <c r="T17" i="9"/>
  <c r="F102" i="9"/>
  <c r="V9" i="9" a="1"/>
  <c r="V9" i="9"/>
  <c r="P88" i="9"/>
  <c r="Q88" i="9" s="1"/>
  <c r="H89" i="9" a="1"/>
  <c r="H89" i="9"/>
  <c r="M67" i="9" a="1"/>
  <c r="M67" i="9"/>
  <c r="P129" i="9"/>
  <c r="AF36" i="9"/>
  <c r="AG36" i="9" s="1"/>
  <c r="C17" i="20" s="1"/>
  <c r="C105" i="9"/>
  <c r="S12" i="9" a="1"/>
  <c r="S12" i="9"/>
  <c r="G62" i="9" a="1"/>
  <c r="G62" i="9"/>
  <c r="K107" i="9"/>
  <c r="AA14" i="9" a="1"/>
  <c r="AA14" i="9"/>
  <c r="F132" i="9"/>
  <c r="V39" i="9" a="1"/>
  <c r="V39" i="9"/>
  <c r="L87" i="9" a="1"/>
  <c r="L87" i="9"/>
  <c r="N104" i="9"/>
  <c r="AD11" i="9" a="1"/>
  <c r="AD11" i="9"/>
  <c r="P51" i="9"/>
  <c r="Q51" i="9" s="1"/>
  <c r="E107" i="9"/>
  <c r="U14" i="9" a="1"/>
  <c r="U14" i="9"/>
  <c r="D129" i="9"/>
  <c r="T36" i="9" a="1"/>
  <c r="T36" i="9"/>
  <c r="N70" i="9" a="1"/>
  <c r="N70" i="9"/>
  <c r="U27" i="9" a="1"/>
  <c r="U27" i="9"/>
  <c r="M53" i="9" a="1"/>
  <c r="M53" i="9"/>
  <c r="F108" i="9"/>
  <c r="V15" i="9" a="1"/>
  <c r="V15" i="9"/>
  <c r="D123" i="9"/>
  <c r="T30" i="9" a="1"/>
  <c r="T30" i="9"/>
  <c r="L62" i="9" a="1"/>
  <c r="L62" i="9"/>
  <c r="N77" i="9" a="1"/>
  <c r="N77" i="9"/>
  <c r="M135" i="9"/>
  <c r="AC42" i="9" a="1"/>
  <c r="AC42" i="9"/>
  <c r="J118" i="9"/>
  <c r="Z25" i="9" a="1"/>
  <c r="Z25" i="9"/>
  <c r="J58" i="9" a="1"/>
  <c r="J58" i="9"/>
  <c r="G80" i="9" a="1"/>
  <c r="G80" i="9"/>
  <c r="L135" i="9"/>
  <c r="AB42" i="9" a="1"/>
  <c r="AB42" i="9"/>
  <c r="I76" i="9" a="1"/>
  <c r="I76" i="9"/>
  <c r="J119" i="9"/>
  <c r="Z26" i="9" a="1"/>
  <c r="Z26" i="9"/>
  <c r="M100" i="9"/>
  <c r="AC7" i="9" a="1"/>
  <c r="AC7" i="9"/>
  <c r="M88" i="9" a="1"/>
  <c r="M88" i="9"/>
  <c r="L105" i="9"/>
  <c r="AB12" i="9" a="1"/>
  <c r="AB12" i="9"/>
  <c r="K66" i="9" a="1"/>
  <c r="K66" i="9"/>
  <c r="Z44" i="9" a="1"/>
  <c r="Z44" i="9"/>
  <c r="A26" i="21"/>
  <c r="B26" i="21"/>
  <c r="A15" i="21"/>
  <c r="B15" i="21"/>
  <c r="A24" i="20"/>
  <c r="A4" i="21"/>
  <c r="B4" i="21"/>
  <c r="A32" i="21"/>
  <c r="B32" i="21"/>
  <c r="A18" i="20"/>
  <c r="A31" i="20"/>
  <c r="A19" i="20"/>
  <c r="A42" i="21"/>
  <c r="B42" i="21"/>
  <c r="A9" i="21"/>
  <c r="B9" i="21"/>
  <c r="A23" i="21"/>
  <c r="B23" i="21"/>
  <c r="A5" i="20"/>
  <c r="A32" i="20"/>
  <c r="A12" i="20"/>
  <c r="G81" i="9" a="1"/>
  <c r="G81" i="9"/>
  <c r="G55" i="9" a="1"/>
  <c r="G55" i="9"/>
  <c r="H71" i="9" a="1"/>
  <c r="H71" i="9"/>
  <c r="G89" i="9" a="1"/>
  <c r="G89" i="9"/>
  <c r="A37" i="21"/>
  <c r="B37" i="21"/>
  <c r="A40" i="21"/>
  <c r="B40" i="21"/>
  <c r="A39" i="21"/>
  <c r="B39" i="21"/>
  <c r="A17" i="20"/>
  <c r="G66" i="9" a="1"/>
  <c r="G66" i="9"/>
  <c r="L66" i="9" a="1"/>
  <c r="L66" i="9"/>
  <c r="I345" i="1" a="1"/>
  <c r="I345" i="1" s="1"/>
  <c r="AD22" i="9" a="1"/>
  <c r="AD22" i="9"/>
  <c r="H69" i="9" a="1"/>
  <c r="H69" i="9"/>
  <c r="H50" i="9" a="1"/>
  <c r="H50" i="9"/>
  <c r="H84" i="9" a="1"/>
  <c r="H84" i="9"/>
  <c r="N78" i="9" a="1"/>
  <c r="N78" i="9"/>
  <c r="H57" i="9" a="1"/>
  <c r="H57" i="9"/>
  <c r="J345" i="1" a="1"/>
  <c r="J345" i="1" s="1"/>
  <c r="G49" i="9" a="1"/>
  <c r="G49" i="9"/>
  <c r="H86" i="9" a="1"/>
  <c r="H86" i="9"/>
  <c r="X42" i="9" a="1"/>
  <c r="X42" i="9"/>
  <c r="G69" i="9" a="1"/>
  <c r="G69" i="9"/>
  <c r="G85" i="9" a="1"/>
  <c r="G85" i="9"/>
  <c r="H59" i="9" a="1"/>
  <c r="H59" i="9"/>
  <c r="H82" i="9" a="1"/>
  <c r="H82" i="9"/>
  <c r="G59" i="9" a="1"/>
  <c r="G59" i="9"/>
  <c r="AB36" i="9" a="1"/>
  <c r="AB36" i="9"/>
  <c r="L80" i="9" a="1"/>
  <c r="L80" i="9"/>
  <c r="G51" i="9" a="1"/>
  <c r="G51" i="9"/>
  <c r="J82" i="9" a="1"/>
  <c r="J82" i="9"/>
  <c r="Z38" i="9" a="1"/>
  <c r="Z38" i="9"/>
  <c r="N68" i="9" a="1"/>
  <c r="N68" i="9"/>
  <c r="AD12" i="9" a="1"/>
  <c r="AD12" i="9"/>
  <c r="G86" i="9" a="1"/>
  <c r="G86" i="9"/>
  <c r="G82" i="9" a="1"/>
  <c r="G82" i="9"/>
  <c r="A41" i="21"/>
  <c r="B41" i="21"/>
  <c r="AD34" i="9" a="1"/>
  <c r="AD34" i="9"/>
  <c r="N80" i="9" a="1"/>
  <c r="N80" i="9"/>
  <c r="N66" i="9" a="1"/>
  <c r="N66" i="9"/>
  <c r="N89" i="9" a="1"/>
  <c r="N89" i="9"/>
  <c r="H80" i="9" a="1"/>
  <c r="H80" i="9"/>
  <c r="K345" i="1"/>
  <c r="H49" i="9" a="1"/>
  <c r="H49" i="9"/>
  <c r="F98" i="9"/>
  <c r="V5" i="9" a="1"/>
  <c r="V5" i="9"/>
  <c r="G98" i="9"/>
  <c r="K49" i="9" a="1"/>
  <c r="K49" i="9"/>
  <c r="G88" i="9" a="1"/>
  <c r="G88" i="9"/>
  <c r="W44" i="9" a="1"/>
  <c r="W44" i="9"/>
  <c r="X27" i="9" a="1"/>
  <c r="X27" i="9"/>
  <c r="X13" i="9" a="1"/>
  <c r="X13" i="9"/>
  <c r="H223" i="1"/>
  <c r="H240" i="1"/>
  <c r="H129" i="1"/>
  <c r="H148" i="1"/>
  <c r="H262" i="1"/>
  <c r="H285" i="1"/>
  <c r="H269" i="1"/>
  <c r="C12" i="19" a="1"/>
  <c r="C12" i="19" s="1"/>
  <c r="E12" i="19" s="1"/>
  <c r="E16" i="19" s="1"/>
  <c r="N98" i="9"/>
  <c r="AD5" i="9" a="1"/>
  <c r="AD5" i="9"/>
  <c r="J98" i="9"/>
  <c r="Z5" i="9" a="1"/>
  <c r="Z5" i="9"/>
  <c r="M49" i="9" a="1"/>
  <c r="M49" i="9"/>
  <c r="E9" i="9"/>
  <c r="I49" i="9" a="1"/>
  <c r="I49" i="9"/>
  <c r="E17" i="9"/>
  <c r="E5" i="9"/>
  <c r="C16" i="9"/>
  <c r="D12" i="19" a="1"/>
  <c r="D12" i="19"/>
  <c r="A2" i="20"/>
  <c r="C12" i="9"/>
  <c r="O124" i="9"/>
  <c r="Q124" i="9"/>
  <c r="E15" i="9"/>
  <c r="D8" i="19" a="1"/>
  <c r="D8" i="19"/>
  <c r="O127" i="9"/>
  <c r="D10" i="19" a="1"/>
  <c r="D10" i="19"/>
  <c r="E11" i="9"/>
  <c r="O110" i="9"/>
  <c r="Q110" i="9"/>
  <c r="O134" i="9"/>
  <c r="O114" i="9"/>
  <c r="Q114" i="9"/>
  <c r="O111" i="9"/>
  <c r="Q111" i="9"/>
  <c r="H116" i="1"/>
  <c r="H115" i="1"/>
  <c r="H266" i="1"/>
  <c r="H167" i="1"/>
  <c r="H257" i="1"/>
  <c r="H259" i="1"/>
  <c r="H135" i="1"/>
  <c r="H170" i="1"/>
  <c r="H154" i="1"/>
  <c r="H121" i="1"/>
  <c r="H112" i="1"/>
  <c r="H156" i="1"/>
  <c r="H158" i="1"/>
  <c r="H165" i="1"/>
  <c r="H168" i="1"/>
  <c r="H166" i="1"/>
  <c r="H169" i="1"/>
  <c r="H164" i="1"/>
  <c r="H161" i="1"/>
  <c r="H206" i="1"/>
  <c r="H194" i="1"/>
  <c r="H243" i="1"/>
  <c r="H237" i="1"/>
  <c r="H162" i="1"/>
  <c r="H160" i="1"/>
  <c r="H268" i="1"/>
  <c r="H280" i="1"/>
  <c r="H271" i="1"/>
  <c r="H270" i="1"/>
  <c r="O71" i="9"/>
  <c r="C14" i="9"/>
  <c r="O109" i="9"/>
  <c r="Q109" i="9"/>
  <c r="O115" i="9"/>
  <c r="Q115" i="9"/>
  <c r="O118" i="9"/>
  <c r="Q118" i="9"/>
  <c r="O65" i="9"/>
  <c r="O129" i="9"/>
  <c r="Q129" i="9"/>
  <c r="O123" i="9"/>
  <c r="Q123" i="9"/>
  <c r="O116" i="9"/>
  <c r="Q116" i="9"/>
  <c r="O104" i="9"/>
  <c r="Q104" i="9"/>
  <c r="O100" i="9"/>
  <c r="Q100" i="9"/>
  <c r="Q127" i="9"/>
  <c r="P49" i="9"/>
  <c r="Q49" i="9" s="1"/>
  <c r="D98" i="9"/>
  <c r="N49" i="9" a="1"/>
  <c r="N49" i="9"/>
  <c r="E49" i="9" a="1"/>
  <c r="E49" i="9"/>
  <c r="L98" i="9"/>
  <c r="AB5" i="9" a="1"/>
  <c r="AB5" i="9"/>
  <c r="K98" i="9"/>
  <c r="AA5" i="9" a="1"/>
  <c r="AA5" i="9"/>
  <c r="C98" i="9"/>
  <c r="S5" i="9" a="1"/>
  <c r="S5" i="9"/>
  <c r="M98" i="9"/>
  <c r="AC5" i="9" a="1"/>
  <c r="AC5" i="9"/>
  <c r="E98" i="9"/>
  <c r="C49" i="9" a="1"/>
  <c r="C49" i="9"/>
  <c r="F49" i="9" a="1"/>
  <c r="F49" i="9"/>
  <c r="O133" i="9"/>
  <c r="C13" i="9"/>
  <c r="O130" i="9"/>
  <c r="Q130" i="9"/>
  <c r="AE8" i="9"/>
  <c r="O54" i="9"/>
  <c r="O61" i="9"/>
  <c r="O84" i="9"/>
  <c r="O55" i="9"/>
  <c r="O76" i="9"/>
  <c r="AE40" i="9"/>
  <c r="AE34" i="9"/>
  <c r="AE32" i="9"/>
  <c r="O57" i="9"/>
  <c r="O113" i="9"/>
  <c r="Q113" i="9"/>
  <c r="O121" i="9"/>
  <c r="Q121" i="9"/>
  <c r="O119" i="9"/>
  <c r="Q119" i="9"/>
  <c r="O79" i="9"/>
  <c r="O125" i="9"/>
  <c r="Q125" i="9"/>
  <c r="O81" i="9"/>
  <c r="AE21" i="9"/>
  <c r="O63" i="9"/>
  <c r="AE26" i="9"/>
  <c r="O83" i="9"/>
  <c r="AE14" i="9"/>
  <c r="AE29" i="9"/>
  <c r="AE31" i="9"/>
  <c r="AE9" i="9"/>
  <c r="AE23" i="9"/>
  <c r="O73" i="9"/>
  <c r="O58" i="9"/>
  <c r="O52" i="9"/>
  <c r="O72" i="9"/>
  <c r="AE28" i="9"/>
  <c r="O60" i="9"/>
  <c r="O74" i="9"/>
  <c r="AE24" i="9"/>
  <c r="AE37" i="9"/>
  <c r="AE18" i="9"/>
  <c r="O53" i="9"/>
  <c r="AE33" i="9"/>
  <c r="O87" i="9"/>
  <c r="O75" i="9"/>
  <c r="AE35" i="9"/>
  <c r="O67" i="9"/>
  <c r="O78" i="9"/>
  <c r="AE42" i="9"/>
  <c r="O56" i="9"/>
  <c r="AE30" i="9"/>
  <c r="AE19" i="9"/>
  <c r="O64" i="9"/>
  <c r="O85" i="9"/>
  <c r="O70" i="9"/>
  <c r="O77" i="9"/>
  <c r="AE20" i="9"/>
  <c r="O51" i="9"/>
  <c r="O50" i="9"/>
  <c r="O62" i="9"/>
  <c r="AE17" i="9"/>
  <c r="AE27" i="9"/>
  <c r="O126" i="9"/>
  <c r="Q126" i="9"/>
  <c r="AE15" i="9"/>
  <c r="AE25" i="9"/>
  <c r="O103" i="9"/>
  <c r="Q103" i="9"/>
  <c r="O66" i="9"/>
  <c r="AE16" i="9"/>
  <c r="O117" i="9"/>
  <c r="Q117" i="9"/>
  <c r="O128" i="9"/>
  <c r="Q128" i="9"/>
  <c r="AE41" i="9"/>
  <c r="O135" i="9"/>
  <c r="O122" i="9"/>
  <c r="Q122" i="9"/>
  <c r="AE10" i="9"/>
  <c r="O112" i="9"/>
  <c r="Q112" i="9"/>
  <c r="W6" i="9" a="1"/>
  <c r="W6" i="9"/>
  <c r="AE6" i="9"/>
  <c r="O99" i="9"/>
  <c r="Q99" i="9"/>
  <c r="E2" i="9"/>
  <c r="C2" i="9"/>
  <c r="AE12" i="9"/>
  <c r="O69" i="9"/>
  <c r="AE11" i="9"/>
  <c r="C10" i="9"/>
  <c r="E10" i="9"/>
  <c r="C8" i="9"/>
  <c r="E8" i="9"/>
  <c r="O108" i="9"/>
  <c r="Q108" i="9"/>
  <c r="O102" i="9"/>
  <c r="Q102" i="9"/>
  <c r="C7" i="9"/>
  <c r="E7" i="9" a="1"/>
  <c r="E7" i="9" s="1"/>
  <c r="O105" i="9"/>
  <c r="Q105" i="9"/>
  <c r="Y36" i="9" a="1"/>
  <c r="Y36" i="9"/>
  <c r="AE36" i="9"/>
  <c r="W39" i="9" a="1"/>
  <c r="W39" i="9"/>
  <c r="AE39" i="9"/>
  <c r="O132" i="9"/>
  <c r="Q132" i="9"/>
  <c r="O68" i="9"/>
  <c r="C3" i="9"/>
  <c r="E3" i="9"/>
  <c r="O131" i="9"/>
  <c r="Q131" i="9"/>
  <c r="AA38" i="9" a="1"/>
  <c r="AA38" i="9"/>
  <c r="AE38" i="9"/>
  <c r="O88" i="9"/>
  <c r="O89" i="9"/>
  <c r="AE7" i="9"/>
  <c r="C4" i="9"/>
  <c r="E4" i="9"/>
  <c r="C6" i="9"/>
  <c r="E6" i="9"/>
  <c r="O106" i="9"/>
  <c r="Q106" i="9"/>
  <c r="O120" i="9"/>
  <c r="Q120" i="9"/>
  <c r="O107" i="9"/>
  <c r="Q107" i="9"/>
  <c r="O101" i="9"/>
  <c r="Q101" i="9"/>
  <c r="O59" i="9"/>
  <c r="O86" i="9"/>
  <c r="O80" i="9"/>
  <c r="AE22" i="9"/>
  <c r="O82" i="9"/>
  <c r="W5" i="9" a="1"/>
  <c r="W5" i="9"/>
  <c r="AE13" i="9"/>
  <c r="O49" i="9"/>
  <c r="AE5" i="9"/>
  <c r="U5" i="9" a="1"/>
  <c r="U5" i="9"/>
  <c r="T5" i="9" a="1"/>
  <c r="T5" i="9"/>
  <c r="O98" i="9"/>
  <c r="Q98" i="9"/>
  <c r="C23" i="9"/>
  <c r="C3" i="10"/>
  <c r="C11" i="10" s="1"/>
  <c r="C21" i="9"/>
  <c r="C2" i="2"/>
  <c r="C9" i="8" l="1"/>
  <c r="E9" i="8" s="1"/>
  <c r="C7" i="8"/>
  <c r="E7" i="8" s="1"/>
  <c r="H21" i="7"/>
  <c r="D1178" i="17"/>
  <c r="K5" i="17" s="1"/>
  <c r="AG25" i="9"/>
  <c r="C16" i="20" s="1"/>
  <c r="AG14" i="9"/>
  <c r="C11" i="20" s="1"/>
  <c r="H15" i="7"/>
  <c r="H13" i="7"/>
  <c r="H17" i="7"/>
  <c r="AG38" i="9"/>
  <c r="C3" i="20" s="1"/>
  <c r="AG27" i="9"/>
  <c r="C19" i="20" s="1"/>
  <c r="AG41" i="9"/>
  <c r="C26" i="20" s="1"/>
  <c r="AG9" i="9"/>
  <c r="C33" i="20" s="1"/>
  <c r="B30" i="20"/>
  <c r="B17" i="20"/>
  <c r="B2" i="20"/>
  <c r="B15" i="20"/>
  <c r="AG23" i="9"/>
  <c r="C8" i="20" s="1"/>
  <c r="AG8" i="9"/>
  <c r="C22" i="20" s="1"/>
  <c r="AG39" i="9"/>
  <c r="C34" i="20" s="1"/>
  <c r="AG42" i="9"/>
  <c r="C10" i="20" s="1"/>
  <c r="B12" i="20"/>
  <c r="B25" i="20"/>
  <c r="B18" i="20"/>
  <c r="B29" i="20"/>
  <c r="B38" i="20"/>
  <c r="C1178" i="17"/>
  <c r="K4" i="17" s="1"/>
  <c r="N5" i="17"/>
  <c r="B14" i="20"/>
  <c r="AG10" i="9"/>
  <c r="C27" i="20" s="1"/>
  <c r="AG31" i="9"/>
  <c r="C36" i="20" s="1"/>
  <c r="AG37" i="9"/>
  <c r="C21" i="20" s="1"/>
  <c r="AG29" i="9"/>
  <c r="C28" i="20" s="1"/>
  <c r="AG35" i="9"/>
  <c r="C39" i="20" s="1"/>
  <c r="AG13" i="9"/>
  <c r="C20" i="20" s="1"/>
  <c r="AG6" i="9"/>
  <c r="C6" i="20" s="1"/>
  <c r="AG20" i="9"/>
  <c r="C37" i="20" s="1"/>
  <c r="AG24" i="9"/>
  <c r="C40" i="20" s="1"/>
  <c r="AG11" i="9"/>
  <c r="C5" i="20" s="1"/>
  <c r="B4" i="20"/>
  <c r="G50" i="15"/>
  <c r="H10" i="7"/>
  <c r="D148" i="18"/>
  <c r="C11" i="8" s="1"/>
  <c r="E11" i="8" s="1"/>
  <c r="D148" i="14"/>
  <c r="C10" i="8" s="1"/>
  <c r="E10" i="8" s="1"/>
  <c r="I37" i="12"/>
  <c r="J148" i="14"/>
  <c r="C12" i="8" s="1"/>
  <c r="E12" i="8" s="1"/>
  <c r="C43" i="12"/>
  <c r="E148" i="18"/>
  <c r="L22" i="22"/>
  <c r="G44" i="7"/>
  <c r="C2" i="20"/>
  <c r="H50" i="15"/>
  <c r="K22" i="22"/>
  <c r="B3" i="20"/>
  <c r="B7" i="20"/>
  <c r="B13" i="20"/>
  <c r="N6" i="17"/>
  <c r="AG17" i="9"/>
  <c r="C31" i="20" s="1"/>
  <c r="B24" i="20"/>
  <c r="B32" i="20"/>
  <c r="B9" i="20"/>
  <c r="C12" i="10"/>
  <c r="C13" i="10" s="1"/>
  <c r="C5" i="8"/>
  <c r="B23" i="20"/>
  <c r="C16" i="10"/>
  <c r="E44" i="7"/>
  <c r="D2" i="2"/>
  <c r="E8" i="8"/>
  <c r="E13" i="8"/>
  <c r="E6" i="8"/>
  <c r="E4" i="8"/>
  <c r="E20" i="19" l="1" a="1"/>
  <c r="E20" i="19" s="1"/>
  <c r="H44" i="7"/>
  <c r="N7" i="17"/>
  <c r="P7" i="17" s="1"/>
  <c r="F1178" i="17"/>
  <c r="K6" i="17"/>
  <c r="F148" i="18"/>
  <c r="C14" i="8"/>
  <c r="C4" i="10" s="1"/>
  <c r="C5" i="10" s="1"/>
  <c r="F21" i="10" s="1"/>
  <c r="E5" i="8"/>
  <c r="E14" i="8" s="1"/>
  <c r="AL5" i="9"/>
  <c r="C19" i="10" l="1"/>
  <c r="C15" i="10"/>
  <c r="C17" i="10" s="1"/>
  <c r="C21" i="10"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<sst xmlns="http://schemas.openxmlformats.org/spreadsheetml/2006/main" count="4956" uniqueCount="976">
  <si>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</si>
  <si>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</si>
  <si>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</si>
  <si>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</si>
  <si>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</si>
  <si>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</si>
  <si>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</si>
  <si>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</si>
  <si>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</si>
  <si>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</si>
  <si>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</si>
  <si>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</si>
  <si>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</si>
  <si>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</si>
  <si>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</si>
  <si>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</si>
  <si>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</si>
  <si>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</si>
  <si>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</si>
  <si>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</si>
  <si>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</si>
  <si>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</si>
  <si>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</si>
  <si>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</si>
  <si>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</si>
  <si>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</si>
  <si>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</si>
  <si>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</si>
  <si>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</si>
  <si>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</si>
  <si>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</si>
  <si>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</si>
  <si>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</si>
  <si>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</si>
  <si>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</si>
  <si>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</si>
  <si>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</si>
  <si>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</si>
  <si>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</si>
  <si>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</si>
  <si>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</si>
  <si>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</si>
  <si>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</si>
  <si>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</si>
  <si>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</si>
  <si>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</si>
  <si>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</si>
  <si>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</si>
  <si>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</si>
  <si>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</si>
  <si>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</si>
  <si>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</si>
  <si>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</si>
  <si>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</si>
  <si>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</si>
  <si>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</si>
  <si>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</si>
  <si>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</si>
  <si>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</si>
  <si>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</si>
  <si>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</si>
  <si>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</si>
  <si>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</si>
  <si>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</si>
  <si>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</si>
  <si>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</si>
  <si>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</si>
  <si>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</si>
  <si>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</si>
  <si>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</si>
  <si>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</si>
  <si>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</si>
  <si>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</si>
  <si>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</si>
  <si>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</si>
  <si>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</si>
  <si>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</si>
  <si>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</si>
  <si>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</si>
  <si>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</si>
  <si>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</si>
  <si>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</si>
  <si>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</si>
  <si>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</si>
  <si>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</si>
  <si>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</si>
  <si>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</si>
  <si>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</si>
  <si>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</si>
  <si>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</si>
  <si>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</si>
  <si>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</si>
  <si>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</si>
  <si>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</si>
  <si>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</si>
  <si>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</si>
  <si>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</si>
  <si>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</si>
  <si>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</si>
  <si>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</si>
  <si>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</si>
  <si>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</si>
  <si>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</si>
  <si>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</si>
  <si>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</si>
  <si>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</si>
  <si>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</si>
  <si>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</si>
  <si>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</si>
  <si>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</si>
  <si>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</si>
  <si>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</si>
  <si>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</si>
  <si>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</si>
  <si>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</si>
  <si>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</si>
  <si>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</si>
  <si>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</si>
  <si>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</si>
  <si>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</si>
  <si>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</si>
  <si>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</si>
  <si>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</si>
  <si>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</si>
  <si>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</si>
  <si>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</si>
  <si>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</si>
  <si>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</si>
  <si>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</si>
  <si>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</si>
  <si>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</si>
  <si>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</si>
  <si>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</si>
  <si>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</si>
  <si>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</si>
  <si>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</si>
  <si>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</si>
  <si>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</si>
  <si>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</si>
  <si>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</si>
  <si>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</si>
  <si>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</si>
  <si>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</si>
  <si>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</si>
  <si>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</si>
  <si>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</si>
  <si>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</si>
  <si>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</si>
  <si>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</si>
  <si>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</si>
  <si>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</si>
  <si>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</si>
  <si>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</si>
  <si>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</si>
  <si>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</si>
  <si>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</si>
  <si>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</si>
  <si>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</si>
  <si>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</si>
  <si>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</si>
  <si>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</si>
  <si>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</si>
  <si>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</si>
  <si>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</si>
  <si>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</si>
  <si>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</si>
  <si>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</si>
  <si>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</si>
  <si>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</si>
  <si>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</si>
  <si>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</si>
  <si>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</si>
  <si>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</si>
  <si>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</si>
  <si>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</si>
  <si>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</si>
  <si>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</si>
  <si>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</si>
  <si>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</si>
  <si>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</si>
  <si>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</si>
  <si>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</si>
  <si>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</si>
  <si>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</si>
  <si>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</si>
  <si>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</si>
  <si>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</si>
  <si>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</si>
  <si>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</si>
  <si>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</si>
  <si>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</si>
  <si>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</si>
  <si>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</si>
  <si>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</si>
  <si>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</si>
  <si>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</si>
  <si>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</si>
  <si>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</si>
  <si>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</si>
  <si>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</si>
  <si>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</si>
  <si>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</si>
  <si>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</si>
  <si>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</si>
  <si>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</si>
  <si>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</si>
  <si>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</si>
  <si>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</si>
  <si>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</si>
  <si>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</si>
  <si>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</si>
  <si>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</si>
  <si>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</si>
  <si>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</si>
  <si>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</si>
  <si>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</si>
  <si>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</si>
  <si>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</si>
  <si>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</si>
  <si>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</si>
  <si>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</si>
  <si>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</si>
  <si>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</si>
  <si>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</si>
  <si>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</si>
  <si>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</si>
  <si>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</si>
  <si>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</si>
  <si>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</si>
  <si>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</si>
  <si>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</si>
  <si>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</si>
  <si>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</si>
  <si>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</si>
  <si>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</si>
  <si>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</si>
  <si>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</si>
  <si>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</si>
  <si>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</si>
  <si>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</si>
  <si>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</si>
  <si>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</si>
  <si>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</si>
  <si>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</si>
  <si>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</si>
  <si>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</si>
  <si>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</si>
  <si>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</si>
  <si>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</si>
  <si>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</si>
  <si>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</si>
  <si>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</si>
  <si>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</si>
  <si>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</si>
  <si>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</si>
  <si>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</si>
  <si>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</si>
  <si>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</si>
  <si>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</si>
  <si>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</si>
  <si>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</si>
  <si>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</si>
  <si>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</si>
  <si>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</si>
  <si>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</si>
  <si>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</si>
  <si>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</si>
  <si>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</si>
  <si>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</si>
  <si>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</si>
  <si>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</si>
  <si>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</si>
  <si>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</si>
  <si>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</si>
  <si>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</si>
  <si>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</si>
  <si>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</si>
  <si>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</si>
  <si>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</si>
  <si>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</si>
  <si>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</si>
  <si>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</si>
  <si>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</si>
  <si>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</si>
  <si>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</si>
  <si>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</si>
  <si>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</si>
  <si>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</si>
  <si>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</si>
  <si>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</si>
  <si>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</si>
  <si>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</si>
  <si>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</si>
  <si>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</si>
  <si>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</si>
  <si>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</si>
  <si>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</si>
  <si>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</si>
  <si>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</si>
  <si>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</si>
  <si>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</si>
  <si>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</si>
  <si>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</si>
  <si>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</si>
  <si>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</si>
  <si>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</si>
  <si>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</si>
  <si>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</si>
  <si>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</si>
  <si>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</si>
  <si>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</si>
  <si>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</si>
  <si>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</si>
  <si>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</si>
  <si>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</si>
  <si>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</si>
  <si>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</si>
  <si>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</si>
  <si>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</si>
  <si>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</si>
  <si>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</si>
  <si>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</si>
  <si>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</si>
  <si>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</si>
  <si>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</si>
  <si>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</si>
  <si>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</si>
  <si>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</si>
  <si>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</si>
  <si>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</si>
  <si>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</si>
  <si>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</si>
  <si>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</si>
  <si>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</si>
  <si>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</si>
  <si>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</si>
  <si>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</si>
  <si>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</si>
  <si>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</si>
  <si>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</si>
  <si>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</si>
  <si>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</si>
  <si>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</si>
  <si>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</si>
  <si>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</si>
  <si>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</si>
  <si>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</si>
  <si>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</si>
  <si>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</si>
  <si>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</si>
  <si>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</si>
  <si>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</si>
  <si>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</si>
  <si>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</si>
  <si>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</si>
  <si>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</si>
  <si>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</si>
  <si>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</si>
  <si>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</si>
  <si>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</si>
  <si>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</si>
  <si>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</si>
  <si>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</si>
  <si>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</si>
  <si>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</si>
  <si>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</si>
  <si>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</si>
  <si>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</si>
  <si>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</si>
  <si>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</si>
  <si>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</si>
  <si>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</si>
  <si>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</si>
  <si>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</si>
  <si>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</si>
  <si>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</si>
  <si>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</si>
  <si>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</si>
  <si>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</si>
  <si>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</si>
  <si>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</si>
  <si>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</si>
  <si>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</si>
  <si>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</si>
  <si>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</si>
  <si>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</si>
  <si>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</si>
  <si>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</si>
  <si>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</si>
  <si>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</si>
  <si>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</si>
  <si>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</si>
  <si>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</si>
  <si>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</si>
  <si>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</si>
  <si>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</si>
  <si>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</si>
  <si>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</si>
  <si>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</si>
  <si>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</si>
  <si>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</si>
  <si>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</si>
  <si>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</si>
  <si>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</si>
  <si>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</si>
  <si>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</si>
  <si>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</si>
  <si>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</si>
  <si>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</si>
  <si>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</si>
  <si>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</si>
  <si>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</si>
  <si>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</si>
  <si>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</si>
  <si>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</si>
  <si>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</si>
  <si>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</si>
  <si>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</si>
  <si>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</si>
  <si>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</si>
  <si>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</si>
  <si>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</si>
  <si>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</si>
  <si>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</si>
  <si>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</si>
  <si>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</si>
  <si>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</si>
  <si>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</si>
  <si>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</si>
  <si>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</si>
  <si>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</si>
  <si>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</si>
  <si>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</si>
  <si>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</si>
  <si>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</si>
  <si>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</si>
  <si>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</si>
  <si>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</si>
  <si>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</si>
  <si>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</si>
  <si>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</si>
  <si>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</si>
  <si>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</si>
  <si>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</si>
  <si>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</si>
  <si>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</si>
  <si>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</si>
  <si>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</si>
  <si>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</si>
  <si>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</si>
  <si>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</si>
  <si>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</si>
  <si>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</si>
  <si>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</si>
  <si>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</si>
  <si>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</si>
  <si>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</si>
  <si>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</si>
  <si>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</si>
  <si>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</si>
  <si>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</si>
  <si>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</si>
  <si>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</si>
  <si>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</si>
  <si>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</si>
  <si>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</si>
  <si>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</si>
  <si>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</si>
  <si>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</si>
  <si>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</si>
  <si>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</si>
  <si>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</si>
  <si>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</si>
  <si>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</si>
  <si>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</si>
  <si>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</si>
  <si>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</si>
  <si>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</si>
  <si>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</si>
  <si>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</si>
  <si>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</si>
  <si>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</si>
  <si>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</si>
  <si>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</si>
  <si>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</si>
  <si>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</si>
  <si>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</si>
  <si>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</si>
  <si>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</si>
  <si>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</si>
  <si>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</si>
  <si>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</si>
  <si>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</si>
  <si>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</si>
  <si>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</si>
  <si>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</si>
  <si>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</si>
  <si>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</si>
  <si>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</si>
  <si>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</si>
  <si>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</si>
  <si>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</si>
  <si>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</si>
  <si>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</si>
  <si>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</si>
  <si>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</si>
  <si>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</si>
  <si>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</si>
  <si>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</si>
  <si>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</si>
  <si>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</si>
  <si>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</si>
  <si>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</si>
  <si>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</si>
  <si>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</si>
  <si>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</si>
  <si>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</si>
  <si>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</si>
  <si>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</si>
  <si>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</si>
  <si>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</si>
  <si>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</si>
  <si>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</si>
  <si>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</si>
  <si>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</si>
  <si>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</si>
  <si>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</si>
  <si>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</si>
  <si>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</si>
  <si>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</si>
  <si>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</si>
  <si>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</si>
  <si>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</si>
  <si>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</si>
  <si>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</si>
  <si>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</si>
  <si>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</si>
  <si>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</si>
  <si>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</si>
  <si>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</si>
  <si>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</si>
  <si>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</si>
  <si>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</si>
  <si>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</si>
  <si>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</si>
  <si>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</si>
  <si>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</si>
  <si>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</si>
  <si>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</si>
  <si>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</si>
  <si>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</si>
  <si>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</si>
  <si>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</si>
  <si>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</si>
  <si>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</si>
  <si>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</si>
  <si>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</si>
  <si>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</si>
  <si>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</si>
  <si>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</si>
  <si>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</si>
  <si>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</si>
  <si>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</si>
  <si>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</si>
  <si>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</si>
  <si>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</si>
  <si>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</si>
  <si>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</si>
  <si>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</si>
  <si>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</si>
  <si>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</si>
  <si>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</si>
  <si>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</si>
  <si>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</si>
  <si>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</si>
  <si>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</si>
  <si>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</si>
  <si>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</si>
  <si>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</si>
  <si>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</si>
  <si>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</si>
  <si>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</si>
  <si>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</si>
  <si>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</si>
  <si>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</si>
  <si>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</si>
  <si>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</si>
  <si>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</si>
  <si>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</si>
  <si>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</si>
  <si>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</si>
  <si>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</si>
  <si>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</si>
  <si>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</si>
  <si>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</si>
  <si>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</si>
  <si>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</si>
  <si>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</si>
  <si>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</si>
  <si>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</si>
  <si>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</si>
  <si>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</si>
  <si>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</si>
  <si>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</si>
  <si>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</si>
  <si>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</si>
  <si>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</si>
  <si>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</si>
  <si>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</si>
  <si>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</si>
  <si>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</si>
  <si>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</si>
  <si>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</si>
  <si>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</si>
  <si>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</si>
  <si>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</si>
  <si>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</si>
  <si>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</si>
  <si>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</si>
  <si>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</si>
  <si>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</si>
  <si>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</si>
  <si>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</si>
  <si>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</si>
  <si>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</si>
  <si>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</si>
  <si>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</si>
  <si>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</si>
  <si>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</si>
  <si>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</si>
  <si>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</si>
  <si>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</si>
  <si>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</si>
  <si>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</si>
  <si>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</si>
  <si>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</si>
  <si>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</si>
  <si>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</si>
  <si>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</si>
  <si>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</si>
  <si>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</si>
  <si>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</si>
  <si>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</si>
  <si>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</si>
  <si>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</si>
  <si>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</si>
  <si>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</si>
  <si>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</si>
  <si>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</si>
  <si>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</si>
  <si>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</si>
  <si>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</si>
  <si>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</si>
  <si>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</si>
  <si>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</si>
  <si>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</si>
  <si>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</si>
  <si>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</si>
  <si>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</si>
  <si>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</si>
  <si>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</si>
  <si>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</si>
  <si>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</si>
  <si>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</si>
  <si>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</si>
  <si>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</si>
  <si>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</si>
  <si>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</si>
  <si>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</si>
  <si>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</si>
  <si>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</si>
  <si>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</si>
  <si>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</si>
  <si>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</si>
  <si>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</si>
  <si>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</si>
  <si>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</si>
  <si>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</si>
  <si>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</si>
  <si>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</si>
  <si>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</si>
  <si>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</si>
  <si>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</si>
  <si>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</si>
  <si>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</si>
  <si>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</si>
  <si>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</si>
  <si>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</si>
  <si>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</si>
  <si>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</si>
  <si>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</si>
  <si>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</si>
  <si>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</si>
  <si>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</si>
  <si>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</si>
  <si>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</si>
  <si>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</si>
  <si>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</si>
  <si>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</si>
  <si>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</si>
  <si>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</si>
  <si>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</si>
  <si>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</si>
  <si>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</si>
  <si>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</si>
  <si>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</si>
  <si>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</si>
  <si>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</si>
  <si>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</si>
  <si>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</si>
  <si>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</si>
  <si>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</si>
  <si>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</si>
  <si>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</si>
  <si>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</si>
  <si>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</si>
  <si>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</si>
  <si>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</si>
  <si>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</si>
  <si>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</si>
  <si>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</si>
  <si>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</si>
  <si>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</si>
  <si>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</si>
  <si>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</si>
  <si>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</si>
  <si>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</si>
  <si>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</si>
  <si>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</si>
  <si>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</si>
  <si>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</si>
  <si>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</si>
  <si>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&lt;30/03/2026</t>
  </si>
  <si>
    <t>Mar</t>
  </si>
  <si>
    <t>Apr</t>
  </si>
  <si>
    <t>May</t>
  </si>
  <si>
    <t>Jun</t>
  </si>
  <si>
    <t>01-Jun</t>
  </si>
  <si>
    <t>02-Jun</t>
  </si>
  <si>
    <t>03-Jun</t>
  </si>
  <si>
    <t>04-Jun</t>
  </si>
  <si>
    <t>05-Jun</t>
  </si>
  <si>
    <t>06-Jun</t>
  </si>
  <si>
    <t>07-Jun</t>
  </si>
  <si>
    <t>08-Jun</t>
  </si>
  <si>
    <t>09-Jun</t>
  </si>
  <si>
    <t>10-Jun</t>
  </si>
  <si>
    <t>11-Jun</t>
  </si>
  <si>
    <t>13-Jun</t>
  </si>
  <si>
    <t>14-Jun</t>
  </si>
  <si>
    <t>15-Jun</t>
  </si>
  <si>
    <t>16-Jun</t>
  </si>
  <si>
    <t>17-Jun</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</si>
  <si>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</si>
  <si>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</si>
  <si>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</si>
  <si>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</si>
  <si>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</si>
  <si>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</si>
  <si>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</si>
  <si>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</si>
  <si>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</si>
  <si>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</si>
  <si>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</si>
  <si>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</si>
  <si>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</si>
  <si>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</si>
  <si>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</si>
  <si>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</si>
  <si>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</si>
  <si>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</si>
  <si>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</si>
  <si>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</si>
  <si>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</si>
  <si>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</si>
  <si>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</si>
  <si>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</si>
  <si>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</si>
  <si>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</si>
  <si>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</si>
  <si>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</si>
  <si>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</si>
  <si>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</si>
  <si>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19-Jun</t>
  </si>
  <si>
    <t>20-Jun</t>
  </si>
  <si>
    <t>21-Jun</t>
  </si>
  <si>
    <t>22-Jun</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</si>
  <si>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</si>
  <si>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</si>
  <si>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</si>
  <si>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</si>
  <si>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</si>
  <si>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</si>
  <si>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</si>
  <si>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</si>
  <si>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</si>
  <si>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</si>
  <si>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</si>
  <si>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</si>
  <si>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</si>
  <si>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</si>
  <si>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</si>
  <si>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</si>
  <si>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</si>
  <si>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</si>
  <si>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</si>
  <si>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</si>
  <si>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</si>
  <si>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</si>
  <si>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</si>
  <si>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</si>
  <si>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</si>
  <si>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</si>
  <si>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</si>
  <si>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</si>
  <si>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</si>
  <si>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</si>
  <si>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</si>
  <si>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</si>
  <si>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</si>
  <si>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</si>
  <si>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</si>
  <si>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</si>
  <si>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</si>
  <si>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</si>
  <si>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</si>
  <si>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</si>
  <si>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</si>
  <si>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</si>
  <si>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</si>
  <si>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</si>
  <si>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</si>
  <si>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</si>
  <si>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</si>
  <si>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</si>
  <si>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</si>
  <si>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</si>
  <si>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</si>
  <si>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</si>
  <si>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</si>
  <si>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</si>
  <si>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</si>
  <si>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</si>
  <si>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</si>
  <si>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</si>
  <si>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</si>
  <si>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</si>
  <si>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</si>
  <si>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</si>
  <si>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</si>
  <si>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</si>
  <si>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</si>
  <si>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</si>
  <si>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23-Jun</t>
  </si>
  <si>
    <t>24-Jun</t>
  </si>
  <si>
    <t>25-Jun</t>
  </si>
  <si>
    <t>27-Jun</t>
  </si>
  <si>
    <t>28-Jun</t>
  </si>
  <si>
    <t>29-Jun</t>
  </si>
  <si>
    <t>30-Jun</t>
  </si>
  <si>
    <t>Jul</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</si>
  <si>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</si>
  <si>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</si>
  <si>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</si>
  <si>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</si>
  <si>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</si>
  <si>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</si>
  <si>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</si>
  <si>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</si>
  <si>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</si>
  <si>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</si>
  <si>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</si>
  <si>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</si>
  <si>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</si>
  <si>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</si>
  <si>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</si>
  <si>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</si>
  <si>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</si>
  <si>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</si>
  <si>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</si>
  <si>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</si>
  <si>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</si>
  <si>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</si>
  <si>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</si>
  <si>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</si>
  <si>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</si>
  <si>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</si>
  <si>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</si>
  <si>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</si>
  <si>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12-Jun</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</si>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</sst>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8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16" fontId="0" fillId="12"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12"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165" fontId="0" fillId="12" borderId="3"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 fillId="0" borderId="0" xfId="1" applyNumberFormat="1" applyFont="1" applyFill="1"/>
    <xf numFmtId="165" fontId="1" fillId="0" borderId="0" xfId="1" applyNumberFormat="1" applyFont="1" applyFill="1"/>
    <xf numFmtId="16" fontId="0" fillId="0" borderId="0" xfId="1" applyNumberFormat="1" applyFont="1" applyFill="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46">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346</xdr:row>
      <xdr:rowOff>30355</xdr:rowOff>
    </xdr:from>
    <xdr:to>
      <xdr:col>3</xdr:col>
      <xdr:colOff>981180</xdr:colOff>
      <xdr:row>354</xdr:row>
      <xdr:rowOff>88754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713041</xdr:colOff>
      <xdr:row>7</xdr:row>
      <xdr:rowOff>44451</xdr:rowOff>
    </xdr:from>
    <xdr:to>
      <xdr:col>13</xdr:col>
      <xdr:colOff>556879</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408155</xdr:colOff>
      <xdr:row>12</xdr:row>
      <xdr:rowOff>136208</xdr:rowOff>
    </xdr:from>
    <xdr:to>
      <xdr:col>14</xdr:col>
      <xdr:colOff>688809</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6.141600115741" createdVersion="8" refreshedVersion="8" minRefreshableVersion="3" recordCount="1096" xr:uid="{B5BDFB73-D93A-4A7A-8149-666BC190B09B}">
  <cacheSource type="worksheet">
    <worksheetSource name="Table14"/>
  </cacheSource>
  <cacheFields count="9">
    <cacheField name="Date" numFmtId="14">
      <sharedItems containsNonDate="0" containsDate="1" containsString="0" containsBlank="1" minDate="2026-03-30T00:00:00" maxDate="2026-07-11T00:00:00" count="98">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m/>
      </sharedItems>
      <fieldGroup par="8"/>
    </cacheField>
    <cacheField name="Party" numFmtId="0">
      <sharedItems containsBlank="1"/>
    </cacheField>
    <cacheField name="Debit" numFmtId="164">
      <sharedItems containsString="0" containsBlank="1" containsNumber="1" minValue="17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 name="Days (Date)" numFmtId="0" databaseField="0">
      <fieldGroup base="0">
        <rangePr groupBy="days" startDate="2026-03-30T00:00:00" endDate="2026-07-11T00:00:00"/>
        <groupItems count="368">
          <s v="&lt;30/03/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1/07/2026"/>
        </groupItems>
      </fieldGroup>
    </cacheField>
    <cacheField name="Months (Date)" numFmtId="0" databaseField="0">
      <fieldGroup base="0">
        <rangePr groupBy="months" startDate="2026-03-30T00:00:00" endDate="2026-07-11T00:00:00"/>
        <groupItems count="14">
          <s v="&lt;30/03/2026"/>
          <s v="Jan"/>
          <s v="Feb"/>
          <s v="Mar"/>
          <s v="Apr"/>
          <s v="May"/>
          <s v="Jun"/>
          <s v="Jul"/>
          <s v="Aug"/>
          <s v="Sept"/>
          <s v="Oct"/>
          <s v="Nov"/>
          <s v="Dec"/>
          <s v="&gt;11/07/2026"/>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6.141600578703"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944827.17629846383"/>
    </cacheField>
    <cacheField name="Rate" numFmtId="0">
      <sharedItems containsString="0" containsBlank="1" containsNumber="1" minValue="10" maxValue="12"/>
    </cacheField>
    <cacheField name="Total" numFmtId="164">
      <sharedItems containsSemiMixedTypes="0" containsString="0" containsNumber="1" minValue="0" maxValue="8593866.130212144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6.141600810188"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6-02-20T00:00:00" maxDate="2026-07-10T00:00:00" count="28">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6.141601041665"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7-11T00:00:00" count="38">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6.14160127315" createdVersion="8" refreshedVersion="8" minRefreshableVersion="3" recordCount="45" xr:uid="{376A650C-1F79-4049-BC45-E34989F046B2}">
  <cacheSource type="worksheet">
    <worksheetSource name="Table2"/>
  </cacheSource>
  <cacheFields count="8">
    <cacheField name="Date" numFmtId="14">
      <sharedItems containsNonDate="0" containsDate="1" containsString="0" containsBlank="1" minDate="2026-03-30T00:00:00" maxDate="2026-07-08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16.141601736112" createdVersion="8" refreshedVersion="8" minRefreshableVersion="3" recordCount="343" xr:uid="{46CBB50D-3613-4E5B-8212-DD0313DCD05A}">
  <cacheSource type="worksheet">
    <worksheetSource name="Table1"/>
  </cacheSource>
  <cacheFields count="14">
    <cacheField name="Date" numFmtId="0">
      <sharedItems containsNonDate="0" containsDate="1" containsString="0" containsBlank="1" minDate="2026-03-30T00:00:00" maxDate="2026-07-12T00:00:00"/>
    </cacheField>
    <cacheField name="Party Name" numFmtId="0">
      <sharedItems containsBlank="1" count="49">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Farhaan ali"/>
        <s v="ACM salman zaffar"/>
        <s v="Moeez badshah"/>
        <s v="Bablu"/>
        <s v="Sheikh Naveed"/>
        <s v="Rehan Butt"/>
        <s v="zaid ejaz" u="1"/>
        <s v="Reject" u="1"/>
        <s v="YING" u="1"/>
        <s v="Meow" u="1"/>
        <s v="Umer Sb" u="1"/>
        <s v="-" u="1"/>
        <s v="Sajjad" u="1"/>
        <s v="Haji Ejaz" u="1"/>
      </sharedItems>
    </cacheField>
    <cacheField name="Bill Number" numFmtId="0">
      <sharedItems containsBlank="1" containsMixedTypes="1" containsNumber="1" containsInteger="1" minValue="1613" maxValue="1813"/>
    </cacheField>
    <cacheField name="Quality" numFmtId="0">
      <sharedItems containsBlank="1"/>
    </cacheField>
    <cacheField name="Shipment Number" numFmtId="164">
      <sharedItems containsBlank="1" containsMixedTypes="1" containsNumber="1" containsInteger="1" minValue="1558" maxValue="17000" count="623">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61"/>
        <n v="2260"/>
        <n v="2254"/>
        <n v="2253"/>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206" maxValue="53438"/>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Blank="1" containsMixedTypes="1" containsNumber="1" minValue="0" maxValue="31266869.80980249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6">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89"/>
    <s v="raaz fabrics"/>
    <m/>
    <n v="100000"/>
    <s v="Cash BSC"/>
    <s v="Bank"/>
    <m/>
  </r>
  <r>
    <x v="89"/>
    <s v="Arb Dasti"/>
    <n v="100000"/>
    <m/>
    <s v="Raaz fabric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7"/>
    <m/>
    <m/>
    <m/>
    <m/>
    <m/>
    <m/>
  </r>
  <r>
    <x v="97"/>
    <m/>
    <m/>
    <m/>
    <m/>
    <m/>
    <m/>
  </r>
  <r>
    <x v="97"/>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944827.17629846383"/>
    <n v="10"/>
    <n v="8593866.1302121449"/>
  </r>
  <r>
    <x v="1"/>
    <n v="49525.420629114851"/>
    <n v="10"/>
    <n v="594305.04754937824"/>
  </r>
  <r>
    <x v="2"/>
    <n v="48639.356254572063"/>
    <n v="10"/>
    <n v="486393.5625457206"/>
  </r>
  <r>
    <x v="3"/>
    <n v="0"/>
    <n v="10.5"/>
    <n v="0"/>
  </r>
  <r>
    <x v="4"/>
    <n v="0"/>
    <n v="10"/>
    <n v="0"/>
  </r>
  <r>
    <x v="5"/>
    <n v="0"/>
    <n v="10"/>
    <n v="0"/>
  </r>
  <r>
    <x v="6"/>
    <n v="73510.424286759328"/>
    <n v="10"/>
    <n v="735104.2428675933"/>
  </r>
  <r>
    <x v="7"/>
    <n v="0"/>
    <n v="10"/>
    <n v="0"/>
  </r>
  <r>
    <x v="8"/>
    <n v="100178.31016825166"/>
    <n v="10"/>
    <n v="1202139.72201902"/>
  </r>
  <r>
    <x v="9"/>
    <n v="0"/>
    <n v="12"/>
    <n v="0"/>
  </r>
  <r>
    <x v="10"/>
    <n v="157118.69056327725"/>
    <m/>
    <n v="1212006.217995611"/>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m/>
    <m/>
    <m/>
    <x v="10"/>
    <n v="0"/>
    <n v="0"/>
    <m/>
  </r>
  <r>
    <x v="26"/>
    <s v="Dyes"/>
    <n v="3"/>
    <m/>
    <m/>
    <x v="10"/>
    <n v="0"/>
    <n v="0"/>
    <m/>
  </r>
  <r>
    <x v="27"/>
    <s v="Dyes"/>
    <n v="7"/>
    <m/>
    <m/>
    <x v="10"/>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m/>
    <x v="1"/>
    <m/>
    <m/>
    <m/>
    <n v="0"/>
    <n v="0"/>
    <n v="0"/>
  </r>
  <r>
    <m/>
    <x v="1"/>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5-12T00:00:00"/>
    <x v="33"/>
    <s v="Kora transport"/>
    <s v="Custom"/>
    <x v="0"/>
    <m/>
    <m/>
    <e v="#DIV/0!"/>
    <m/>
    <n v="17000"/>
    <m/>
  </r>
  <r>
    <d v="2026-03-30T00:00:00"/>
    <x v="34"/>
    <m/>
    <m/>
    <x v="0"/>
    <m/>
    <m/>
    <e v="#DIV/0!"/>
    <m/>
    <m/>
    <m/>
  </r>
  <r>
    <d v="2026-03-30T00:00:00"/>
    <x v="34"/>
    <m/>
    <m/>
    <x v="0"/>
    <m/>
    <m/>
    <e v="#DIV/0!"/>
    <m/>
    <m/>
    <m/>
  </r>
  <r>
    <d v="2026-03-30T00:00:00"/>
    <x v="34"/>
    <m/>
    <m/>
    <x v="0"/>
    <m/>
    <m/>
    <e v="#DIV/0!"/>
    <m/>
    <m/>
    <m/>
  </r>
  <r>
    <d v="2026-03-30T00:00:00"/>
    <x v="34"/>
    <m/>
    <m/>
    <x v="0"/>
    <m/>
    <m/>
    <e v="#DIV/0!"/>
    <m/>
    <m/>
    <m/>
  </r>
  <r>
    <d v="2026-03-30T00:00:00"/>
    <x v="34"/>
    <m/>
    <m/>
    <x v="0"/>
    <m/>
    <m/>
    <e v="#DIV/0!"/>
    <m/>
    <m/>
    <m/>
  </r>
  <r>
    <d v="2026-03-30T00:00:00"/>
    <x v="34"/>
    <m/>
    <m/>
    <x v="0"/>
    <m/>
    <m/>
    <m/>
    <m/>
    <m/>
    <m/>
  </r>
  <r>
    <d v="2026-03-30T00:00:00"/>
    <x v="34"/>
    <m/>
    <m/>
    <x v="0"/>
    <m/>
    <m/>
    <m/>
    <m/>
    <m/>
    <m/>
  </r>
  <r>
    <d v="2026-03-30T00:00:00"/>
    <x v="34"/>
    <m/>
    <m/>
    <x v="0"/>
    <m/>
    <m/>
    <m/>
    <m/>
    <m/>
    <m/>
  </r>
  <r>
    <d v="2026-03-30T00:00:00"/>
    <x v="34"/>
    <m/>
    <m/>
    <x v="0"/>
    <m/>
    <m/>
    <m/>
    <m/>
    <m/>
    <m/>
  </r>
  <r>
    <d v="2026-03-30T00:00:00"/>
    <x v="34"/>
    <m/>
    <m/>
    <x v="0"/>
    <m/>
    <m/>
    <m/>
    <m/>
    <m/>
    <m/>
  </r>
  <r>
    <d v="2026-03-30T00:00:00"/>
    <x v="34"/>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27444"/>
    <n v="3.6582510887558328"/>
    <n v="25095.098756400879"/>
    <n v="250950.9875640088"/>
    <m/>
  </r>
  <r>
    <d v="2026-05-25T00:00:00"/>
    <x v="6"/>
    <n v="1736"/>
    <s v="Crinkle"/>
    <x v="83"/>
    <n v="26025"/>
    <n v="27459"/>
    <n v="3.5204037533546"/>
    <n v="25108.814923189468"/>
    <n v="251088.14923189467"/>
    <m/>
  </r>
  <r>
    <d v="2026-05-25T00:00:00"/>
    <x v="34"/>
    <n v="1737"/>
    <m/>
    <x v="0"/>
    <m/>
    <m/>
    <m/>
    <m/>
    <m/>
    <m/>
  </r>
  <r>
    <d v="2026-05-25T00:00:00"/>
    <x v="34"/>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41705.37673738116"/>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51139.35625457208"/>
    <m/>
  </r>
  <r>
    <d v="2026-06-12T00:00:00"/>
    <x v="0"/>
    <n v="1756"/>
    <s v="Chamki"/>
    <x v="96"/>
    <m/>
    <n v="6743"/>
    <n v="16.329502602226924"/>
    <n v="6165.874177029993"/>
    <n v="61658.74177029993"/>
    <m/>
  </r>
  <r>
    <d v="2026-06-13T00:00:00"/>
    <x v="10"/>
    <n v="1757"/>
    <s v="Silky"/>
    <x v="97"/>
    <n v="30502"/>
    <n v="24765"/>
    <n v="1.3100319803462241"/>
    <n v="22645.391367959037"/>
    <n v="294390.08778346749"/>
    <m/>
  </r>
  <r>
    <d v="2026-06-13T00:00:00"/>
    <x v="0"/>
    <n v="1758"/>
    <s v="Silky"/>
    <x v="98"/>
    <n v="39273"/>
    <n v="9874"/>
    <n v="77.009916758668908"/>
    <n v="9028.8953913679597"/>
    <n v="117375.64008778348"/>
    <m/>
  </r>
  <r>
    <d v="2026-06-13T00:00:00"/>
    <x v="0"/>
    <n v="1759"/>
    <s v="Chamki"/>
    <x v="99"/>
    <n v="52646"/>
    <n v="6914"/>
    <n v="87.991037346769176"/>
    <n v="6322.2384784198985"/>
    <n v="63222.384784198985"/>
    <m/>
  </r>
  <r>
    <d v="2026-06-13T00:00:00"/>
    <x v="0"/>
    <n v="1760"/>
    <s v="Chamki"/>
    <x v="96"/>
    <n v="12403"/>
    <n v="4606"/>
    <n v="16.329502602226924"/>
    <n v="4211.7776152158012"/>
    <n v="42117.776152158011"/>
    <m/>
  </r>
  <r>
    <d v="2026-06-13T00:00:00"/>
    <x v="33"/>
    <n v="1761"/>
    <s v="Satin"/>
    <x v="100"/>
    <n v="11205"/>
    <n v="11205"/>
    <n v="8.5588880760790005"/>
    <n v="10245.976591075349"/>
    <n v="153689.64886613021"/>
    <m/>
  </r>
  <r>
    <d v="2026-06-13T00:00:00"/>
    <x v="33"/>
    <n v="1762"/>
    <s v="Chamki"/>
    <x v="101"/>
    <n v="5702"/>
    <n v="5958"/>
    <n v="4.4534996768289545"/>
    <n v="5448.0614484272137"/>
    <n v="54480.614484272141"/>
    <m/>
  </r>
  <r>
    <d v="2026-06-13T00:00:00"/>
    <x v="10"/>
    <n v="1763"/>
    <s v="Silky"/>
    <x v="97"/>
    <n v="30502"/>
    <n v="8155"/>
    <n v="1.3100319803462241"/>
    <n v="7457.0226773957575"/>
    <n v="96941.294806144841"/>
    <m/>
  </r>
  <r>
    <d v="2026-06-18T00:00:00"/>
    <x v="0"/>
    <n v="1764"/>
    <s v="Silky"/>
    <x v="102"/>
    <n v="24854"/>
    <n v="25714"/>
    <n v="5.3948357603723878"/>
    <n v="23513.167520117047"/>
    <n v="305671.1777615216"/>
    <m/>
  </r>
  <r>
    <d v="2026-06-18T00:00:00"/>
    <x v="36"/>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2.8634352719935237"/>
    <n v="3986.8324798829558"/>
    <n v="39868.324798829555"/>
    <m/>
  </r>
  <r>
    <d v="2026-06-23T00:00:00"/>
    <x v="37"/>
    <n v="1778"/>
    <s v="Chamki"/>
    <x v="111"/>
    <n v="30000"/>
    <n v="31992"/>
    <n v="2.4871982443306422"/>
    <n v="29253.840526700806"/>
    <n v="292538.40526700806"/>
    <m/>
  </r>
  <r>
    <d v="2026-06-23T00:00:00"/>
    <x v="0"/>
    <n v="1779"/>
    <s v="Chamki"/>
    <x v="110"/>
    <n v="25929"/>
    <n v="23184"/>
    <n v="2.8634352719935237"/>
    <n v="21199.707388441846"/>
    <n v="211997.07388441847"/>
    <m/>
  </r>
  <r>
    <d v="2026-06-23T00:00:00"/>
    <x v="31"/>
    <n v="1780"/>
    <s v="Silky"/>
    <x v="112"/>
    <n v="49912"/>
    <n v="35923"/>
    <n v="3.6966362920173168"/>
    <n v="32848.390636430144"/>
    <n v="427029.07827359188"/>
    <m/>
  </r>
  <r>
    <d v="2026-06-23T00:00:00"/>
    <x v="31"/>
    <n v="1781"/>
    <s v="Silky"/>
    <x v="112"/>
    <n v="49912"/>
    <n v="16643"/>
    <n v="3.6966362920173168"/>
    <n v="15218.544257498172"/>
    <n v="197841.07534747623"/>
    <m/>
  </r>
  <r>
    <d v="2026-06-23T00:00:00"/>
    <x v="0"/>
    <n v="1782"/>
    <s v="Crinkle"/>
    <x v="113"/>
    <n v="50235"/>
    <n v="29885"/>
    <n v="42.339402758752939"/>
    <n v="27327.17629846379"/>
    <n v="273271.76298463787"/>
    <m/>
  </r>
  <r>
    <d v="2026-07-04T00:00:00"/>
    <x v="37"/>
    <n v="1783"/>
    <s v="Chamki"/>
    <x v="114"/>
    <n v="28918"/>
    <n v="30765"/>
    <n v="2.7185210478100146"/>
    <n v="28131.858083394298"/>
    <n v="281318.58083394298"/>
    <m/>
  </r>
  <r>
    <d v="2026-07-04T00:00:00"/>
    <x v="33"/>
    <n v="1784"/>
    <s v="Satin"/>
    <x v="115"/>
    <n v="15696"/>
    <n v="6929"/>
    <n v="7.9355318722143551"/>
    <n v="6335.954645208486"/>
    <n v="95039.319678127285"/>
    <m/>
  </r>
  <r>
    <d v="2026-07-06T00:00:00"/>
    <x v="0"/>
    <n v="1785"/>
    <s v="Crinkle"/>
    <x v="116"/>
    <n v="4568"/>
    <n v="4647"/>
    <n v="6.9774853085681059"/>
    <n v="4249.2684711046086"/>
    <n v="42492.684711046088"/>
    <m/>
  </r>
  <r>
    <d v="2026-07-06T00:00:00"/>
    <x v="0"/>
    <n v="1786"/>
    <s v="Crinkle"/>
    <x v="113"/>
    <n v="50235"/>
    <n v="1792"/>
    <n v="42.339402758752939"/>
    <n v="1638.6247256766644"/>
    <n v="16386.247256766645"/>
    <m/>
  </r>
  <r>
    <d v="2026-07-06T00:00:00"/>
    <x v="38"/>
    <n v="1787"/>
    <s v="Silky"/>
    <x v="117"/>
    <n v="9028"/>
    <n v="9579"/>
    <n v="2.978022693925638"/>
    <n v="8759.1441111923923"/>
    <n v="105109.72933430871"/>
    <m/>
  </r>
  <r>
    <d v="2026-07-06T00:00:00"/>
    <x v="0"/>
    <n v="1788"/>
    <s v="Silky"/>
    <x v="118"/>
    <n v="40536"/>
    <n v="23098"/>
    <n v="4.4420529354347309"/>
    <n v="21121.068032187271"/>
    <n v="253452.81638624726"/>
    <m/>
  </r>
  <r>
    <d v="2026-07-06T00:00:00"/>
    <x v="33"/>
    <n v="1789"/>
    <s v="Satin"/>
    <x v="115"/>
    <n v="15696"/>
    <n v="8874"/>
    <n v="7.9355318722143551"/>
    <n v="8114.4842721287496"/>
    <n v="121717.26408193124"/>
    <m/>
  </r>
  <r>
    <d v="2026-07-06T00:00:00"/>
    <x v="0"/>
    <n v="1790"/>
    <s v="Chamki"/>
    <x v="119"/>
    <n v="47555"/>
    <n v="2230"/>
    <n v="88.291768888555254"/>
    <n v="2039.1367959034383"/>
    <n v="20391.367959034382"/>
    <m/>
  </r>
  <r>
    <d v="2026-07-08T00:00:00"/>
    <x v="0"/>
    <n v="1791"/>
    <s v="Chamki"/>
    <x v="119"/>
    <n v="47555"/>
    <n v="3859"/>
    <n v="88.291768888555254"/>
    <n v="3528.7125091441117"/>
    <n v="35287.125091441114"/>
    <m/>
  </r>
  <r>
    <d v="2026-07-08T00:00:00"/>
    <x v="0"/>
    <n v="1792"/>
    <s v="Chamki"/>
    <x v="120"/>
    <n v="47555"/>
    <n v="13484"/>
    <n v="74.072296221592879"/>
    <n v="12329.919531821508"/>
    <n v="123299.19531821508"/>
    <m/>
  </r>
  <r>
    <d v="2026-07-08T00:00:00"/>
    <x v="0"/>
    <n v="1793"/>
    <s v="Crinkle"/>
    <x v="121"/>
    <n v="14961"/>
    <n v="14807"/>
    <n v="9.5001307227124983"/>
    <n v="13539.685442574983"/>
    <n v="135396.85442574983"/>
    <m/>
  </r>
  <r>
    <d v="2026-07-08T00:00:00"/>
    <x v="0"/>
    <n v="1794"/>
    <s v="Crinkle"/>
    <x v="122"/>
    <n v="28877"/>
    <n v="18689"/>
    <n v="40.819927944517801"/>
    <n v="17089.429407461597"/>
    <n v="170894.29407461599"/>
    <m/>
  </r>
  <r>
    <d v="2026-07-08T00:00:00"/>
    <x v="39"/>
    <n v="1795"/>
    <s v="Crinkle"/>
    <x v="123"/>
    <n v="10038"/>
    <n v="10382"/>
    <n v="5.4252217579051774"/>
    <n v="9493.4162399414781"/>
    <n v="94934.162399414781"/>
    <m/>
  </r>
  <r>
    <d v="2026-07-08T00:00:00"/>
    <x v="0"/>
    <n v="1796"/>
    <s v="Chamki"/>
    <x v="124"/>
    <n v="12403"/>
    <n v="4519"/>
    <n v="66.683674531629521"/>
    <n v="4132.2238478419904"/>
    <n v="41322.238478419902"/>
    <m/>
  </r>
  <r>
    <d v="2026-07-08T00:00:00"/>
    <x v="0"/>
    <n v="1797"/>
    <s v="Chamki"/>
    <x v="125"/>
    <n v="14953"/>
    <n v="8881"/>
    <n v="45.69059620167576"/>
    <n v="8120.8851499634238"/>
    <n v="81208.851499634242"/>
    <m/>
  </r>
  <r>
    <d v="2026-07-08T00:00:00"/>
    <x v="19"/>
    <n v="1798"/>
    <s v="Custom"/>
    <x v="126"/>
    <n v="6400"/>
    <n v="6660"/>
    <n v="4.844092904169699"/>
    <n v="6089.9780541331384"/>
    <n v="91349.670811997072"/>
    <m/>
  </r>
  <r>
    <d v="2026-07-09T00:00:00"/>
    <x v="40"/>
    <n v="1799"/>
    <s v="Chamki"/>
    <x v="127"/>
    <n v="50000"/>
    <n v="53438"/>
    <n v="2.2713972201901811"/>
    <n v="48864.301389904904"/>
    <n v="488643.01389904902"/>
    <m/>
  </r>
  <r>
    <d v="2026-07-09T00:00:00"/>
    <x v="0"/>
    <n v="1800"/>
    <s v="Silky"/>
    <x v="118"/>
    <n v="40536"/>
    <n v="19263"/>
    <n v="4.4420529354347309"/>
    <n v="17614.301389904904"/>
    <n v="211371.61667885885"/>
    <m/>
  </r>
  <r>
    <d v="2026-07-10T00:00:00"/>
    <x v="0"/>
    <n v="1801"/>
    <s v="Crinkle"/>
    <x v="122"/>
    <n v="28877"/>
    <n v="6125"/>
    <n v="40.819927944517801"/>
    <n v="5600.7681053401611"/>
    <n v="56007.681053401611"/>
    <m/>
  </r>
  <r>
    <d v="2026-07-10T00:00:00"/>
    <x v="0"/>
    <n v="1802"/>
    <s v="Crinkle"/>
    <x v="122"/>
    <n v="28877"/>
    <n v="4184"/>
    <n v="40.819927944517801"/>
    <n v="3825.8961228968546"/>
    <n v="38258.961228968546"/>
    <m/>
  </r>
  <r>
    <d v="2026-07-10T00:00:00"/>
    <x v="17"/>
    <n v="1803"/>
    <s v="Crinkle"/>
    <x v="128"/>
    <n v="28661"/>
    <n v="28761"/>
    <n v="8.2398443863126829"/>
    <n v="26299.378200438921"/>
    <n v="289293.16020482813"/>
    <m/>
  </r>
  <r>
    <d v="2026-07-10T00:00:00"/>
    <x v="0"/>
    <n v="1804"/>
    <s v="Silky"/>
    <x v="129"/>
    <n v="16511"/>
    <n v="17763"/>
    <s v="NF"/>
    <n v="16242.684711046088"/>
    <n v="194912.21653255305"/>
    <m/>
  </r>
  <r>
    <d v="2026-07-10T00:00:00"/>
    <x v="0"/>
    <n v="1805"/>
    <s v="Silky"/>
    <x v="113"/>
    <n v="50235"/>
    <n v="12108"/>
    <n v="42.339402758752939"/>
    <n v="11071.689831748356"/>
    <n v="132860.27798098026"/>
    <m/>
  </r>
  <r>
    <d v="2026-07-10T00:00:00"/>
    <x v="0"/>
    <n v="1806"/>
    <s v="Silky"/>
    <x v="130"/>
    <n v="4869"/>
    <n v="5141"/>
    <s v="NF"/>
    <n v="4700.9875640087785"/>
    <n v="56411.850768105345"/>
    <m/>
  </r>
  <r>
    <d v="2026-07-10T00:00:00"/>
    <x v="34"/>
    <n v="1807"/>
    <m/>
    <x v="0"/>
    <m/>
    <m/>
    <e v="#DIV/0!"/>
    <n v="0"/>
    <e v="#N/A"/>
    <m/>
  </r>
  <r>
    <d v="2026-07-11T00:00:00"/>
    <x v="34"/>
    <n v="1808"/>
    <m/>
    <x v="0"/>
    <m/>
    <m/>
    <e v="#DIV/0!"/>
    <n v="0"/>
    <e v="#N/A"/>
    <m/>
  </r>
  <r>
    <d v="2026-07-11T00:00:00"/>
    <x v="34"/>
    <n v="1809"/>
    <m/>
    <x v="0"/>
    <m/>
    <m/>
    <e v="#DIV/0!"/>
    <n v="0"/>
    <e v="#N/A"/>
    <m/>
  </r>
  <r>
    <d v="2026-07-11T00:00:00"/>
    <x v="17"/>
    <n v="1810"/>
    <s v="Satin"/>
    <x v="131"/>
    <n v="1209"/>
    <n v="1212"/>
    <n v="8.3319870539352792"/>
    <n v="1108.2662765179225"/>
    <n v="38789.319678127285"/>
    <m/>
  </r>
  <r>
    <d v="2026-07-11T00:00:00"/>
    <x v="17"/>
    <n v="1811"/>
    <s v="Silky"/>
    <x v="132"/>
    <n v="2441"/>
    <n v="2439"/>
    <n v="8.6338091018257472"/>
    <n v="2230.2487198244335"/>
    <n v="33453.730797366501"/>
    <m/>
  </r>
  <r>
    <d v="2026-07-11T00:00:00"/>
    <x v="17"/>
    <n v="1812"/>
    <s v="Kataan"/>
    <x v="133"/>
    <n v="30184"/>
    <n v="31912"/>
    <n v="3.3239874199520614"/>
    <n v="29180.687637161671"/>
    <n v="320987.56400877837"/>
    <m/>
  </r>
  <r>
    <d v="2026-07-11T00:00:00"/>
    <x v="17"/>
    <n v="1813"/>
    <s v="Custom"/>
    <x v="134"/>
    <n v="9273"/>
    <n v="9916"/>
    <n v="2.2182609902296235"/>
    <n v="9067.300658376007"/>
    <n v="108807.60790051208"/>
    <m/>
  </r>
  <r>
    <d v="2026-07-11T00:00:00"/>
    <x v="34"/>
    <m/>
    <m/>
    <x v="0"/>
    <m/>
    <m/>
    <e v="#DIV/0!"/>
    <n v="0"/>
    <e v="#N/A"/>
    <m/>
  </r>
  <r>
    <d v="2026-07-11T00:00:00"/>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e v="#DIV/0!"/>
    <m/>
    <m/>
    <m/>
  </r>
  <r>
    <m/>
    <x v="34"/>
    <m/>
    <m/>
    <x v="0"/>
    <m/>
    <m/>
    <e v="#DIV/0!"/>
    <m/>
    <m/>
    <m/>
  </r>
  <r>
    <m/>
    <x v="34"/>
    <m/>
    <m/>
    <x v="0"/>
    <m/>
    <m/>
    <e v="#DIV/0!"/>
    <m/>
    <m/>
    <m/>
  </r>
  <r>
    <m/>
    <x v="34"/>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25">
      <pivotArea field="0" grandRow="1" outline="0" collapsedLevelsAreSubtotals="1" axis="axisRow" fieldPosition="0">
        <references count="1">
          <reference field="4294967294" count="1" selected="0">
            <x v="1"/>
          </reference>
        </references>
      </pivotArea>
    </format>
    <format dxfId="124">
      <pivotArea field="0" grandRow="1" outline="0" collapsedLevelsAreSubtotals="1" axis="axisRow" fieldPosition="0">
        <references count="1">
          <reference field="4294967294" count="1" selected="0">
            <x v="0"/>
          </reference>
        </references>
      </pivotArea>
    </format>
    <format dxfId="123">
      <pivotArea collapsedLevelsAreSubtotals="1" fieldPosition="0">
        <references count="2">
          <reference field="4294967294" count="1" selected="0">
            <x v="1"/>
          </reference>
          <reference field="0" count="0"/>
        </references>
      </pivotArea>
    </format>
    <format dxfId="122">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5" firstHeaderRow="0" firstDataRow="1" firstDataCol="1" rowPageCount="1" colPageCount="1"/>
  <pivotFields count="9">
    <pivotField axis="axisRow" numFmtId="14" showAll="0">
      <items count="39">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7">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97">
      <pivotArea dataOnly="0" labelOnly="1" outline="0" fieldPosition="0">
        <references count="1">
          <reference field="1" count="1">
            <x v="1"/>
          </reference>
        </references>
      </pivotArea>
    </format>
    <format dxfId="96">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8" firstHeaderRow="0" firstDataRow="1" firstDataCol="1"/>
  <pivotFields count="9">
    <pivotField axis="axisRow" numFmtId="14" showAll="0">
      <items count="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97"/>
        <item x="76"/>
        <item x="77"/>
        <item x="78"/>
        <item x="79"/>
        <item x="81"/>
        <item x="80"/>
        <item x="82"/>
        <item x="84"/>
        <item x="85"/>
        <item x="83"/>
        <item x="86"/>
        <item x="87"/>
        <item x="88"/>
        <item x="89"/>
        <item x="91"/>
        <item x="90"/>
        <item x="70"/>
        <item x="92"/>
        <item x="93"/>
        <item x="94"/>
        <item x="95"/>
        <item x="96"/>
        <item t="default"/>
      </items>
    </pivotField>
    <pivotField showAll="0"/>
    <pivotField dataField="1" showAll="0"/>
    <pivotField dataField="1"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x="6"/>
        <item sd="0" x="7"/>
        <item sd="0" x="8"/>
        <item sd="0" x="9"/>
        <item sd="0" x="10"/>
        <item sd="0" x="11"/>
        <item sd="0" x="12"/>
        <item sd="0" x="13"/>
        <item t="default"/>
      </items>
    </pivotField>
  </pivotFields>
  <rowFields count="3">
    <field x="8"/>
    <field x="7"/>
    <field x="0"/>
  </rowFields>
  <rowItems count="35">
    <i>
      <x/>
    </i>
    <i>
      <x v="3"/>
    </i>
    <i>
      <x v="4"/>
    </i>
    <i>
      <x v="5"/>
    </i>
    <i>
      <x v="6"/>
    </i>
    <i r="1">
      <x v="153"/>
    </i>
    <i r="1">
      <x v="154"/>
    </i>
    <i r="1">
      <x v="155"/>
    </i>
    <i r="1">
      <x v="156"/>
    </i>
    <i r="1">
      <x v="157"/>
    </i>
    <i r="1">
      <x v="158"/>
    </i>
    <i r="1">
      <x v="159"/>
    </i>
    <i r="1">
      <x v="160"/>
    </i>
    <i r="1">
      <x v="161"/>
    </i>
    <i r="1">
      <x v="162"/>
    </i>
    <i r="1">
      <x v="163"/>
    </i>
    <i r="1">
      <x v="164"/>
    </i>
    <i r="1">
      <x v="165"/>
    </i>
    <i r="1">
      <x v="166"/>
    </i>
    <i r="1">
      <x v="167"/>
    </i>
    <i r="1">
      <x v="168"/>
    </i>
    <i r="1">
      <x v="169"/>
    </i>
    <i r="1">
      <x v="171"/>
    </i>
    <i r="1">
      <x v="172"/>
    </i>
    <i r="1">
      <x v="173"/>
    </i>
    <i r="1">
      <x v="174"/>
    </i>
    <i r="1">
      <x v="175"/>
    </i>
    <i r="1">
      <x v="176"/>
    </i>
    <i r="1">
      <x v="177"/>
    </i>
    <i r="1">
      <x v="179"/>
    </i>
    <i r="1">
      <x v="180"/>
    </i>
    <i r="1">
      <x v="181"/>
    </i>
    <i r="1">
      <x v="182"/>
    </i>
    <i>
      <x v="7"/>
    </i>
    <i t="grand">
      <x/>
    </i>
  </rowItems>
  <colFields count="1">
    <field x="-2"/>
  </colFields>
  <colItems count="2">
    <i>
      <x/>
    </i>
    <i i="1">
      <x v="1"/>
    </i>
  </colItems>
  <dataFields count="2">
    <dataField name="Sum of Credit" fld="3" baseField="0" baseItem="0"/>
    <dataField name="Sum of Debit" fld="2" baseField="0" baseItem="0"/>
  </dataFields>
  <formats count="1">
    <format dxfId="7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2" firstHeaderRow="0" firstDataRow="1" firstDataCol="1" rowPageCount="1" colPageCount="1"/>
  <pivotFields count="9">
    <pivotField axis="axisRow" showAll="0">
      <items count="29">
        <item x="8"/>
        <item x="1"/>
        <item x="2"/>
        <item x="3"/>
        <item x="4"/>
        <item x="5"/>
        <item x="6"/>
        <item x="7"/>
        <item x="9"/>
        <item x="10"/>
        <item x="11"/>
        <item x="12"/>
        <item x="13"/>
        <item x="14"/>
        <item x="15"/>
        <item x="0"/>
        <item x="16"/>
        <item x="17"/>
        <item x="18"/>
        <item x="19"/>
        <item x="20"/>
        <item x="21"/>
        <item x="22"/>
        <item x="23"/>
        <item x="24"/>
        <item x="25"/>
        <item x="26"/>
        <item x="27"/>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3">
    <i>
      <x v="4"/>
    </i>
    <i>
      <x v="15"/>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39" firstHeaderRow="0" firstDataRow="1" firstDataCol="1" rowPageCount="1" colPageCount="1"/>
  <pivotFields count="14">
    <pivotField showAll="0"/>
    <pivotField axis="axisPage" multipleItemSelectionAllowed="1" showAll="0">
      <items count="50">
        <item m="1" x="46"/>
        <item x="2"/>
        <item x="0"/>
        <item x="1"/>
        <item m="1" x="48"/>
        <item m="1" x="44"/>
        <item x="6"/>
        <item m="1" x="47"/>
        <item x="3"/>
        <item x="4"/>
        <item m="1" x="45"/>
        <item m="1" x="43"/>
        <item x="34"/>
        <item x="5"/>
        <item x="10"/>
        <item x="8"/>
        <item x="9"/>
        <item x="7"/>
        <item x="11"/>
        <item m="1" x="42"/>
        <item x="13"/>
        <item x="14"/>
        <item x="15"/>
        <item x="16"/>
        <item x="17"/>
        <item x="18"/>
        <item x="19"/>
        <item x="20"/>
        <item x="21"/>
        <item x="22"/>
        <item x="23"/>
        <item x="24"/>
        <item x="25"/>
        <item x="12"/>
        <item x="27"/>
        <item x="26"/>
        <item x="28"/>
        <item x="29"/>
        <item x="30"/>
        <item x="31"/>
        <item x="32"/>
        <item m="1" x="41"/>
        <item x="33"/>
        <item x="35"/>
        <item x="36"/>
        <item x="37"/>
        <item x="38"/>
        <item x="39"/>
        <item x="40"/>
        <item t="default"/>
      </items>
    </pivotField>
    <pivotField showAll="0"/>
    <pivotField showAll="0"/>
    <pivotField axis="axisRow" showAll="0">
      <items count="624">
        <item m="1" x="606"/>
        <item m="1" x="607"/>
        <item m="1" x="605"/>
        <item m="1" x="604"/>
        <item m="1" x="608"/>
        <item m="1" x="610"/>
        <item m="1" x="609"/>
        <item m="1" x="611"/>
        <item m="1" x="612"/>
        <item m="1" x="613"/>
        <item m="1" x="614"/>
        <item m="1" x="615"/>
        <item m="1" x="616"/>
        <item m="1" x="617"/>
        <item m="1" x="542"/>
        <item m="1" x="564"/>
        <item m="1" x="618"/>
        <item m="1" x="619"/>
        <item m="1" x="620"/>
        <item m="1" x="572"/>
        <item m="1" x="571"/>
        <item m="1" x="621"/>
        <item m="1" x="622"/>
        <item m="1" x="581"/>
        <item m="1" x="573"/>
        <item m="1" x="574"/>
        <item m="1" x="575"/>
        <item m="1" x="576"/>
        <item m="1" x="577"/>
        <item m="1" x="578"/>
        <item m="1" x="579"/>
        <item m="1" x="580"/>
        <item m="1" x="582"/>
        <item m="1" x="602"/>
        <item m="1" x="583"/>
        <item m="1" x="603"/>
        <item m="1" x="584"/>
        <item m="1" x="585"/>
        <item m="1" x="586"/>
        <item m="1" x="587"/>
        <item m="1" x="588"/>
        <item m="1" x="519"/>
        <item m="1" x="589"/>
        <item m="1" x="590"/>
        <item m="1" x="591"/>
        <item m="1" x="592"/>
        <item m="1" x="593"/>
        <item m="1" x="594"/>
        <item m="1" x="595"/>
        <item m="1" x="596"/>
        <item m="1" x="597"/>
        <item m="1" x="598"/>
        <item m="1" x="599"/>
        <item m="1" x="600"/>
        <item m="1" x="601"/>
        <item x="0"/>
        <item m="1" x="518"/>
        <item m="1" x="520"/>
        <item m="1" x="521"/>
        <item m="1" x="522"/>
        <item m="1" x="523"/>
        <item m="1" x="524"/>
        <item m="1" x="525"/>
        <item m="1" x="526"/>
        <item m="1" x="527"/>
        <item m="1" x="528"/>
        <item m="1" x="529"/>
        <item m="1" x="530"/>
        <item m="1" x="531"/>
        <item m="1" x="532"/>
        <item m="1" x="257"/>
        <item m="1" x="533"/>
        <item m="1" x="534"/>
        <item m="1" x="535"/>
        <item m="1" x="536"/>
        <item m="1" x="537"/>
        <item m="1" x="538"/>
        <item m="1" x="539"/>
        <item m="1" x="540"/>
        <item m="1" x="541"/>
        <item m="1" x="543"/>
        <item m="1" x="544"/>
        <item m="1" x="545"/>
        <item m="1" x="546"/>
        <item m="1" x="547"/>
        <item m="1" x="548"/>
        <item m="1" x="549"/>
        <item m="1" x="550"/>
        <item m="1" x="551"/>
        <item m="1" x="552"/>
        <item m="1" x="553"/>
        <item m="1" x="554"/>
        <item m="1" x="555"/>
        <item m="1" x="556"/>
        <item m="1" x="557"/>
        <item m="1" x="558"/>
        <item m="1" x="559"/>
        <item m="1" x="560"/>
        <item m="1" x="561"/>
        <item m="1" x="562"/>
        <item m="1" x="563"/>
        <item m="1" x="565"/>
        <item m="1" x="566"/>
        <item m="1" x="567"/>
        <item m="1" x="568"/>
        <item m="1" x="569"/>
        <item m="1" x="570"/>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273"/>
        <item m="1" x="487"/>
        <item m="1" x="488"/>
        <item m="1" x="489"/>
        <item m="1" x="490"/>
        <item m="1" x="491"/>
        <item m="1" x="492"/>
        <item m="1" x="493"/>
        <item m="1" x="494"/>
        <item m="1" x="495"/>
        <item m="1" x="496"/>
        <item m="1" x="497"/>
        <item m="1" x="517"/>
        <item m="1" x="498"/>
        <item m="1" x="499"/>
        <item m="1" x="500"/>
        <item m="1" x="501"/>
        <item m="1" x="502"/>
        <item m="1" x="503"/>
        <item m="1" x="504"/>
        <item m="1" x="505"/>
        <item m="1" x="506"/>
        <item m="1" x="507"/>
        <item m="1" x="508"/>
        <item m="1" x="509"/>
        <item m="1" x="510"/>
        <item m="1" x="511"/>
        <item m="1" x="512"/>
        <item m="1" x="513"/>
        <item m="1" x="514"/>
        <item m="1" x="515"/>
        <item m="1" x="516"/>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313"/>
        <item m="1" x="436"/>
        <item m="1" x="304"/>
        <item m="1" x="305"/>
        <item m="1" x="306"/>
        <item m="1" x="307"/>
        <item m="1" x="308"/>
        <item m="1" x="309"/>
        <item m="1" x="310"/>
        <item m="1" x="311"/>
        <item m="1" x="312"/>
        <item m="1" x="314"/>
        <item m="1" x="315"/>
        <item m="1" x="316"/>
        <item m="1" x="317"/>
        <item m="1" x="318"/>
        <item m="1" x="319"/>
        <item m="1" x="320"/>
        <item m="1" x="321"/>
        <item m="1" x="322"/>
        <item m="1" x="323"/>
        <item m="1" x="324"/>
        <item m="1" x="325"/>
        <item m="1" x="326"/>
        <item m="1" x="327"/>
        <item m="1" x="254"/>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258"/>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255"/>
        <item m="1" x="379"/>
        <item m="1" x="380"/>
        <item m="1" x="252"/>
        <item m="1" x="261"/>
        <item m="1" x="253"/>
        <item m="1" x="256"/>
        <item m="1" x="259"/>
        <item m="1" x="260"/>
        <item m="1" x="262"/>
        <item m="1" x="263"/>
        <item m="1" x="264"/>
        <item m="1" x="265"/>
        <item m="1" x="266"/>
        <item m="1" x="267"/>
        <item m="1" x="268"/>
        <item m="1" x="269"/>
        <item m="1" x="270"/>
        <item m="1" x="271"/>
        <item m="1" x="178"/>
        <item m="1" x="272"/>
        <item m="1" x="274"/>
        <item m="1" x="275"/>
        <item m="1" x="276"/>
        <item m="1" x="233"/>
        <item m="1" x="209"/>
        <item m="1" x="277"/>
        <item m="1" x="278"/>
        <item m="1" x="279"/>
        <item m="1" x="201"/>
        <item m="1" x="280"/>
        <item m="1" x="281"/>
        <item m="1" x="282"/>
        <item m="1" x="283"/>
        <item m="1" x="248"/>
        <item m="1" x="284"/>
        <item m="1" x="285"/>
        <item m="1" x="286"/>
        <item m="1" x="287"/>
        <item m="1" x="288"/>
        <item m="1" x="289"/>
        <item m="1" x="290"/>
        <item m="1" x="291"/>
        <item m="1" x="292"/>
        <item m="1" x="293"/>
        <item m="1" x="294"/>
        <item m="1" x="295"/>
        <item m="1" x="303"/>
        <item m="1" x="296"/>
        <item m="1" x="297"/>
        <item m="1" x="198"/>
        <item m="1" x="199"/>
        <item m="1" x="298"/>
        <item m="1" x="210"/>
        <item m="1" x="299"/>
        <item m="1" x="300"/>
        <item m="1" x="301"/>
        <item m="1" x="302"/>
        <item m="1" x="197"/>
        <item m="1" x="195"/>
        <item m="1" x="194"/>
        <item m="1" x="196"/>
        <item m="1" x="200"/>
        <item m="1" x="147"/>
        <item m="1" x="143"/>
        <item m="1" x="202"/>
        <item m="1" x="203"/>
        <item m="1" x="204"/>
        <item m="1" x="205"/>
        <item m="1" x="206"/>
        <item m="1" x="207"/>
        <item m="1" x="208"/>
        <item m="1" x="211"/>
        <item m="1" x="212"/>
        <item m="1" x="213"/>
        <item m="1" x="214"/>
        <item m="1" x="215"/>
        <item m="1" x="216"/>
        <item m="1" x="217"/>
        <item m="1" x="218"/>
        <item m="1" x="219"/>
        <item m="1" x="220"/>
        <item m="1" x="221"/>
        <item m="1" x="222"/>
        <item m="1" x="223"/>
        <item m="1" x="224"/>
        <item m="1" x="136"/>
        <item m="1" x="225"/>
        <item m="1" x="226"/>
        <item m="1" x="227"/>
        <item m="1" x="144"/>
        <item m="1" x="228"/>
        <item m="1" x="229"/>
        <item m="1" x="230"/>
        <item m="1" x="231"/>
        <item m="1" x="232"/>
        <item m="1" x="234"/>
        <item m="1" x="235"/>
        <item m="1" x="236"/>
        <item m="1" x="237"/>
        <item m="1" x="142"/>
        <item m="1" x="238"/>
        <item m="1" x="239"/>
        <item m="1" x="240"/>
        <item m="1" x="241"/>
        <item m="1" x="242"/>
        <item m="1" x="243"/>
        <item m="1" x="149"/>
        <item m="1" x="244"/>
        <item m="1" x="189"/>
        <item m="1" x="245"/>
        <item m="1" x="141"/>
        <item m="1" x="246"/>
        <item m="1" x="247"/>
        <item m="1" x="153"/>
        <item m="1" x="249"/>
        <item m="1" x="250"/>
        <item m="1" x="251"/>
        <item m="1" x="135"/>
        <item m="1" x="137"/>
        <item m="1" x="138"/>
        <item m="1" x="139"/>
        <item m="1" x="140"/>
        <item m="1" x="145"/>
        <item m="1" x="146"/>
        <item m="1" x="148"/>
        <item m="1" x="150"/>
        <item m="1" x="151"/>
        <item m="1" x="152"/>
        <item m="1" x="154"/>
        <item m="1" x="155"/>
        <item m="1" x="156"/>
        <item m="1" x="157"/>
        <item m="1" x="158"/>
        <item m="1" x="159"/>
        <item m="1" x="160"/>
        <item m="1" x="161"/>
        <item x="84"/>
        <item m="1" x="162"/>
        <item m="1" x="163"/>
        <item m="1" x="164"/>
        <item m="1" x="165"/>
        <item m="1" x="166"/>
        <item m="1" x="167"/>
        <item m="1" x="168"/>
        <item m="1" x="169"/>
        <item m="1" x="170"/>
        <item m="1" x="171"/>
        <item m="1" x="172"/>
        <item m="1" x="173"/>
        <item m="1" x="174"/>
        <item m="1" x="175"/>
        <item m="1" x="176"/>
        <item m="1" x="177"/>
        <item m="1" x="179"/>
        <item m="1" x="180"/>
        <item x="16"/>
        <item m="1" x="181"/>
        <item m="1" x="182"/>
        <item m="1" x="183"/>
        <item m="1" x="184"/>
        <item m="1" x="185"/>
        <item m="1" x="186"/>
        <item m="1" x="187"/>
        <item m="1" x="188"/>
        <item m="1" x="193"/>
        <item m="1" x="190"/>
        <item m="1" x="191"/>
        <item m="1" x="192"/>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1"/>
        <item x="132"/>
        <item x="133"/>
        <item x="134"/>
        <item x="129"/>
        <item x="130"/>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36">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23">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96" s="1"/>
        <i x="105" s="1"/>
        <i x="107" s="1"/>
        <i x="103" s="1"/>
        <i x="119" s="1"/>
        <i x="110" s="1"/>
        <i x="113" s="1"/>
        <i x="120" s="1"/>
        <i x="102" s="1"/>
        <i x="109" s="1"/>
        <i x="112" s="1"/>
        <i x="117" s="1"/>
        <i x="118" s="1"/>
        <i x="121" s="1"/>
        <i x="122" s="1"/>
        <i x="123" s="1"/>
        <i x="134" s="1"/>
        <i x="133" s="1"/>
        <i x="126" s="1"/>
        <i x="128" s="1"/>
        <i x="132" s="1"/>
        <i x="131" s="1"/>
        <i x="129" s="1"/>
        <i x="130" s="1"/>
        <i x="73" s="1"/>
        <i x="65" s="1"/>
        <i x="93" s="1"/>
        <i x="1" s="1"/>
        <i x="22" s="1"/>
        <i x="27" s="1"/>
        <i x="64" s="1"/>
        <i x="72" s="1"/>
        <i x="19" s="1"/>
        <i x="53" s="1"/>
        <i x="76" s="1"/>
        <i x="71" s="1"/>
        <i x="106" s="1"/>
        <i x="124" s="1"/>
        <i x="100" s="1"/>
        <i x="127" s="1"/>
        <i x="115" s="1"/>
        <i x="111" s="1"/>
        <i x="125" s="1"/>
        <i x="114" s="1"/>
        <i x="87" s="1"/>
        <i x="98" s="1"/>
        <i x="70" s="1"/>
        <i x="577" s="1" nd="1"/>
        <i x="606" s="1" nd="1"/>
        <i x="607" s="1" nd="1"/>
        <i x="615" s="1" nd="1"/>
        <i x="605" s="1" nd="1"/>
        <i x="604" s="1" nd="1"/>
        <i x="608" s="1" nd="1"/>
        <i x="619" s="1" nd="1"/>
        <i x="611" s="1" nd="1"/>
        <i x="612" s="1" nd="1"/>
        <i x="609" s="1" nd="1"/>
        <i x="610" s="1" nd="1"/>
        <i x="620" s="1" nd="1"/>
        <i x="613" s="1" nd="1"/>
        <i x="614" s="1" nd="1"/>
        <i x="617" s="1" nd="1"/>
        <i x="618" s="1" nd="1"/>
        <i x="616" s="1" nd="1"/>
        <i x="572" s="1" nd="1"/>
        <i x="622" s="1" nd="1"/>
        <i x="571" s="1" nd="1"/>
        <i x="621" s="1" nd="1"/>
        <i x="574" s="1" nd="1"/>
        <i x="535" s="1" nd="1"/>
        <i x="573" s="1" nd="1"/>
        <i x="575" s="1" nd="1"/>
        <i x="581" s="1" nd="1"/>
        <i x="576" s="1" nd="1"/>
        <i x="578" s="1" nd="1"/>
        <i x="594" s="1" nd="1"/>
        <i x="518" s="1" nd="1"/>
        <i x="582" s="1" nd="1"/>
        <i x="523" s="1" nd="1"/>
        <i x="588" s="1" nd="1"/>
        <i x="583" s="1" nd="1"/>
        <i x="586" s="1" nd="1"/>
        <i x="591" s="1" nd="1"/>
        <i x="602" s="1" nd="1"/>
        <i x="584" s="1" nd="1"/>
        <i x="596" s="1" nd="1"/>
        <i x="599" s="1" nd="1"/>
        <i x="590" s="1" nd="1"/>
        <i x="579" s="1" nd="1"/>
        <i x="587" s="1" nd="1"/>
        <i x="580" s="1" nd="1"/>
        <i x="585" s="1" nd="1"/>
        <i x="519" s="1" nd="1"/>
        <i x="589" s="1" nd="1"/>
        <i x="595" s="1" nd="1"/>
        <i x="257" s="1" nd="1"/>
        <i x="592" s="1" nd="1"/>
        <i x="597" s="1" nd="1"/>
        <i x="593" s="1" nd="1"/>
        <i x="559" s="1" nd="1"/>
        <i x="598" s="1" nd="1"/>
        <i x="600" s="1" nd="1"/>
        <i x="521" s="1" nd="1"/>
        <i x="528" s="1" nd="1"/>
        <i x="601" s="1" nd="1"/>
        <i x="525" s="1" nd="1"/>
        <i x="526" s="1" nd="1"/>
        <i x="520" s="1" nd="1"/>
        <i x="524" s="1" nd="1"/>
        <i x="412" s="1" nd="1"/>
        <i x="522" s="1" nd="1"/>
        <i x="531" s="1" nd="1"/>
        <i x="527" s="1" nd="1"/>
        <i x="529" s="1" nd="1"/>
        <i x="532" s="1" nd="1"/>
        <i x="539" s="1" nd="1"/>
        <i x="530" s="1" nd="1"/>
        <i x="538" s="1" nd="1"/>
        <i x="543" s="1" nd="1"/>
        <i x="537" s="1" nd="1"/>
        <i x="540" s="1" nd="1"/>
        <i x="550" s="1" nd="1"/>
        <i x="536" s="1" nd="1"/>
        <i x="533" s="1" nd="1"/>
        <i x="534" s="1" nd="1"/>
        <i x="549" s="1" nd="1"/>
        <i x="408" s="1" nd="1"/>
        <i x="542" s="1" nd="1"/>
        <i x="553" s="1" nd="1"/>
        <i x="548" s="1" nd="1"/>
        <i x="541" s="1" nd="1"/>
        <i x="565" s="1" nd="1"/>
        <i x="546" s="1" nd="1"/>
        <i x="556" s="1" nd="1"/>
        <i x="554" s="1" nd="1"/>
        <i x="544" s="1" nd="1"/>
        <i x="552" s="1" nd="1"/>
        <i x="551" s="1" nd="1"/>
        <i x="547" s="1" nd="1"/>
        <i x="557" s="1" nd="1"/>
        <i x="555" s="1" nd="1"/>
        <i x="558" s="1" nd="1"/>
        <i x="545" s="1" nd="1"/>
        <i x="487" s="1" nd="1"/>
        <i x="560" s="1" nd="1"/>
        <i x="561" s="1" nd="1"/>
        <i x="446" s="1" nd="1"/>
        <i x="448" s="1" nd="1"/>
        <i x="568" s="1" nd="1"/>
        <i x="442" s="1" nd="1"/>
        <i x="488" s="1" nd="1"/>
        <i x="562" s="1" nd="1"/>
        <i x="563" s="1" nd="1"/>
        <i x="445" s="1" nd="1"/>
        <i x="570" s="1" nd="1"/>
        <i x="444" s="1" nd="1"/>
        <i x="459" s="1" nd="1"/>
        <i x="569" s="1" nd="1"/>
        <i x="564" s="1" nd="1"/>
        <i x="463" s="1" nd="1"/>
        <i x="176" s="1" nd="1"/>
        <i x="567" s="1" nd="1"/>
        <i x="566" s="1" nd="1"/>
        <i x="484" s="1" nd="1"/>
        <i x="437" s="1" nd="1"/>
        <i x="449" s="1" nd="1"/>
        <i x="485" s="1" nd="1"/>
        <i x="483" s="1" nd="1"/>
        <i x="441" s="1" nd="1"/>
        <i x="443" s="1" nd="1"/>
        <i x="276" s="1" nd="1"/>
        <i x="447" s="1" nd="1"/>
        <i x="438" s="1" nd="1"/>
        <i x="473" s="1" nd="1"/>
        <i x="478" s="1" nd="1"/>
        <i x="439" s="1" nd="1"/>
        <i x="440" s="1" nd="1"/>
        <i x="450" s="1" nd="1"/>
        <i x="453" s="1" nd="1"/>
        <i x="460" s="1" nd="1"/>
        <i x="452" s="1" nd="1"/>
        <i x="455" s="1" nd="1"/>
        <i x="454" s="1" nd="1"/>
        <i x="496" s="1" nd="1"/>
        <i x="451" s="1" nd="1"/>
        <i x="177" s="1" nd="1"/>
        <i x="174" s="1" nd="1"/>
        <i x="476" s="1" nd="1"/>
        <i x="491" s="1" nd="1"/>
        <i x="456" s="1" nd="1"/>
        <i x="481" s="1" nd="1"/>
        <i x="493" s="1" nd="1"/>
        <i x="465" s="1" nd="1"/>
        <i x="505" s="1" nd="1"/>
        <i x="464" s="1" nd="1"/>
        <i x="461" s="1" nd="1"/>
        <i x="457" s="1" nd="1"/>
        <i x="458" s="1" nd="1"/>
        <i x="477" s="1" nd="1"/>
        <i x="466" s="1" nd="1"/>
        <i x="389" s="1" nd="1"/>
        <i x="467" s="1" nd="1"/>
        <i x="462" s="1" nd="1"/>
        <i x="469" s="1" nd="1"/>
        <i x="470" s="1" nd="1"/>
        <i x="498" s="1" nd="1"/>
        <i x="468" s="1" nd="1"/>
        <i x="486" s="1" nd="1"/>
        <i x="474" s="1" nd="1"/>
        <i x="471" s="1" nd="1"/>
        <i x="475" s="1" nd="1"/>
        <i x="472" s="1" nd="1"/>
        <i x="479" s="1" nd="1"/>
        <i x="178" s="1" nd="1"/>
        <i x="497" s="1" nd="1"/>
        <i x="492" s="1" nd="1"/>
        <i x="511" s="1" nd="1"/>
        <i x="480" s="1" nd="1"/>
        <i x="382" s="1" nd="1"/>
        <i x="490" s="1" nd="1"/>
        <i x="482" s="1" nd="1"/>
        <i x="506" s="1" nd="1"/>
        <i x="489" s="1" nd="1"/>
        <i x="504" s="1" nd="1"/>
        <i x="390" s="1" nd="1"/>
        <i x="495" s="1" nd="1"/>
        <i x="494" s="1" nd="1"/>
        <i x="510" s="1" nd="1"/>
        <i x="507" s="1" nd="1"/>
        <i x="401" s="1" nd="1"/>
        <i x="515" s="1" nd="1"/>
        <i x="499" s="1" nd="1"/>
        <i x="508" s="1" nd="1"/>
        <i x="513" s="1" nd="1"/>
        <i x="392" s="1" nd="1"/>
        <i x="418" s="1" nd="1"/>
        <i x="517" s="1" nd="1"/>
        <i x="514" s="1" nd="1"/>
        <i x="383" s="1" nd="1"/>
        <i x="403" s="1" nd="1"/>
        <i x="509" s="1" nd="1"/>
        <i x="385" s="1" nd="1"/>
        <i x="500" s="1" nd="1"/>
        <i x="503" s="1" nd="1"/>
        <i x="400" s="1" nd="1"/>
        <i x="512" s="1" nd="1"/>
        <i x="139" s="1" nd="1"/>
        <i x="173" s="1" nd="1"/>
        <i x="501" s="1" nd="1"/>
        <i x="502" s="1" nd="1"/>
        <i x="387" s="1" nd="1"/>
        <i x="405" s="1" nd="1"/>
        <i x="406" s="1" nd="1"/>
        <i x="419" s="1" nd="1"/>
        <i x="516" s="1" nd="1"/>
        <i x="381" s="1" nd="1"/>
        <i x="404" s="1" nd="1"/>
        <i x="397" s="1" nd="1"/>
        <i x="384" s="1" nd="1"/>
        <i x="388" s="1" nd="1"/>
        <i x="394" s="1" nd="1"/>
        <i x="386" s="1" nd="1"/>
        <i x="410" s="1" nd="1"/>
        <i x="414" s="1" nd="1"/>
        <i x="415" s="1" nd="1"/>
        <i x="407" s="1" nd="1"/>
        <i x="391" s="1" nd="1"/>
        <i x="256" s="1" nd="1"/>
        <i x="393" s="1" nd="1"/>
        <i x="395" s="1" nd="1"/>
        <i x="398" s="1" nd="1"/>
        <i x="411" s="1" nd="1"/>
        <i x="396" s="1" nd="1"/>
        <i x="417" s="1" nd="1"/>
        <i x="349" s="1" nd="1"/>
        <i x="328" s="1" nd="1"/>
        <i x="432" s="1" nd="1"/>
        <i x="399" s="1" nd="1"/>
        <i x="420" s="1" nd="1"/>
        <i x="416" s="1" nd="1"/>
        <i x="402" s="1" nd="1"/>
        <i x="424" s="1" nd="1"/>
        <i x="360" s="1" nd="1"/>
        <i x="323" s="1" nd="1"/>
        <i x="409" s="1" nd="1"/>
        <i x="433" s="1" nd="1"/>
        <i x="413" s="1" nd="1"/>
        <i x="436" s="1" nd="1"/>
        <i x="423" s="1" nd="1"/>
        <i x="428" s="1" nd="1"/>
        <i x="305" s="1" nd="1"/>
        <i x="425" s="1" nd="1"/>
        <i x="427" s="1" nd="1"/>
        <i x="345" s="1" nd="1"/>
        <i x="313" s="1" nd="1"/>
        <i x="422" s="1" nd="1"/>
        <i x="310" s="1" nd="1"/>
        <i x="421" s="1" nd="1"/>
        <i x="322" s="1" nd="1"/>
        <i x="306" s="1" nd="1"/>
        <i x="304" s="1" nd="1"/>
        <i x="426" s="1" nd="1"/>
        <i x="320" s="1" nd="1"/>
        <i x="314" s="1" nd="1"/>
        <i x="325" s="1" nd="1"/>
        <i x="342" s="1" nd="1"/>
        <i x="319" s="1" nd="1"/>
        <i x="330" s="1" nd="1"/>
        <i x="324" s="1" nd="1"/>
        <i x="321" s="1" nd="1"/>
        <i x="434" s="1" nd="1"/>
        <i x="378" s="1" nd="1"/>
        <i x="332" s="1" nd="1"/>
        <i x="333" s="1" nd="1"/>
        <i x="430" s="1" nd="1"/>
        <i x="429" s="1" nd="1"/>
        <i x="307" s="1" nd="1"/>
        <i x="309" s="1" nd="1"/>
        <i x="340" s="1" nd="1"/>
        <i x="316" s="1" nd="1"/>
        <i x="435" s="1" nd="1"/>
        <i x="374" s="1" nd="1"/>
        <i x="365" s="1" nd="1"/>
        <i x="353" s="1" nd="1"/>
        <i x="327" s="1" nd="1"/>
        <i x="312" s="1" nd="1"/>
        <i x="343" s="1" nd="1"/>
        <i x="362" s="1" nd="1"/>
        <i x="354" s="1" nd="1"/>
        <i x="350" s="1" nd="1"/>
        <i x="318" s="1" nd="1"/>
        <i x="338" s="1" nd="1"/>
        <i x="337" s="1" nd="1"/>
        <i x="352" s="1" nd="1"/>
        <i x="339" s="1" nd="1"/>
        <i x="431" s="1" nd="1"/>
        <i x="315" s="1" nd="1"/>
        <i x="311" s="1" nd="1"/>
        <i x="341" s="1" nd="1"/>
        <i x="308" s="1" nd="1"/>
        <i x="346" s="1" nd="1"/>
        <i x="347" s="1" nd="1"/>
        <i x="351" s="1" nd="1"/>
        <i x="255" s="1" nd="1"/>
        <i x="331" s="1" nd="1"/>
        <i x="326" s="1" nd="1"/>
        <i x="359" s="1" nd="1"/>
        <i x="358" s="1" nd="1"/>
        <i x="363" s="1" nd="1"/>
        <i x="317" s="1" nd="1"/>
        <i x="361" s="1" nd="1"/>
        <i x="348" s="1" nd="1"/>
        <i x="254" s="1" nd="1"/>
        <i x="329" s="1" nd="1"/>
        <i x="334" s="1" nd="1"/>
        <i x="335" s="1" nd="1"/>
        <i x="344" s="1" nd="1"/>
        <i x="336" s="1" nd="1"/>
        <i x="355" s="1" nd="1"/>
        <i x="272" s="1" nd="1"/>
        <i x="366" s="1" nd="1"/>
        <i x="356" s="1" nd="1"/>
        <i x="372" s="1" nd="1"/>
        <i x="369" s="1" nd="1"/>
        <i x="367" s="1" nd="1"/>
        <i x="267" s="1" nd="1"/>
        <i x="266" s="1" nd="1"/>
        <i x="379" s="1" nd="1"/>
        <i x="253" s="1" nd="1"/>
        <i x="265" s="1" nd="1"/>
        <i x="373" s="1" nd="1"/>
        <i x="380" s="1" nd="1"/>
        <i x="258" s="1" nd="1"/>
        <i x="375" s="1" nd="1"/>
        <i x="376" s="1" nd="1"/>
        <i x="357" s="1" nd="1"/>
        <i x="370" s="1" nd="1"/>
        <i x="377" s="1" nd="1"/>
        <i x="368" s="1" nd="1"/>
        <i x="288" s="1" nd="1"/>
        <i x="371" s="1" nd="1"/>
        <i x="252" s="1" nd="1"/>
        <i x="261" s="1" nd="1"/>
        <i x="260" s="1" nd="1"/>
        <i x="364" s="1" nd="1"/>
        <i x="248" s="1" nd="1"/>
        <i x="242" s="1" nd="1"/>
        <i x="213" s="1" nd="1"/>
        <i x="247" s="1" nd="1"/>
        <i x="167" s="1" nd="1"/>
        <i x="264" s="1" nd="1"/>
        <i x="262" s="1" nd="1"/>
        <i x="269" s="1" nd="1"/>
        <i x="270" s="1" nd="1"/>
        <i x="268" s="1" nd="1"/>
        <i x="263" s="1" nd="1"/>
        <i x="259" s="1" nd="1"/>
        <i x="209" s="1" nd="1"/>
        <i x="233" s="1" nd="1"/>
        <i x="285" s="1" nd="1"/>
        <i x="275" s="1" nd="1"/>
        <i x="271" s="1" nd="1"/>
        <i x="289" s="1" nd="1"/>
        <i x="274" s="1" nd="1"/>
        <i x="157" s="1" nd="1"/>
        <i x="284" s="1" nd="1"/>
        <i x="286" s="1" nd="1"/>
        <i x="273" s="1" nd="1"/>
        <i x="277" s="1" nd="1"/>
        <i x="287" s="1" nd="1"/>
        <i x="280" s="1" nd="1"/>
        <i x="278" s="1" nd="1"/>
        <i x="279" s="1" nd="1"/>
        <i x="201" s="1" nd="1"/>
        <i x="283" s="1" nd="1"/>
        <i x="281" s="1" nd="1"/>
        <i x="282" s="1" nd="1"/>
        <i x="291" s="1" nd="1"/>
        <i x="290" s="1" nd="1"/>
        <i x="210" s="1" nd="1"/>
        <i x="300" s="1" nd="1"/>
        <i x="299" s="1" nd="1"/>
        <i x="211" s="1" nd="1"/>
        <i x="298" s="1" nd="1"/>
        <i x="303" s="1" nd="1"/>
        <i x="296" s="1" nd="1"/>
        <i x="302" s="1" nd="1"/>
        <i x="202" s="1" nd="1"/>
        <i x="207" s="1" nd="1"/>
        <i x="292" s="1" nd="1"/>
        <i x="195" s="1" nd="1"/>
        <i x="194" s="1" nd="1"/>
        <i x="196" s="1" nd="1"/>
        <i x="199" s="1" nd="1"/>
        <i x="293" s="1" nd="1"/>
        <i x="294" s="1" nd="1"/>
        <i x="295" s="1" nd="1"/>
        <i x="297" s="1" nd="1"/>
        <i x="301" s="1" nd="1"/>
        <i x="206" s="1" nd="1"/>
        <i x="205" s="1" nd="1"/>
        <i x="203" s="1" nd="1"/>
        <i x="147" s="1" nd="1"/>
        <i x="220" s="1" nd="1"/>
        <i x="198" s="1" nd="1"/>
        <i x="197" s="1" nd="1"/>
        <i x="143" s="1" nd="1"/>
        <i x="200" s="1" nd="1"/>
        <i x="219" s="1" nd="1"/>
        <i x="214" s="1" nd="1"/>
        <i x="215" s="1" nd="1"/>
        <i x="189" s="1" nd="1"/>
        <i x="204" s="1" nd="1"/>
        <i x="227" s="1" nd="1"/>
        <i x="249" s="1" nd="1"/>
        <i x="144" s="1" nd="1"/>
        <i x="216" s="1" nd="1"/>
        <i x="218" s="1" nd="1"/>
        <i x="208" s="1" nd="1"/>
        <i x="224" s="1" nd="1"/>
        <i x="228" s="1" nd="1"/>
        <i x="222" s="1" nd="1"/>
        <i x="221" s="1" nd="1"/>
        <i x="137" s="1" nd="1"/>
        <i x="217" s="1" nd="1"/>
        <i x="140" s="1" nd="1"/>
        <i x="212" s="1" nd="1"/>
        <i x="235" s="1" nd="1"/>
        <i x="236" s="1" nd="1"/>
        <i x="234" s="1" nd="1"/>
        <i x="223" s="1" nd="1"/>
        <i x="245" s="1" nd="1"/>
        <i x="226" s="1" nd="1"/>
        <i x="225" s="1" nd="1"/>
        <i x="138" s="1" nd="1"/>
        <i x="232" s="1" nd="1"/>
        <i x="237" s="1" nd="1"/>
        <i x="241" s="1" nd="1"/>
        <i x="251" s="1" nd="1"/>
        <i x="250" s="1" nd="1"/>
        <i x="231" s="1" nd="1"/>
        <i x="230" s="1" nd="1"/>
        <i x="142" s="1" nd="1"/>
        <i x="244" s="1" nd="1"/>
        <i x="136" s="1" nd="1"/>
        <i x="191" s="1" nd="1"/>
        <i x="146" s="1" nd="1"/>
        <i x="240" s="1" nd="1"/>
        <i x="151" s="1" nd="1"/>
        <i x="141" s="1" nd="1"/>
        <i x="229" s="1" nd="1"/>
        <i x="156" s="1" nd="1"/>
        <i x="149" s="1" nd="1"/>
        <i x="239" s="1" nd="1"/>
        <i x="238" s="1" nd="1"/>
        <i x="168" s="1" nd="1"/>
        <i x="243" s="1" nd="1"/>
        <i x="145" s="1" nd="1"/>
        <i x="153" s="1" nd="1"/>
        <i x="187" s="1" nd="1"/>
        <i x="190" s="1" nd="1"/>
        <i x="246" s="1" nd="1"/>
        <i x="135" s="1" nd="1"/>
        <i x="150" s="1" nd="1"/>
        <i x="148" s="1" nd="1"/>
        <i x="152" s="1" nd="1"/>
        <i x="155" s="1" nd="1"/>
        <i x="154" s="1" nd="1"/>
        <i x="163" s="1" nd="1"/>
        <i x="159" s="1" nd="1"/>
        <i x="160" s="1" nd="1"/>
        <i x="162" s="1" nd="1"/>
        <i x="172" s="1" nd="1"/>
        <i x="165" s="1" nd="1"/>
        <i x="158" s="1" nd="1"/>
        <i x="161" s="1" nd="1"/>
        <i x="166" s="1" nd="1"/>
        <i x="183" s="1" nd="1"/>
        <i x="171" s="1" nd="1"/>
        <i x="164" s="1" nd="1"/>
        <i x="180" s="1" nd="1"/>
        <i x="169" s="1" nd="1"/>
        <i x="182" s="1" nd="1"/>
        <i x="181" s="1" nd="1"/>
        <i x="175" s="1" nd="1"/>
        <i x="179" s="1" nd="1"/>
        <i x="170" s="1" nd="1"/>
        <i x="185" s="1" nd="1"/>
        <i x="184" s="1" nd="1"/>
        <i x="186" s="1" nd="1"/>
        <i x="192" s="1" nd="1"/>
        <i x="188" s="1" nd="1"/>
        <i x="193" s="1" nd="1"/>
        <i x="60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1">
      <calculatedColumnFormula>B49</calculatedColumnFormula>
    </tableColumn>
    <tableColumn id="2" xr3:uid="{7EDCC2ED-0339-42B3-9633-FFEA7A3DD9F3}" name="Tiyaar" dataDxfId="120">
      <calculatedColumnFormula>SUMIFS(ledger!G:G, ledger!B:B, B2, ledger!E:E, "&lt;&gt;*RD*") / 1.0936</calculatedColumnFormula>
    </tableColumn>
    <tableColumn id="3" xr3:uid="{CC1535DD-3FE7-4F55-8040-E7643388A78E}" name="Rate"/>
    <tableColumn id="4" xr3:uid="{059CB70B-ADAD-4985-84AA-0D530BAC5567}" name="Total" dataDxfId="119">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18" dataDxfId="117">
  <autoFilter ref="B7:E20" xr:uid="{449E5D32-DF9C-4018-96AB-CA98E118D910}"/>
  <tableColumns count="4">
    <tableColumn id="1" xr3:uid="{F663704C-91DD-4BB9-B7EB-EEB0C5EDED6C}" name="Description" dataDxfId="116"/>
    <tableColumn id="2" xr3:uid="{6D94D495-CD0B-4FD3-9771-81D731982A97}" name="Rate" dataDxfId="115" dataCellStyle="Comma"/>
    <tableColumn id="3" xr3:uid="{2D14CEAD-3602-40E7-A488-3584EBC9141E}" name="gazana" dataDxfId="114" dataCellStyle="Comma"/>
    <tableColumn id="4" xr3:uid="{06FEE63C-6480-4079-8426-51BC26B38B34}" name="sum" dataDxfId="113"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2" totalsRowDxfId="111" dataCellStyle="Comma">
      <totalsRowFormula>SUM(Table12[Amount])</totalsRowFormula>
    </tableColumn>
    <tableColumn id="3" xr3:uid="{12F975D1-A51D-47BD-82DF-F0C35A709016}" name="Description"/>
    <tableColumn id="4" xr3:uid="{96712812-B120-49C2-B905-59FC86A743E8}" name="cost per meter" totalsRowFunction="custom" dataDxfId="110" totalsRowDxfId="109">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08" dataDxfId="107" headerRowCellStyle="Comma" dataCellStyle="Comma">
  <autoFilter ref="B2:C5" xr:uid="{136E8F7F-D03F-4198-8335-91A003EA9E45}"/>
  <tableColumns count="2">
    <tableColumn id="1" xr3:uid="{279FA697-9952-479A-AC05-0D4992B41374}" name="Column1" dataDxfId="106" dataCellStyle="Comma"/>
    <tableColumn id="2" xr3:uid="{8A64998B-65EF-41CD-BCB0-3DDB7B359C54}" name="Column2" dataDxfId="105"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4"/>
    <tableColumn id="2" xr3:uid="{51D27FA2-8DDF-4369-BAF7-7D1FE90E16A0}" name="Column2" dataDxfId="10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48" totalsRowCount="1">
  <autoFilter ref="B2:F147" xr:uid="{A0F58B95-D9E6-473F-8BE5-C4A8DDED103B}"/>
  <tableColumns count="5">
    <tableColumn id="1" xr3:uid="{8D801E24-A4A4-436D-ACAE-08E5208293FB}" name="Date" dataDxfId="102" totalsRowDxfId="101"/>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0">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45" totalsRowCount="1" headerRowDxfId="145" dataDxfId="144" headerRowCellStyle="Comma" dataCellStyle="Comma">
  <autoFilter ref="A1:K344" xr:uid="{11DACEC6-751B-4B1D-817F-5C5BCD38EF6D}"/>
  <sortState xmlns:xlrd2="http://schemas.microsoft.com/office/spreadsheetml/2017/richdata2" ref="A2:K344">
    <sortCondition ref="C1:C344"/>
  </sortState>
  <tableColumns count="11">
    <tableColumn id="1" xr3:uid="{2FCE3FA8-A48C-4685-8919-AE44C6C71FD9}" name="Date" dataDxfId="143" dataCellStyle="Comma"/>
    <tableColumn id="2" xr3:uid="{5780FD5F-0890-44E6-B59C-8E37A559FE36}" name="Party Name" dataDxfId="142" dataCellStyle="Comma"/>
    <tableColumn id="3" xr3:uid="{5B3ECD85-9174-40AC-BFBD-49CAC97A83D3}" name="Bill Number" dataDxfId="141" dataCellStyle="Comma"/>
    <tableColumn id="4" xr3:uid="{11B50761-04B6-4262-AD4D-7182450037D1}" name="Quality" dataDxfId="140" dataCellStyle="Comma"/>
    <tableColumn id="5" xr3:uid="{2C556969-B713-4967-BD24-466AACCBE5F5}" name="Shipment Number" dataDxfId="139" totalsRowDxfId="138" dataCellStyle="Comma"/>
    <tableColumn id="6" xr3:uid="{F4E1FD2B-9017-4DEB-B772-BF447ECE56F7}" name="Kora/metre" dataDxfId="137" totalsRowDxfId="136" dataCellStyle="Comma"/>
    <tableColumn id="7" xr3:uid="{52ACC1DA-7A76-4A90-B809-3A1AE728E7EA}" name="Tiyaar/gaz" dataDxfId="135" totalsRowDxfId="134" dataCellStyle="Comma"/>
    <tableColumn id="8" xr3:uid="{31A0FF5E-56F0-44D1-9865-73256B964660}" name="shortage %" dataDxfId="133" totalsRowDxfId="132" dataCellStyle="Comma">
      <calculatedColumnFormula>_xlfn.XLOOKUP(Table1[[#This Row],[Shipment Number]], 'pivot '!A:A,'pivot '!G:G, "NF")</calculatedColumnFormula>
    </tableColumn>
    <tableColumn id="9" xr3:uid="{F99075E0-AC8E-094D-BB85-272AD2C6C568}" name="tiyar/meters" totalsRowFunction="custom" dataDxfId="131" totalsRowDxfId="130"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129" totalsRowDxfId="128"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127" totalsRowDxfId="126"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99">
      <calculatedColumnFormula>Table29[[#This Row],[Production]]*5</calculatedColumnFormula>
    </tableColumn>
    <tableColumn id="5" xr3:uid="{61BAD31A-7476-4DFA-AA0E-D8493144CFE9}" name="Paid" totalsRowFunction="sum"/>
    <tableColumn id="6" xr3:uid="{B4A08D30-B37A-4FB3-9696-F3E66FA4D037}" name="Balance" totalsRowFunction="sum" dataDxfId="98">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95" headerRowBorderDxfId="94" tableBorderDxfId="93">
  <autoFilter ref="A1:I96" xr:uid="{F8E8C957-ABE7-4E4F-8D4E-7D44E26B334F}"/>
  <tableColumns count="9">
    <tableColumn id="1" xr3:uid="{C2E817D6-AB98-4DDD-8890-736B27F261CD}" name="Date" dataDxfId="92" totalsRowDxfId="91"/>
    <tableColumn id="2" xr3:uid="{CFB51890-CCDC-463C-81C9-3F8BD7469CB9}" name="Party Name"/>
    <tableColumn id="3" xr3:uid="{A113D971-1C9D-4733-99C4-BD0CC4333209}" name="Vehicle Number"/>
    <tableColumn id="4" xr3:uid="{49780304-3DD1-4AE9-98EE-2BC7EB8F3B57}" name="Weight" dataDxfId="90" totalsRowDxfId="89" dataCellStyle="Comma"/>
    <tableColumn id="5" xr3:uid="{FCAF1BC6-1D8C-42AD-8BBC-F924BF2DC7FE}" name="Rate" dataDxfId="88" totalsRowDxfId="87" dataCellStyle="Comma"/>
    <tableColumn id="6" xr3:uid="{8C70A624-4134-410C-9C45-9FDEB51D51BF}" name="Rent" dataDxfId="86" totalsRowDxfId="85" dataCellStyle="Comma"/>
    <tableColumn id="7" xr3:uid="{EBCE10AE-9634-4982-9C95-37ABC8A7078C}" name="Total" totalsRowFunction="sum" dataDxfId="84" totalsRowDxfId="83" dataCellStyle="Comma">
      <calculatedColumnFormula>D2*E2</calculatedColumnFormula>
    </tableColumn>
    <tableColumn id="9" xr3:uid="{D4788559-C94A-44D9-B9AE-E72B214355AC}" name="Paid" totalsRowFunction="sum" dataDxfId="82" totalsRowDxfId="81" dataCellStyle="Comma"/>
    <tableColumn id="8" xr3:uid="{E26F5BF0-1875-4FC6-994D-49F202ED562B}" name="balance" totalsRowFunction="sum" dataDxfId="80" totalsRowDxfId="79"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178" totalsRowCount="1">
  <autoFilter ref="A1:G1177" xr:uid="{CB032221-B416-47A8-9A76-693DE76CFD04}"/>
  <sortState xmlns:xlrd2="http://schemas.microsoft.com/office/spreadsheetml/2017/richdata2" ref="A2:G1006">
    <sortCondition ref="A1:A1006"/>
  </sortState>
  <tableColumns count="7">
    <tableColumn id="1" xr3:uid="{554B1EED-65B6-4E9A-B646-82727FAC40DE}" name="Date" dataDxfId="77" totalsRowDxfId="8"/>
    <tableColumn id="2" xr3:uid="{32259059-42CF-4947-83DE-115AA430BE2B}" name="Party"/>
    <tableColumn id="3" xr3:uid="{A1320223-D55D-483C-91C3-AB19B95CC9D8}" name="Debit" totalsRowFunction="sum" dataDxfId="76" totalsRowDxfId="7" dataCellStyle="Comma"/>
    <tableColumn id="4" xr3:uid="{E9745767-9FF0-4B1C-9052-FF335D1D7588}" name="Credit" totalsRowFunction="sum" dataDxfId="75" totalsRowDxfId="6" dataCellStyle="Comma"/>
    <tableColumn id="5" xr3:uid="{5C88A48E-2467-4E6D-B626-2442B7FD0BE4}" name="Description"/>
    <tableColumn id="6" xr3:uid="{63CA4666-144E-4BE6-8B7C-7CB992BD3041}" name="Mode" totalsRowFunction="custom" dataDxfId="74" totalsRowDxfId="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3" tableBorderDxfId="72" totalsRowBorderDxfId="71">
  <autoFilter ref="J3:K6" xr:uid="{DCE01694-23ED-48BF-8B92-4186B9ED10A8}"/>
  <tableColumns count="2">
    <tableColumn id="1" xr3:uid="{C8484DAF-2989-4C2F-9AEC-A6917E1C57F6}" name="Type" dataDxfId="70"/>
    <tableColumn id="2" xr3:uid="{B07B7A2A-4D4E-4654-BED6-FE2F0A7BEC34}" name="Amount" dataDxfId="69"/>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8" headerRowBorderDxfId="67" tableBorderDxfId="66" totalsRowBorderDxfId="65">
  <autoFilter ref="M3:O6" xr:uid="{D166BDD1-ACD7-45D7-8AE9-7350373F8CEB}"/>
  <tableColumns count="3">
    <tableColumn id="1" xr3:uid="{64F0205E-DEA7-4571-BA86-E4374A5FEE28}" name="Type" totalsRowLabel="Total" dataDxfId="64" totalsRowDxfId="63"/>
    <tableColumn id="2" xr3:uid="{15FA05F9-789C-4459-9BE0-5C1EC84D3365}" name="amount" totalsRowFunction="custom" dataDxfId="62" totalsRowDxfId="61">
      <totalsRowFormula>SUM(N5:N6)</totalsRowFormula>
    </tableColumn>
    <tableColumn id="3" xr3:uid="{3681D409-90C6-44D0-BDE2-4B5943A516F0}" name="Actual" totalsRowFunction="custom" totalsRowDxfId="60">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9" totalsRowDxfId="58"/>
    <tableColumn id="2" xr3:uid="{5B9D0FEE-4304-4C5C-A05C-5B27CF7841D3}" name="Type"/>
    <tableColumn id="3" xr3:uid="{6A91CA0D-C802-4C6F-9F39-CA53687E8EDE}" name="Description"/>
    <tableColumn id="4" xr3:uid="{A251D40C-AB87-4BB4-85F8-444B20E32FDF}" name="Total" totalsRowFunction="custom" dataDxfId="57" totalsRowDxfId="56"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4" totalsRowCount="1" headerRowDxfId="55" headerRowBorderDxfId="54">
  <autoFilter ref="A1:I43"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3"/>
    <tableColumn id="4" xr3:uid="{1889A312-9B41-4EC4-BD8F-05252F27084A}" name="Price" totalsRowFunction="sum"/>
    <tableColumn id="6" xr3:uid="{8B974B20-F003-4E67-8660-024FA4F324A9}" name="Party"/>
    <tableColumn id="7" xr3:uid="{0A5A5C21-FD61-47DA-9F54-66A6479FA557}" name="Paid" totalsRowFunction="sum" dataDxfId="52">
      <calculatedColumnFormula>SUMIFS(Table14[Debit], Table14[Date], Table8[[#This Row],[Date]], Table14[Party], Table8[[#This Row],[Party]])</calculatedColumnFormula>
    </tableColumn>
    <tableColumn id="8" xr3:uid="{8DCB3B43-2161-4081-82EC-CDB0F4DE4E6F}" name="Balance" totalsRowFunction="sum" dataDxfId="5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0" totalsRowCount="1" headerRowDxfId="50" headerRowBorderDxfId="49">
  <autoFilter ref="A4:H49" xr:uid="{A4C80688-A8BA-4BA7-90B4-791CD99446B4}"/>
  <sortState xmlns:xlrd2="http://schemas.microsoft.com/office/spreadsheetml/2017/richdata2" ref="A5:H6">
    <sortCondition ref="A4:A6"/>
  </sortState>
  <tableColumns count="8">
    <tableColumn id="1" xr3:uid="{4A818912-918E-4111-ACFC-BC93FEF7C1AD}" name="Date" dataDxfId="48" totalsRowDxfId="47"/>
    <tableColumn id="8" xr3:uid="{477ACFD5-62AF-4F69-974B-E9B974C11D7D}" name="Party Name" dataDxfId="4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5">
      <calculatedColumnFormula>Table2[[#This Row],[Quantity]]*200*Table2[[#This Row],[Boxes]]</calculatedColumnFormula>
    </tableColumn>
    <tableColumn id="6" xr3:uid="{30432929-CBD4-4BA8-B63F-CD0F6CF6405F}" name="Paid" totalsRowFunction="sum" dataDxfId="44">
      <calculatedColumnFormula>SUMIFS(Table14[Debit], Table14[Date], Table2[[#This Row],[Date]], Table14[Party], Table2[[#This Row],[Party Name]])</calculatedColumnFormula>
    </tableColumn>
    <tableColumn id="7" xr3:uid="{BB689DF2-5D1E-436D-84C4-9745D88E8F3D}" name="Balance" totalsRowFunction="sum" dataDxfId="43">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2" totalsRowDxfId="41"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0" totalsRowDxfId="39"/>
    <tableColumn id="2" xr3:uid="{053BFC14-4828-417C-9F9F-95B6E232A945}" name="Amount" totalsRowFunction="custom" dataDxfId="38" totalsRowDxfId="3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6" totalsRowDxfId="3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4" totalsRowDxfId="33">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2" totalsRowDxfId="31">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0" totalsRowDxfId="29">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28" totalsRowDxfId="27">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26">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148" totalsRowCount="1">
  <autoFilter ref="B2:E147"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148" totalsRowCount="1">
  <autoFilter ref="H2:J147"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2">
      <calculatedColumnFormula>Billing!R5</calculatedColumnFormula>
    </tableColumn>
    <tableColumn id="2" xr3:uid="{7093A59E-B58F-487D-888A-9AA8156B5F9A}" name="Amount Paid" dataDxfId="11">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0">
      <calculatedColumnFormula>G2</calculatedColumnFormula>
    </tableColumn>
    <tableColumn id="2" xr3:uid="{F72CFEEB-BA11-4A49-BD19-88592EB6A27C}" name="Credit" dataDxfId="9"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4.xml"/><Relationship Id="rId5" Type="http://schemas.openxmlformats.org/officeDocument/2006/relationships/table" Target="../tables/table13.xml"/><Relationship Id="rId4" Type="http://schemas.openxmlformats.org/officeDocument/2006/relationships/table" Target="../tables/table12.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8"/>
  <sheetViews>
    <sheetView topLeftCell="G2" zoomScaleNormal="100" workbookViewId="0">
      <selection activeCell="W8" sqref="W8"/>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944827.17629846383</v>
      </c>
      <c r="D2">
        <v>10</v>
      </c>
      <c r="E2" s="14">
        <f>(SUMIFS(ledger!G:G, ledger!B:B, B2, ledger!E:E, "&lt;&gt;*RD*",ledger!D:D, "Silky") / 1.0936)*12 + (SUMIFS(ledger!G:G, ledger!B:B, B2, ledger!E:E, "&lt;&gt;*RD*",ledger!D:D, "Chamki") / 1.0936)*10</f>
        <v>8593866.1302121449</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40" t="s">
        <v>626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5">_xlfn.UNIQUE(Table1[Party Name])</f>
        <v>BSC</v>
      </c>
      <c r="S5" s="22" cm="1">
        <f t="array" ref="S5">_xlfn.BYROW(B49,_xlfn.LAMBDA(_xlpm.party,SUMIFS(ledger!G:G,ledger!B:B,_xlpm.party,ledger!E:E,"&lt;&gt;*RD*")))+_xlfn.IFNA(C98,0)</f>
        <v>5379776.8824000005</v>
      </c>
      <c r="T5" s="22" cm="1">
        <f t="array" ref="T5">_xlfn.BYROW(B49, _xlfn.LAMBDA(_xlpm.party, SUMIFS(ledger!G:G, ledger!B:B, _xlpm.party, ledger!E:E, "&lt;&gt;*RD*") / 1.0936 ))+_xlfn.IFNA(E98,0)</f>
        <v>4071514.1572787128</v>
      </c>
      <c r="U5" s="22" cm="1">
        <f t="array" ref="U5">(_xlfn.BYROW(B49,_xlfn.LAMBDA(_xlpm.party,SUMIFS(ledger!G:G,ledger!B:B,_xlpm.party,ledger!E:E,"&lt;&gt;*RD*",ledger!D:D,"Chamki")+SUMIFS(ledger!G:G, ledger!B:B, _xlpm.party, ledger!E:E, "&lt;&gt;*RD*", ledger!D:D, "Crinkle")))/1.0936)+_xlfn.IFNA(E98,0)</f>
        <v>3780607.0614484278</v>
      </c>
      <c r="V5" s="70" cm="1">
        <f t="array" ref="V5">(_xlfn.BYROW(B49,_xlfn.LAMBDA(_xlpm.party,SUMIFS(ledger!G:G,ledger!B:B,_xlpm.party,ledger!E:E,"&lt;&gt;*RD*",ledger!D:D,"Silky")))/1.0936)+_xlfn.IFNA(F98,0)</f>
        <v>945348.39063643024</v>
      </c>
      <c r="W5" s="22" cm="1">
        <f t="array" ref="W5">(_xlfn.BYROW(B49,_xlfn.LAMBDA(_xlpm.party,
(SUMIFS(ledger!J:J,ledger!B:B,_xlpm.party,ledger!E:E,"&lt;&gt;*RD*",ledger!D:D,"Chamki",ledger!C:C,"&lt;&gt;Closing CF")+
SUMIFS(ledger!J:J,ledger!B:B,_xlpm.party,ledger!E:E,"&lt;&gt;*RD*",ledger!D:D,"Crinkle",ledger!C:C,"&lt;&gt;Closing CF")
)+_xlfn.IFNA(G98,0))))</f>
        <v>37806070.61448428</v>
      </c>
      <c r="X5" s="70" cm="1">
        <f t="array" ref="X5">_xlfn.BYROW(B49, _xlfn.LAMBDA(_xlpm.party,
   SUMIFS(ledger!J:J, ledger!B:B, _xlpm.party, ledger!E:E, "&lt;&gt;*RD*", ledger!D:D, "Silky", ledger!C:C, "&lt;&gt;Closing CF")
)) + _xlfn.IFNA(H98, 0)</f>
        <v>12130422.457937088</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52063588.902706668</v>
      </c>
      <c r="AF5" s="22">
        <f>(SUMIF(Table14[Party],#REF!,Table14[Credit]))+_xlfn.IFNA(P98,0)</f>
        <v>19750734</v>
      </c>
      <c r="AG5" s="33">
        <f>AE5-AF5</f>
        <v>32312854.902706668</v>
      </c>
      <c r="AH5" s="21">
        <v>10</v>
      </c>
      <c r="AI5" s="21">
        <v>13</v>
      </c>
      <c r="AL5" s="14">
        <f>SUM(AG5:AG47)</f>
        <v>39976376.496927597</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283694</v>
      </c>
      <c r="T11" s="22" cm="1">
        <f t="array" ref="T11">_xlfn.BYROW(B55, _xlfn.LAMBDA(_xlpm.party, SUMIFS(ledger!G:G, ledger!B:B, _xlpm.party, ledger!E:E, "&lt;&gt;*RD*") / 1.0936 ))+_xlfn.IFNA(D104,0)</f>
        <v>259412.94806144846</v>
      </c>
      <c r="U11" s="22" cm="1">
        <f t="array" ref="U11">(_xlfn.BYROW(B55,_xlfn.LAMBDA(_xlpm.party,SUMIFS(ledger!G:G,ledger!B:B,_xlpm.party,ledger!E:E,"&lt;&gt;*RD*",ledger!D:D,"Chamki")+SUMIFS(ledger!G:G, ledger!B:B, _xlpm.party, ledger!E:E, "&lt;&gt;*RD*", ledger!D:D, "Crinkle")))/1.0936)+_xlfn.IFNA(E104,0)</f>
        <v>259412.94806144846</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2594129.4806144848</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2594129.4806144848</v>
      </c>
      <c r="AF11" s="22">
        <f>(SUMIF(Table14[Party],R11,Table14[Credit]))+_xlfn.IFNA(P104,0)</f>
        <v>1976321</v>
      </c>
      <c r="AG11" s="33">
        <f t="shared" si="2"/>
        <v>617808.48061448475</v>
      </c>
      <c r="AH11" s="21">
        <v>10</v>
      </c>
      <c r="AI11" s="21">
        <v>13</v>
      </c>
    </row>
    <row r="12" spans="2:38"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809806</v>
      </c>
      <c r="T15" s="22" cm="1">
        <f t="array" ref="T15">_xlfn.BYROW(B59, _xlfn.LAMBDA(_xlpm.party, SUMIFS(ledger!G:G, ledger!B:B, _xlpm.party, ledger!E:E, "&lt;&gt;*RD*") / 1.0936 ))+_xlfn.IFNA(D108,0)</f>
        <v>740495.6108266277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57155.267008046823</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743018.47110460862</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7623771.0314557431</v>
      </c>
      <c r="AF15" s="22">
        <f>(SUMIF(Table14[Party],R15,Table14[Credit]))+_xlfn.IFNA(P108,0)</f>
        <v>6125853</v>
      </c>
      <c r="AG15" s="33">
        <f t="shared" si="2"/>
        <v>1497918.0314557431</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32716102.048280913</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189</v>
      </c>
      <c r="P22" s="21"/>
      <c r="R22" t="str">
        <v>Shafique Ansari</v>
      </c>
      <c r="S22" s="22" cm="1">
        <f t="array" ref="S22">_xlfn.BYROW(B66,_xlfn.LAMBDA(_xlpm.party,SUMIFS(ledger!G:G,ledger!B:B,_xlpm.party,ledger!E:E,"&lt;&gt;*RD*")))+_xlfn.IFNA(C115,0)</f>
        <v>312188</v>
      </c>
      <c r="T22" s="22" cm="1">
        <f t="array" ref="T22">_xlfn.BYROW(B66, _xlfn.LAMBDA(_xlpm.party, SUMIFS(ledger!G:G, ledger!B:B, _xlpm.party, ledger!E:E, "&lt;&gt;*RD*") / 1.0936 ))+_xlfn.IFNA(D115,0)</f>
        <v>285468.17849305051</v>
      </c>
      <c r="U22" s="22" cm="1">
        <f t="array" ref="U22">(_xlfn.BYROW(B66,_xlfn.LAMBDA(_xlpm.party,SUMIFS(ledger!G:G,ledger!B:B,_xlpm.party,ledger!E:E,"&lt;&gt;*RD*",ledger!D:D,"Chamki")+SUMIFS(ledger!G:G, ledger!B:B, _xlpm.party, ledger!E:E, "&lt;&gt;*RD*", ledger!D:D, "Crinkle")))/1.0936)+_xlfn.IFNA(E115,0)</f>
        <v>90599.853694220932</v>
      </c>
      <c r="V22" s="70" cm="1">
        <f t="array" ref="V22">(_xlfn.BYROW(B66,_xlfn.LAMBDA(_xlpm.party,SUMIFS(ledger!G:G,ledger!B:B,_xlpm.party,ledger!E:E,"&lt;&gt;*RD*",ledger!D:D,"Silky")))/1.0936)+_xlfn.IFNA(F115,0)</f>
        <v>24600.40234089247</v>
      </c>
      <c r="W22" s="22" cm="1">
        <f t="array" ref="W22">(_xlfn.BYROW(B66,_xlfn.LAMBDA(_xlpm.party,
(SUMIFS(ledger!J:J,ledger!B:B,_xlpm.party,ledger!E:E,"&lt;&gt;*RD*",ledger!D:D,"Chamki",ledger!C:C,"&lt;&gt;Closing CF")+
SUMIFS(ledger!J:J,ledger!B:B,_xlpm.party,ledger!E:E,"&lt;&gt;*RD*",ledger!D:D,"Crinkle",ledger!C:C,"&lt;&gt;Closing CF")
)+_xlfn.IFNA(G115,0))))</f>
        <v>932297.91514264827</v>
      </c>
      <c r="X22" s="70" cm="1">
        <f t="array" ref="X22">_xlfn.BYROW(B66, _xlfn.LAMBDA(_xlpm.party,
   SUMIFS(ledger!J:J, ledger!B:B, _xlpm.party, ledger!E:E, "&lt;&gt;*RD*", ledger!D:D, "Silky", ledger!C:C, "&lt;&gt;Closing CF")
)) + _xlfn.IFNA(H115, 0)</f>
        <v>295721.47037307976</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133445.50109729334</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1209929.5903438188</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701356.98610095098</v>
      </c>
      <c r="AE22" s="39">
        <f t="shared" si="1"/>
        <v>3272751.4630577909</v>
      </c>
      <c r="AF22" s="22">
        <f>(SUMIF(Table14[Party],R22,Table14[Credit]))+_xlfn.IFNA(P115,0)</f>
        <v>2860660</v>
      </c>
      <c r="AG22" s="33">
        <f t="shared" si="2"/>
        <v>412091.46305779088</v>
      </c>
      <c r="AH22" s="21">
        <v>10</v>
      </c>
      <c r="AI22" s="21">
        <v>13</v>
      </c>
    </row>
    <row r="23" spans="2:35" x14ac:dyDescent="0.3">
      <c r="B23" s="24" t="s">
        <v>31</v>
      </c>
      <c r="C23" s="37">
        <f>SUM(O49:O85)</f>
        <v>32716102.048280913</v>
      </c>
      <c r="D23" t="s">
        <v>32</v>
      </c>
      <c r="I23" t="s">
        <v>192</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191</v>
      </c>
      <c r="R24" t="str">
        <v>Salman Zaffar</v>
      </c>
      <c r="S24" s="22" cm="1">
        <f t="array" ref="S24">_xlfn.BYROW(B68,_xlfn.LAMBDA(_xlpm.party,SUMIFS(ledger!G:G,ledger!B:B,_xlpm.party,ledger!E:E,"&lt;&gt;*RD*")))+_xlfn.IFNA(C117,0)</f>
        <v>350992</v>
      </c>
      <c r="T24" s="22" cm="1">
        <f t="array" ref="T24">_xlfn.BYROW(B68, _xlfn.LAMBDA(_xlpm.party, SUMIFS(ledger!G:G, ledger!B:B, _xlpm.party, ledger!E:E, "&lt;&gt;*RD*") / 1.0936 ))+_xlfn.IFNA(D117,0)</f>
        <v>320950.9875640088</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91349.670811997072</v>
      </c>
      <c r="AE24" s="39">
        <f t="shared" si="1"/>
        <v>3361129.2977322605</v>
      </c>
      <c r="AF24" s="22">
        <f>(SUMIF(Table14[Party],R24,Table14[Credit]))+_xlfn.IFNA(P117,0)</f>
        <v>3296025</v>
      </c>
      <c r="AG24" s="33">
        <f t="shared" si="2"/>
        <v>65104.297732260544</v>
      </c>
      <c r="AH24" s="21">
        <v>10</v>
      </c>
      <c r="AI24" s="21">
        <v>13</v>
      </c>
    </row>
    <row r="25" spans="2:35" x14ac:dyDescent="0.3">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3">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676238</v>
      </c>
      <c r="T36" s="22" cm="1">
        <f t="array" ref="T36">_xlfn.BYROW(B80, _xlfn.LAMBDA(_xlpm.party, SUMIFS(ledger!G:G, ledger!B:B, _xlpm.party, ledger!E:E, "&lt;&gt;*RD*") / 1.0936 ))+_xlfn.IFNA(D129,0)</f>
        <v>618359.54645208491</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430820.22677395761</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5600662.9480614495</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7767842.9041697159</v>
      </c>
      <c r="AF36" s="22">
        <f>(SUMIF(Table14[Party],R36,Table14[Credit]))+_xlfn.IFNA(P129,0)</f>
        <v>7763331.4930504756</v>
      </c>
      <c r="AG36" s="33">
        <f t="shared" si="2"/>
        <v>4511.4111192403361</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449040</v>
      </c>
      <c r="T38" s="22" cm="1">
        <f t="array" ref="T38">_xlfn.BYROW(B82, _xlfn.LAMBDA(_xlpm.party, SUMIFS(ledger!G:G, ledger!B:B, _xlpm.party, ledger!E:E, "&lt;&gt;*RD*") / 1.0936 ))+_xlfn.IFNA(D131,0)</f>
        <v>410607.1689831749</v>
      </c>
      <c r="U38" s="22" cm="1">
        <f t="array" ref="U38">(_xlfn.BYROW(B82,_xlfn.LAMBDA(_xlpm.party,SUMIFS(ledger!G:G,ledger!B:B,_xlpm.party,ledger!E:E,"&lt;&gt;*RD*",ledger!D:D,"Chamki")+SUMIFS(ledger!G:G, ledger!B:B, _xlpm.party, ledger!E:E, "&lt;&gt;*RD*", ledger!D:D, "Crinkle")))/1.0936)+_xlfn.IFNA(E131,0)</f>
        <v>86493.233357717632</v>
      </c>
      <c r="V38" s="70" cm="1">
        <f t="array" ref="V38">(_xlfn.BYROW(B82,_xlfn.LAMBDA(_xlpm.party,SUMIFS(ledger!G:G,ledger!B:B,_xlpm.party,ledger!E:E,"&lt;&gt;*RD*",ledger!D:D,"Silky")))/1.0936)+_xlfn.IFNA(F131,0)</f>
        <v>243062.36283833213</v>
      </c>
      <c r="W38" s="22" cm="1">
        <f t="array" ref="W38">(_xlfn.BYROW(B82,_xlfn.LAMBDA(_xlpm.party,
(SUMIFS(ledger!J:J,ledger!B:B,_xlpm.party,ledger!E:E,"&lt;&gt;*RD*",ledger!D:D,"Chamki",ledger!C:C,"&lt;&gt;Closing CF")+
SUMIFS(ledger!J:J,ledger!B:B,_xlpm.party,ledger!E:E,"&lt;&gt;*RD*",ledger!D:D,"Crinkle",ledger!C:C,"&lt;&gt;Closing CF")
)+_xlfn.IFNA(G131,0))))</f>
        <v>864932.33357717632</v>
      </c>
      <c r="X38" s="70" cm="1">
        <f t="array" ref="X38">_xlfn.BYROW(B82, _xlfn.LAMBDA(_xlpm.party,
   SUMIFS(ledger!J:J, ledger!B:B, _xlpm.party, ledger!E:E, "&lt;&gt;*RD*", ledger!D:D, "Silky", ledger!C:C, "&lt;&gt;Closing CF")
)) + _xlfn.IFNA(H131, 0)</f>
        <v>2935341.0753474766</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1215773.5918068765</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17000</v>
      </c>
      <c r="AE38" s="39">
        <f t="shared" si="1"/>
        <v>5033047.0007315297</v>
      </c>
      <c r="AF38" s="22">
        <f>(SUMIF(Table14[Party],R38,Table14[Credit]))+_xlfn.IFNA(P131,0)</f>
        <v>1918328</v>
      </c>
      <c r="AG38" s="33">
        <f t="shared" ref="AG38" si="4">AE38-AF38</f>
        <v>3114719.0007315297</v>
      </c>
    </row>
    <row r="39" spans="2:35" x14ac:dyDescent="0.3">
      <c r="R39">
        <v>0</v>
      </c>
      <c r="S39" s="22" cm="1">
        <f t="array" ref="S39">_xlfn.BYROW(B83,_xlfn.LAMBDA(_xlpm.party,SUMIFS(ledger!G:G,ledger!B:B,_xlpm.party,ledger!E:E,"&lt;&gt;*RD*")))+_xlfn.IFNA(C132,0)</f>
        <v>0</v>
      </c>
      <c r="T39" s="22" cm="1">
        <f t="array" ref="T39">_xlfn.BYROW(B83, _xlfn.LAMBDA(_xlpm.party, SUMIFS(ledger!G:G, ledger!B:B, _xlpm.party, ledger!E:E, "&lt;&gt;*RD*") / 1.0936 ))+_xlfn.IFNA(D132,0)</f>
        <v>0</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0</v>
      </c>
      <c r="W39" s="22" cm="1">
        <f t="array" ref="W39">(_xlfn.BYROW(B83,_xlfn.LAMBDA(_xlpm.party,
(SUMIFS(ledger!J:J,ledger!B:B,_xlpm.party,ledger!E:E,"&lt;&gt;*RD*",ledger!D:D,"Chamki",ledger!C:C,"&lt;&gt;Closing CF")+
SUMIFS(ledger!J:J,ledger!B:B,_xlpm.party,ledger!E:E,"&lt;&gt;*RD*",ledger!D:D,"Crinkle",ledger!C:C,"&lt;&gt;Closing CF")
)+_xlfn.IFNA(G132,0))))</f>
        <v>0</v>
      </c>
      <c r="X39" s="70" cm="1">
        <f t="array" ref="X39">_xlfn.BYROW(B83, _xlfn.LAMBDA(_xlpm.party,
   SUMIFS(ledger!J:J, ledger!B:B, _xlpm.party, ledger!E:E, "&lt;&gt;*RD*", ledger!D:D, "Silky", ledger!C:C, "&lt;&gt;Closing CF")
)) + _xlfn.IFNA(H132, 0)</f>
        <v>0</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0</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0</v>
      </c>
      <c r="AE39" s="39">
        <f t="shared" ref="AE39:AE40" si="5">W39+X39+Y39+Z39+AA39+AB39+AC39+AD39</f>
        <v>0</v>
      </c>
      <c r="AF39" s="22">
        <f>(SUMIF(Table14[Party],R39,Table14[Credit]))+_xlfn.IFNA(P132,0)</f>
        <v>0</v>
      </c>
      <c r="AG39" s="33">
        <f t="shared" ref="AG39:AG40" si="6">AE39-AF39</f>
        <v>0</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2147000</v>
      </c>
      <c r="AG40" s="33">
        <f t="shared" si="6"/>
        <v>326.26188734453171</v>
      </c>
    </row>
    <row r="41" spans="2:35" x14ac:dyDescent="0.3">
      <c r="R41" t="str">
        <v>ACM salman zaffar</v>
      </c>
      <c r="S41" s="22" cm="1">
        <f t="array" ref="S41">_xlfn.BYROW(B85,_xlfn.LAMBDA(_xlpm.party,SUMIFS(ledger!G:G,ledger!B:B,_xlpm.party,ledger!E:E,"&lt;&gt;*RD*")))+_xlfn.IFNA(C134,0)</f>
        <v>67964</v>
      </c>
      <c r="T41" s="22" cm="1">
        <f t="array" ref="T41">_xlfn.BYROW(B85, _xlfn.LAMBDA(_xlpm.party, SUMIFS(ledger!G:G, ledger!B:B, _xlpm.party, ledger!E:E, "&lt;&gt;*RD*") / 1.0936 ))+_xlfn.IFNA(D134,0)</f>
        <v>62147.037307973667</v>
      </c>
      <c r="U41" s="22" cm="1">
        <f t="array" ref="U41">(_xlfn.BYROW(B85,_xlfn.LAMBDA(_xlpm.party,SUMIFS(ledger!G:G,ledger!B:B,_xlpm.party,ledger!E:E,"&lt;&gt;*RD*",ledger!D:D,"Chamki")+SUMIFS(ledger!G:G, ledger!B:B, _xlpm.party, ledger!E:E, "&lt;&gt;*RD*", ledger!D:D, "Crinkle")))/1.0936)+_xlfn.IFNA(E134,0)</f>
        <v>59862.838332114123</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598628.38332114124</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628322.97000731539</v>
      </c>
      <c r="AF41" s="22">
        <f>(SUMIF(Table14[Party],R41,Table14[Credit]))+_xlfn.IFNA(P134,0)</f>
        <v>628000</v>
      </c>
      <c r="AG41" s="33">
        <f t="shared" ref="AG41:AG42" si="8">AE41-AF41</f>
        <v>322.97000731539447</v>
      </c>
    </row>
    <row r="42" spans="2:35" x14ac:dyDescent="0.3">
      <c r="R42" t="str">
        <v>Moeez badshah</v>
      </c>
      <c r="S42" s="22" cm="1">
        <f t="array" ref="S42">_xlfn.BYROW(B86,_xlfn.LAMBDA(_xlpm.party,SUMIFS(ledger!G:G,ledger!B:B,_xlpm.party,ledger!E:E,"&lt;&gt;*RD*")))+_xlfn.IFNA(C135,0)</f>
        <v>168047</v>
      </c>
      <c r="T42" s="22" cm="1">
        <f t="array" ref="T42">_xlfn.BYROW(B86, _xlfn.LAMBDA(_xlpm.party, SUMIFS(ledger!G:G, ledger!B:B, _xlpm.party, ledger!E:E, "&lt;&gt;*RD*") / 1.0936 ))+_xlfn.IFNA(D135,0)</f>
        <v>153664.04535479154</v>
      </c>
      <c r="U42" s="22" cm="1">
        <f t="array" ref="U42">(_xlfn.BYROW(B86,_xlfn.LAMBDA(_xlpm.party,SUMIFS(ledger!G:G,ledger!B:B,_xlpm.party,ledger!E:E,"&lt;&gt;*RD*",ledger!D:D,"Chamki")+SUMIFS(ledger!G:G, ledger!B:B, _xlpm.party, ledger!E:E, "&lt;&gt;*RD*", ledger!D:D, "Crinkle")))/1.0936)+_xlfn.IFNA(E135,0)</f>
        <v>57385.698610095104</v>
      </c>
      <c r="V42" s="70" cm="1">
        <f t="array" ref="V42">(_xlfn.BYROW(B86,_xlfn.LAMBDA(_xlpm.party,SUMIFS(ledger!G:G,ledger!B:B,_xlpm.party,ledger!E:E,"&lt;&gt;*RD*",ledger!D:D,"Silky")))/1.0936)+_xlfn.IFNA(F135,0)</f>
        <v>96278.346744696421</v>
      </c>
      <c r="W42" s="22" cm="1">
        <f t="array" ref="W42">(_xlfn.BYROW(B86,_xlfn.LAMBDA(_xlpm.party,
(SUMIFS(ledger!J:J,ledger!B:B,_xlpm.party,ledger!E:E,"&lt;&gt;*RD*",ledger!D:D,"Chamki",ledger!C:C,"&lt;&gt;Closing CF")+
SUMIFS(ledger!J:J,ledger!B:B,_xlpm.party,ledger!E:E,"&lt;&gt;*RD*",ledger!D:D,"Crinkle",ledger!C:C,"&lt;&gt;Closing CF")
)+_xlfn.IFNA(G135,0))))</f>
        <v>573856.98610095098</v>
      </c>
      <c r="X42" s="70" cm="1">
        <f t="array" ref="X42">_xlfn.BYROW(B86, _xlfn.LAMBDA(_xlpm.party,
   SUMIFS(ledger!J:J, ledger!B:B, _xlpm.party, ledger!E:E, "&lt;&gt;*RD*", ledger!D:D, "Silky", ledger!C:C, "&lt;&gt;Closing CF")
)) + _xlfn.IFNA(H135, 0)</f>
        <v>1155340.160936357</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1729197.147037308</v>
      </c>
      <c r="AF42" s="22">
        <f>(SUMIF(Table14[Party],R42,Table14[Credit]))+_xlfn.IFNA(P135,0)</f>
        <v>1742500</v>
      </c>
      <c r="AG42" s="33">
        <f t="shared" si="8"/>
        <v>-13302.852962692035</v>
      </c>
    </row>
    <row r="43" spans="2:35" x14ac:dyDescent="0.3">
      <c r="R43" t="str">
        <v>Bablu</v>
      </c>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105109.72933430871</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R44" t="str">
        <v>Sheikh Naveed</v>
      </c>
      <c r="W44" s="22" cm="1">
        <f t="array" ref="W44">(_xlfn.BYROW(B88,_xlfn.LAMBDA(_xlpm.party,
(SUMIFS(ledger!J:J,ledger!B:B,_xlpm.party,ledger!E:E,"&lt;&gt;*RD*",ledger!D:D,"Chamki",ledger!C:C,"&lt;&gt;Closing CF")+
SUMIFS(ledger!J:J,ledger!B:B,_xlpm.party,ledger!E:E,"&lt;&gt;*RD*",ledger!D:D,"Crinkle",ledger!C:C,"&lt;&gt;Closing CF")
)+_xlfn.IFNA(G137,0))))</f>
        <v>94934.162399414781</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5" spans="2:35" x14ac:dyDescent="0.3">
      <c r="R45" t="str">
        <v>Rehan Butt</v>
      </c>
    </row>
    <row r="47" spans="2:35" x14ac:dyDescent="0.3">
      <c r="B47" t="s">
        <v>154</v>
      </c>
    </row>
    <row r="48" spans="2:35" x14ac:dyDescent="0.3">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3">
      <c r="A49" t="s">
        <v>33</v>
      </c>
      <c r="B49" s="24" t="str" cm="1">
        <f t="array" ref="B49:B89">_xlfn.UNIQUE(Table1[Party Name])</f>
        <v>BSC</v>
      </c>
      <c r="C49" s="22" cm="1">
        <f t="array" ref="C49:C89">_xlfn.BYROW(_xlfn.ANCHORARRAY(B49),_xlfn.LAMBDA(_xlpm.party,SUMIFS(ledger!G:G,ledger!B:B,_xlpm.party,ledger!E:E,"&lt;&gt;*RD*")))</f>
        <v>1033263</v>
      </c>
      <c r="D49" s="22" cm="1">
        <f t="array" ref="D49:D89">_xlfn.BYROW(_xlfn.ANCHORARRAY(B49), _xlfn.LAMBDA(_xlpm.party, SUMIFS(ledger!G:G, ledger!B:B, _xlpm.party, ledger!E:E, "&lt;&gt;*RD*") / 1.0936 ))</f>
        <v>944827.17629846383</v>
      </c>
      <c r="E49" s="63" cm="1">
        <f t="array" ref="E49:E89">(_xlfn.BYROW(_xlfn.ANCHORARRAY(B49),_xlfn.LAMBDA(_xlpm.party,SUMIFS(ledger!G:G,ledger!B:B,_xlpm.party,ledger!E:E,"&lt;&gt;*RD*",ledger!D:D,"Chamki")+SUMIFS(ledger!G:G, ledger!B:B, _xlpm.party, ledger!E:E, "&lt;&gt;*RD*", ledger!D:D, "Crinkle")))/1.0936)</f>
        <v>653920.08046817849</v>
      </c>
      <c r="F49" s="63" cm="1">
        <f t="array" ref="F49:F89">(_xlfn.BYROW(_xlfn.ANCHORARRAY(B49),_xlfn.LAMBDA(_xlpm.party,SUMIFS(ledger!G:G,ledger!B:B,_xlpm.party,ledger!E:E,"&lt;&gt;*RD*",ledger!D:D,"Silky")))/1.0936)</f>
        <v>290907.09583028534</v>
      </c>
      <c r="G49" s="22" cm="1">
        <f t="array" ref="G49">(_xlfn.BYROW(B49,_xlfn.LAMBDA(_xlpm.party,
(SUMIFS(ledger!J:J,ledger!B:B,_xlpm.party,ledger!E:E,"&lt;&gt;*RD*",ledger!D:D,"Chamki",ledger!C:C,"&lt;&gt;Closing CF")+
SUMIFS(ledger!J:J,ledger!B:B,_xlpm.party,ledger!E:E,"&lt;&gt;*RD*",ledger!D:D,"Crinkle",ledger!C:C,"&lt;&gt;Closing CF")
))))</f>
        <v>6539200.8046817863</v>
      </c>
      <c r="H49" s="22" cm="1">
        <f t="array" ref="H49">_xlfn.BYROW(B49, _xlfn.LAMBDA(_xlpm.party,
   SUMIFS(ledger!J:J, ledger!B:B, _xlpm.party, ledger!E:E, "&lt;&gt;*RD*", ledger!D:D, "Silky", ledger!C:C, "&lt;&gt;Closing CF")
))</f>
        <v>3711041.5142648132</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10250242.3189466</v>
      </c>
      <c r="P49" s="22">
        <f>(SUMIF(Table14[Party],B49,Table14[Credit]))</f>
        <v>0</v>
      </c>
      <c r="Q49" s="37">
        <f t="shared" ref="Q49:Q80" si="9">O49-P49</f>
        <v>10250242.3189466</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80391</v>
      </c>
      <c r="D55" s="22">
        <v>73510.424286759328</v>
      </c>
      <c r="E55" s="63">
        <v>73510.424286759328</v>
      </c>
      <c r="F55" s="63">
        <v>0</v>
      </c>
      <c r="G55" s="22" cm="1">
        <f t="array" ref="G55">(_xlfn.BYROW(B55,_xlfn.LAMBDA(_xlpm.party,
(SUMIFS(ledger!J:J,ledger!B:B,_xlpm.party,ledger!E:E,"&lt;&gt;*RD*",ledger!D:D,"Chamki",ledger!C:C,"&lt;&gt;Closing CF")+
SUMIFS(ledger!J:J,ledger!B:B,_xlpm.party,ledger!E:E,"&lt;&gt;*RD*",ledger!D:D,"Crinkle",ledger!C:C,"&lt;&gt;Closing CF")
))))</f>
        <v>735104.2428675933</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735104.2428675933</v>
      </c>
      <c r="P55" s="22">
        <f>(SUMIF(Table14[Party],B55,Table14[Credit]))</f>
        <v>250000</v>
      </c>
      <c r="Q55" s="37">
        <f t="shared" si="9"/>
        <v>485104.2428675933</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944827.17629846383</v>
      </c>
      <c r="X58" s="18">
        <v>8593866.1302121449</v>
      </c>
    </row>
    <row r="59" spans="1:24" x14ac:dyDescent="0.3">
      <c r="B59" s="24" t="str">
        <v>Hafiz Qureshi</v>
      </c>
      <c r="C59" s="22">
        <v>171825</v>
      </c>
      <c r="D59" s="22">
        <v>157118.69056327725</v>
      </c>
      <c r="E59" s="63">
        <v>52614.301389904904</v>
      </c>
      <c r="F59" s="63">
        <v>57155.267008046823</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743018.47110460862</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1790001.8288222384</v>
      </c>
      <c r="P59" s="22">
        <f>(SUMIF(Table14[Party],B59,Table14[Credit]))</f>
        <v>586594</v>
      </c>
      <c r="Q59" s="37">
        <f t="shared" si="9"/>
        <v>1203407.8288222384</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73510.424286759328</v>
      </c>
      <c r="X64" s="18">
        <v>735104.2428675933</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3">
      <c r="B66" s="80" t="str">
        <v>Shafique Ansari</v>
      </c>
      <c r="C66" s="22">
        <v>229898</v>
      </c>
      <c r="D66" s="22">
        <v>210221.2874908559</v>
      </c>
      <c r="E66" s="63">
        <v>26299.378200438921</v>
      </c>
      <c r="F66" s="63">
        <v>17034.564740307243</v>
      </c>
      <c r="G66" s="22" cm="1">
        <f t="array" ref="G66">(_xlfn.BYROW(B66,_xlfn.LAMBDA(_xlpm.party,
(SUMIFS(ledger!J:J,ledger!B:B,_xlpm.party,ledger!E:E,"&lt;&gt;*RD*",ledger!D:D,"Chamki",ledger!C:C,"&lt;&gt;Closing CF")+
SUMIFS(ledger!J:J,ledger!B:B,_xlpm.party,ledger!E:E,"&lt;&gt;*RD*",ledger!D:D,"Crinkle",ledger!C:C,"&lt;&gt;Closing CF")
))))</f>
        <v>289293.16020482813</v>
      </c>
      <c r="H66" s="22" cm="1">
        <f t="array" ref="H66">_xlfn.BYROW(B66, _xlfn.LAMBDA(_xlpm.party,
   SUMIFS(ledger!J:J, ledger!B:B, _xlpm.party, ledger!E:E, "&lt;&gt;*RD*", ledger!D:D, "Silky", ledger!C:C, "&lt;&gt;Closing CF")
))</f>
        <v>197365.58156547186</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38789.319678127285</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1209929.5903438188</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701356.98610095098</v>
      </c>
      <c r="O66" s="39">
        <f t="shared" si="10"/>
        <v>2436734.6378931971</v>
      </c>
      <c r="P66" s="22">
        <f>(SUMIF(Table14[Party],B66,Table14[Credit]))</f>
        <v>2025000</v>
      </c>
      <c r="Q66" s="37">
        <f t="shared" si="9"/>
        <v>411734.63789319713</v>
      </c>
      <c r="R66" s="21">
        <v>10</v>
      </c>
      <c r="S66" s="21">
        <v>12</v>
      </c>
      <c r="V66" s="4" t="s">
        <v>35</v>
      </c>
      <c r="W66" s="5">
        <v>100178.31016825166</v>
      </c>
      <c r="X66" s="18">
        <v>1202139.72201902</v>
      </c>
    </row>
    <row r="67" spans="2:24" x14ac:dyDescent="0.3">
      <c r="B67" s="80" t="str">
        <v>Amjad sohail</v>
      </c>
      <c r="C67" s="22">
        <v>0</v>
      </c>
      <c r="D67" s="22">
        <v>0</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147</v>
      </c>
      <c r="W67" s="5">
        <v>0</v>
      </c>
      <c r="X67" s="18">
        <v>0</v>
      </c>
    </row>
    <row r="68" spans="2:24" x14ac:dyDescent="0.3">
      <c r="B68" s="80" t="str">
        <v>Salman Zaffar</v>
      </c>
      <c r="C68" s="22">
        <v>6660</v>
      </c>
      <c r="D68" s="22">
        <v>6089.9780541331384</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91349.670811997072</v>
      </c>
      <c r="O68" s="39">
        <f t="shared" si="10"/>
        <v>91349.670811997072</v>
      </c>
      <c r="P68" s="22">
        <f>(SUMIF(Table14[Party],B68,Table14[Credit]))</f>
        <v>0</v>
      </c>
      <c r="Q68" s="37">
        <f t="shared" si="9"/>
        <v>91349.670811997072</v>
      </c>
      <c r="R68" s="21">
        <v>10</v>
      </c>
      <c r="S68" s="21">
        <v>12</v>
      </c>
      <c r="V68" s="4" t="s">
        <v>27</v>
      </c>
      <c r="W68" s="5">
        <v>157118.69056327725</v>
      </c>
      <c r="X68" s="18">
        <v>1212006.217995611</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1373799.378200439</v>
      </c>
      <c r="X75" s="14">
        <v>12823814.923189469</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438496</v>
      </c>
      <c r="D80">
        <v>400965.61814191664</v>
      </c>
      <c r="E80">
        <v>0</v>
      </c>
      <c r="F80">
        <v>273387.89319678128</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3554042.611558157</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5061645.0256035123</v>
      </c>
      <c r="P80" s="22">
        <f>SUMIF(Table14[Party], B80, Table14[Credit])</f>
        <v>5236540</v>
      </c>
      <c r="Q80" s="37">
        <f t="shared" si="9"/>
        <v>-174894.9743964877</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153</v>
      </c>
      <c r="B82" s="80" t="str">
        <v>Rauf Khan</v>
      </c>
      <c r="C82">
        <v>449040</v>
      </c>
      <c r="D82">
        <v>410607.1689831749</v>
      </c>
      <c r="E82">
        <v>86493.233357717632</v>
      </c>
      <c r="F82">
        <v>243062.36283833213</v>
      </c>
      <c r="G82" s="22" cm="1">
        <f t="array" ref="G82">(_xlfn.BYROW(B82,_xlfn.LAMBDA(_xlpm.party,
(SUMIFS(ledger!J:J,ledger!B:B,_xlpm.party,ledger!E:E,"&lt;&gt;*RD*",ledger!D:D,"Chamki",ledger!C:C,"&lt;&gt;Closing CF")+
SUMIFS(ledger!J:J,ledger!B:B,_xlpm.party,ledger!E:E,"&lt;&gt;*RD*",ledger!D:D,"Crinkle",ledger!C:C,"&lt;&gt;Closing CF")
))))</f>
        <v>864932.33357717632</v>
      </c>
      <c r="H82" s="22" cm="1">
        <f t="array" ref="H82">_xlfn.BYROW(B82, _xlfn.LAMBDA(_xlpm.party,
   SUMIFS(ledger!J:J, ledger!B:B, _xlpm.party, ledger!E:E, "&lt;&gt;*RD*", ledger!D:D, "Silky", ledger!C:C, "&lt;&gt;Closing CF")
))</f>
        <v>2935341.0753474766</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1215773.5918068765</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17000</v>
      </c>
      <c r="O82" s="39">
        <f t="shared" si="10"/>
        <v>5033047.0007315297</v>
      </c>
      <c r="P82" s="22">
        <f>SUMIF(Table14[Party], B82, Table14[Credit])</f>
        <v>1918328</v>
      </c>
      <c r="Q82" s="37">
        <f t="shared" ref="Q82:Q83" si="12">O82-P82</f>
        <v>3114719.0007315297</v>
      </c>
    </row>
    <row r="83" spans="1:17" x14ac:dyDescent="0.3">
      <c r="B83" s="80">
        <v>0</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0</v>
      </c>
      <c r="O83" s="39">
        <f t="shared" si="10"/>
        <v>0</v>
      </c>
      <c r="P83" s="22">
        <f>SUMIF(Table14[Party], B83, Table14[Credit])</f>
        <v>0</v>
      </c>
      <c r="Q83" s="37">
        <f t="shared" si="12"/>
        <v>0</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2147000</v>
      </c>
      <c r="Q84" s="37">
        <f t="shared" ref="Q84:Q87" si="14">O84-P84</f>
        <v>326.26188734453171</v>
      </c>
    </row>
    <row r="85" spans="1:17" x14ac:dyDescent="0.3">
      <c r="B85" s="80" t="str">
        <v>ACM salman zaffar</v>
      </c>
      <c r="C85">
        <v>67964</v>
      </c>
      <c r="D85">
        <v>62147.037307973667</v>
      </c>
      <c r="E85">
        <v>59862.838332114123</v>
      </c>
      <c r="F85">
        <v>2284.1989758595469</v>
      </c>
      <c r="G85" s="22" cm="1">
        <f t="array" ref="G85">(_xlfn.BYROW(B85,_xlfn.LAMBDA(_xlpm.party,
(SUMIFS(ledger!J:J,ledger!B:B,_xlpm.party,ledger!E:E,"&lt;&gt;*RD*",ledger!D:D,"Chamki",ledger!C:C,"&lt;&gt;Closing CF")+
SUMIFS(ledger!J:J,ledger!B:B,_xlpm.party,ledger!E:E,"&lt;&gt;*RD*",ledger!D:D,"Crinkle",ledger!C:C,"&lt;&gt;Closing CF")
))))</f>
        <v>598628.38332114124</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628322.97000731539</v>
      </c>
      <c r="P85" s="22">
        <f>SUMIF(Table14[Party], B85, Table14[Credit])</f>
        <v>628000</v>
      </c>
      <c r="Q85" s="37">
        <f t="shared" si="14"/>
        <v>322.97000731539447</v>
      </c>
    </row>
    <row r="86" spans="1:17" x14ac:dyDescent="0.3">
      <c r="B86" t="str">
        <v>Moeez badshah</v>
      </c>
      <c r="C86">
        <v>168047</v>
      </c>
      <c r="D86">
        <v>153664.04535479154</v>
      </c>
      <c r="E86">
        <v>57385.698610095104</v>
      </c>
      <c r="F86">
        <v>96278.346744696421</v>
      </c>
      <c r="G86" s="22" cm="1">
        <f t="array" ref="G86">(_xlfn.BYROW(B86,_xlfn.LAMBDA(_xlpm.party,
(SUMIFS(ledger!J:J,ledger!B:B,_xlpm.party,ledger!E:E,"&lt;&gt;*RD*",ledger!D:D,"Chamki",ledger!C:C,"&lt;&gt;Closing CF")+
SUMIFS(ledger!J:J,ledger!B:B,_xlpm.party,ledger!E:E,"&lt;&gt;*RD*",ledger!D:D,"Crinkle",ledger!C:C,"&lt;&gt;Closing CF")
))))</f>
        <v>573856.98610095098</v>
      </c>
      <c r="H86" s="22" cm="1">
        <f t="array" ref="H86">_xlfn.BYROW(B86, _xlfn.LAMBDA(_xlpm.party,
   SUMIFS(ledger!J:J, ledger!B:B, _xlpm.party, ledger!E:E, "&lt;&gt;*RD*", ledger!D:D, "Silky", ledger!C:C, "&lt;&gt;Closing CF")
))</f>
        <v>1155340.160936357</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1729197.147037308</v>
      </c>
      <c r="P86" s="22">
        <f>SUMIF(Table14[Party], B86, Table14[Credit])</f>
        <v>1742500</v>
      </c>
      <c r="Q86" s="37">
        <f t="shared" si="14"/>
        <v>-13302.852962692035</v>
      </c>
    </row>
    <row r="87" spans="1:17" x14ac:dyDescent="0.3">
      <c r="B87" t="str">
        <v>Bablu</v>
      </c>
      <c r="C87">
        <v>9579</v>
      </c>
      <c r="D87">
        <v>8759.1441111923923</v>
      </c>
      <c r="E87">
        <v>0</v>
      </c>
      <c r="F87">
        <v>8759.1441111923923</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105109.72933430871</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105109.72933430871</v>
      </c>
      <c r="P87" s="22">
        <f>SUMIF(Table14[Party], B87, Table14[Credit])</f>
        <v>100000</v>
      </c>
      <c r="Q87" s="37">
        <f t="shared" si="14"/>
        <v>5109.7293343087076</v>
      </c>
    </row>
    <row r="88" spans="1:17" x14ac:dyDescent="0.3">
      <c r="B88" t="str">
        <v>Sheikh Naveed</v>
      </c>
      <c r="C88">
        <v>10382</v>
      </c>
      <c r="D88">
        <v>9493.4162399414781</v>
      </c>
      <c r="E88">
        <v>9493.4162399414781</v>
      </c>
      <c r="F88">
        <v>0</v>
      </c>
      <c r="G88" s="22" cm="1">
        <f t="array" ref="G88">(_xlfn.BYROW(B88,_xlfn.LAMBDA(_xlpm.party,
(SUMIFS(ledger!J:J,ledger!B:B,_xlpm.party,ledger!E:E,"&lt;&gt;*RD*",ledger!D:D,"Chamki",ledger!C:C,"&lt;&gt;Closing CF")+
SUMIFS(ledger!J:J,ledger!B:B,_xlpm.party,ledger!E:E,"&lt;&gt;*RD*",ledger!D:D,"Crinkle",ledger!C:C,"&lt;&gt;Closing CF")
))))</f>
        <v>94934.162399414781</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94934.162399414781</v>
      </c>
      <c r="P88" s="22">
        <f>SUMIF(Table14[Party], B88, Table14[Credit])</f>
        <v>94900</v>
      </c>
      <c r="Q88" s="37">
        <f t="shared" ref="Q88:Q89" si="16">O88-P88</f>
        <v>34.162399414781248</v>
      </c>
    </row>
    <row r="89" spans="1:17" x14ac:dyDescent="0.3">
      <c r="B89" t="str">
        <v>Rehan Butt</v>
      </c>
      <c r="C89">
        <v>53438</v>
      </c>
      <c r="D89">
        <v>48864.301389904904</v>
      </c>
      <c r="E89">
        <v>48864.301389904904</v>
      </c>
      <c r="F89">
        <v>0</v>
      </c>
      <c r="G89" s="22" cm="1">
        <f t="array" ref="G89">(_xlfn.BYROW(B89,_xlfn.LAMBDA(_xlpm.party,
(SUMIFS(ledger!J:J,ledger!B:B,_xlpm.party,ledger!E:E,"&lt;&gt;*RD*",ledger!D:D,"Chamki",ledger!C:C,"&lt;&gt;Closing CF")+
SUMIFS(ledger!J:J,ledger!B:B,_xlpm.party,ledger!E:E,"&lt;&gt;*RD*",ledger!D:D,"Crinkle",ledger!C:C,"&lt;&gt;Closing CF")
))))</f>
        <v>488643.01389904902</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488643.01389904902</v>
      </c>
      <c r="P89" s="22">
        <f>SUMIF(Table14[Party], B89, Table14[Credit])</f>
        <v>488600</v>
      </c>
      <c r="Q89" s="37">
        <f t="shared" si="16"/>
        <v>43.013899049023166</v>
      </c>
    </row>
    <row r="97" spans="2:19" x14ac:dyDescent="0.3">
      <c r="B97" t="s">
        <v>33</v>
      </c>
      <c r="C97" s="23" t="s">
        <v>10</v>
      </c>
      <c r="D97" s="23" t="s">
        <v>11</v>
      </c>
      <c r="E97" s="23" t="s">
        <v>12</v>
      </c>
      <c r="F97" s="23" t="s">
        <v>13</v>
      </c>
      <c r="G97" s="23" t="s">
        <v>14</v>
      </c>
      <c r="H97" s="23" t="s">
        <v>15</v>
      </c>
      <c r="I97" s="23" t="s">
        <v>207</v>
      </c>
      <c r="J97" s="23" t="s">
        <v>179</v>
      </c>
      <c r="K97" s="110" t="s">
        <v>208</v>
      </c>
      <c r="L97" s="110" t="s">
        <v>209</v>
      </c>
      <c r="M97" s="110" t="s">
        <v>205</v>
      </c>
      <c r="N97" s="110" t="s">
        <v>276</v>
      </c>
      <c r="O97" s="23" t="s">
        <v>16</v>
      </c>
      <c r="P97" s="23" t="s">
        <v>17</v>
      </c>
      <c r="Q97" s="23" t="s">
        <v>18</v>
      </c>
      <c r="R97" s="23" t="s">
        <v>19</v>
      </c>
      <c r="S97" s="23" t="s">
        <v>20</v>
      </c>
    </row>
    <row r="98" spans="2:19" x14ac:dyDescent="0.3">
      <c r="B98" s="24" t="str" cm="1">
        <f t="array" ref="B98:B138">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t="str">
        <v>Rauf Khan</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v>0</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B135" t="str">
        <v>Moeez badshah</v>
      </c>
      <c r="C135" s="22" t="e">
        <f>_xlfn.XLOOKUP($B86,[1]Billing!$R$5:$R$40,[1]Billing!$S$5:$S$40)</f>
        <v>#N/A</v>
      </c>
      <c r="D135" s="22" t="e">
        <f>_xlfn.XLOOKUP($B86,[1]Billing!$R$5:$R$40,[1]Billing!$T$5:$T$40)</f>
        <v>#N/A</v>
      </c>
      <c r="E135" s="22" t="e">
        <f>_xlfn.XLOOKUP($B86,[1]Billing!$R$5:$R$40,[1]Billing!$U$5:$U$40)</f>
        <v>#N/A</v>
      </c>
      <c r="F135" s="22" t="e">
        <f>_xlfn.XLOOKUP($B86,[1]Billing!$R$5:$R$40,[1]Billing!$V$5:$V$40)</f>
        <v>#N/A</v>
      </c>
      <c r="G135" s="22" t="e">
        <f>_xlfn.XLOOKUP($B86,[1]Billing!$R$5:$R$40,[1]Billing!$W$5:$W$40)</f>
        <v>#N/A</v>
      </c>
      <c r="H135" s="22" t="e">
        <f>_xlfn.XLOOKUP($B86,[1]Billing!$R$5:$R$40,[1]Billing!$X$5:$X$40)</f>
        <v>#N/A</v>
      </c>
      <c r="I135" s="22" t="e">
        <f>_xlfn.XLOOKUP($B86,[1]Billing!$R$5:$R$40,[1]Billing!$Y$5:$Y$40)</f>
        <v>#N/A</v>
      </c>
      <c r="J135" s="22" t="e">
        <f>_xlfn.XLOOKUP($B86,[1]Billing!$R$5:$R$40,[1]Billing!$Z$5:$Z$40)</f>
        <v>#N/A</v>
      </c>
      <c r="K135" s="22" t="e">
        <f>_xlfn.XLOOKUP($B86,[1]Billing!$R$5:$R$40,[1]Billing!$AA$5:$AA$40)</f>
        <v>#N/A</v>
      </c>
      <c r="L135" s="22" t="e">
        <f>_xlfn.XLOOKUP($B86,[1]Billing!$R$5:$R$40,[1]Billing!$AB$5:$AB$40)</f>
        <v>#N/A</v>
      </c>
      <c r="M135" s="22" t="e">
        <f>_xlfn.XLOOKUP($B86,[1]Billing!$R$5:$R$40,[1]Billing!$AC$5:$AC$40)</f>
        <v>#N/A</v>
      </c>
      <c r="N135" s="22" t="e">
        <f>_xlfn.XLOOKUP($B86,[1]Billing!$R$5:$R$40,[1]Billing!$AD$5:$AD$40)</f>
        <v>#N/A</v>
      </c>
      <c r="O135" s="39" t="e">
        <f t="shared" si="17"/>
        <v>#N/A</v>
      </c>
      <c r="P135" s="22" t="e">
        <f>_xlfn.XLOOKUP($B86,[1]Billing!$R$5:$R$40,[1]Billing!$AF$5:$AF$40)</f>
        <v>#N/A</v>
      </c>
    </row>
    <row r="136" spans="2:17" x14ac:dyDescent="0.3">
      <c r="B136" t="str">
        <v>Bablu</v>
      </c>
    </row>
    <row r="137" spans="2:17" x14ac:dyDescent="0.3">
      <c r="B137" t="str">
        <v>Sheikh Naveed</v>
      </c>
    </row>
    <row r="138" spans="2:17" x14ac:dyDescent="0.3">
      <c r="B138" t="str">
        <v>Rehan Butt</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4"/>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4">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1918328</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3114719.0007315297</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row r="39" spans="10:10" x14ac:dyDescent="0.3">
      <c r="J39" t="str">
        <v>Farhaan ali</v>
      </c>
    </row>
    <row r="40" spans="10:10" x14ac:dyDescent="0.3">
      <c r="J40" t="str">
        <v>ACM salman zaffar</v>
      </c>
    </row>
    <row r="41" spans="10:10" x14ac:dyDescent="0.3">
      <c r="J41" t="str">
        <v>Moeez badshah</v>
      </c>
    </row>
    <row r="42" spans="10:10" x14ac:dyDescent="0.3">
      <c r="J42" t="str">
        <v>Bablu</v>
      </c>
    </row>
    <row r="43" spans="10:10" x14ac:dyDescent="0.3">
      <c r="J43" t="str">
        <v>Sheikh Naveed</v>
      </c>
    </row>
    <row r="44" spans="10:10" x14ac:dyDescent="0.3">
      <c r="J44" t="str">
        <v>Rehan Butt</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14687650</v>
      </c>
      <c r="D4" t="s">
        <v>188</v>
      </c>
      <c r="E4" s="43">
        <f ca="1">Table12[[#This Row],[Amount]]/Table1[[#Totals],[tiyar/meters]]</f>
        <v>4.8126549728137862</v>
      </c>
    </row>
    <row r="5" spans="1:5" x14ac:dyDescent="0.3">
      <c r="B5" t="s">
        <v>48</v>
      </c>
      <c r="C5" s="11">
        <f>SUM(Table8[Price])</f>
        <v>3265205</v>
      </c>
      <c r="E5" s="43">
        <f ca="1">Table12[[#This Row],[Amount]]/Table1[[#Totals],[tiyar/meters]]</f>
        <v>1.0698992065106696</v>
      </c>
    </row>
    <row r="6" spans="1:5" x14ac:dyDescent="0.3">
      <c r="B6" t="s">
        <v>49</v>
      </c>
      <c r="C6" s="11">
        <f>SUM(Table2[Price])</f>
        <v>1152300</v>
      </c>
      <c r="D6" t="s">
        <v>187</v>
      </c>
      <c r="E6" s="43">
        <f ca="1">Table12[[#This Row],[Amount]]/Table1[[#Totals],[tiyar/meters]]</f>
        <v>0.37757042993081436</v>
      </c>
    </row>
    <row r="7" spans="1:5" x14ac:dyDescent="0.3">
      <c r="B7" t="s">
        <v>50</v>
      </c>
      <c r="C7" s="11">
        <f>SUMIFS(Table14[Debit], Table14[Party],Table12[[#This Row],[Type]])</f>
        <v>221860</v>
      </c>
      <c r="E7" s="43">
        <f ca="1">Table12[[#This Row],[Amount]]/Table1[[#Totals],[tiyar/meters]]</f>
        <v>7.2696151683112442E-2</v>
      </c>
    </row>
    <row r="8" spans="1:5" x14ac:dyDescent="0.3">
      <c r="B8" t="s">
        <v>51</v>
      </c>
      <c r="C8" s="11">
        <f>Electricity!E5</f>
        <v>2907357</v>
      </c>
      <c r="E8" s="43">
        <f ca="1">Table12[[#This Row],[Amount]]/Table1[[#Totals],[tiyar/meters]]</f>
        <v>0.95264430482718265</v>
      </c>
    </row>
    <row r="9" spans="1:5" x14ac:dyDescent="0.3">
      <c r="B9" t="s">
        <v>52</v>
      </c>
      <c r="C9" s="11">
        <f>SUMIFS(Table14[Debit], Table14[Party],Table12[[#This Row],[Type]])+SUMIFS(Table14[Debit], Table14[Party],"Advance Salary")</f>
        <v>7717543</v>
      </c>
      <c r="E9" s="43">
        <f ca="1">Table12[[#This Row],[Amount]]/Table1[[#Totals],[tiyar/meters]]</f>
        <v>2.5287824598798463</v>
      </c>
    </row>
    <row r="10" spans="1:5" x14ac:dyDescent="0.3">
      <c r="B10" t="s">
        <v>53</v>
      </c>
      <c r="C10" s="11">
        <f>Table5[[#Totals],[Amount]]</f>
        <v>351325</v>
      </c>
      <c r="E10" s="43">
        <f ca="1">Table12[[#This Row],[Amount]]/Table1[[#Totals],[tiyar/meters]]</f>
        <v>0.11511753128130119</v>
      </c>
    </row>
    <row r="11" spans="1:5" x14ac:dyDescent="0.3">
      <c r="B11" t="s">
        <v>54</v>
      </c>
      <c r="C11" s="11">
        <f>Table13[[#Totals],[Debit]]</f>
        <v>288806.40000000002</v>
      </c>
      <c r="E11" s="43">
        <f ca="1">Table12[[#This Row],[Amount]]/Table1[[#Totals],[tiyar/meters]]</f>
        <v>9.4632262965174657E-2</v>
      </c>
    </row>
    <row r="12" spans="1:5" x14ac:dyDescent="0.3">
      <c r="B12" t="s">
        <v>55</v>
      </c>
      <c r="C12" s="11">
        <f>Table15[[#Totals],[Amount]]</f>
        <v>978493</v>
      </c>
      <c r="E12" s="43">
        <f ca="1">Table12[[#This Row],[Amount]]/Table1[[#Totals],[tiyar/meters]]</f>
        <v>0.32061964999938586</v>
      </c>
    </row>
    <row r="13" spans="1:5" x14ac:dyDescent="0.3">
      <c r="C13" s="11"/>
      <c r="E13" s="43">
        <f ca="1">Table12[[#This Row],[Amount]]/Table1[[#Totals],[tiyar/meters]]</f>
        <v>0</v>
      </c>
    </row>
    <row r="14" spans="1:5" x14ac:dyDescent="0.3">
      <c r="C14" s="14">
        <f>SUM(Table12[Amount])</f>
        <v>31570539.399999999</v>
      </c>
      <c r="E14" s="43">
        <f ca="1">SUM(Table12[cost per meter])</f>
        <v>10.344616969891273</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2" zoomScale="120" workbookViewId="0">
      <selection activeCell="F21" sqref="F21"/>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32716102.048280913</v>
      </c>
    </row>
    <row r="4" spans="1:3" x14ac:dyDescent="0.3">
      <c r="B4" s="11" t="s">
        <v>44</v>
      </c>
      <c r="C4" s="11">
        <f>Table12[[#Totals],[Amount]]</f>
        <v>31570539.399999999</v>
      </c>
    </row>
    <row r="5" spans="1:3" x14ac:dyDescent="0.3">
      <c r="A5" s="6"/>
      <c r="B5" s="15" t="s">
        <v>68</v>
      </c>
      <c r="C5" s="15">
        <f>C3-C4</f>
        <v>1145562.6482809149</v>
      </c>
    </row>
    <row r="10" spans="1:3" ht="15" thickBot="1" x14ac:dyDescent="0.35">
      <c r="B10" t="s">
        <v>66</v>
      </c>
      <c r="C10" s="14" t="s">
        <v>67</v>
      </c>
    </row>
    <row r="11" spans="1:3" x14ac:dyDescent="0.3">
      <c r="B11" s="56" t="s">
        <v>0</v>
      </c>
      <c r="C11" s="57">
        <f>C3</f>
        <v>32716102.048280913</v>
      </c>
    </row>
    <row r="12" spans="1:3" x14ac:dyDescent="0.3">
      <c r="B12" s="58" t="s">
        <v>69</v>
      </c>
      <c r="C12" s="59">
        <f>SUM(Table14[Credit])</f>
        <v>43246038.229517192</v>
      </c>
    </row>
    <row r="13" spans="1:3" ht="15" thickBot="1" x14ac:dyDescent="0.35">
      <c r="B13" s="74" t="s">
        <v>93</v>
      </c>
      <c r="C13" s="73">
        <f>(C11-C12)</f>
        <v>-10529936.181236278</v>
      </c>
    </row>
    <row r="14" spans="1:3" ht="15" thickBot="1" x14ac:dyDescent="0.35">
      <c r="B14" s="58"/>
      <c r="C14" s="59"/>
    </row>
    <row r="15" spans="1:3" x14ac:dyDescent="0.3">
      <c r="B15" s="56" t="s">
        <v>44</v>
      </c>
      <c r="C15" s="57">
        <f>C4</f>
        <v>31570539.399999999</v>
      </c>
    </row>
    <row r="16" spans="1:3" x14ac:dyDescent="0.3">
      <c r="B16" s="58" t="s">
        <v>70</v>
      </c>
      <c r="C16" s="59">
        <f>SUM(Table14[Debit])</f>
        <v>43244445.68</v>
      </c>
    </row>
    <row r="17" spans="2:6" ht="15" thickBot="1" x14ac:dyDescent="0.35">
      <c r="B17" s="74" t="s">
        <v>71</v>
      </c>
      <c r="C17" s="73">
        <f>C15-C16</f>
        <v>-11673906.280000001</v>
      </c>
    </row>
    <row r="18" spans="2:6" ht="15" thickBot="1" x14ac:dyDescent="0.35">
      <c r="B18" s="58"/>
      <c r="C18" s="59"/>
    </row>
    <row r="19" spans="2:6" ht="15" thickBot="1" x14ac:dyDescent="0.35">
      <c r="B19" s="75" t="s">
        <v>72</v>
      </c>
      <c r="C19" s="76">
        <f>Table18[[#Totals],[amount]]</f>
        <v>1164366.5495171919</v>
      </c>
    </row>
    <row r="20" spans="2:6" ht="15" thickBot="1" x14ac:dyDescent="0.35">
      <c r="B20" s="71"/>
      <c r="C20" s="72"/>
    </row>
    <row r="21" spans="2:6" ht="15" thickBot="1" x14ac:dyDescent="0.35">
      <c r="B21" s="60" t="s">
        <v>73</v>
      </c>
      <c r="C21" s="61">
        <f>(C13-C17)+C19</f>
        <v>2308336.6482809149</v>
      </c>
      <c r="E21" s="79" t="s">
        <v>74</v>
      </c>
      <c r="F21" s="121">
        <f>C5*0.05</f>
        <v>57278.132414045744</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48"/>
  <sheetViews>
    <sheetView topLeftCell="A126" workbookViewId="0">
      <selection activeCell="B3" sqref="B3:B14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6" x14ac:dyDescent="0.3">
      <c r="B145" s="1">
        <v>46214</v>
      </c>
      <c r="D145">
        <f>SUMIFS(Table14[Debit], Table14[Date], Table13[[#This Row],[Date]], Table14[Party], "Transport")</f>
        <v>5500</v>
      </c>
      <c r="E145">
        <f>SUMIFS(Table14[Credit], Table14[Date], Table13[[#This Row],[Date]], Table14[Party], "Transport")</f>
        <v>0</v>
      </c>
    </row>
    <row r="146" spans="2:6" x14ac:dyDescent="0.3">
      <c r="B146" s="1">
        <v>46215</v>
      </c>
      <c r="D146">
        <f>SUMIFS(Table14[Debit], Table14[Date], Table13[[#This Row],[Date]], Table14[Party], "Transport")</f>
        <v>0</v>
      </c>
      <c r="E146">
        <f>SUMIFS(Table14[Credit], Table14[Date], Table13[[#This Row],[Date]], Table14[Party], "Transport")</f>
        <v>0</v>
      </c>
    </row>
    <row r="147" spans="2:6" x14ac:dyDescent="0.3">
      <c r="B147" s="1">
        <v>46216</v>
      </c>
      <c r="D147">
        <f>SUMIFS(Table14[Debit], Table14[Date], Table13[[#This Row],[Date]], Table14[Party], "Transport")</f>
        <v>0</v>
      </c>
      <c r="E147">
        <f>SUMIFS(Table14[Credit], Table14[Date], Table13[[#This Row],[Date]], Table14[Party], "Transport")</f>
        <v>0</v>
      </c>
    </row>
    <row r="148" spans="2:6" x14ac:dyDescent="0.3">
      <c r="B148" s="1"/>
      <c r="D148">
        <f>SUBTOTAL(109,Table13[Debit])</f>
        <v>288806.40000000002</v>
      </c>
      <c r="E148">
        <f>SUBTOTAL(109,Table13[Credit])</f>
        <v>0</v>
      </c>
      <c r="F148">
        <f>Table13[[#Totals],[Debit]]-Table13[[#Totals],[Credit]]</f>
        <v>288806.40000000002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45"/>
  <sheetViews>
    <sheetView topLeftCell="C277" zoomScale="107" zoomScaleNormal="107" workbookViewId="0">
      <selection activeCell="I237" sqref="I237:I29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9">
        <v>46111</v>
      </c>
      <c r="B2" s="80" t="s">
        <v>21</v>
      </c>
      <c r="C2" s="119" t="s">
        <v>210</v>
      </c>
      <c r="D2" s="119" t="s">
        <v>85</v>
      </c>
      <c r="E2" s="15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2">_xlfn.UNIQUE(Table1[Party Name])</f>
        <v>BSC</v>
      </c>
    </row>
    <row r="3" spans="1:28" x14ac:dyDescent="0.3">
      <c r="A3" s="149">
        <v>46111</v>
      </c>
      <c r="B3" s="80" t="s">
        <v>22</v>
      </c>
      <c r="C3" s="119" t="s">
        <v>210</v>
      </c>
      <c r="D3" s="119" t="s">
        <v>85</v>
      </c>
      <c r="E3" s="15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9">
        <v>46111</v>
      </c>
      <c r="B4" s="80" t="s">
        <v>9</v>
      </c>
      <c r="C4" s="119" t="s">
        <v>210</v>
      </c>
      <c r="D4" s="119" t="s">
        <v>85</v>
      </c>
      <c r="E4" s="15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9">
        <v>46111</v>
      </c>
      <c r="B5" s="80" t="s">
        <v>23</v>
      </c>
      <c r="C5" s="119" t="s">
        <v>210</v>
      </c>
      <c r="D5" s="119" t="s">
        <v>85</v>
      </c>
      <c r="E5" s="15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9">
        <v>46111</v>
      </c>
      <c r="B6" s="80" t="s">
        <v>24</v>
      </c>
      <c r="C6" s="119" t="s">
        <v>210</v>
      </c>
      <c r="D6" s="119" t="s">
        <v>85</v>
      </c>
      <c r="E6" s="15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9">
        <v>46111</v>
      </c>
      <c r="B7" s="80" t="s">
        <v>25</v>
      </c>
      <c r="C7" s="119" t="s">
        <v>210</v>
      </c>
      <c r="D7" s="119" t="s">
        <v>85</v>
      </c>
      <c r="E7" s="15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9">
        <v>46111</v>
      </c>
      <c r="B8" s="80" t="s">
        <v>26</v>
      </c>
      <c r="C8" s="119" t="s">
        <v>210</v>
      </c>
      <c r="D8" s="119" t="s">
        <v>85</v>
      </c>
      <c r="E8" s="15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9">
        <v>46111</v>
      </c>
      <c r="B9" s="80" t="s">
        <v>151</v>
      </c>
      <c r="C9" s="119" t="s">
        <v>210</v>
      </c>
      <c r="D9" s="119" t="s">
        <v>85</v>
      </c>
      <c r="E9" s="15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9">
        <v>46111</v>
      </c>
      <c r="B10" s="80" t="s">
        <v>35</v>
      </c>
      <c r="C10" s="119" t="s">
        <v>210</v>
      </c>
      <c r="D10" s="119" t="s">
        <v>85</v>
      </c>
      <c r="E10" s="15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9">
        <v>46111</v>
      </c>
      <c r="B11" s="80" t="s">
        <v>147</v>
      </c>
      <c r="C11" s="119" t="s">
        <v>210</v>
      </c>
      <c r="D11" s="119" t="s">
        <v>85</v>
      </c>
      <c r="E11" s="15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9">
        <v>46111</v>
      </c>
      <c r="B12" s="80" t="s">
        <v>27</v>
      </c>
      <c r="C12" s="119" t="s">
        <v>210</v>
      </c>
      <c r="D12" s="119" t="s">
        <v>85</v>
      </c>
      <c r="E12" s="15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9">
        <v>46111</v>
      </c>
      <c r="B13" s="80" t="s">
        <v>165</v>
      </c>
      <c r="C13" s="119"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9">
        <v>46111</v>
      </c>
      <c r="B14" s="80" t="s">
        <v>218</v>
      </c>
      <c r="C14" s="119"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9">
        <v>46111</v>
      </c>
      <c r="B15" s="80" t="s">
        <v>169</v>
      </c>
      <c r="C15" s="119"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9">
        <v>46111</v>
      </c>
      <c r="B16" s="80" t="s">
        <v>170</v>
      </c>
      <c r="C16" s="119"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9">
        <v>46111</v>
      </c>
      <c r="B17" s="80" t="s">
        <v>172</v>
      </c>
      <c r="C17" s="119"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9">
        <v>46111</v>
      </c>
      <c r="B18" s="80" t="s">
        <v>174</v>
      </c>
      <c r="C18" s="119"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9">
        <v>46111</v>
      </c>
      <c r="B19" s="80" t="s">
        <v>176</v>
      </c>
      <c r="C19" s="119"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9">
        <v>46111</v>
      </c>
      <c r="B20" s="80" t="s">
        <v>177</v>
      </c>
      <c r="C20" s="119"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9">
        <v>46111</v>
      </c>
      <c r="B21" s="80" t="s">
        <v>182</v>
      </c>
      <c r="C21" s="119"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9">
        <v>46111</v>
      </c>
      <c r="B22" s="80" t="s">
        <v>189</v>
      </c>
      <c r="C22" s="119"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9">
        <v>46111</v>
      </c>
      <c r="B23" s="80" t="s">
        <v>192</v>
      </c>
      <c r="C23" s="119"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9">
        <v>46111</v>
      </c>
      <c r="B24" s="80" t="s">
        <v>191</v>
      </c>
      <c r="C24" s="119"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9">
        <v>46111</v>
      </c>
      <c r="B25" s="80" t="s">
        <v>196</v>
      </c>
      <c r="C25" s="119"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9">
        <v>46111</v>
      </c>
      <c r="B26" s="80" t="s">
        <v>201</v>
      </c>
      <c r="C26" s="119"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9">
        <v>46111</v>
      </c>
      <c r="B27" s="80" t="s">
        <v>203</v>
      </c>
      <c r="C27" s="119"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9">
        <v>46111</v>
      </c>
      <c r="B28" s="116" t="s">
        <v>226</v>
      </c>
      <c r="C28" s="119"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9">
        <v>46111</v>
      </c>
      <c r="B29" s="139" t="s">
        <v>225</v>
      </c>
      <c r="C29" s="119"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9">
        <v>46111</v>
      </c>
      <c r="B30" s="139" t="s">
        <v>242</v>
      </c>
      <c r="C30" s="119"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9">
        <v>46111</v>
      </c>
      <c r="B31" s="139" t="s">
        <v>245</v>
      </c>
      <c r="C31" s="119"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9">
        <v>46111</v>
      </c>
      <c r="B32" s="139" t="s">
        <v>230</v>
      </c>
      <c r="C32" s="119"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9">
        <v>46111</v>
      </c>
      <c r="B33" s="139" t="s">
        <v>258</v>
      </c>
      <c r="C33" s="119"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9">
        <v>46111</v>
      </c>
      <c r="B34" s="139" t="s">
        <v>273</v>
      </c>
      <c r="C34" s="119"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9">
        <v>46111</v>
      </c>
      <c r="B35" s="80" t="s">
        <v>21</v>
      </c>
      <c r="C35" s="119" t="s">
        <v>210</v>
      </c>
      <c r="D35" s="119" t="s">
        <v>86</v>
      </c>
      <c r="E35" s="83"/>
      <c r="F35" s="83"/>
      <c r="G35" s="83"/>
      <c r="H35" s="120" t="e">
        <f>_xlfn.XLOOKUP(Table1[[#This Row],[Shipment Number]], 'pivot '!A:A,'pivot '!G:G, "NF")</f>
        <v>#DIV/0!</v>
      </c>
      <c r="I35" s="120">
        <f>_xlfn.XLOOKUP(Table1[[#This Row],[Party Name]],
[1]Billing!$R$5:$R$40,
[1]Billing!$V$5:$V$40)</f>
        <v>654441.2948061449</v>
      </c>
      <c r="J35" s="120">
        <f>_xlfn.XLOOKUP(Table1[[#This Row],[Party Name]],
[1]Billing!$R$5:$R$40,
[1]Billing!$X$5:$X$40)</f>
        <v>8419380.9436722752</v>
      </c>
      <c r="K35" s="119"/>
      <c r="M35" s="10" t="str">
        <v>Rauf Khan</v>
      </c>
      <c r="P35"/>
      <c r="Q35"/>
      <c r="R35"/>
      <c r="S35"/>
      <c r="T35"/>
      <c r="U35"/>
      <c r="V35"/>
      <c r="W35"/>
      <c r="X35"/>
      <c r="Y35"/>
    </row>
    <row r="36" spans="1:25" x14ac:dyDescent="0.3">
      <c r="A36" s="149">
        <v>46111</v>
      </c>
      <c r="B36" s="80" t="s">
        <v>22</v>
      </c>
      <c r="C36" s="119" t="s">
        <v>210</v>
      </c>
      <c r="D36" s="119" t="s">
        <v>86</v>
      </c>
      <c r="E36" s="83"/>
      <c r="F36" s="83"/>
      <c r="G36" s="83"/>
      <c r="H36" s="120" t="e">
        <f>_xlfn.XLOOKUP(Table1[[#This Row],[Shipment Number]], 'pivot '!A:A,'pivot '!G:G, "NF")</f>
        <v>#DIV/0!</v>
      </c>
      <c r="I36" s="120">
        <f>_xlfn.XLOOKUP(Table1[[#This Row],[Party Name]],
[1]Billing!$R$5:$R$40,
[1]Billing!$V$5:$V$40)</f>
        <v>445562.36283833213</v>
      </c>
      <c r="J36" s="120">
        <f>_xlfn.XLOOKUP(Table1[[#This Row],[Party Name]],
[1]Billing!$R$5:$R$40,
[1]Billing!$X$5:$X$40)</f>
        <v>5733166.6057059262</v>
      </c>
      <c r="K36" s="119"/>
      <c r="M36" s="10">
        <v>0</v>
      </c>
      <c r="P36"/>
      <c r="Q36"/>
      <c r="R36"/>
      <c r="S36"/>
      <c r="T36"/>
      <c r="U36"/>
      <c r="V36"/>
      <c r="W36"/>
      <c r="X36"/>
      <c r="Y36"/>
    </row>
    <row r="37" spans="1:25" x14ac:dyDescent="0.3">
      <c r="A37" s="149">
        <v>46111</v>
      </c>
      <c r="B37" s="80" t="s">
        <v>9</v>
      </c>
      <c r="C37" s="119" t="s">
        <v>210</v>
      </c>
      <c r="D37" s="119" t="s">
        <v>86</v>
      </c>
      <c r="E37" s="83"/>
      <c r="F37" s="83"/>
      <c r="G37" s="83"/>
      <c r="H37" s="120" t="e">
        <f>_xlfn.XLOOKUP(Table1[[#This Row],[Shipment Number]], 'pivot '!A:A,'pivot '!G:G, "NF")</f>
        <v>#DIV/0!</v>
      </c>
      <c r="I37" s="120">
        <f>_xlfn.XLOOKUP(Table1[[#This Row],[Party Name]],
[1]Billing!$R$5:$R$40,
[1]Billing!$V$5:$V$40)</f>
        <v>165525.78639356254</v>
      </c>
      <c r="J37" s="120">
        <f>_xlfn.XLOOKUP(Table1[[#This Row],[Party Name]],
[1]Billing!$R$5:$R$40,
[1]Billing!$X$5:$X$40)</f>
        <v>2137040.9656181419</v>
      </c>
      <c r="K37" s="119"/>
      <c r="M37" s="10" t="str">
        <v>Farhaan ali</v>
      </c>
      <c r="P37"/>
      <c r="Q37"/>
      <c r="R37"/>
      <c r="S37"/>
      <c r="T37"/>
      <c r="U37"/>
      <c r="V37"/>
      <c r="W37"/>
      <c r="X37"/>
      <c r="Y37"/>
    </row>
    <row r="38" spans="1:25" x14ac:dyDescent="0.3">
      <c r="A38" s="149">
        <v>46111</v>
      </c>
      <c r="B38" s="80" t="s">
        <v>23</v>
      </c>
      <c r="C38" s="119" t="s">
        <v>210</v>
      </c>
      <c r="D38" s="119" t="s">
        <v>86</v>
      </c>
      <c r="E38" s="83"/>
      <c r="F38" s="83"/>
      <c r="G38" s="83"/>
      <c r="H38" s="120" t="e">
        <f>_xlfn.XLOOKUP(Table1[[#This Row],[Shipment Number]], 'pivot '!A:A,'pivot '!G:G, "NF")</f>
        <v>#DIV/0!</v>
      </c>
      <c r="I38" s="120">
        <f>_xlfn.XLOOKUP(Table1[[#This Row],[Party Name]],
[1]Billing!$R$5:$R$40,
[1]Billing!$V$5:$V$40)</f>
        <v>0</v>
      </c>
      <c r="J38" s="120">
        <f>_xlfn.XLOOKUP(Table1[[#This Row],[Party Name]],
[1]Billing!$R$5:$R$40,
[1]Billing!$X$5:$X$40)</f>
        <v>0</v>
      </c>
      <c r="K38" s="119"/>
      <c r="M38" s="10" t="str">
        <v>ACM salman zaffar</v>
      </c>
      <c r="P38"/>
      <c r="Q38"/>
      <c r="R38"/>
      <c r="S38"/>
      <c r="T38"/>
      <c r="U38"/>
      <c r="V38"/>
      <c r="W38"/>
      <c r="X38"/>
      <c r="Y38"/>
    </row>
    <row r="39" spans="1:25" x14ac:dyDescent="0.3">
      <c r="A39" s="149">
        <v>46111</v>
      </c>
      <c r="B39" s="80" t="s">
        <v>24</v>
      </c>
      <c r="C39" s="119" t="s">
        <v>210</v>
      </c>
      <c r="D39" s="119" t="s">
        <v>86</v>
      </c>
      <c r="E39" s="83"/>
      <c r="F39" s="83"/>
      <c r="G39" s="83"/>
      <c r="H39" s="120" t="e">
        <f>_xlfn.XLOOKUP(Table1[[#This Row],[Shipment Number]], 'pivot '!A:A,'pivot '!G:G, "NF")</f>
        <v>#DIV/0!</v>
      </c>
      <c r="I39" s="120">
        <f>_xlfn.XLOOKUP(Table1[[#This Row],[Party Name]],
[1]Billing!$R$5:$R$40,
[1]Billing!$V$5:$V$40)</f>
        <v>485823.88441843458</v>
      </c>
      <c r="J39" s="120">
        <f>_xlfn.XLOOKUP(Table1[[#This Row],[Party Name]],
[1]Billing!$R$5:$R$40,
[1]Billing!$X$5:$X$40)</f>
        <v>5829886.6130212145</v>
      </c>
      <c r="K39" s="119"/>
      <c r="M39" s="10" t="str">
        <v>Moeez badshah</v>
      </c>
      <c r="P39"/>
      <c r="Q39"/>
      <c r="R39"/>
      <c r="S39"/>
      <c r="T39"/>
      <c r="U39"/>
      <c r="V39"/>
      <c r="W39"/>
      <c r="X39"/>
      <c r="Y39"/>
    </row>
    <row r="40" spans="1:25" x14ac:dyDescent="0.3">
      <c r="A40" s="149">
        <v>46111</v>
      </c>
      <c r="B40" s="80" t="s">
        <v>25</v>
      </c>
      <c r="C40" s="119" t="s">
        <v>210</v>
      </c>
      <c r="D40" s="119" t="s">
        <v>86</v>
      </c>
      <c r="E40" s="83"/>
      <c r="F40" s="83"/>
      <c r="G40" s="83"/>
      <c r="H40" s="120" t="e">
        <f>_xlfn.XLOOKUP(Table1[[#This Row],[Shipment Number]], 'pivot '!A:A,'pivot '!G:G, "NF")</f>
        <v>#DIV/0!</v>
      </c>
      <c r="I40" s="120">
        <f>_xlfn.XLOOKUP(Table1[[#This Row],[Party Name]],
[1]Billing!$R$5:$R$40,
[1]Billing!$V$5:$V$40)</f>
        <v>0</v>
      </c>
      <c r="J40" s="120">
        <f>_xlfn.XLOOKUP(Table1[[#This Row],[Party Name]],
[1]Billing!$R$5:$R$40,
[1]Billing!$X$5:$X$40)</f>
        <v>0</v>
      </c>
      <c r="K40" s="119"/>
      <c r="M40" s="10" t="str">
        <v>Bablu</v>
      </c>
      <c r="P40"/>
      <c r="Q40"/>
      <c r="R40"/>
      <c r="S40"/>
      <c r="T40"/>
      <c r="U40"/>
      <c r="V40"/>
      <c r="W40"/>
      <c r="X40"/>
      <c r="Y40"/>
    </row>
    <row r="41" spans="1:25" x14ac:dyDescent="0.3">
      <c r="A41" s="149">
        <v>46111</v>
      </c>
      <c r="B41" s="80" t="s">
        <v>26</v>
      </c>
      <c r="C41" s="119" t="s">
        <v>210</v>
      </c>
      <c r="D41" s="119" t="s">
        <v>86</v>
      </c>
      <c r="E41" s="83"/>
      <c r="F41" s="83"/>
      <c r="G41" s="83"/>
      <c r="H41" s="120" t="e">
        <f>_xlfn.XLOOKUP(Table1[[#This Row],[Shipment Number]], 'pivot '!A:A,'pivot '!G:G, "NF")</f>
        <v>#DIV/0!</v>
      </c>
      <c r="I41" s="120">
        <f>_xlfn.XLOOKUP(Table1[[#This Row],[Party Name]],
[1]Billing!$R$5:$R$40,
[1]Billing!$V$5:$V$40)</f>
        <v>0</v>
      </c>
      <c r="J41" s="120">
        <f>_xlfn.XLOOKUP(Table1[[#This Row],[Party Name]],
[1]Billing!$R$5:$R$40,
[1]Billing!$X$5:$X$40)</f>
        <v>0</v>
      </c>
      <c r="K41" s="119"/>
      <c r="M41" s="10" t="str">
        <v>Sheikh Naveed</v>
      </c>
      <c r="P41"/>
      <c r="Q41"/>
      <c r="R41"/>
      <c r="S41"/>
      <c r="T41"/>
      <c r="U41"/>
      <c r="V41"/>
      <c r="W41"/>
      <c r="X41"/>
      <c r="Y41"/>
    </row>
    <row r="42" spans="1:25" x14ac:dyDescent="0.3">
      <c r="A42" s="149">
        <v>46111</v>
      </c>
      <c r="B42" s="80" t="s">
        <v>151</v>
      </c>
      <c r="C42" s="119" t="s">
        <v>210</v>
      </c>
      <c r="D42" s="119" t="s">
        <v>86</v>
      </c>
      <c r="E42" s="83"/>
      <c r="F42" s="83"/>
      <c r="G42" s="83"/>
      <c r="H42" s="120" t="e">
        <f>_xlfn.XLOOKUP(Table1[[#This Row],[Shipment Number]], 'pivot '!A:A,'pivot '!G:G, "NF")</f>
        <v>#DIV/0!</v>
      </c>
      <c r="I42" s="120">
        <f>_xlfn.XLOOKUP(Table1[[#This Row],[Party Name]],
[1]Billing!$R$5:$R$40,
[1]Billing!$V$5:$V$40)</f>
        <v>183991.40453547917</v>
      </c>
      <c r="J42" s="120">
        <f>_xlfn.XLOOKUP(Table1[[#This Row],[Party Name]],
[1]Billing!$R$5:$R$40,
[1]Billing!$X$5:$X$40)</f>
        <v>2391888.2589612291</v>
      </c>
      <c r="K42" s="119"/>
      <c r="M42" s="10" t="str">
        <v>Rehan Butt</v>
      </c>
      <c r="P42"/>
      <c r="Q42"/>
      <c r="R42"/>
      <c r="S42"/>
      <c r="T42"/>
      <c r="U42"/>
      <c r="V42"/>
      <c r="W42"/>
      <c r="X42"/>
      <c r="Y42"/>
    </row>
    <row r="43" spans="1:25" x14ac:dyDescent="0.3">
      <c r="A43" s="149">
        <v>46111</v>
      </c>
      <c r="B43" s="80" t="s">
        <v>35</v>
      </c>
      <c r="C43" s="119" t="s">
        <v>210</v>
      </c>
      <c r="D43" s="119" t="s">
        <v>86</v>
      </c>
      <c r="E43" s="83"/>
      <c r="F43" s="83"/>
      <c r="G43" s="83"/>
      <c r="H43" s="120" t="e">
        <f>_xlfn.XLOOKUP(Table1[[#This Row],[Shipment Number]], 'pivot '!A:A,'pivot '!G:G, "NF")</f>
        <v>#DIV/0!</v>
      </c>
      <c r="I43" s="120">
        <f>_xlfn.XLOOKUP(Table1[[#This Row],[Party Name]],
[1]Billing!$R$5:$R$40,
[1]Billing!$V$5:$V$40)</f>
        <v>112548.46378931969</v>
      </c>
      <c r="J43" s="120">
        <f>_xlfn.XLOOKUP(Table1[[#This Row],[Party Name]],
[1]Billing!$R$5:$R$40,
[1]Billing!$X$5:$X$40)</f>
        <v>1448134.6013167519</v>
      </c>
      <c r="K43" s="119"/>
      <c r="P43"/>
      <c r="Q43"/>
      <c r="R43"/>
      <c r="S43"/>
      <c r="T43"/>
      <c r="U43"/>
      <c r="V43"/>
      <c r="W43"/>
      <c r="X43"/>
      <c r="Y43"/>
    </row>
    <row r="44" spans="1:25" x14ac:dyDescent="0.3">
      <c r="A44" s="149">
        <v>46111</v>
      </c>
      <c r="B44" s="80" t="s">
        <v>147</v>
      </c>
      <c r="C44" s="119" t="s">
        <v>210</v>
      </c>
      <c r="D44" s="119" t="s">
        <v>86</v>
      </c>
      <c r="E44" s="83"/>
      <c r="F44" s="83"/>
      <c r="G44" s="83"/>
      <c r="H44" s="120" t="e">
        <f>_xlfn.XLOOKUP(Table1[[#This Row],[Shipment Number]], 'pivot '!A:A,'pivot '!G:G, "NF")</f>
        <v>#DIV/0!</v>
      </c>
      <c r="I44" s="120">
        <f>_xlfn.XLOOKUP(Table1[[#This Row],[Party Name]],
[1]Billing!$R$5:$R$40,
[1]Billing!$V$5:$V$40)</f>
        <v>0</v>
      </c>
      <c r="J44" s="120">
        <f>_xlfn.XLOOKUP(Table1[[#This Row],[Party Name]],
[1]Billing!$R$5:$R$40,
[1]Billing!$X$5:$X$40)</f>
        <v>0</v>
      </c>
      <c r="K44" s="119"/>
      <c r="P44"/>
      <c r="Q44"/>
      <c r="R44"/>
      <c r="S44"/>
      <c r="T44"/>
      <c r="U44"/>
      <c r="V44"/>
      <c r="W44"/>
      <c r="X44"/>
      <c r="Y44"/>
    </row>
    <row r="45" spans="1:25" x14ac:dyDescent="0.3">
      <c r="A45" s="149">
        <v>46111</v>
      </c>
      <c r="B45" s="80" t="s">
        <v>27</v>
      </c>
      <c r="C45" s="119" t="s">
        <v>210</v>
      </c>
      <c r="D45" s="119" t="s">
        <v>86</v>
      </c>
      <c r="E45" s="83"/>
      <c r="F45" s="83"/>
      <c r="G45" s="83"/>
      <c r="H45" s="120" t="e">
        <f>_xlfn.XLOOKUP(Table1[[#This Row],[Shipment Number]], 'pivot '!A:A,'pivot '!G:G, "NF")</f>
        <v>#DIV/0!</v>
      </c>
      <c r="I45" s="120">
        <f>_xlfn.XLOOKUP(Table1[[#This Row],[Party Name]],
[1]Billing!$R$5:$R$40,
[1]Billing!$V$5:$V$40)</f>
        <v>0</v>
      </c>
      <c r="J45" s="120">
        <f>_xlfn.XLOOKUP(Table1[[#This Row],[Party Name]],
[1]Billing!$R$5:$R$40,
[1]Billing!$X$5:$X$40)</f>
        <v>0</v>
      </c>
      <c r="K45" s="119"/>
      <c r="P45"/>
      <c r="Q45"/>
      <c r="R45"/>
      <c r="S45"/>
      <c r="T45"/>
      <c r="U45"/>
      <c r="V45"/>
      <c r="W45"/>
      <c r="X45"/>
      <c r="Y45"/>
    </row>
    <row r="46" spans="1:25" x14ac:dyDescent="0.3">
      <c r="A46" s="149">
        <v>46111</v>
      </c>
      <c r="B46" s="80" t="s">
        <v>165</v>
      </c>
      <c r="C46" s="119" t="s">
        <v>210</v>
      </c>
      <c r="D46" s="119" t="s">
        <v>86</v>
      </c>
      <c r="E46" s="83"/>
      <c r="F46" s="83"/>
      <c r="G46" s="83"/>
      <c r="H46" s="120" t="e">
        <f>_xlfn.XLOOKUP(Table1[[#This Row],[Shipment Number]], 'pivot '!A:A,'pivot '!G:G, "NF")</f>
        <v>#DIV/0!</v>
      </c>
      <c r="I46" s="120">
        <f>_xlfn.XLOOKUP(Table1[[#This Row],[Party Name]],
[1]Billing!$R$5:$R$40,
[1]Billing!$V$5:$V$40)</f>
        <v>141474.94513533285</v>
      </c>
      <c r="J46" s="120">
        <f>_xlfn.XLOOKUP(Table1[[#This Row],[Party Name]],
[1]Billing!$R$5:$R$40,
[1]Billing!$X$5:$X$40)</f>
        <v>1776019.5683979518</v>
      </c>
      <c r="K46" s="119"/>
      <c r="P46"/>
      <c r="Q46"/>
      <c r="R46"/>
      <c r="S46"/>
      <c r="T46"/>
      <c r="U46"/>
      <c r="V46"/>
      <c r="W46"/>
      <c r="X46"/>
      <c r="Y46"/>
    </row>
    <row r="47" spans="1:25" x14ac:dyDescent="0.3">
      <c r="A47" s="149">
        <v>46111</v>
      </c>
      <c r="B47" s="80" t="s">
        <v>218</v>
      </c>
      <c r="C47" s="119" t="s">
        <v>210</v>
      </c>
      <c r="D47" s="119" t="s">
        <v>86</v>
      </c>
      <c r="E47" s="83"/>
      <c r="F47" s="83"/>
      <c r="G47" s="83"/>
      <c r="H47" s="120" t="e">
        <f>_xlfn.XLOOKUP(Table1[[#This Row],[Shipment Number]], 'pivot '!A:A,'pivot '!G:G, "NF")</f>
        <v>#DIV/0!</v>
      </c>
      <c r="I47" s="120">
        <f>_xlfn.XLOOKUP(Table1[[#This Row],[Party Name]],
[1]Billing!$R$5:$R$40,
[1]Billing!$V$5:$V$40)</f>
        <v>0</v>
      </c>
      <c r="J47" s="120">
        <f>_xlfn.XLOOKUP(Table1[[#This Row],[Party Name]],
[1]Billing!$R$5:$R$40,
[1]Billing!$X$5:$X$40)</f>
        <v>0</v>
      </c>
      <c r="K47" s="119"/>
      <c r="P47"/>
      <c r="Q47"/>
      <c r="R47"/>
      <c r="S47"/>
      <c r="T47"/>
      <c r="U47"/>
      <c r="V47"/>
      <c r="W47"/>
      <c r="X47"/>
      <c r="Y47"/>
    </row>
    <row r="48" spans="1:25" x14ac:dyDescent="0.3">
      <c r="A48" s="149">
        <v>46111</v>
      </c>
      <c r="B48" s="80" t="s">
        <v>169</v>
      </c>
      <c r="C48" s="119" t="s">
        <v>210</v>
      </c>
      <c r="D48" s="119" t="s">
        <v>86</v>
      </c>
      <c r="E48" s="83"/>
      <c r="F48" s="83"/>
      <c r="G48" s="83"/>
      <c r="H48" s="120" t="e">
        <f>_xlfn.XLOOKUP(Table1[[#This Row],[Shipment Number]], 'pivot '!A:A,'pivot '!G:G, "NF")</f>
        <v>#DIV/0!</v>
      </c>
      <c r="I48" s="120">
        <f>_xlfn.XLOOKUP(Table1[[#This Row],[Party Name]],
[1]Billing!$R$5:$R$40,
[1]Billing!$V$5:$V$40)</f>
        <v>0</v>
      </c>
      <c r="J48" s="120">
        <f>_xlfn.XLOOKUP(Table1[[#This Row],[Party Name]],
[1]Billing!$R$5:$R$40,
[1]Billing!$X$5:$X$40)</f>
        <v>0</v>
      </c>
      <c r="K48" s="119"/>
      <c r="P48"/>
      <c r="Q48"/>
      <c r="R48"/>
      <c r="S48"/>
      <c r="T48"/>
      <c r="U48"/>
      <c r="V48"/>
      <c r="W48"/>
      <c r="X48"/>
      <c r="Y48"/>
    </row>
    <row r="49" spans="1:25" x14ac:dyDescent="0.3">
      <c r="A49" s="149">
        <v>46111</v>
      </c>
      <c r="B49" s="80" t="s">
        <v>170</v>
      </c>
      <c r="C49" s="119" t="s">
        <v>210</v>
      </c>
      <c r="D49" s="119" t="s">
        <v>86</v>
      </c>
      <c r="E49" s="83"/>
      <c r="F49" s="83"/>
      <c r="G49" s="83"/>
      <c r="H49" s="120" t="e">
        <f>_xlfn.XLOOKUP(Table1[[#This Row],[Shipment Number]], 'pivot '!A:A,'pivot '!G:G, "NF")</f>
        <v>#DIV/0!</v>
      </c>
      <c r="I49" s="120">
        <f>_xlfn.XLOOKUP(Table1[[#This Row],[Party Name]],
[1]Billing!$R$5:$R$40,
[1]Billing!$V$5:$V$40)</f>
        <v>0</v>
      </c>
      <c r="J49" s="120">
        <f>_xlfn.XLOOKUP(Table1[[#This Row],[Party Name]],
[1]Billing!$R$5:$R$40,
[1]Billing!$X$5:$X$40)</f>
        <v>0</v>
      </c>
      <c r="K49" s="119"/>
      <c r="P49"/>
      <c r="Q49"/>
      <c r="R49"/>
      <c r="S49"/>
      <c r="T49"/>
      <c r="U49"/>
      <c r="V49"/>
      <c r="W49"/>
      <c r="X49"/>
      <c r="Y49"/>
    </row>
    <row r="50" spans="1:25" x14ac:dyDescent="0.3">
      <c r="A50" s="149">
        <v>46111</v>
      </c>
      <c r="B50" s="80" t="s">
        <v>172</v>
      </c>
      <c r="C50" s="119" t="s">
        <v>210</v>
      </c>
      <c r="D50" s="119" t="s">
        <v>86</v>
      </c>
      <c r="E50" s="83"/>
      <c r="F50" s="83"/>
      <c r="G50" s="83"/>
      <c r="H50" s="120" t="e">
        <f>_xlfn.XLOOKUP(Table1[[#This Row],[Shipment Number]], 'pivot '!A:A,'pivot '!G:G, "NF")</f>
        <v>#DIV/0!</v>
      </c>
      <c r="I50" s="120">
        <f>_xlfn.XLOOKUP(Table1[[#This Row],[Party Name]],
[1]Billing!$R$5:$R$40,
[1]Billing!$V$5:$V$40)</f>
        <v>9232.809070958303</v>
      </c>
      <c r="J50" s="120">
        <f>_xlfn.XLOOKUP(Table1[[#This Row],[Party Name]],
[1]Billing!$R$5:$R$40,
[1]Billing!$X$5:$X$40)</f>
        <v>120026.51792245793</v>
      </c>
      <c r="K50" s="119"/>
      <c r="P50"/>
      <c r="Q50"/>
      <c r="R50"/>
      <c r="S50"/>
      <c r="T50"/>
      <c r="U50"/>
      <c r="V50"/>
      <c r="W50"/>
      <c r="X50"/>
      <c r="Y50"/>
    </row>
    <row r="51" spans="1:25" x14ac:dyDescent="0.3">
      <c r="A51" s="149">
        <v>46111</v>
      </c>
      <c r="B51" s="80" t="s">
        <v>174</v>
      </c>
      <c r="C51" s="119" t="s">
        <v>210</v>
      </c>
      <c r="D51" s="119" t="s">
        <v>86</v>
      </c>
      <c r="E51" s="83"/>
      <c r="F51" s="83"/>
      <c r="G51" s="83"/>
      <c r="H51" s="120" t="e">
        <f>_xlfn.XLOOKUP(Table1[[#This Row],[Shipment Number]], 'pivot '!A:A,'pivot '!G:G, "NF")</f>
        <v>#DIV/0!</v>
      </c>
      <c r="I51" s="120">
        <f>_xlfn.XLOOKUP(Table1[[#This Row],[Party Name]],
[1]Billing!$R$5:$R$40,
[1]Billing!$V$5:$V$40)</f>
        <v>513809.43672275054</v>
      </c>
      <c r="J51" s="120">
        <f>_xlfn.XLOOKUP(Table1[[#This Row],[Party Name]],
[1]Billing!$R$5:$R$40,
[1]Billing!$X$5:$X$40)</f>
        <v>6679522.6773957582</v>
      </c>
      <c r="K51" s="119"/>
      <c r="P51"/>
      <c r="Q51"/>
      <c r="R51"/>
      <c r="S51"/>
      <c r="T51"/>
      <c r="U51"/>
      <c r="V51"/>
      <c r="W51"/>
      <c r="X51"/>
      <c r="Y51"/>
    </row>
    <row r="52" spans="1:25" x14ac:dyDescent="0.3">
      <c r="A52" s="149">
        <v>46111</v>
      </c>
      <c r="B52" s="80" t="s">
        <v>176</v>
      </c>
      <c r="C52" s="119" t="s">
        <v>210</v>
      </c>
      <c r="D52" s="119" t="s">
        <v>86</v>
      </c>
      <c r="E52" s="83"/>
      <c r="F52" s="83"/>
      <c r="G52" s="83"/>
      <c r="H52" s="120" t="e">
        <f>_xlfn.XLOOKUP(Table1[[#This Row],[Shipment Number]], 'pivot '!A:A,'pivot '!G:G, "NF")</f>
        <v>#DIV/0!</v>
      </c>
      <c r="I52" s="120">
        <f>_xlfn.XLOOKUP(Table1[[#This Row],[Party Name]],
[1]Billing!$R$5:$R$40,
[1]Billing!$V$5:$V$40)</f>
        <v>7565.8376005852242</v>
      </c>
      <c r="J52" s="120">
        <f>_xlfn.XLOOKUP(Table1[[#This Row],[Party Name]],
[1]Billing!$R$5:$R$40,
[1]Billing!$X$5:$X$40)</f>
        <v>98355.888807607917</v>
      </c>
      <c r="K52" s="119"/>
      <c r="P52"/>
      <c r="Q52"/>
      <c r="R52"/>
      <c r="S52"/>
      <c r="T52"/>
      <c r="U52"/>
      <c r="V52"/>
      <c r="W52"/>
      <c r="X52"/>
      <c r="Y52"/>
    </row>
    <row r="53" spans="1:25" x14ac:dyDescent="0.3">
      <c r="A53" s="149">
        <v>46111</v>
      </c>
      <c r="B53" s="80" t="s">
        <v>177</v>
      </c>
      <c r="C53" s="119" t="s">
        <v>210</v>
      </c>
      <c r="D53" s="119" t="s">
        <v>86</v>
      </c>
      <c r="E53" s="83"/>
      <c r="F53" s="83"/>
      <c r="G53" s="83"/>
      <c r="H53" s="120" t="e">
        <f>_xlfn.XLOOKUP(Table1[[#This Row],[Shipment Number]], 'pivot '!A:A,'pivot '!G:G, "NF")</f>
        <v>#DIV/0!</v>
      </c>
      <c r="I53" s="120">
        <f>_xlfn.XLOOKUP(Table1[[#This Row],[Party Name]],
[1]Billing!$R$5:$R$40,
[1]Billing!$V$5:$V$40)</f>
        <v>95441.660570592547</v>
      </c>
      <c r="J53" s="120">
        <f>_xlfn.XLOOKUP(Table1[[#This Row],[Party Name]],
[1]Billing!$R$5:$R$40,
[1]Billing!$X$5:$X$40)</f>
        <v>1240741.5874177031</v>
      </c>
      <c r="K53" s="119"/>
      <c r="P53"/>
      <c r="Q53"/>
      <c r="R53"/>
      <c r="S53"/>
      <c r="T53"/>
      <c r="U53"/>
      <c r="V53"/>
      <c r="W53"/>
      <c r="X53"/>
      <c r="Y53"/>
    </row>
    <row r="54" spans="1:25" x14ac:dyDescent="0.3">
      <c r="A54" s="149">
        <v>46111</v>
      </c>
      <c r="B54" s="80" t="s">
        <v>182</v>
      </c>
      <c r="C54" s="119" t="s">
        <v>210</v>
      </c>
      <c r="D54" s="119" t="s">
        <v>86</v>
      </c>
      <c r="E54" s="83"/>
      <c r="F54" s="83"/>
      <c r="G54" s="83"/>
      <c r="H54" s="120" t="e">
        <f>_xlfn.XLOOKUP(Table1[[#This Row],[Shipment Number]], 'pivot '!A:A,'pivot '!G:G, "NF")</f>
        <v>#DIV/0!</v>
      </c>
      <c r="I54" s="120">
        <f>_xlfn.XLOOKUP(Table1[[#This Row],[Party Name]],
[1]Billing!$R$5:$R$40,
[1]Billing!$V$5:$V$40)</f>
        <v>31409.107534747625</v>
      </c>
      <c r="J54" s="120">
        <f>_xlfn.XLOOKUP(Table1[[#This Row],[Party Name]],
[1]Billing!$R$5:$R$40,
[1]Billing!$X$5:$X$40)</f>
        <v>408318.39795171918</v>
      </c>
      <c r="K54" s="119"/>
      <c r="P54"/>
      <c r="Q54"/>
      <c r="R54"/>
      <c r="S54"/>
      <c r="T54"/>
      <c r="U54"/>
      <c r="V54"/>
      <c r="W54"/>
      <c r="X54"/>
      <c r="Y54"/>
    </row>
    <row r="55" spans="1:25" x14ac:dyDescent="0.3">
      <c r="A55" s="149">
        <v>46111</v>
      </c>
      <c r="B55" s="80" t="s">
        <v>189</v>
      </c>
      <c r="C55" s="119" t="s">
        <v>210</v>
      </c>
      <c r="D55" s="119" t="s">
        <v>86</v>
      </c>
      <c r="E55" s="83"/>
      <c r="F55" s="83"/>
      <c r="G55" s="83"/>
      <c r="H55" s="120" t="e">
        <f>_xlfn.XLOOKUP(Table1[[#This Row],[Shipment Number]], 'pivot '!A:A,'pivot '!G:G, "NF")</f>
        <v>#DIV/0!</v>
      </c>
      <c r="I55" s="120">
        <f>_xlfn.XLOOKUP(Table1[[#This Row],[Party Name]],
[1]Billing!$R$5:$R$40,
[1]Billing!$V$5:$V$40)</f>
        <v>0</v>
      </c>
      <c r="J55" s="120">
        <f>_xlfn.XLOOKUP(Table1[[#This Row],[Party Name]],
[1]Billing!$R$5:$R$40,
[1]Billing!$X$5:$X$40)</f>
        <v>0</v>
      </c>
      <c r="K55" s="119"/>
      <c r="P55"/>
      <c r="Q55"/>
      <c r="R55"/>
      <c r="S55"/>
      <c r="T55"/>
      <c r="U55"/>
      <c r="V55"/>
      <c r="W55"/>
      <c r="X55"/>
      <c r="Y55"/>
    </row>
    <row r="56" spans="1:25" x14ac:dyDescent="0.3">
      <c r="A56" s="149">
        <v>46111</v>
      </c>
      <c r="B56" s="80" t="s">
        <v>192</v>
      </c>
      <c r="C56" s="119" t="s">
        <v>210</v>
      </c>
      <c r="D56" s="119" t="s">
        <v>86</v>
      </c>
      <c r="E56" s="83"/>
      <c r="F56" s="83"/>
      <c r="G56" s="83"/>
      <c r="H56" s="120" t="e">
        <f>_xlfn.XLOOKUP(Table1[[#This Row],[Shipment Number]], 'pivot '!A:A,'pivot '!G:G, "NF")</f>
        <v>#DIV/0!</v>
      </c>
      <c r="I56" s="120">
        <f>_xlfn.XLOOKUP(Table1[[#This Row],[Party Name]],
[1]Billing!$R$5:$R$40,
[1]Billing!$V$5:$V$40)</f>
        <v>0</v>
      </c>
      <c r="J56" s="120">
        <f>_xlfn.XLOOKUP(Table1[[#This Row],[Party Name]],
[1]Billing!$R$5:$R$40,
[1]Billing!$X$5:$X$40)</f>
        <v>0</v>
      </c>
      <c r="K56" s="119"/>
      <c r="P56"/>
      <c r="Q56"/>
      <c r="R56"/>
      <c r="S56"/>
      <c r="T56"/>
      <c r="U56"/>
      <c r="V56"/>
      <c r="W56"/>
      <c r="X56"/>
      <c r="Y56"/>
    </row>
    <row r="57" spans="1:25" x14ac:dyDescent="0.3">
      <c r="A57" s="149">
        <v>46111</v>
      </c>
      <c r="B57" s="80" t="s">
        <v>191</v>
      </c>
      <c r="C57" s="119" t="s">
        <v>210</v>
      </c>
      <c r="D57" s="119" t="s">
        <v>86</v>
      </c>
      <c r="E57" s="83"/>
      <c r="F57" s="83"/>
      <c r="G57" s="83"/>
      <c r="H57" s="120" t="e">
        <f>_xlfn.XLOOKUP(Table1[[#This Row],[Shipment Number]], 'pivot '!A:A,'pivot '!G:G, "NF")</f>
        <v>#DIV/0!</v>
      </c>
      <c r="I57" s="120">
        <f>_xlfn.XLOOKUP(Table1[[#This Row],[Party Name]],
[1]Billing!$R$5:$R$40,
[1]Billing!$V$5:$V$40)</f>
        <v>125143.56254572056</v>
      </c>
      <c r="J57" s="120">
        <f>_xlfn.XLOOKUP(Table1[[#This Row],[Party Name]],
[1]Billing!$R$5:$R$40,
[1]Billing!$X$5:$X$40)</f>
        <v>1626866.3130943675</v>
      </c>
      <c r="K57" s="119"/>
      <c r="P57"/>
      <c r="Q57"/>
      <c r="R57"/>
      <c r="S57"/>
      <c r="T57"/>
      <c r="U57"/>
      <c r="V57"/>
      <c r="W57"/>
      <c r="X57"/>
      <c r="Y57"/>
    </row>
    <row r="58" spans="1:25" x14ac:dyDescent="0.3">
      <c r="A58" s="149">
        <v>46111</v>
      </c>
      <c r="B58" s="80" t="s">
        <v>196</v>
      </c>
      <c r="C58" s="119"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9">
        <v>46111</v>
      </c>
      <c r="B59" s="80" t="s">
        <v>201</v>
      </c>
      <c r="C59" s="119" t="s">
        <v>210</v>
      </c>
      <c r="D59" s="119" t="s">
        <v>86</v>
      </c>
      <c r="E59" s="83"/>
      <c r="F59" s="83"/>
      <c r="G59" s="83"/>
      <c r="H59" s="120" t="e">
        <f>_xlfn.XLOOKUP(Table1[[#This Row],[Shipment Number]], 'pivot '!A:A,'pivot '!G:G, "NF")</f>
        <v>#DIV/0!</v>
      </c>
      <c r="I59" s="120">
        <f>_xlfn.XLOOKUP(Table1[[#This Row],[Party Name]],
[1]Billing!$R$5:$R$40,
[1]Billing!$V$5:$V$40)</f>
        <v>29626.005852231167</v>
      </c>
      <c r="J59" s="120">
        <f>_xlfn.XLOOKUP(Table1[[#This Row],[Party Name]],
[1]Billing!$R$5:$R$40,
[1]Billing!$X$5:$X$40)</f>
        <v>385138.07607900514</v>
      </c>
      <c r="K59" s="119"/>
      <c r="P59"/>
      <c r="Q59"/>
      <c r="R59"/>
      <c r="S59"/>
      <c r="T59"/>
      <c r="U59"/>
    </row>
    <row r="60" spans="1:25" x14ac:dyDescent="0.3">
      <c r="A60" s="149">
        <v>46111</v>
      </c>
      <c r="B60" s="80" t="s">
        <v>203</v>
      </c>
      <c r="C60" s="119"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9">
        <v>46111</v>
      </c>
      <c r="B61" s="119" t="s">
        <v>226</v>
      </c>
      <c r="C61" s="119" t="s">
        <v>210</v>
      </c>
      <c r="D61" s="119" t="s">
        <v>86</v>
      </c>
      <c r="E61" s="83"/>
      <c r="F61" s="83"/>
      <c r="G61" s="83"/>
      <c r="H61" s="120" t="e">
        <f>_xlfn.XLOOKUP(Table1[[#This Row],[Shipment Number]], 'pivot '!A:A,'pivot '!G:G, "NF")</f>
        <v>#DIV/0!</v>
      </c>
      <c r="I61" s="120">
        <f>_xlfn.XLOOKUP(Table1[[#This Row],[Party Name]],
[1]Billing!$R$5:$R$40,
[1]Billing!$V$5:$V$40)</f>
        <v>86727.322604242872</v>
      </c>
      <c r="J61" s="120">
        <f>_xlfn.XLOOKUP(Table1[[#This Row],[Party Name]],
[1]Billing!$R$5:$R$40,
[1]Billing!$X$5:$X$40)</f>
        <v>1127455.1938551574</v>
      </c>
      <c r="K61" s="119"/>
      <c r="M61"/>
      <c r="P61"/>
      <c r="Q61"/>
      <c r="R61"/>
      <c r="S61"/>
    </row>
    <row r="62" spans="1:25" x14ac:dyDescent="0.3">
      <c r="A62" s="149">
        <v>46111</v>
      </c>
      <c r="B62" s="139" t="s">
        <v>225</v>
      </c>
      <c r="C62" s="119" t="s">
        <v>210</v>
      </c>
      <c r="D62" s="119" t="s">
        <v>86</v>
      </c>
      <c r="E62" s="83"/>
      <c r="F62" s="83"/>
      <c r="G62" s="83"/>
      <c r="H62" s="120" t="e">
        <f>_xlfn.XLOOKUP(Table1[[#This Row],[Shipment Number]], 'pivot '!A:A,'pivot '!G:G, "NF")</f>
        <v>#DIV/0!</v>
      </c>
      <c r="I62" s="120">
        <f>_xlfn.XLOOKUP(Table1[[#This Row],[Party Name]],
[1]Billing!$R$5:$R$40,
[1]Billing!$V$5:$V$40)</f>
        <v>45840.343818580841</v>
      </c>
      <c r="J62" s="120">
        <f>_xlfn.XLOOKUP(Table1[[#This Row],[Party Name]],
[1]Billing!$R$5:$R$40,
[1]Billing!$X$5:$X$40)</f>
        <v>595924.46964155091</v>
      </c>
      <c r="K62" s="119"/>
      <c r="M62"/>
      <c r="P62"/>
      <c r="Q62"/>
      <c r="R62"/>
      <c r="S62"/>
    </row>
    <row r="63" spans="1:25" x14ac:dyDescent="0.3">
      <c r="A63" s="149">
        <v>46111</v>
      </c>
      <c r="B63" s="139" t="s">
        <v>242</v>
      </c>
      <c r="C63" s="119" t="s">
        <v>210</v>
      </c>
      <c r="D63" s="119" t="s">
        <v>86</v>
      </c>
      <c r="E63" s="83"/>
      <c r="F63" s="83"/>
      <c r="G63" s="83"/>
      <c r="H63" s="120" t="e">
        <f>_xlfn.XLOOKUP(Table1[[#This Row],[Shipment Number]], 'pivot '!A:A,'pivot '!G:G, "NF")</f>
        <v>#DIV/0!</v>
      </c>
      <c r="I63" s="120">
        <f>_xlfn.XLOOKUP(Table1[[#This Row],[Party Name]],
[1]Billing!$R$5:$R$40,
[1]Billing!$V$5:$V$40)</f>
        <v>48958.485735186543</v>
      </c>
      <c r="J63" s="120">
        <f>_xlfn.XLOOKUP(Table1[[#This Row],[Party Name]],
[1]Billing!$R$5:$R$40,
[1]Billing!$X$5:$X$40)</f>
        <v>636460.3145574251</v>
      </c>
      <c r="K63" s="119"/>
      <c r="S63"/>
    </row>
    <row r="64" spans="1:25" x14ac:dyDescent="0.3">
      <c r="A64" s="149">
        <v>46111</v>
      </c>
      <c r="B64" s="139" t="s">
        <v>245</v>
      </c>
      <c r="C64" s="119" t="s">
        <v>210</v>
      </c>
      <c r="D64" s="119" t="s">
        <v>86</v>
      </c>
      <c r="E64" s="83"/>
      <c r="F64" s="83"/>
      <c r="G64" s="83"/>
      <c r="H64" s="120" t="e">
        <f>_xlfn.XLOOKUP(Table1[[#This Row],[Shipment Number]], 'pivot '!A:A,'pivot '!G:G, "NF")</f>
        <v>#DIV/0!</v>
      </c>
      <c r="I64" s="120">
        <f>_xlfn.XLOOKUP(Table1[[#This Row],[Party Name]],
[1]Billing!$R$5:$R$40,
[1]Billing!$V$5:$V$40)</f>
        <v>1321.3240673006585</v>
      </c>
      <c r="J64" s="120">
        <f>_xlfn.XLOOKUP(Table1[[#This Row],[Party Name]],
[1]Billing!$R$5:$R$40,
[1]Billing!$X$5:$X$40)</f>
        <v>15855.888807607902</v>
      </c>
      <c r="K64" s="119"/>
      <c r="S64"/>
    </row>
    <row r="65" spans="1:19" x14ac:dyDescent="0.3">
      <c r="A65" s="149">
        <v>46111</v>
      </c>
      <c r="B65" s="139" t="s">
        <v>230</v>
      </c>
      <c r="C65" s="119" t="s">
        <v>210</v>
      </c>
      <c r="D65" s="119" t="s">
        <v>86</v>
      </c>
      <c r="E65" s="83"/>
      <c r="F65" s="83"/>
      <c r="G65" s="83"/>
      <c r="H65" s="120" t="e">
        <f>_xlfn.XLOOKUP(Table1[[#This Row],[Shipment Number]], 'pivot '!A:A,'pivot '!G:G, "NF")</f>
        <v>#DIV/0!</v>
      </c>
      <c r="I65" s="120">
        <f>_xlfn.XLOOKUP(Table1[[#This Row],[Party Name]],
[1]Billing!$R$5:$R$40,
[1]Billing!$V$5:$V$40)</f>
        <v>0</v>
      </c>
      <c r="J65" s="120">
        <f>_xlfn.XLOOKUP(Table1[[#This Row],[Party Name]],
[1]Billing!$R$5:$R$40,
[1]Billing!$X$5:$X$40)</f>
        <v>0</v>
      </c>
      <c r="K65" s="119"/>
      <c r="S65"/>
    </row>
    <row r="66" spans="1:19" x14ac:dyDescent="0.3">
      <c r="A66" s="149">
        <v>46111</v>
      </c>
      <c r="B66" s="139" t="s">
        <v>258</v>
      </c>
      <c r="C66" s="119" t="s">
        <v>210</v>
      </c>
      <c r="D66" s="119" t="s">
        <v>86</v>
      </c>
      <c r="E66" s="83"/>
      <c r="F66" s="83"/>
      <c r="G66" s="83"/>
      <c r="H66" s="120" t="e">
        <f>_xlfn.XLOOKUP(Table1[[#This Row],[Shipment Number]], 'pivot '!A:A,'pivot '!G:G, "NF")</f>
        <v>#DIV/0!</v>
      </c>
      <c r="I66" s="120">
        <f>_xlfn.XLOOKUP(Table1[[#This Row],[Party Name]],
[1]Billing!$R$5:$R$40,
[1]Billing!$V$5:$V$40)</f>
        <v>157432.33357717632</v>
      </c>
      <c r="J66" s="120">
        <f>_xlfn.XLOOKUP(Table1[[#This Row],[Party Name]],
[1]Billing!$R$5:$R$40,
[1]Billing!$X$5:$X$40)</f>
        <v>2046620.336503292</v>
      </c>
      <c r="K66" s="119"/>
      <c r="S66"/>
    </row>
    <row r="67" spans="1:19" x14ac:dyDescent="0.3">
      <c r="A67" s="149">
        <v>46111</v>
      </c>
      <c r="B67" s="139" t="s">
        <v>273</v>
      </c>
      <c r="C67" s="119" t="s">
        <v>210</v>
      </c>
      <c r="D67" s="119" t="s">
        <v>86</v>
      </c>
      <c r="E67" s="83"/>
      <c r="F67" s="83"/>
      <c r="G67" s="83"/>
      <c r="H67" s="120" t="e">
        <f>_xlfn.XLOOKUP(Table1[[#This Row],[Shipment Number]], 'pivot '!A:A,'pivot '!G:G, "NF")</f>
        <v>#DIV/0!</v>
      </c>
      <c r="I67" s="120">
        <f>_xlfn.XLOOKUP(Table1[[#This Row],[Party Name]],
[1]Billing!$R$5:$R$40,
[1]Billing!$V$5:$V$40)</f>
        <v>0</v>
      </c>
      <c r="J67" s="120">
        <f>_xlfn.XLOOKUP(Table1[[#This Row],[Party Name]],
[1]Billing!$R$5:$R$40,
[1]Billing!$X$5:$X$40)</f>
        <v>0</v>
      </c>
      <c r="K67" s="119"/>
      <c r="S67"/>
    </row>
    <row r="68" spans="1:19" x14ac:dyDescent="0.3">
      <c r="A68" s="149">
        <v>46111</v>
      </c>
      <c r="B68" s="80" t="s">
        <v>25</v>
      </c>
      <c r="C68" s="119" t="s">
        <v>210</v>
      </c>
      <c r="D68" s="119" t="s">
        <v>183</v>
      </c>
      <c r="E68" s="83"/>
      <c r="F68" s="83"/>
      <c r="G68" s="83"/>
      <c r="H68" s="120" t="e">
        <f>_xlfn.XLOOKUP(Table1[[#This Row],[Shipment Number]], 'pivot '!A:A,'pivot '!G:G, "NF")</f>
        <v>#DIV/0!</v>
      </c>
      <c r="I68" s="120"/>
      <c r="J68" s="120">
        <f>_xlfn.XLOOKUP(Table1[[#This Row],[Party Name]],
[1]Billing!$R$5:$R$40,
[1]Billing!$Y$5:$Y$40)</f>
        <v>71359.729334308722</v>
      </c>
      <c r="K68" s="119"/>
      <c r="S68"/>
    </row>
    <row r="69" spans="1:19" x14ac:dyDescent="0.3">
      <c r="A69" s="149">
        <v>46111</v>
      </c>
      <c r="B69" s="80" t="s">
        <v>174</v>
      </c>
      <c r="C69" s="119" t="s">
        <v>210</v>
      </c>
      <c r="D69" s="119" t="s">
        <v>183</v>
      </c>
      <c r="E69" s="83"/>
      <c r="F69" s="83"/>
      <c r="G69" s="83"/>
      <c r="H69" s="120" t="e">
        <f>_xlfn.XLOOKUP(Table1[[#This Row],[Shipment Number]], 'pivot '!A:A,'pivot '!G:G, "NF")</f>
        <v>#DIV/0!</v>
      </c>
      <c r="I69" s="120"/>
      <c r="J69" s="120">
        <f>_xlfn.XLOOKUP(Table1[[#This Row],[Party Name]],
[1]Billing!$R$5:$R$40,
[1]Billing!$Y$5:$Y$40)</f>
        <v>44550.109729334312</v>
      </c>
      <c r="K69" s="119"/>
      <c r="S69"/>
    </row>
    <row r="70" spans="1:19" x14ac:dyDescent="0.3">
      <c r="A70" s="149">
        <v>46111</v>
      </c>
      <c r="B70" s="80" t="s">
        <v>176</v>
      </c>
      <c r="C70" s="119" t="s">
        <v>210</v>
      </c>
      <c r="D70" s="119" t="s">
        <v>184</v>
      </c>
      <c r="E70" s="83"/>
      <c r="F70" s="83"/>
      <c r="G70" s="83"/>
      <c r="H70" s="120" t="e">
        <f>_xlfn.XLOOKUP(Table1[[#This Row],[Shipment Number]], 'pivot '!A:A,'pivot '!G:G, "NF")</f>
        <v>#DIV/0!</v>
      </c>
      <c r="I70" s="120"/>
      <c r="J70" s="120">
        <f>_xlfn.XLOOKUP(Table1[[#This Row],[Party Name]],
[1]Billing!$R$5:$R$40,
[1]Billing!$Z$5:$Z$40)</f>
        <v>94656.181419166067</v>
      </c>
      <c r="K70" s="119"/>
      <c r="S70"/>
    </row>
    <row r="71" spans="1:19" x14ac:dyDescent="0.3">
      <c r="A71" s="149">
        <v>46111</v>
      </c>
      <c r="B71" s="119" t="s">
        <v>24</v>
      </c>
      <c r="C71" s="119" t="s">
        <v>210</v>
      </c>
      <c r="D71" s="119" t="s">
        <v>184</v>
      </c>
      <c r="E71" s="83"/>
      <c r="F71" s="83"/>
      <c r="G71" s="83"/>
      <c r="H71" s="120" t="e">
        <f>_xlfn.XLOOKUP(Table1[[#This Row],[Shipment Number]], 'pivot '!A:A,'pivot '!G:G, "NF")</f>
        <v>#DIV/0!</v>
      </c>
      <c r="I71" s="120"/>
      <c r="J71" s="120">
        <f>_xlfn.XLOOKUP(Table1[[#This Row],[Party Name]],
[1]Billing!$R$5:$R$40,
[1]Billing!$Z$5:$Z$40)</f>
        <v>239959.76591075349</v>
      </c>
      <c r="K71" s="119"/>
      <c r="S71"/>
    </row>
    <row r="72" spans="1:19" x14ac:dyDescent="0.3">
      <c r="A72" s="149">
        <v>46111</v>
      </c>
      <c r="B72" s="80" t="s">
        <v>182</v>
      </c>
      <c r="C72" s="119" t="s">
        <v>210</v>
      </c>
      <c r="D72" s="119" t="s">
        <v>198</v>
      </c>
      <c r="E72" s="83"/>
      <c r="F72" s="83"/>
      <c r="G72" s="83"/>
      <c r="H72" s="120" t="e">
        <f>_xlfn.XLOOKUP(Table1[[#This Row],[Shipment Number]], 'pivot '!A:A,'pivot '!G:G, "NF")</f>
        <v>#DIV/0!</v>
      </c>
      <c r="I72" s="120"/>
      <c r="J72" s="120">
        <f>_xlfn.XLOOKUP(Table1[[#This Row],[Party Name]],
[1]Billing!$R$5:$R$40,
[1]Billing!$AA$5:$AA$40)</f>
        <v>161653.2553035845</v>
      </c>
      <c r="K72" s="119"/>
      <c r="S72"/>
    </row>
    <row r="73" spans="1:19" x14ac:dyDescent="0.3">
      <c r="A73" s="149">
        <v>46111</v>
      </c>
      <c r="B73" s="119" t="s">
        <v>189</v>
      </c>
      <c r="C73" s="119" t="s">
        <v>210</v>
      </c>
      <c r="D73" s="119" t="s">
        <v>198</v>
      </c>
      <c r="E73" s="83"/>
      <c r="F73" s="83"/>
      <c r="G73" s="83"/>
      <c r="H73" s="120" t="e">
        <f>_xlfn.XLOOKUP(Table1[[#This Row],[Shipment Number]], 'pivot '!A:A,'pivot '!G:G, "NF")</f>
        <v>#DIV/0!</v>
      </c>
      <c r="I73" s="120"/>
      <c r="J73" s="120">
        <f>_xlfn.XLOOKUP(Table1[[#This Row],[Party Name]],
[1]Billing!$R$5:$R$40,
[1]Billing!$AA$5:$AA$40)</f>
        <v>23767.373811265548</v>
      </c>
      <c r="K73" s="119"/>
    </row>
    <row r="74" spans="1:19" x14ac:dyDescent="0.3">
      <c r="A74" s="149">
        <v>46111</v>
      </c>
      <c r="B74" s="119" t="s">
        <v>25</v>
      </c>
      <c r="C74" s="119" t="s">
        <v>210</v>
      </c>
      <c r="D74" s="119" t="s">
        <v>198</v>
      </c>
      <c r="E74" s="83"/>
      <c r="F74" s="83"/>
      <c r="G74" s="83"/>
      <c r="H74" s="120" t="e">
        <f>_xlfn.XLOOKUP(Table1[[#This Row],[Shipment Number]], 'pivot '!A:A,'pivot '!G:G, "NF")</f>
        <v>#DIV/0!</v>
      </c>
      <c r="I74" s="120"/>
      <c r="J74" s="120">
        <f>_xlfn.XLOOKUP(Table1[[#This Row],[Party Name]],
[1]Billing!$R$5:$R$40,
[1]Billing!$AA$5:$AA$40)</f>
        <v>322297.00073152891</v>
      </c>
      <c r="K74" s="119"/>
    </row>
    <row r="75" spans="1:19" x14ac:dyDescent="0.3">
      <c r="A75" s="149">
        <v>46111</v>
      </c>
      <c r="B75" s="119" t="s">
        <v>182</v>
      </c>
      <c r="C75" s="119" t="s">
        <v>210</v>
      </c>
      <c r="D75" s="119" t="s">
        <v>206</v>
      </c>
      <c r="E75" s="83"/>
      <c r="F75" s="83"/>
      <c r="G75" s="83"/>
      <c r="H75" s="120" t="e">
        <f>_xlfn.XLOOKUP(Table1[[#This Row],[Shipment Number]], 'pivot '!A:A,'pivot '!G:G, "NF")</f>
        <v>#DIV/0!</v>
      </c>
      <c r="I75" s="120"/>
      <c r="J75" s="120">
        <f>_xlfn.XLOOKUP(Table1[[#This Row],[Party Name]],
[1]Billing!$R$5:$R$40,
[1]Billing!$AB$5:$AB$40)</f>
        <v>1970409.6561814193</v>
      </c>
      <c r="K75" s="119"/>
    </row>
    <row r="76" spans="1:19" x14ac:dyDescent="0.3">
      <c r="A76" s="149">
        <v>46111</v>
      </c>
      <c r="B76" s="80" t="s">
        <v>189</v>
      </c>
      <c r="C76" s="119" t="s">
        <v>210</v>
      </c>
      <c r="D76" s="119" t="s">
        <v>206</v>
      </c>
      <c r="E76" s="83"/>
      <c r="F76" s="83"/>
      <c r="G76" s="83"/>
      <c r="H76" s="120" t="e">
        <f>_xlfn.XLOOKUP(Table1[[#This Row],[Shipment Number]], 'pivot '!A:A,'pivot '!G:G, "NF")</f>
        <v>#DIV/0!</v>
      </c>
      <c r="I76" s="120"/>
      <c r="J76" s="120">
        <f>_xlfn.XLOOKUP(Table1[[#This Row],[Party Name]],
[1]Billing!$R$5:$R$40,
[1]Billing!$AB$5:$AB$40)</f>
        <v>523143.74542794435</v>
      </c>
      <c r="K76" s="119"/>
    </row>
    <row r="77" spans="1:19" x14ac:dyDescent="0.3">
      <c r="A77" s="149">
        <v>46111</v>
      </c>
      <c r="B77" s="119" t="s">
        <v>258</v>
      </c>
      <c r="C77" s="119" t="s">
        <v>210</v>
      </c>
      <c r="D77" s="157" t="s">
        <v>206</v>
      </c>
      <c r="E77" s="83"/>
      <c r="F77" s="83"/>
      <c r="G77" s="83"/>
      <c r="H77" s="120" t="e">
        <f>_xlfn.XLOOKUP(Table1[[#This Row],[Shipment Number]], 'pivot '!A:A,'pivot '!G:G, "NF")</f>
        <v>#DIV/0!</v>
      </c>
      <c r="I77" s="120"/>
      <c r="J77" s="120">
        <f>_xlfn.XLOOKUP(Table1[[#This Row],[Party Name]],
[1]Billing!$R$5:$R$40,
[1]Billing!$AB$5:$AB$40)</f>
        <v>659577.54206291155</v>
      </c>
      <c r="K77" s="119"/>
    </row>
    <row r="78" spans="1:19" x14ac:dyDescent="0.3">
      <c r="A78" s="149">
        <v>46111</v>
      </c>
      <c r="B78" s="119" t="s">
        <v>21</v>
      </c>
      <c r="C78" s="119" t="s">
        <v>210</v>
      </c>
      <c r="D78" s="119" t="s">
        <v>206</v>
      </c>
      <c r="E78" s="95"/>
      <c r="F78" s="95"/>
      <c r="G78" s="95"/>
      <c r="H78" s="120" t="e">
        <f>_xlfn.XLOOKUP(Table1[[#This Row],[Shipment Number]], 'pivot '!A:A,'pivot '!G:G, "NF")</f>
        <v>#DIV/0!</v>
      </c>
      <c r="I78" s="166"/>
      <c r="J78" s="120">
        <f>_xlfn.XLOOKUP(Table1[[#This Row],[Party Name]],
[1]Billing!$R$5:$R$40,
[1]Billing!$AB$5:$AB$40)</f>
        <v>2127095.8302852963</v>
      </c>
      <c r="K78" s="165"/>
    </row>
    <row r="79" spans="1:19" x14ac:dyDescent="0.3">
      <c r="A79" s="149">
        <v>46111</v>
      </c>
      <c r="B79" s="80" t="s">
        <v>203</v>
      </c>
      <c r="C79" s="119" t="s">
        <v>210</v>
      </c>
      <c r="D79" s="119" t="s">
        <v>204</v>
      </c>
      <c r="E79" s="83"/>
      <c r="F79" s="83"/>
      <c r="G79" s="83"/>
      <c r="H79" s="120" t="e">
        <f>_xlfn.XLOOKUP(Table1[[#This Row],[Shipment Number]], 'pivot '!A:A,'pivot '!G:G, "NF")</f>
        <v>#DIV/0!</v>
      </c>
      <c r="I79" s="120"/>
      <c r="J79" s="120">
        <f>_xlfn.XLOOKUP(Table1[[#This Row],[Party Name]],
[1]Billing!$R$5:$R$40,
[1]Billing!$AC$5:$AC$40)</f>
        <v>151504.2062911485</v>
      </c>
      <c r="K79" s="119"/>
    </row>
    <row r="80" spans="1:19" x14ac:dyDescent="0.3">
      <c r="A80" s="149">
        <v>46111</v>
      </c>
      <c r="B80" s="119" t="s">
        <v>245</v>
      </c>
      <c r="C80" s="119" t="s">
        <v>210</v>
      </c>
      <c r="D80" s="119" t="s">
        <v>625</v>
      </c>
      <c r="E80" s="95"/>
      <c r="F80" s="95"/>
      <c r="G80" s="95"/>
      <c r="H80" s="120"/>
      <c r="I80" s="166"/>
      <c r="J80" s="120">
        <f>_xlfn.XLOOKUP(Table1[[#This Row],[Party Name]],
[1]Billing!$R$5:$R$40,
[1]Billing!$AD$5:$AD$40)</f>
        <v>51636.795903438193</v>
      </c>
      <c r="K80" s="165"/>
    </row>
    <row r="81" spans="1:17" x14ac:dyDescent="0.3">
      <c r="A81" s="118">
        <v>46154</v>
      </c>
      <c r="B81" s="116" t="s">
        <v>441</v>
      </c>
      <c r="C81" s="113" t="s">
        <v>587</v>
      </c>
      <c r="D81" s="113" t="s">
        <v>274</v>
      </c>
      <c r="E81" s="11"/>
      <c r="F81" s="11"/>
      <c r="G81" s="11"/>
      <c r="H81" s="114" t="e">
        <f>_xlfn.XLOOKUP(Table1[[#This Row],[Shipment Number]], 'pivot '!A:A,'pivot '!G:G, "NF")</f>
        <v>#DIV/0!</v>
      </c>
      <c r="I81" s="115"/>
      <c r="J81" s="115">
        <v>17000</v>
      </c>
      <c r="K81" s="113"/>
    </row>
    <row r="82" spans="1:17" x14ac:dyDescent="0.3">
      <c r="A82" s="149">
        <v>46111</v>
      </c>
      <c r="B82" s="119"/>
      <c r="C82" s="119"/>
      <c r="D82" s="119"/>
      <c r="E82" s="83"/>
      <c r="F82" s="83"/>
      <c r="G82" s="83"/>
      <c r="H82" s="120" t="e">
        <f>_xlfn.XLOOKUP(Table1[[#This Row],[Shipment Number]], 'pivot '!A:A,'pivot '!G:G, "NF")</f>
        <v>#DIV/0!</v>
      </c>
      <c r="I82" s="120"/>
      <c r="J82" s="120"/>
      <c r="K82" s="119"/>
    </row>
    <row r="83" spans="1:17" x14ac:dyDescent="0.3">
      <c r="A83" s="149">
        <v>46111</v>
      </c>
      <c r="B83" s="116"/>
      <c r="C83" s="119"/>
      <c r="D83" s="119"/>
      <c r="E83" s="83"/>
      <c r="F83" s="83"/>
      <c r="G83" s="83"/>
      <c r="H83" s="120" t="e">
        <f>_xlfn.XLOOKUP(Table1[[#This Row],[Shipment Number]], 'pivot '!A:A,'pivot '!G:G, "NF")</f>
        <v>#DIV/0!</v>
      </c>
      <c r="I83" s="120"/>
      <c r="J83" s="120"/>
      <c r="K83" s="119"/>
    </row>
    <row r="84" spans="1:17" x14ac:dyDescent="0.3">
      <c r="A84" s="149">
        <v>46111</v>
      </c>
      <c r="B84" s="116"/>
      <c r="C84" s="119"/>
      <c r="D84" s="119"/>
      <c r="E84" s="83"/>
      <c r="F84" s="83"/>
      <c r="G84" s="83"/>
      <c r="H84" s="120" t="e">
        <f>_xlfn.XLOOKUP(Table1[[#This Row],[Shipment Number]], 'pivot '!A:A,'pivot '!G:G, "NF")</f>
        <v>#DIV/0!</v>
      </c>
      <c r="I84" s="120"/>
      <c r="J84" s="120"/>
      <c r="K84" s="119"/>
    </row>
    <row r="85" spans="1:17" x14ac:dyDescent="0.3">
      <c r="A85" s="149">
        <v>46111</v>
      </c>
      <c r="B85" s="119"/>
      <c r="C85" s="119"/>
      <c r="D85" s="119"/>
      <c r="E85" s="83"/>
      <c r="F85" s="83"/>
      <c r="G85" s="83"/>
      <c r="H85" s="120" t="e">
        <f>_xlfn.XLOOKUP(Table1[[#This Row],[Shipment Number]], 'pivot '!A:A,'pivot '!G:G, "NF")</f>
        <v>#DIV/0!</v>
      </c>
      <c r="I85" s="120"/>
      <c r="J85" s="120"/>
      <c r="K85" s="119"/>
    </row>
    <row r="86" spans="1:17" x14ac:dyDescent="0.3">
      <c r="A86" s="149">
        <v>46111</v>
      </c>
      <c r="B86" s="116"/>
      <c r="C86" s="119"/>
      <c r="D86" s="119"/>
      <c r="E86" s="83"/>
      <c r="F86" s="83"/>
      <c r="G86" s="83"/>
      <c r="H86" s="120" t="e">
        <f>_xlfn.XLOOKUP(Table1[[#This Row],[Shipment Number]], 'pivot '!A:A,'pivot '!G:G, "NF")</f>
        <v>#DIV/0!</v>
      </c>
      <c r="I86" s="120"/>
      <c r="J86" s="120"/>
      <c r="K86" s="119"/>
    </row>
    <row r="87" spans="1:17" x14ac:dyDescent="0.3">
      <c r="A87" s="149">
        <v>46111</v>
      </c>
      <c r="B87" s="116"/>
      <c r="C87" s="113"/>
      <c r="D87" s="113"/>
      <c r="E87" s="11"/>
      <c r="F87" s="11"/>
      <c r="G87" s="11"/>
      <c r="H87" s="114"/>
      <c r="I87" s="115"/>
      <c r="J87" s="115"/>
      <c r="K87" s="113"/>
    </row>
    <row r="88" spans="1:17" x14ac:dyDescent="0.3">
      <c r="A88" s="149">
        <v>46111</v>
      </c>
      <c r="B88" s="116"/>
      <c r="C88" s="113"/>
      <c r="D88" s="113"/>
      <c r="E88" s="11"/>
      <c r="F88" s="11"/>
      <c r="G88" s="11"/>
      <c r="H88" s="114"/>
      <c r="I88" s="115"/>
      <c r="J88" s="115"/>
      <c r="K88" s="113"/>
    </row>
    <row r="89" spans="1:17" x14ac:dyDescent="0.3">
      <c r="A89" s="149">
        <v>46111</v>
      </c>
      <c r="B89" s="116"/>
      <c r="C89" s="113"/>
      <c r="D89" s="113"/>
      <c r="E89" s="11"/>
      <c r="F89" s="11"/>
      <c r="G89" s="11"/>
      <c r="H89" s="114"/>
      <c r="I89" s="115"/>
      <c r="J89" s="115"/>
      <c r="K89" s="113"/>
    </row>
    <row r="90" spans="1:17" x14ac:dyDescent="0.3">
      <c r="A90" s="149">
        <v>46111</v>
      </c>
      <c r="B90" s="116"/>
      <c r="C90" s="113"/>
      <c r="D90" s="113"/>
      <c r="E90" s="11"/>
      <c r="F90" s="11"/>
      <c r="G90" s="11"/>
      <c r="H90" s="114"/>
      <c r="I90" s="115"/>
      <c r="J90" s="115"/>
      <c r="K90" s="113"/>
    </row>
    <row r="91" spans="1:17" x14ac:dyDescent="0.3">
      <c r="A91" s="149">
        <v>46111</v>
      </c>
      <c r="B91" s="116"/>
      <c r="C91" s="113"/>
      <c r="D91" s="113"/>
      <c r="E91" s="11"/>
      <c r="F91" s="11"/>
      <c r="G91" s="11"/>
      <c r="H91" s="114"/>
      <c r="I91" s="115"/>
      <c r="J91" s="115"/>
      <c r="K91" s="113"/>
    </row>
    <row r="92" spans="1:17" x14ac:dyDescent="0.3">
      <c r="A92" s="149">
        <v>46111</v>
      </c>
      <c r="B92" s="116"/>
      <c r="C92" s="113"/>
      <c r="D92" s="113"/>
      <c r="E92" s="11"/>
      <c r="F92" s="11"/>
      <c r="G92" s="11"/>
      <c r="H92" s="114"/>
      <c r="I92" s="115"/>
      <c r="J92" s="115"/>
      <c r="K92" s="113"/>
    </row>
    <row r="93" spans="1:17" x14ac:dyDescent="0.3">
      <c r="A93" s="148">
        <v>46123</v>
      </c>
      <c r="B93" s="116" t="s">
        <v>35</v>
      </c>
      <c r="C93" s="153">
        <v>1613</v>
      </c>
      <c r="D93" s="153" t="s">
        <v>86</v>
      </c>
      <c r="E93" s="22" t="s">
        <v>354</v>
      </c>
      <c r="F93" s="22">
        <v>78365</v>
      </c>
      <c r="G93" s="22">
        <v>28736</v>
      </c>
      <c r="H93" s="107">
        <f>_xlfn.XLOOKUP(Table1[[#This Row],[Shipment Number]], 'pivot '!A:A,'pivot '!G:G, "NF")</f>
        <v>1.7584184749482432</v>
      </c>
      <c r="I93" s="63">
        <f>Table1[[#This Row],[Tiyaar/gaz]]/1.0936</f>
        <v>26276.517922457941</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93" s="153"/>
    </row>
    <row r="94" spans="1:17" x14ac:dyDescent="0.3">
      <c r="A94" s="148">
        <v>46123</v>
      </c>
      <c r="B94" s="116" t="s">
        <v>35</v>
      </c>
      <c r="C94" s="153">
        <v>1614</v>
      </c>
      <c r="D94" s="153" t="s">
        <v>86</v>
      </c>
      <c r="E94" s="22" t="s">
        <v>354</v>
      </c>
      <c r="F94" s="22">
        <v>78365</v>
      </c>
      <c r="G94" s="22">
        <v>19637</v>
      </c>
      <c r="H94" s="107">
        <f>_xlfn.XLOOKUP(Table1[[#This Row],[Shipment Number]], 'pivot '!A:A,'pivot '!G:G, "NF")</f>
        <v>1.7584184749482432</v>
      </c>
      <c r="I94" s="63">
        <f>Table1[[#This Row],[Tiyaar/gaz]]/1.0936</f>
        <v>17956.291148500368</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94" s="153"/>
    </row>
    <row r="95" spans="1:17" x14ac:dyDescent="0.3">
      <c r="A95" s="148">
        <v>46123</v>
      </c>
      <c r="B95" s="116" t="s">
        <v>277</v>
      </c>
      <c r="C95" s="153">
        <v>1615</v>
      </c>
      <c r="D95" s="153" t="s">
        <v>86</v>
      </c>
      <c r="E95" s="22">
        <v>2151</v>
      </c>
      <c r="F95" s="22">
        <v>61027</v>
      </c>
      <c r="G95" s="22">
        <v>20336</v>
      </c>
      <c r="H95" s="107">
        <f>_xlfn.XLOOKUP(Table1[[#This Row],[Shipment Number]], 'pivot '!A:A,'pivot '!G:G, "NF")</f>
        <v>5.0916566376672563</v>
      </c>
      <c r="I95" s="63">
        <f>Table1[[#This Row],[Tiyaar/gaz]]/1.0936</f>
        <v>18595.464520848574</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95" s="153"/>
    </row>
    <row r="96" spans="1:17" x14ac:dyDescent="0.3">
      <c r="A96" s="148">
        <v>46123</v>
      </c>
      <c r="B96" s="116" t="s">
        <v>21</v>
      </c>
      <c r="C96" s="153">
        <v>1616</v>
      </c>
      <c r="D96" s="153" t="s">
        <v>86</v>
      </c>
      <c r="E96" s="22">
        <v>2153</v>
      </c>
      <c r="F96" s="22">
        <v>20212</v>
      </c>
      <c r="G96" s="22">
        <v>21525</v>
      </c>
      <c r="H96" s="107">
        <f>_xlfn.XLOOKUP(Table1[[#This Row],[Shipment Number]], 'pivot '!A:A,'pivot '!G:G, "NF")</f>
        <v>2.6187445991292577</v>
      </c>
      <c r="I96" s="63">
        <f>Table1[[#This Row],[Tiyaar/gaz]]/1.0936</f>
        <v>19682.699341623997</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96" s="153"/>
      <c r="O96"/>
      <c r="P96"/>
      <c r="Q96"/>
    </row>
    <row r="97" spans="1:18" x14ac:dyDescent="0.3">
      <c r="A97" s="148">
        <v>46123</v>
      </c>
      <c r="B97" s="116" t="s">
        <v>21</v>
      </c>
      <c r="C97" s="153">
        <v>1617</v>
      </c>
      <c r="D97" s="153" t="s">
        <v>85</v>
      </c>
      <c r="E97" s="22">
        <v>2148</v>
      </c>
      <c r="F97" s="22">
        <v>28859</v>
      </c>
      <c r="G97" s="22">
        <v>2172</v>
      </c>
      <c r="H97" s="107">
        <f>_xlfn.XLOOKUP(Table1[[#This Row],[Shipment Number]], 'pivot '!A:A,'pivot '!G:G, "NF")</f>
        <v>2.1108939402745932</v>
      </c>
      <c r="I97" s="63">
        <f>Table1[[#This Row],[Tiyaar/gaz]]/1.0936</f>
        <v>1986.1009509875641</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97" s="153"/>
      <c r="O97"/>
      <c r="P97"/>
      <c r="Q97"/>
    </row>
    <row r="98" spans="1:18" x14ac:dyDescent="0.3">
      <c r="A98" s="148">
        <v>46123</v>
      </c>
      <c r="B98" s="116" t="s">
        <v>9</v>
      </c>
      <c r="C98" s="153">
        <v>1618</v>
      </c>
      <c r="D98" s="153" t="s">
        <v>85</v>
      </c>
      <c r="E98" s="22">
        <v>2136</v>
      </c>
      <c r="F98" s="22">
        <v>24072</v>
      </c>
      <c r="G98" s="22">
        <v>6820</v>
      </c>
      <c r="H98" s="107">
        <f>_xlfn.XLOOKUP(Table1[[#This Row],[Shipment Number]], 'pivot '!A:A,'pivot '!G:G, "NF")</f>
        <v>2.1581621874196912</v>
      </c>
      <c r="I98" s="63">
        <f>Table1[[#This Row],[Tiyaar/gaz]]/1.0936</f>
        <v>6236.2838332114125</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98" s="153"/>
      <c r="L98"/>
      <c r="M98"/>
      <c r="O98"/>
      <c r="P98"/>
      <c r="Q98"/>
    </row>
    <row r="99" spans="1:18" x14ac:dyDescent="0.3">
      <c r="A99" s="148">
        <v>46123</v>
      </c>
      <c r="B99" s="116" t="s">
        <v>35</v>
      </c>
      <c r="C99" s="153">
        <v>1619</v>
      </c>
      <c r="D99" s="153" t="s">
        <v>86</v>
      </c>
      <c r="E99" s="22" t="s">
        <v>354</v>
      </c>
      <c r="F99" s="22">
        <v>78365</v>
      </c>
      <c r="G99" s="22">
        <v>35820</v>
      </c>
      <c r="H99" s="107">
        <f>_xlfn.XLOOKUP(Table1[[#This Row],[Shipment Number]], 'pivot '!A:A,'pivot '!G:G, "NF")</f>
        <v>1.7584184749482432</v>
      </c>
      <c r="I99" s="63">
        <f>Table1[[#This Row],[Tiyaar/gaz]]/1.0936</f>
        <v>32754.206291148505</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99" s="153"/>
      <c r="M99"/>
      <c r="P99"/>
      <c r="Q99"/>
      <c r="R99"/>
    </row>
    <row r="100" spans="1:18" x14ac:dyDescent="0.3">
      <c r="A100" s="148">
        <v>46123</v>
      </c>
      <c r="B100" s="116" t="s">
        <v>9</v>
      </c>
      <c r="C100" s="153">
        <v>1620</v>
      </c>
      <c r="D100" s="153" t="s">
        <v>85</v>
      </c>
      <c r="E100" s="22">
        <v>2136</v>
      </c>
      <c r="F100" s="22">
        <v>24072</v>
      </c>
      <c r="G100" s="22">
        <v>18937</v>
      </c>
      <c r="H100" s="107">
        <f>_xlfn.XLOOKUP(Table1[[#This Row],[Shipment Number]], 'pivot '!A:A,'pivot '!G:G, "NF")</f>
        <v>2.1581621874196912</v>
      </c>
      <c r="I100" s="63">
        <f>Table1[[#This Row],[Tiyaar/gaz]]/1.0936</f>
        <v>17316.203365032921</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00" s="153"/>
      <c r="M100"/>
      <c r="P100"/>
      <c r="Q100"/>
      <c r="R100"/>
    </row>
    <row r="101" spans="1:18" x14ac:dyDescent="0.3">
      <c r="A101" s="148">
        <v>46123</v>
      </c>
      <c r="B101" s="116" t="s">
        <v>258</v>
      </c>
      <c r="C101" s="153">
        <v>1621</v>
      </c>
      <c r="D101" s="153" t="s">
        <v>86</v>
      </c>
      <c r="E101" s="22">
        <v>2134</v>
      </c>
      <c r="F101" s="22">
        <v>45364</v>
      </c>
      <c r="G101" s="22">
        <v>48061</v>
      </c>
      <c r="H101" s="107">
        <f>_xlfn.XLOOKUP(Table1[[#This Row],[Shipment Number]], 'pivot '!A:A,'pivot '!G:G, "NF")</f>
        <v>3.1224918398825707</v>
      </c>
      <c r="I101" s="63">
        <f>Table1[[#This Row],[Tiyaar/gaz]]/1.0936</f>
        <v>43947.512801755671</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01" s="153"/>
      <c r="M101"/>
      <c r="P101"/>
      <c r="Q101"/>
      <c r="R101"/>
    </row>
    <row r="102" spans="1:18" x14ac:dyDescent="0.3">
      <c r="A102" s="148">
        <v>46123</v>
      </c>
      <c r="B102" s="116" t="s">
        <v>258</v>
      </c>
      <c r="C102" s="153">
        <v>1622</v>
      </c>
      <c r="D102" s="153" t="s">
        <v>86</v>
      </c>
      <c r="E102" s="22">
        <v>2117</v>
      </c>
      <c r="F102" s="22">
        <v>16284</v>
      </c>
      <c r="G102" s="22">
        <v>17178</v>
      </c>
      <c r="H102" s="107">
        <f>_xlfn.XLOOKUP(Table1[[#This Row],[Shipment Number]], 'pivot '!A:A,'pivot '!G:G, "NF")</f>
        <v>3.5387238621275401</v>
      </c>
      <c r="I102" s="63">
        <f>Table1[[#This Row],[Tiyaar/gaz]]/1.0936</f>
        <v>15707.754206291151</v>
      </c>
      <c r="J102" s="63" cm="1">
        <f t="array" ref="J1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02" s="153"/>
      <c r="M102"/>
      <c r="P102"/>
      <c r="Q102"/>
      <c r="R102"/>
    </row>
    <row r="103" spans="1:18" x14ac:dyDescent="0.3">
      <c r="A103" s="148">
        <v>46125</v>
      </c>
      <c r="B103" s="116" t="s">
        <v>21</v>
      </c>
      <c r="C103" s="153">
        <v>1623</v>
      </c>
      <c r="D103" s="153" t="s">
        <v>86</v>
      </c>
      <c r="E103" s="22">
        <v>2151</v>
      </c>
      <c r="F103" s="22">
        <v>61027</v>
      </c>
      <c r="G103" s="22">
        <v>36335</v>
      </c>
      <c r="H103" s="107">
        <f>_xlfn.XLOOKUP(Table1[[#This Row],[Shipment Number]], 'pivot '!A:A,'pivot '!G:G, "NF")</f>
        <v>5.0916566376672563</v>
      </c>
      <c r="I103" s="63">
        <f>Table1[[#This Row],[Tiyaar/gaz]]/1.0936</f>
        <v>33225.128017556694</v>
      </c>
      <c r="J103" s="63" cm="1">
        <f t="array" ref="J1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03" s="153"/>
      <c r="M103"/>
      <c r="P103"/>
      <c r="Q103"/>
      <c r="R103"/>
    </row>
    <row r="104" spans="1:18" x14ac:dyDescent="0.3">
      <c r="A104" s="148">
        <v>46124</v>
      </c>
      <c r="B104" s="116" t="s">
        <v>21</v>
      </c>
      <c r="C104" s="153">
        <v>1624</v>
      </c>
      <c r="D104" s="153" t="s">
        <v>86</v>
      </c>
      <c r="E104" s="22">
        <v>2151</v>
      </c>
      <c r="F104" s="22">
        <v>61027</v>
      </c>
      <c r="G104" s="22">
        <v>6670</v>
      </c>
      <c r="H104" s="107">
        <f>_xlfn.XLOOKUP(Table1[[#This Row],[Shipment Number]], 'pivot '!A:A,'pivot '!G:G, "NF")</f>
        <v>5.0916566376672563</v>
      </c>
      <c r="I104" s="63">
        <f>Table1[[#This Row],[Tiyaar/gaz]]/1.0936</f>
        <v>6099.1221653255307</v>
      </c>
      <c r="J104" s="63" cm="1">
        <f t="array" ref="J1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04" s="153"/>
      <c r="M104"/>
      <c r="P104"/>
      <c r="Q104"/>
      <c r="R104"/>
    </row>
    <row r="105" spans="1:18" x14ac:dyDescent="0.3">
      <c r="A105" s="148">
        <v>46124</v>
      </c>
      <c r="B105" s="116" t="s">
        <v>21</v>
      </c>
      <c r="C105" s="153">
        <v>1625</v>
      </c>
      <c r="D105" s="153" t="s">
        <v>85</v>
      </c>
      <c r="E105" s="22">
        <v>2148</v>
      </c>
      <c r="F105" s="22">
        <v>28857</v>
      </c>
      <c r="G105" s="22">
        <v>21620</v>
      </c>
      <c r="H105" s="107">
        <f>_xlfn.XLOOKUP(Table1[[#This Row],[Shipment Number]], 'pivot '!A:A,'pivot '!G:G, "NF")</f>
        <v>2.1108939402745932</v>
      </c>
      <c r="I105" s="63">
        <f>Table1[[#This Row],[Tiyaar/gaz]]/1.0936</f>
        <v>19769.56839795172</v>
      </c>
      <c r="J105" s="63" cm="1">
        <f t="array" ref="J1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05" s="153"/>
      <c r="M105"/>
      <c r="P105"/>
      <c r="Q105"/>
      <c r="R105"/>
    </row>
    <row r="106" spans="1:18" x14ac:dyDescent="0.3">
      <c r="A106" s="148">
        <v>46125</v>
      </c>
      <c r="B106" s="116" t="s">
        <v>9</v>
      </c>
      <c r="C106" s="153">
        <v>1626</v>
      </c>
      <c r="D106" s="153" t="s">
        <v>85</v>
      </c>
      <c r="E106" s="22">
        <v>2131</v>
      </c>
      <c r="F106" s="22">
        <v>25617</v>
      </c>
      <c r="G106" s="22">
        <v>27435</v>
      </c>
      <c r="H106" s="107">
        <f>_xlfn.XLOOKUP(Table1[[#This Row],[Shipment Number]], 'pivot '!A:A,'pivot '!G:G, "NF")</f>
        <v>2.0694497547420525</v>
      </c>
      <c r="I106" s="63">
        <f>Table1[[#This Row],[Tiyaar/gaz]]/1.0936</f>
        <v>25086.869056327727</v>
      </c>
      <c r="J106" s="63" cm="1">
        <f t="array" ref="J1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06" s="153"/>
      <c r="P106"/>
      <c r="Q106"/>
      <c r="R106"/>
    </row>
    <row r="107" spans="1:18" x14ac:dyDescent="0.3">
      <c r="A107" s="148">
        <v>46125</v>
      </c>
      <c r="B107" s="116" t="s">
        <v>22</v>
      </c>
      <c r="C107" s="153">
        <v>1627</v>
      </c>
      <c r="D107" s="153" t="s">
        <v>86</v>
      </c>
      <c r="E107" s="22">
        <v>2146</v>
      </c>
      <c r="F107" s="22">
        <v>20038</v>
      </c>
      <c r="G107" s="22">
        <v>4919</v>
      </c>
      <c r="H107" s="107">
        <f>_xlfn.XLOOKUP(Table1[[#This Row],[Shipment Number]], 'pivot '!A:A,'pivot '!G:G, "NF")</f>
        <v>3.1558400414486698</v>
      </c>
      <c r="I107" s="63">
        <f>Table1[[#This Row],[Tiyaar/gaz]]/1.0936</f>
        <v>4497.9882955376743</v>
      </c>
      <c r="J107" s="63" cm="1">
        <f t="array" ref="J1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07" s="153"/>
      <c r="L107"/>
      <c r="P107"/>
      <c r="Q107"/>
      <c r="R107"/>
    </row>
    <row r="108" spans="1:18" x14ac:dyDescent="0.3">
      <c r="A108" s="148">
        <v>46130</v>
      </c>
      <c r="B108" s="116" t="s">
        <v>21</v>
      </c>
      <c r="C108" s="153">
        <v>1628</v>
      </c>
      <c r="D108" s="153" t="s">
        <v>86</v>
      </c>
      <c r="E108" s="22">
        <v>2152</v>
      </c>
      <c r="F108" s="22">
        <v>22707</v>
      </c>
      <c r="G108" s="22">
        <v>23910</v>
      </c>
      <c r="H108" s="107">
        <f>_xlfn.XLOOKUP(Table1[[#This Row],[Shipment Number]], 'pivot '!A:A,'pivot '!G:G, "NF")</f>
        <v>3.714405861586684</v>
      </c>
      <c r="I108" s="63">
        <f>Table1[[#This Row],[Tiyaar/gaz]]/1.0936</f>
        <v>21863.569861009513</v>
      </c>
      <c r="J108" s="63" cm="1">
        <f t="array" ref="J1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08" s="153"/>
      <c r="L108"/>
      <c r="P108"/>
      <c r="Q108"/>
      <c r="R108"/>
    </row>
    <row r="109" spans="1:18" x14ac:dyDescent="0.3">
      <c r="A109" s="148">
        <v>46130</v>
      </c>
      <c r="B109" s="116" t="s">
        <v>22</v>
      </c>
      <c r="C109" s="153">
        <v>1629</v>
      </c>
      <c r="D109" s="153" t="s">
        <v>86</v>
      </c>
      <c r="E109" s="22">
        <v>2146</v>
      </c>
      <c r="F109" s="22">
        <v>20038</v>
      </c>
      <c r="G109" s="22">
        <v>16303</v>
      </c>
      <c r="H109" s="107">
        <f>_xlfn.XLOOKUP(Table1[[#This Row],[Shipment Number]], 'pivot '!A:A,'pivot '!G:G, "NF")</f>
        <v>3.1558400414486698</v>
      </c>
      <c r="I109" s="63">
        <f>Table1[[#This Row],[Tiyaar/gaz]]/1.0936</f>
        <v>14907.644476956841</v>
      </c>
      <c r="J109" s="63" cm="1">
        <f t="array" ref="J1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09" s="153"/>
      <c r="L109"/>
      <c r="O109"/>
      <c r="P109"/>
      <c r="Q109"/>
    </row>
    <row r="110" spans="1:18" x14ac:dyDescent="0.3">
      <c r="A110" s="148">
        <v>46130</v>
      </c>
      <c r="B110" s="116" t="s">
        <v>21</v>
      </c>
      <c r="C110" s="153">
        <v>1630</v>
      </c>
      <c r="D110" s="153" t="s">
        <v>86</v>
      </c>
      <c r="E110" s="22">
        <v>2162</v>
      </c>
      <c r="F110" s="22">
        <v>3017</v>
      </c>
      <c r="G110" s="22">
        <v>3252</v>
      </c>
      <c r="H110" s="107">
        <f>_xlfn.XLOOKUP(Table1[[#This Row],[Shipment Number]], 'pivot '!A:A,'pivot '!G:G, "NF")</f>
        <v>1.4363619567149186</v>
      </c>
      <c r="I110" s="63">
        <f>Table1[[#This Row],[Tiyaar/gaz]]/1.0936</f>
        <v>2973.6649597659111</v>
      </c>
      <c r="J110" s="63" cm="1">
        <f t="array" ref="J11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10" s="153"/>
      <c r="L110"/>
      <c r="O110"/>
      <c r="P110"/>
      <c r="Q110"/>
    </row>
    <row r="111" spans="1:18" x14ac:dyDescent="0.3">
      <c r="A111" s="148">
        <v>46130</v>
      </c>
      <c r="B111" s="116" t="s">
        <v>21</v>
      </c>
      <c r="C111" s="153">
        <v>1631</v>
      </c>
      <c r="D111" s="153" t="s">
        <v>85</v>
      </c>
      <c r="E111" s="22">
        <v>2148</v>
      </c>
      <c r="F111" s="22">
        <v>28857</v>
      </c>
      <c r="G111" s="22">
        <v>7102</v>
      </c>
      <c r="H111" s="107">
        <f>_xlfn.XLOOKUP(Table1[[#This Row],[Shipment Number]], 'pivot '!A:A,'pivot '!G:G, "NF")</f>
        <v>2.1108939402745932</v>
      </c>
      <c r="I111" s="63">
        <f>Table1[[#This Row],[Tiyaar/gaz]]/1.0936</f>
        <v>6494.1477688368695</v>
      </c>
      <c r="J111" s="63" cm="1">
        <f t="array" ref="J11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11" s="153"/>
      <c r="L111"/>
      <c r="O111"/>
      <c r="P111"/>
      <c r="Q111"/>
    </row>
    <row r="112" spans="1:18" x14ac:dyDescent="0.3">
      <c r="A112" s="148">
        <v>46130</v>
      </c>
      <c r="B112" s="116" t="s">
        <v>21</v>
      </c>
      <c r="C112" s="153">
        <v>1632</v>
      </c>
      <c r="D112" s="153" t="s">
        <v>85</v>
      </c>
      <c r="E112" s="22">
        <v>2135</v>
      </c>
      <c r="F112" s="22">
        <v>14433</v>
      </c>
      <c r="G112" s="22">
        <v>10979</v>
      </c>
      <c r="H112" s="107">
        <f>_xlfn.XLOOKUP(Table1[[#This Row],[Shipment Number]], 'pivot '!A:A,'pivot '!G:G, "NF")</f>
        <v>3.2750325128177167</v>
      </c>
      <c r="I112" s="63">
        <f>Table1[[#This Row],[Tiyaar/gaz]]/1.0936</f>
        <v>10039.319678127287</v>
      </c>
      <c r="J112" s="63" cm="1">
        <f t="array" ref="J11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12" s="153"/>
      <c r="L112"/>
      <c r="O112"/>
      <c r="P112"/>
      <c r="Q112"/>
    </row>
    <row r="113" spans="1:17" x14ac:dyDescent="0.3">
      <c r="A113" s="148">
        <v>46130</v>
      </c>
      <c r="B113" s="116" t="s">
        <v>21</v>
      </c>
      <c r="C113" s="153">
        <v>1633</v>
      </c>
      <c r="D113" s="153" t="s">
        <v>85</v>
      </c>
      <c r="E113" s="22">
        <v>2154</v>
      </c>
      <c r="F113" s="22">
        <v>10364</v>
      </c>
      <c r="G113" s="22">
        <v>11077</v>
      </c>
      <c r="H113" s="107">
        <f>_xlfn.XLOOKUP(Table1[[#This Row],[Shipment Number]], 'pivot '!A:A,'pivot '!G:G, "NF")</f>
        <v>2.2681207273955124</v>
      </c>
      <c r="I113" s="63">
        <f>Table1[[#This Row],[Tiyaar/gaz]]/1.0936</f>
        <v>10128.93196781273</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13" s="153"/>
      <c r="O113"/>
      <c r="P113"/>
      <c r="Q113"/>
    </row>
    <row r="114" spans="1:17" x14ac:dyDescent="0.3">
      <c r="A114" s="150">
        <v>46130</v>
      </c>
      <c r="B114" s="133" t="s">
        <v>273</v>
      </c>
      <c r="C114" s="154">
        <v>1634</v>
      </c>
      <c r="D114" s="154" t="s">
        <v>85</v>
      </c>
      <c r="E114" s="159">
        <v>2158</v>
      </c>
      <c r="F114" s="159">
        <v>29532</v>
      </c>
      <c r="G114" s="159">
        <v>31473</v>
      </c>
      <c r="H114" s="161">
        <f>_xlfn.XLOOKUP(Table1[[#This Row],[Shipment Number]], 'pivot '!A:A,'pivot '!G:G, "NF")</f>
        <v>2.5488921989175992</v>
      </c>
      <c r="I114" s="163">
        <f>Table1[[#This Row],[Tiyaar/gaz]]/1.0936</f>
        <v>28779.261155815657</v>
      </c>
      <c r="J114" s="1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14" s="154"/>
      <c r="O114"/>
      <c r="P114"/>
      <c r="Q114"/>
    </row>
    <row r="115" spans="1:17" x14ac:dyDescent="0.3">
      <c r="A115" s="148">
        <v>46132</v>
      </c>
      <c r="B115" s="116" t="s">
        <v>258</v>
      </c>
      <c r="C115" s="153">
        <v>1635</v>
      </c>
      <c r="D115" s="153" t="s">
        <v>206</v>
      </c>
      <c r="E115" s="22">
        <v>2155</v>
      </c>
      <c r="F115" s="22">
        <v>44910</v>
      </c>
      <c r="G115" s="22">
        <v>33115</v>
      </c>
      <c r="H115" s="107">
        <f>_xlfn.XLOOKUP(Table1[[#This Row],[Shipment Number]], 'pivot '!A:A,'pivot '!G:G, "NF")</f>
        <v>5.8936372297549582</v>
      </c>
      <c r="I115" s="63">
        <f>Table1[[#This Row],[Tiyaar/gaz]]/1.0936</f>
        <v>30280.724213606441</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15" s="153"/>
      <c r="O115"/>
      <c r="P115"/>
      <c r="Q115"/>
    </row>
    <row r="116" spans="1:17" x14ac:dyDescent="0.3">
      <c r="A116" s="148">
        <v>46132</v>
      </c>
      <c r="B116" s="116" t="s">
        <v>258</v>
      </c>
      <c r="C116" s="153">
        <v>1636</v>
      </c>
      <c r="D116" s="153" t="s">
        <v>206</v>
      </c>
      <c r="E116" s="22">
        <v>2155</v>
      </c>
      <c r="F116" s="22">
        <v>44910</v>
      </c>
      <c r="G116" s="22">
        <v>13104</v>
      </c>
      <c r="H116" s="107">
        <f>_xlfn.XLOOKUP(Table1[[#This Row],[Shipment Number]], 'pivot '!A:A,'pivot '!G:G, "NF")</f>
        <v>5.8936372297549582</v>
      </c>
      <c r="I116" s="63">
        <f>Table1[[#This Row],[Tiyaar/gaz]]/1.0936</f>
        <v>11982.443306510608</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16" s="153"/>
      <c r="O116"/>
      <c r="P116"/>
      <c r="Q116"/>
    </row>
    <row r="117" spans="1:17" x14ac:dyDescent="0.3">
      <c r="A117" s="148">
        <v>46132</v>
      </c>
      <c r="B117" s="116" t="s">
        <v>27</v>
      </c>
      <c r="C117" s="153">
        <v>1637</v>
      </c>
      <c r="D117" s="153" t="s">
        <v>85</v>
      </c>
      <c r="E117" s="22">
        <v>2128</v>
      </c>
      <c r="F117" s="22">
        <v>50106</v>
      </c>
      <c r="G117" s="22">
        <v>600</v>
      </c>
      <c r="H117" s="107">
        <f>_xlfn.XLOOKUP(Table1[[#This Row],[Shipment Number]], 'pivot '!A:A,'pivot '!G:G, "NF")</f>
        <v>98.905027997558122</v>
      </c>
      <c r="I117" s="63">
        <f>Table1[[#This Row],[Tiyaar/gaz]]/1.0936</f>
        <v>548.64667154352605</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17" s="153"/>
      <c r="O117"/>
      <c r="P117"/>
      <c r="Q117"/>
    </row>
    <row r="118" spans="1:17" x14ac:dyDescent="0.3">
      <c r="A118" s="148">
        <v>46133</v>
      </c>
      <c r="B118" s="152" t="s">
        <v>441</v>
      </c>
      <c r="C118" s="153">
        <v>1638</v>
      </c>
      <c r="D118" s="153" t="s">
        <v>447</v>
      </c>
      <c r="E118" s="22">
        <v>2166</v>
      </c>
      <c r="F118" s="22">
        <v>16758</v>
      </c>
      <c r="G118" s="22">
        <v>16705</v>
      </c>
      <c r="H118" s="107">
        <f>_xlfn.XLOOKUP(Table1[[#This Row],[Shipment Number]], 'pivot '!A:A,'pivot '!G:G, "NF")</f>
        <v>8.8480860073337766</v>
      </c>
      <c r="I118" s="63">
        <f>Table1[[#This Row],[Tiyaar/gaz]]/1.0936</f>
        <v>15275.237746891004</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18" s="153"/>
      <c r="O118"/>
      <c r="P118"/>
      <c r="Q118"/>
    </row>
    <row r="119" spans="1:17" x14ac:dyDescent="0.3">
      <c r="A119" s="148">
        <v>46133</v>
      </c>
      <c r="B119" s="116" t="s">
        <v>441</v>
      </c>
      <c r="C119" s="153">
        <v>1639</v>
      </c>
      <c r="D119" s="153" t="s">
        <v>447</v>
      </c>
      <c r="E119" s="11">
        <v>2165</v>
      </c>
      <c r="F119" s="11">
        <v>5601</v>
      </c>
      <c r="G119" s="11">
        <v>5649</v>
      </c>
      <c r="H119" s="114">
        <f>_xlfn.XLOOKUP(Table1[[#This Row],[Shipment Number]], 'pivot '!A:A,'pivot '!G:G, "NF")</f>
        <v>7.7752470526281456</v>
      </c>
      <c r="I119" s="63">
        <f>Table1[[#This Row],[Tiyaar/gaz]]/1.0936</f>
        <v>5165.5084125822978</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19" s="113"/>
      <c r="O119"/>
      <c r="P119"/>
      <c r="Q119"/>
    </row>
    <row r="120" spans="1:17" x14ac:dyDescent="0.3">
      <c r="A120" s="148">
        <v>46133</v>
      </c>
      <c r="B120" s="116" t="s">
        <v>21</v>
      </c>
      <c r="C120" s="153">
        <v>1640</v>
      </c>
      <c r="D120" s="153" t="s">
        <v>85</v>
      </c>
      <c r="E120" s="11" t="s">
        <v>442</v>
      </c>
      <c r="F120" s="11">
        <v>23377</v>
      </c>
      <c r="G120" s="11">
        <v>12483</v>
      </c>
      <c r="H120" s="114">
        <f>_xlfn.XLOOKUP(Table1[[#This Row],[Shipment Number]], 'pivot '!A:A,'pivot '!G:G, "NF")</f>
        <v>51.171690116511705</v>
      </c>
      <c r="I120" s="63">
        <f>Table1[[#This Row],[Tiyaar/gaz]]/1.0936</f>
        <v>11414.59400146306</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20" s="113"/>
      <c r="P120"/>
      <c r="Q120"/>
    </row>
    <row r="121" spans="1:17" x14ac:dyDescent="0.3">
      <c r="A121" s="148">
        <v>46133</v>
      </c>
      <c r="B121" s="116" t="s">
        <v>21</v>
      </c>
      <c r="C121" s="153">
        <v>1641</v>
      </c>
      <c r="D121" s="153" t="s">
        <v>85</v>
      </c>
      <c r="E121" s="11">
        <v>2147</v>
      </c>
      <c r="F121" s="11">
        <v>37086</v>
      </c>
      <c r="G121" s="11">
        <v>4157</v>
      </c>
      <c r="H121" s="114">
        <f>_xlfn.XLOOKUP(Table1[[#This Row],[Shipment Number]], 'pivot '!A:A,'pivot '!G:G, "NF")</f>
        <v>2.2838077264489698</v>
      </c>
      <c r="I121" s="63">
        <f>Table1[[#This Row],[Tiyaar/gaz]]/1.0936</f>
        <v>3801.2070226773963</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21" s="113"/>
      <c r="P121"/>
      <c r="Q121"/>
    </row>
    <row r="122" spans="1:17" x14ac:dyDescent="0.3">
      <c r="A122" s="148">
        <v>46134</v>
      </c>
      <c r="B122" s="116" t="s">
        <v>245</v>
      </c>
      <c r="C122" s="153">
        <v>1642</v>
      </c>
      <c r="D122" s="153" t="s">
        <v>274</v>
      </c>
      <c r="E122" s="11">
        <v>2144</v>
      </c>
      <c r="F122" s="11">
        <v>2940</v>
      </c>
      <c r="G122" s="11">
        <v>3292</v>
      </c>
      <c r="H122" s="114">
        <f>_xlfn.XLOOKUP(Table1[[#This Row],[Shipment Number]], 'pivot '!A:A,'pivot '!G:G, "NF")</f>
        <v>-2.3891634195741318</v>
      </c>
      <c r="I122" s="63">
        <f>Table1[[#This Row],[Tiyaar/gaz]]/1.0936</f>
        <v>3010.2414045354794</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22" s="113"/>
      <c r="P122"/>
      <c r="Q122"/>
    </row>
    <row r="123" spans="1:17" x14ac:dyDescent="0.3">
      <c r="A123" s="148">
        <v>46134</v>
      </c>
      <c r="B123" s="116" t="s">
        <v>245</v>
      </c>
      <c r="C123" s="153">
        <v>1643</v>
      </c>
      <c r="D123" s="153" t="s">
        <v>274</v>
      </c>
      <c r="E123" s="11" t="s">
        <v>443</v>
      </c>
      <c r="F123" s="11">
        <v>3710</v>
      </c>
      <c r="G123" s="11">
        <v>3636</v>
      </c>
      <c r="H123" s="114">
        <f>_xlfn.XLOOKUP(Table1[[#This Row],[Shipment Number]], 'pivot '!A:A,'pivot '!G:G, "NF")</f>
        <v>10.382780874561519</v>
      </c>
      <c r="I123" s="63">
        <f>Table1[[#This Row],[Tiyaar/gaz]]/1.0936</f>
        <v>3324.7988295537675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23" s="113"/>
      <c r="P123"/>
      <c r="Q123"/>
    </row>
    <row r="124" spans="1:17" x14ac:dyDescent="0.3">
      <c r="A124" s="148">
        <v>46134</v>
      </c>
      <c r="B124" s="116" t="s">
        <v>245</v>
      </c>
      <c r="C124" s="153">
        <v>1644</v>
      </c>
      <c r="D124" s="153" t="s">
        <v>274</v>
      </c>
      <c r="E124" s="11">
        <v>2143</v>
      </c>
      <c r="F124" s="11">
        <v>5180</v>
      </c>
      <c r="G124" s="11">
        <v>5214</v>
      </c>
      <c r="H124" s="114">
        <f>_xlfn.XLOOKUP(Table1[[#This Row],[Shipment Number]], 'pivot '!A:A,'pivot '!G:G, "NF")</f>
        <v>7.9586954495513282</v>
      </c>
      <c r="I124" s="63">
        <f>Table1[[#This Row],[Tiyaar/gaz]]/1.0936</f>
        <v>4767.7395757132408</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24" s="113"/>
      <c r="P124"/>
      <c r="Q124"/>
    </row>
    <row r="125" spans="1:17" x14ac:dyDescent="0.3">
      <c r="A125" s="148">
        <v>46134</v>
      </c>
      <c r="B125" s="116" t="s">
        <v>245</v>
      </c>
      <c r="C125" s="153">
        <v>1645</v>
      </c>
      <c r="D125" s="153" t="s">
        <v>274</v>
      </c>
      <c r="E125" s="11">
        <v>2142</v>
      </c>
      <c r="F125" s="11">
        <v>4200</v>
      </c>
      <c r="G125" s="11">
        <v>4467</v>
      </c>
      <c r="H125" s="114">
        <f>_xlfn.XLOOKUP(Table1[[#This Row],[Shipment Number]], 'pivot '!A:A,'pivot '!G:G, "NF")</f>
        <v>2.745845960915446</v>
      </c>
      <c r="I125" s="63">
        <f>Table1[[#This Row],[Tiyaar/gaz]]/1.0936</f>
        <v>4084.6744696415512</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25" s="113"/>
      <c r="P125"/>
      <c r="Q125"/>
    </row>
    <row r="126" spans="1:17" x14ac:dyDescent="0.3">
      <c r="A126" s="148">
        <v>46134</v>
      </c>
      <c r="B126" s="116" t="s">
        <v>245</v>
      </c>
      <c r="C126" s="153">
        <v>1646</v>
      </c>
      <c r="D126" s="156" t="s">
        <v>274</v>
      </c>
      <c r="E126" s="11">
        <v>2140</v>
      </c>
      <c r="F126" s="11">
        <v>4200</v>
      </c>
      <c r="G126" s="11">
        <v>4253</v>
      </c>
      <c r="H126" s="114">
        <f>_xlfn.XLOOKUP(Table1[[#This Row],[Shipment Number]], 'pivot '!A:A,'pivot '!G:G, "NF")</f>
        <v>7.4049883303723902</v>
      </c>
      <c r="I126" s="162">
        <f>Table1[[#This Row],[Tiyaar/gaz]]/1.0936</f>
        <v>3888.9904901243603</v>
      </c>
      <c r="J126" s="16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26" s="113"/>
      <c r="P126"/>
      <c r="Q126"/>
    </row>
    <row r="127" spans="1:17" x14ac:dyDescent="0.3">
      <c r="A127" s="148">
        <v>46134</v>
      </c>
      <c r="B127" s="116" t="s">
        <v>245</v>
      </c>
      <c r="C127" s="153">
        <v>1647</v>
      </c>
      <c r="D127" s="156" t="s">
        <v>274</v>
      </c>
      <c r="E127" s="160">
        <v>2141</v>
      </c>
      <c r="F127" s="160">
        <v>2968</v>
      </c>
      <c r="G127" s="160">
        <v>3096</v>
      </c>
      <c r="H127" s="109">
        <f>_xlfn.XLOOKUP(Table1[[#This Row],[Shipment Number]], 'pivot '!A:A,'pivot '!G:G, "NF")</f>
        <v>4.6153360793600342</v>
      </c>
      <c r="I127" s="162">
        <f>Table1[[#This Row],[Tiyaar/gaz]]/1.0936</f>
        <v>2831.0168251645941</v>
      </c>
      <c r="J127" s="16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27" s="156"/>
      <c r="P127"/>
      <c r="Q127"/>
    </row>
    <row r="128" spans="1:17" x14ac:dyDescent="0.3">
      <c r="A128" s="148">
        <v>46134</v>
      </c>
      <c r="B128" s="116" t="s">
        <v>245</v>
      </c>
      <c r="C128" s="153">
        <v>1648</v>
      </c>
      <c r="D128" s="153" t="s">
        <v>274</v>
      </c>
      <c r="E128" s="22" t="s">
        <v>444</v>
      </c>
      <c r="F128" s="22">
        <v>5362</v>
      </c>
      <c r="G128" s="22">
        <v>5154</v>
      </c>
      <c r="H128" s="107">
        <f>_xlfn.XLOOKUP(Table1[[#This Row],[Shipment Number]], 'pivot '!A:A,'pivot '!G:G, "NF")</f>
        <v>12.106025577044221</v>
      </c>
      <c r="I128" s="162">
        <f>Table1[[#This Row],[Tiyaar/gaz]]/1.0936</f>
        <v>4712.8749085588888</v>
      </c>
      <c r="J128" s="16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28" s="153"/>
      <c r="P128"/>
      <c r="Q128"/>
    </row>
    <row r="129" spans="1:17" x14ac:dyDescent="0.3">
      <c r="A129" s="148">
        <v>46135</v>
      </c>
      <c r="B129" s="116" t="s">
        <v>258</v>
      </c>
      <c r="C129" s="153">
        <v>1649</v>
      </c>
      <c r="D129" s="156" t="s">
        <v>86</v>
      </c>
      <c r="E129" s="22">
        <v>2167</v>
      </c>
      <c r="F129" s="22">
        <v>47687</v>
      </c>
      <c r="G129" s="22">
        <v>35027</v>
      </c>
      <c r="H129" s="107">
        <f>_xlfn.XLOOKUP(Table1[[#This Row],[Shipment Number]], 'pivot '!A:A,'pivot '!G:G, "NF")</f>
        <v>4.562761726141872</v>
      </c>
      <c r="I129" s="162">
        <f>Table1[[#This Row],[Tiyaar/gaz]]/1.0936</f>
        <v>32029.078273591811</v>
      </c>
      <c r="J129" s="16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29" s="153"/>
      <c r="P129"/>
      <c r="Q129"/>
    </row>
    <row r="130" spans="1:17" x14ac:dyDescent="0.3">
      <c r="A130" s="148">
        <v>46135</v>
      </c>
      <c r="B130" s="116" t="s">
        <v>258</v>
      </c>
      <c r="C130" s="153">
        <v>1650</v>
      </c>
      <c r="D130" s="153" t="s">
        <v>86</v>
      </c>
      <c r="E130" s="22">
        <v>2167</v>
      </c>
      <c r="F130" s="22">
        <v>47687</v>
      </c>
      <c r="G130" s="22">
        <v>13248</v>
      </c>
      <c r="H130" s="107">
        <f>_xlfn.XLOOKUP(Table1[[#This Row],[Shipment Number]], 'pivot '!A:A,'pivot '!G:G, "NF")</f>
        <v>4.562761726141872</v>
      </c>
      <c r="I130" s="162">
        <f>Table1[[#This Row],[Tiyaar/gaz]]/1.0936</f>
        <v>12114.118507681054</v>
      </c>
      <c r="J130" s="16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30" s="153"/>
      <c r="P130"/>
      <c r="Q130"/>
    </row>
    <row r="131" spans="1:17" x14ac:dyDescent="0.3">
      <c r="A131" s="148">
        <v>46135</v>
      </c>
      <c r="B131" s="116" t="s">
        <v>22</v>
      </c>
      <c r="C131" s="153">
        <v>1651</v>
      </c>
      <c r="D131" s="156" t="s">
        <v>86</v>
      </c>
      <c r="E131" s="22">
        <v>2171</v>
      </c>
      <c r="F131" s="22">
        <v>15000</v>
      </c>
      <c r="G131" s="22">
        <v>1535</v>
      </c>
      <c r="H131" s="107">
        <f>_xlfn.XLOOKUP(Table1[[#This Row],[Shipment Number]], 'pivot '!A:A,'pivot '!G:G, "NF")</f>
        <v>90.642526213118757</v>
      </c>
      <c r="I131" s="162">
        <f>Table1[[#This Row],[Tiyaar/gaz]]/1.0936</f>
        <v>1403.6210680321874</v>
      </c>
      <c r="J131" s="16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31" s="153"/>
      <c r="O131"/>
      <c r="P131"/>
      <c r="Q131"/>
    </row>
    <row r="132" spans="1:17" x14ac:dyDescent="0.3">
      <c r="A132" s="148">
        <v>46136</v>
      </c>
      <c r="B132" s="116" t="s">
        <v>21</v>
      </c>
      <c r="C132" s="153">
        <v>1652</v>
      </c>
      <c r="D132" s="153" t="s">
        <v>85</v>
      </c>
      <c r="E132" s="22">
        <v>2178</v>
      </c>
      <c r="F132" s="22">
        <v>15645</v>
      </c>
      <c r="G132" s="22">
        <v>10649</v>
      </c>
      <c r="H132" s="107">
        <f>_xlfn.XLOOKUP(Table1[[#This Row],[Shipment Number]], 'pivot '!A:A,'pivot '!G:G, "NF")</f>
        <v>28.460261428648579</v>
      </c>
      <c r="I132" s="162">
        <f>Table1[[#This Row],[Tiyaar/gaz]]/1.0936</f>
        <v>9737.5640087783468</v>
      </c>
      <c r="J132" s="16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32" s="153"/>
      <c r="M132"/>
      <c r="N132"/>
    </row>
    <row r="133" spans="1:17" x14ac:dyDescent="0.3">
      <c r="A133" s="148">
        <v>46136</v>
      </c>
      <c r="B133" s="116" t="s">
        <v>21</v>
      </c>
      <c r="C133" s="153">
        <v>1653</v>
      </c>
      <c r="D133" s="156" t="s">
        <v>85</v>
      </c>
      <c r="E133" s="22">
        <v>2150</v>
      </c>
      <c r="F133" s="22">
        <v>14993</v>
      </c>
      <c r="G133" s="22">
        <v>6728</v>
      </c>
      <c r="H133" s="107">
        <f>_xlfn.XLOOKUP(Table1[[#This Row],[Shipment Number]], 'pivot '!A:A,'pivot '!G:G, "NF")</f>
        <v>0.97183123399551619</v>
      </c>
      <c r="I133" s="162">
        <f>Table1[[#This Row],[Tiyaar/gaz]]/1.0936</f>
        <v>6152.1580102414055</v>
      </c>
      <c r="J133" s="16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33" s="153"/>
    </row>
    <row r="134" spans="1:17" x14ac:dyDescent="0.3">
      <c r="A134" s="148">
        <v>46136</v>
      </c>
      <c r="B134" s="116" t="s">
        <v>189</v>
      </c>
      <c r="C134" s="153">
        <v>1654</v>
      </c>
      <c r="D134" s="153" t="s">
        <v>85</v>
      </c>
      <c r="E134" s="22">
        <v>2172</v>
      </c>
      <c r="F134" s="22">
        <v>78432</v>
      </c>
      <c r="G134" s="22">
        <v>4817</v>
      </c>
      <c r="H134" s="107">
        <f>_xlfn.XLOOKUP(Table1[[#This Row],[Shipment Number]], 'pivot '!A:A,'pivot '!G:G, "NF")</f>
        <v>2.5084090589677857</v>
      </c>
      <c r="I134" s="162">
        <f>Table1[[#This Row],[Tiyaar/gaz]]/1.0936</f>
        <v>4404.718361375275</v>
      </c>
      <c r="J134" s="16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34" s="153"/>
    </row>
    <row r="135" spans="1:17" x14ac:dyDescent="0.3">
      <c r="A135" s="148">
        <v>46136</v>
      </c>
      <c r="B135" s="116" t="s">
        <v>441</v>
      </c>
      <c r="C135" s="153">
        <v>1655</v>
      </c>
      <c r="D135" s="156" t="s">
        <v>85</v>
      </c>
      <c r="E135" s="22">
        <v>2170</v>
      </c>
      <c r="F135" s="22">
        <v>83592</v>
      </c>
      <c r="G135" s="22">
        <v>49176</v>
      </c>
      <c r="H135" s="107">
        <f>_xlfn.XLOOKUP(Table1[[#This Row],[Shipment Number]], 'pivot '!A:A,'pivot '!G:G, "NF")</f>
        <v>3.0467366383261378</v>
      </c>
      <c r="I135" s="162">
        <f>Table1[[#This Row],[Tiyaar/gaz]]/1.0936</f>
        <v>44967.081199707391</v>
      </c>
      <c r="J135" s="16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35" s="153"/>
    </row>
    <row r="136" spans="1:17" x14ac:dyDescent="0.3">
      <c r="A136" s="148">
        <v>46137</v>
      </c>
      <c r="B136" s="116" t="s">
        <v>441</v>
      </c>
      <c r="C136" s="153">
        <v>1656</v>
      </c>
      <c r="D136" s="153" t="s">
        <v>85</v>
      </c>
      <c r="E136" s="22">
        <v>2170</v>
      </c>
      <c r="F136" s="22">
        <v>83592</v>
      </c>
      <c r="G136" s="22">
        <v>39455</v>
      </c>
      <c r="H136" s="107">
        <f>_xlfn.XLOOKUP(Table1[[#This Row],[Shipment Number]], 'pivot '!A:A,'pivot '!G:G, "NF")</f>
        <v>3.0467366383261378</v>
      </c>
      <c r="I136" s="162">
        <f>Table1[[#This Row],[Tiyaar/gaz]]/1.0936</f>
        <v>36078.090709583033</v>
      </c>
      <c r="J136" s="16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36" s="153"/>
    </row>
    <row r="137" spans="1:17" x14ac:dyDescent="0.3">
      <c r="A137" s="148">
        <v>46139</v>
      </c>
      <c r="B137" s="116" t="s">
        <v>27</v>
      </c>
      <c r="C137" s="153">
        <v>1657</v>
      </c>
      <c r="D137" s="156" t="s">
        <v>206</v>
      </c>
      <c r="E137" s="22">
        <v>2157</v>
      </c>
      <c r="F137" s="22">
        <v>50133</v>
      </c>
      <c r="G137" s="22">
        <v>51781</v>
      </c>
      <c r="H137" s="107">
        <f>_xlfn.XLOOKUP(Table1[[#This Row],[Shipment Number]], 'pivot '!A:A,'pivot '!G:G, "NF")</f>
        <v>5.5529847299672213</v>
      </c>
      <c r="I137" s="162">
        <f>Table1[[#This Row],[Tiyaar/gaz]]/1.0936</f>
        <v>47349.122165325534</v>
      </c>
      <c r="J137" s="162" cm="1">
        <f t="array" ref="J1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37" s="153"/>
    </row>
    <row r="138" spans="1:17" x14ac:dyDescent="0.3">
      <c r="A138" s="148">
        <v>46139</v>
      </c>
      <c r="B138" s="116" t="s">
        <v>258</v>
      </c>
      <c r="C138" s="153">
        <v>1658</v>
      </c>
      <c r="D138" s="153" t="s">
        <v>206</v>
      </c>
      <c r="E138" s="22">
        <v>2177</v>
      </c>
      <c r="F138" s="22">
        <v>7882</v>
      </c>
      <c r="G138" s="22">
        <v>8164</v>
      </c>
      <c r="H138" s="107">
        <f>_xlfn.XLOOKUP(Table1[[#This Row],[Shipment Number]], 'pivot '!A:A,'pivot '!G:G, "NF")</f>
        <v>5.2873334500265088</v>
      </c>
      <c r="I138" s="162">
        <f>Table1[[#This Row],[Tiyaar/gaz]]/1.0936</f>
        <v>7465.2523774689107</v>
      </c>
      <c r="J138" s="162" cm="1">
        <f t="array" ref="J1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38" s="153"/>
    </row>
    <row r="139" spans="1:17" x14ac:dyDescent="0.3">
      <c r="A139" s="148">
        <v>46139</v>
      </c>
      <c r="B139" s="116" t="s">
        <v>258</v>
      </c>
      <c r="C139" s="153">
        <v>1659</v>
      </c>
      <c r="D139" s="156" t="s">
        <v>206</v>
      </c>
      <c r="E139" s="22">
        <v>2180</v>
      </c>
      <c r="F139" s="22">
        <v>34252</v>
      </c>
      <c r="G139" s="22">
        <v>34786</v>
      </c>
      <c r="H139" s="107">
        <f>_xlfn.XLOOKUP(Table1[[#This Row],[Shipment Number]], 'pivot '!A:A,'pivot '!G:G, "NF")</f>
        <v>7.1332909206610964</v>
      </c>
      <c r="I139" s="162">
        <f>Table1[[#This Row],[Tiyaar/gaz]]/1.0936</f>
        <v>31808.705193855159</v>
      </c>
      <c r="J139" s="162" cm="1">
        <f t="array" ref="J1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39" s="153"/>
    </row>
    <row r="140" spans="1:17" x14ac:dyDescent="0.3">
      <c r="A140" s="148">
        <v>46140</v>
      </c>
      <c r="B140" s="116" t="s">
        <v>35</v>
      </c>
      <c r="C140" s="153">
        <v>1660</v>
      </c>
      <c r="D140" s="153" t="s">
        <v>86</v>
      </c>
      <c r="E140" s="22">
        <v>2156</v>
      </c>
      <c r="F140" s="22">
        <v>23596</v>
      </c>
      <c r="G140" s="22">
        <v>25362</v>
      </c>
      <c r="H140" s="107">
        <f>_xlfn.XLOOKUP(Table1[[#This Row],[Shipment Number]], 'pivot '!A:A,'pivot '!G:G, "NF")</f>
        <v>1.7151432185758466</v>
      </c>
      <c r="I140" s="162">
        <f>Table1[[#This Row],[Tiyaar/gaz]]/1.0936</f>
        <v>23191.294806144844</v>
      </c>
      <c r="J140" s="162" cm="1">
        <f t="array" ref="J1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40" s="153"/>
    </row>
    <row r="141" spans="1:17" x14ac:dyDescent="0.3">
      <c r="A141" s="148">
        <v>46140</v>
      </c>
      <c r="B141" s="116" t="s">
        <v>191</v>
      </c>
      <c r="C141" s="153">
        <v>1661</v>
      </c>
      <c r="D141" s="156" t="s">
        <v>86</v>
      </c>
      <c r="E141" s="22">
        <v>2168</v>
      </c>
      <c r="F141" s="22">
        <v>22019</v>
      </c>
      <c r="G141" s="22">
        <v>23463</v>
      </c>
      <c r="H141" s="107">
        <f>_xlfn.XLOOKUP(Table1[[#This Row],[Shipment Number]], 'pivot '!A:A,'pivot '!G:G, "NF")</f>
        <v>2.562204956130671</v>
      </c>
      <c r="I141" s="162">
        <f>Table1[[#This Row],[Tiyaar/gaz]]/1.0936</f>
        <v>21454.828090709583</v>
      </c>
      <c r="J141" s="162" cm="1">
        <f t="array" ref="J1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41" s="153"/>
    </row>
    <row r="142" spans="1:17" x14ac:dyDescent="0.3">
      <c r="A142" s="148">
        <v>46141</v>
      </c>
      <c r="B142" s="116" t="s">
        <v>189</v>
      </c>
      <c r="C142" s="153">
        <v>1662</v>
      </c>
      <c r="D142" s="153" t="s">
        <v>85</v>
      </c>
      <c r="E142" s="22">
        <v>2172</v>
      </c>
      <c r="F142" s="22">
        <v>78482</v>
      </c>
      <c r="G142" s="22">
        <v>34684</v>
      </c>
      <c r="H142" s="107">
        <f>_xlfn.XLOOKUP(Table1[[#This Row],[Shipment Number]], 'pivot '!A:A,'pivot '!G:G, "NF")</f>
        <v>2.5084090589677857</v>
      </c>
      <c r="I142" s="162">
        <f>Table1[[#This Row],[Tiyaar/gaz]]/1.0936</f>
        <v>31715.43525969276</v>
      </c>
      <c r="J142" s="162" cm="1">
        <f t="array" ref="J1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42" s="153"/>
    </row>
    <row r="143" spans="1:17" x14ac:dyDescent="0.3">
      <c r="A143" s="148">
        <v>46141</v>
      </c>
      <c r="B143" s="116" t="s">
        <v>21</v>
      </c>
      <c r="C143" s="153">
        <v>1663</v>
      </c>
      <c r="D143" s="156" t="s">
        <v>85</v>
      </c>
      <c r="E143" s="22">
        <v>2149</v>
      </c>
      <c r="F143" s="22">
        <v>16408</v>
      </c>
      <c r="G143" s="22">
        <v>10093</v>
      </c>
      <c r="H143" s="107">
        <f>_xlfn.XLOOKUP(Table1[[#This Row],[Shipment Number]], 'pivot '!A:A,'pivot '!G:G, "NF")</f>
        <v>43.752124411985939</v>
      </c>
      <c r="I143" s="162">
        <f>Table1[[#This Row],[Tiyaar/gaz]]/1.0936</f>
        <v>9229.1514264813468</v>
      </c>
      <c r="J143" s="162" cm="1">
        <f t="array" ref="J1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43" s="153"/>
    </row>
    <row r="144" spans="1:17" x14ac:dyDescent="0.3">
      <c r="A144" s="148">
        <v>46142</v>
      </c>
      <c r="B144" s="116" t="s">
        <v>189</v>
      </c>
      <c r="C144" s="153">
        <v>1664</v>
      </c>
      <c r="D144" s="153" t="s">
        <v>85</v>
      </c>
      <c r="E144" s="22">
        <v>2172</v>
      </c>
      <c r="F144" s="22">
        <v>78482</v>
      </c>
      <c r="G144" s="22">
        <v>44174</v>
      </c>
      <c r="H144" s="107">
        <f>_xlfn.XLOOKUP(Table1[[#This Row],[Shipment Number]], 'pivot '!A:A,'pivot '!G:G, "NF")</f>
        <v>2.5084090589677857</v>
      </c>
      <c r="I144" s="162">
        <f>Table1[[#This Row],[Tiyaar/gaz]]/1.0936</f>
        <v>40393.196781272862</v>
      </c>
      <c r="J144" s="162" cm="1">
        <f t="array" ref="J1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44" s="153"/>
    </row>
    <row r="145" spans="1:11" x14ac:dyDescent="0.3">
      <c r="A145" s="148">
        <v>46143</v>
      </c>
      <c r="B145" s="116" t="s">
        <v>21</v>
      </c>
      <c r="C145" s="153">
        <v>1665</v>
      </c>
      <c r="D145" s="156" t="s">
        <v>85</v>
      </c>
      <c r="E145" s="22">
        <v>2150</v>
      </c>
      <c r="F145" s="22">
        <v>14993</v>
      </c>
      <c r="G145" s="22">
        <v>5614</v>
      </c>
      <c r="H145" s="107">
        <f>_xlfn.XLOOKUP(Table1[[#This Row],[Shipment Number]], 'pivot '!A:A,'pivot '!G:G, "NF")</f>
        <v>0.97183123399551619</v>
      </c>
      <c r="I145" s="162">
        <f>Table1[[#This Row],[Tiyaar/gaz]]/1.0936</f>
        <v>5133.5040234089247</v>
      </c>
      <c r="J145" s="162" cm="1">
        <f t="array" ref="J14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45" s="153"/>
    </row>
    <row r="146" spans="1:11" x14ac:dyDescent="0.3">
      <c r="A146" s="148">
        <v>46144</v>
      </c>
      <c r="B146" s="116" t="s">
        <v>258</v>
      </c>
      <c r="C146" s="153">
        <v>1666</v>
      </c>
      <c r="D146" s="153" t="s">
        <v>86</v>
      </c>
      <c r="E146" s="22">
        <v>2164</v>
      </c>
      <c r="F146" s="22">
        <v>45908</v>
      </c>
      <c r="G146" s="22">
        <v>33781</v>
      </c>
      <c r="H146" s="107">
        <f>_xlfn.XLOOKUP(Table1[[#This Row],[Shipment Number]], 'pivot '!A:A,'pivot '!G:G, "NF")</f>
        <v>3.8043804921633608</v>
      </c>
      <c r="I146" s="162">
        <f>Table1[[#This Row],[Tiyaar/gaz]]/1.0936</f>
        <v>30889.722019019755</v>
      </c>
      <c r="J146" s="162" cm="1">
        <f t="array" ref="J14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46" s="153"/>
    </row>
    <row r="147" spans="1:11" x14ac:dyDescent="0.3">
      <c r="A147" s="148">
        <v>46144</v>
      </c>
      <c r="B147" s="116" t="s">
        <v>258</v>
      </c>
      <c r="C147" s="153">
        <v>1667</v>
      </c>
      <c r="D147" s="113" t="s">
        <v>86</v>
      </c>
      <c r="E147" s="11">
        <v>2164</v>
      </c>
      <c r="F147" s="11">
        <v>45908</v>
      </c>
      <c r="G147" s="11">
        <v>14514</v>
      </c>
      <c r="H147" s="114">
        <f>_xlfn.XLOOKUP(Table1[[#This Row],[Shipment Number]], 'pivot '!A:A,'pivot '!G:G, "NF")</f>
        <v>3.8043804921633608</v>
      </c>
      <c r="I147" s="162">
        <f>Table1[[#This Row],[Tiyaar/gaz]]/1.0936</f>
        <v>13271.762984637895</v>
      </c>
      <c r="J147" s="162" cm="1">
        <f t="array" ref="J14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47" s="113"/>
    </row>
    <row r="148" spans="1:11" x14ac:dyDescent="0.3">
      <c r="A148" s="151">
        <v>46144</v>
      </c>
      <c r="B148" s="125" t="s">
        <v>258</v>
      </c>
      <c r="C148" s="155">
        <v>1668</v>
      </c>
      <c r="D148" s="126" t="s">
        <v>86</v>
      </c>
      <c r="E148" s="127">
        <v>2167</v>
      </c>
      <c r="F148" s="127">
        <v>47687</v>
      </c>
      <c r="G148" s="127">
        <v>1496</v>
      </c>
      <c r="H148" s="128">
        <f>_xlfn.XLOOKUP(Table1[[#This Row],[Shipment Number]], 'pivot '!A:A,'pivot '!G:G, "NF")</f>
        <v>4.562761726141872</v>
      </c>
      <c r="I148" s="164">
        <f>Table1[[#This Row],[Tiyaar/gaz]]/1.0936</f>
        <v>1367.9590343818581</v>
      </c>
      <c r="J148" s="164"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48" s="126"/>
    </row>
    <row r="149" spans="1:11" x14ac:dyDescent="0.3">
      <c r="A149" s="148">
        <v>46146</v>
      </c>
      <c r="B149" s="116" t="s">
        <v>500</v>
      </c>
      <c r="C149" s="153">
        <v>1669</v>
      </c>
      <c r="D149" s="113" t="s">
        <v>86</v>
      </c>
      <c r="E149" s="11">
        <v>2185</v>
      </c>
      <c r="F149" s="11">
        <v>50029</v>
      </c>
      <c r="G149" s="11">
        <v>36039</v>
      </c>
      <c r="H149" s="114">
        <f>_xlfn.XLOOKUP(Table1[[#This Row],[Shipment Number]], 'pivot '!A:A,'pivot '!G:G, "NF")</f>
        <v>4.8759473711538419</v>
      </c>
      <c r="I149" s="162">
        <f>Table1[[#This Row],[Tiyaar/gaz]]/1.0936</f>
        <v>32954.462326261892</v>
      </c>
      <c r="J149" s="16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49" s="113"/>
    </row>
    <row r="150" spans="1:11" x14ac:dyDescent="0.3">
      <c r="A150" s="148">
        <v>46146</v>
      </c>
      <c r="B150" s="116" t="s">
        <v>500</v>
      </c>
      <c r="C150" s="153">
        <v>1670</v>
      </c>
      <c r="D150" s="113" t="s">
        <v>86</v>
      </c>
      <c r="E150" s="11">
        <v>2185</v>
      </c>
      <c r="F150" s="11">
        <v>50029</v>
      </c>
      <c r="G150" s="11">
        <v>16005</v>
      </c>
      <c r="H150" s="114">
        <f>_xlfn.XLOOKUP(Table1[[#This Row],[Shipment Number]], 'pivot '!A:A,'pivot '!G:G, "NF")</f>
        <v>4.8759473711538419</v>
      </c>
      <c r="I150" s="162">
        <f>Table1[[#This Row],[Tiyaar/gaz]]/1.0936</f>
        <v>14635.149963423557</v>
      </c>
      <c r="J150" s="16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50" s="113"/>
    </row>
    <row r="151" spans="1:11" x14ac:dyDescent="0.3">
      <c r="A151" s="148">
        <v>46146</v>
      </c>
      <c r="B151" s="116" t="s">
        <v>500</v>
      </c>
      <c r="C151" s="153">
        <v>1671</v>
      </c>
      <c r="D151" s="156" t="s">
        <v>86</v>
      </c>
      <c r="E151" s="22">
        <v>2186</v>
      </c>
      <c r="F151" s="22">
        <v>36740</v>
      </c>
      <c r="G151" s="22">
        <v>38709</v>
      </c>
      <c r="H151" s="107">
        <f>_xlfn.XLOOKUP(Table1[[#This Row],[Shipment Number]], 'pivot '!A:A,'pivot '!G:G, "NF")</f>
        <v>3.6583015388389128</v>
      </c>
      <c r="I151" s="162">
        <f>Table1[[#This Row],[Tiyaar/gaz]]/1.0936</f>
        <v>35395.940014630578</v>
      </c>
      <c r="J151" s="16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51" s="153"/>
    </row>
    <row r="152" spans="1:11" x14ac:dyDescent="0.3">
      <c r="A152" s="148">
        <v>46146</v>
      </c>
      <c r="B152" s="152" t="s">
        <v>500</v>
      </c>
      <c r="C152" s="153">
        <v>1672</v>
      </c>
      <c r="D152" s="153" t="s">
        <v>86</v>
      </c>
      <c r="E152" s="22">
        <v>2190</v>
      </c>
      <c r="F152" s="22">
        <v>39984</v>
      </c>
      <c r="G152" s="22">
        <v>41078</v>
      </c>
      <c r="H152" s="107">
        <f>_xlfn.XLOOKUP(Table1[[#This Row],[Shipment Number]], 'pivot '!A:A,'pivot '!G:G, "NF")</f>
        <v>6.0569728988888727</v>
      </c>
      <c r="I152" s="162">
        <f>Table1[[#This Row],[Tiyaar/gaz]]/1.0936</f>
        <v>37562.179956108266</v>
      </c>
      <c r="J152" s="16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52" s="153"/>
    </row>
    <row r="153" spans="1:11" x14ac:dyDescent="0.3">
      <c r="A153" s="148">
        <v>46146</v>
      </c>
      <c r="B153" s="116" t="s">
        <v>500</v>
      </c>
      <c r="C153" s="153">
        <v>1673</v>
      </c>
      <c r="D153" s="156" t="s">
        <v>86</v>
      </c>
      <c r="E153" s="22">
        <v>2187</v>
      </c>
      <c r="F153" s="22">
        <v>30346</v>
      </c>
      <c r="G153" s="22">
        <v>32052</v>
      </c>
      <c r="H153" s="107">
        <f>_xlfn.XLOOKUP(Table1[[#This Row],[Shipment Number]], 'pivot '!A:A,'pivot '!G:G, "NF")</f>
        <v>3.4182258160707732</v>
      </c>
      <c r="I153" s="162">
        <f>Table1[[#This Row],[Tiyaar/gaz]]/1.0936</f>
        <v>29308.705193855159</v>
      </c>
      <c r="J153" s="16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53" s="153"/>
    </row>
    <row r="154" spans="1:11" x14ac:dyDescent="0.3">
      <c r="A154" s="148">
        <v>46147</v>
      </c>
      <c r="B154" s="116" t="s">
        <v>21</v>
      </c>
      <c r="C154" s="153">
        <v>1674</v>
      </c>
      <c r="D154" s="153" t="s">
        <v>85</v>
      </c>
      <c r="E154" s="22">
        <v>2147</v>
      </c>
      <c r="F154" s="22">
        <v>31086</v>
      </c>
      <c r="G154" s="22">
        <v>35474</v>
      </c>
      <c r="H154" s="107">
        <f>_xlfn.XLOOKUP(Table1[[#This Row],[Shipment Number]], 'pivot '!A:A,'pivot '!G:G, "NF")</f>
        <v>2.2838077264489698</v>
      </c>
      <c r="I154" s="162">
        <f>Table1[[#This Row],[Tiyaar/gaz]]/1.0936</f>
        <v>32437.820043891737</v>
      </c>
      <c r="J154" s="16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54" s="153"/>
    </row>
    <row r="155" spans="1:11" x14ac:dyDescent="0.3">
      <c r="A155" s="148">
        <v>46147</v>
      </c>
      <c r="B155" s="116" t="s">
        <v>21</v>
      </c>
      <c r="C155" s="153">
        <v>1675</v>
      </c>
      <c r="D155" s="156" t="s">
        <v>85</v>
      </c>
      <c r="E155" s="22">
        <v>2150</v>
      </c>
      <c r="F155" s="22">
        <v>14993</v>
      </c>
      <c r="G155" s="22">
        <v>3895</v>
      </c>
      <c r="H155" s="107">
        <f>_xlfn.XLOOKUP(Table1[[#This Row],[Shipment Number]], 'pivot '!A:A,'pivot '!G:G, "NF")</f>
        <v>0.97183123399551619</v>
      </c>
      <c r="I155" s="162">
        <f>Table1[[#This Row],[Tiyaar/gaz]]/1.0936</f>
        <v>3561.6313094367229</v>
      </c>
      <c r="J155" s="16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55" s="153"/>
    </row>
    <row r="156" spans="1:11" x14ac:dyDescent="0.3">
      <c r="A156" s="148">
        <v>46148</v>
      </c>
      <c r="B156" s="116" t="s">
        <v>21</v>
      </c>
      <c r="C156" s="153">
        <v>1676</v>
      </c>
      <c r="D156" s="153" t="s">
        <v>85</v>
      </c>
      <c r="E156" s="22">
        <v>2135</v>
      </c>
      <c r="F156" s="22">
        <v>14433</v>
      </c>
      <c r="G156" s="22">
        <v>4288</v>
      </c>
      <c r="H156" s="107">
        <f>_xlfn.XLOOKUP(Table1[[#This Row],[Shipment Number]], 'pivot '!A:A,'pivot '!G:G, "NF")</f>
        <v>3.2750325128177167</v>
      </c>
      <c r="I156" s="162">
        <f>Table1[[#This Row],[Tiyaar/gaz]]/1.0936</f>
        <v>3920.9948792977325</v>
      </c>
      <c r="J156" s="16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56" s="153"/>
    </row>
    <row r="157" spans="1:11" x14ac:dyDescent="0.3">
      <c r="A157" s="148">
        <v>46148</v>
      </c>
      <c r="B157" s="116" t="s">
        <v>21</v>
      </c>
      <c r="C157" s="153">
        <v>1677</v>
      </c>
      <c r="D157" s="153" t="s">
        <v>85</v>
      </c>
      <c r="E157" s="22">
        <v>2169</v>
      </c>
      <c r="F157" s="22">
        <v>38665</v>
      </c>
      <c r="G157" s="22">
        <v>41074</v>
      </c>
      <c r="H157" s="107">
        <f>_xlfn.XLOOKUP(Table1[[#This Row],[Shipment Number]], 'pivot '!A:A,'pivot '!G:G, "NF")</f>
        <v>2.8617035778318467</v>
      </c>
      <c r="I157" s="162">
        <f>Table1[[#This Row],[Tiyaar/gaz]]/1.0936</f>
        <v>37558.522311631314</v>
      </c>
      <c r="J157" s="16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57" s="153"/>
    </row>
    <row r="158" spans="1:11" x14ac:dyDescent="0.3">
      <c r="A158" s="148">
        <v>46148</v>
      </c>
      <c r="B158" s="116" t="s">
        <v>21</v>
      </c>
      <c r="C158" s="153">
        <v>1678</v>
      </c>
      <c r="D158" s="156" t="s">
        <v>85</v>
      </c>
      <c r="E158" s="22">
        <v>2191</v>
      </c>
      <c r="F158" s="22">
        <v>107006</v>
      </c>
      <c r="G158" s="22">
        <v>6592</v>
      </c>
      <c r="H158" s="107">
        <f>_xlfn.XLOOKUP(Table1[[#This Row],[Shipment Number]], 'pivot '!A:A,'pivot '!G:G, "NF")</f>
        <v>2.0207879010428371</v>
      </c>
      <c r="I158" s="162">
        <f>Table1[[#This Row],[Tiyaar/gaz]]/1.0936</f>
        <v>6027.7980980248722</v>
      </c>
      <c r="J158" s="16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58" s="153"/>
    </row>
    <row r="159" spans="1:11" x14ac:dyDescent="0.3">
      <c r="A159" s="148">
        <v>46148</v>
      </c>
      <c r="B159" s="116" t="s">
        <v>530</v>
      </c>
      <c r="C159" s="153">
        <v>1679</v>
      </c>
      <c r="D159" s="153" t="s">
        <v>85</v>
      </c>
      <c r="E159" s="22">
        <v>2188</v>
      </c>
      <c r="F159" s="22">
        <v>19276</v>
      </c>
      <c r="G159" s="22">
        <v>20731</v>
      </c>
      <c r="H159" s="107">
        <f>_xlfn.XLOOKUP(Table1[[#This Row],[Shipment Number]], 'pivot '!A:A,'pivot '!G:G, "NF")</f>
        <v>1.6566875236145364</v>
      </c>
      <c r="I159" s="162">
        <f>Table1[[#This Row],[Tiyaar/gaz]]/1.0936</f>
        <v>18956.656912948063</v>
      </c>
      <c r="J159" s="16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59" s="153"/>
    </row>
    <row r="160" spans="1:11" x14ac:dyDescent="0.3">
      <c r="A160" s="148">
        <v>46149</v>
      </c>
      <c r="B160" s="116" t="s">
        <v>21</v>
      </c>
      <c r="C160" s="153">
        <v>1680</v>
      </c>
      <c r="D160" s="153" t="s">
        <v>85</v>
      </c>
      <c r="E160" s="22">
        <v>2193</v>
      </c>
      <c r="F160" s="22">
        <v>61241</v>
      </c>
      <c r="G160" s="22">
        <v>21509</v>
      </c>
      <c r="H160" s="107">
        <f>_xlfn.XLOOKUP(Table1[[#This Row],[Shipment Number]], 'pivot '!A:A,'pivot '!G:G, "NF")</f>
        <v>1.2664142327970467</v>
      </c>
      <c r="I160" s="162">
        <f>Table1[[#This Row],[Tiyaar/gaz]]/1.0936</f>
        <v>19668.068763716168</v>
      </c>
      <c r="J160" s="16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60" s="153"/>
    </row>
    <row r="161" spans="1:12" x14ac:dyDescent="0.3">
      <c r="A161" s="148">
        <v>46149</v>
      </c>
      <c r="B161" s="116" t="s">
        <v>21</v>
      </c>
      <c r="C161" s="153">
        <v>1681</v>
      </c>
      <c r="D161" s="153" t="s">
        <v>85</v>
      </c>
      <c r="E161" s="22">
        <v>2191</v>
      </c>
      <c r="F161" s="22">
        <v>107006</v>
      </c>
      <c r="G161" s="22">
        <v>6364</v>
      </c>
      <c r="H161" s="107">
        <f>_xlfn.XLOOKUP(Table1[[#This Row],[Shipment Number]], 'pivot '!A:A,'pivot '!G:G, "NF")</f>
        <v>2.0207879010428371</v>
      </c>
      <c r="I161" s="162">
        <f>Table1[[#This Row],[Tiyaar/gaz]]/1.0936</f>
        <v>5819.3123628383328</v>
      </c>
      <c r="J161" s="16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61" s="153"/>
    </row>
    <row r="162" spans="1:12" x14ac:dyDescent="0.3">
      <c r="A162" s="148">
        <v>46149</v>
      </c>
      <c r="B162" s="116" t="s">
        <v>21</v>
      </c>
      <c r="C162" s="153">
        <v>1682</v>
      </c>
      <c r="D162" s="153" t="s">
        <v>85</v>
      </c>
      <c r="E162" s="22">
        <v>2193</v>
      </c>
      <c r="F162" s="22">
        <v>61241</v>
      </c>
      <c r="G162" s="22">
        <v>44616</v>
      </c>
      <c r="H162" s="107">
        <f>_xlfn.XLOOKUP(Table1[[#This Row],[Shipment Number]], 'pivot '!A:A,'pivot '!G:G, "NF")</f>
        <v>1.2664142327970467</v>
      </c>
      <c r="I162" s="162">
        <f>Table1[[#This Row],[Tiyaar/gaz]]/1.0936</f>
        <v>40797.366495976596</v>
      </c>
      <c r="J162" s="162" cm="1">
        <f t="array" ref="J1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62" s="153"/>
    </row>
    <row r="163" spans="1:12" x14ac:dyDescent="0.3">
      <c r="A163" s="148">
        <v>46149</v>
      </c>
      <c r="B163" s="116" t="s">
        <v>21</v>
      </c>
      <c r="C163" s="153">
        <v>1683</v>
      </c>
      <c r="D163" s="153" t="s">
        <v>85</v>
      </c>
      <c r="E163" s="22">
        <v>2181</v>
      </c>
      <c r="F163" s="22">
        <v>9943</v>
      </c>
      <c r="G163" s="22">
        <v>2330</v>
      </c>
      <c r="H163" s="107">
        <f>_xlfn.XLOOKUP(Table1[[#This Row],[Shipment Number]], 'pivot '!A:A,'pivot '!G:G, "NF")</f>
        <v>1.4131831615776633</v>
      </c>
      <c r="I163" s="162">
        <f>Table1[[#This Row],[Tiyaar/gaz]]/1.0936</f>
        <v>2130.5779078273595</v>
      </c>
      <c r="J163" s="162" cm="1">
        <f t="array" ref="J1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63" s="153"/>
      <c r="L163"/>
    </row>
    <row r="164" spans="1:12" x14ac:dyDescent="0.3">
      <c r="A164" s="148">
        <v>46149</v>
      </c>
      <c r="B164" s="106" t="s">
        <v>21</v>
      </c>
      <c r="C164" s="153">
        <v>1684</v>
      </c>
      <c r="D164" s="153" t="s">
        <v>85</v>
      </c>
      <c r="E164" s="22">
        <v>2191</v>
      </c>
      <c r="F164" s="22">
        <v>107006</v>
      </c>
      <c r="G164" s="22">
        <v>2290</v>
      </c>
      <c r="H164" s="107">
        <f>_xlfn.XLOOKUP(Table1[[#This Row],[Shipment Number]], 'pivot '!A:A,'pivot '!G:G, "NF")</f>
        <v>2.0207879010428371</v>
      </c>
      <c r="I164" s="63">
        <f>Table1[[#This Row],[Tiyaar/gaz]]/1.0936</f>
        <v>2094.0014630577912</v>
      </c>
      <c r="J164" s="63" cm="1">
        <f t="array" ref="J1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64" s="153"/>
    </row>
    <row r="165" spans="1:12" x14ac:dyDescent="0.3">
      <c r="A165" s="148">
        <v>46150</v>
      </c>
      <c r="B165" s="106" t="s">
        <v>21</v>
      </c>
      <c r="C165" s="153">
        <v>1685</v>
      </c>
      <c r="D165" s="153" t="s">
        <v>85</v>
      </c>
      <c r="E165" s="22">
        <v>2191</v>
      </c>
      <c r="F165" s="22">
        <v>107006</v>
      </c>
      <c r="G165" s="22">
        <v>45049</v>
      </c>
      <c r="H165" s="107">
        <f>_xlfn.XLOOKUP(Table1[[#This Row],[Shipment Number]], 'pivot '!A:A,'pivot '!G:G, "NF")</f>
        <v>2.0207879010428371</v>
      </c>
      <c r="I165" s="63">
        <f>Table1[[#This Row],[Tiyaar/gaz]]/1.0936</f>
        <v>41193.306510607174</v>
      </c>
      <c r="J165" s="63" cm="1">
        <f t="array" ref="J1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65" s="153"/>
    </row>
    <row r="166" spans="1:12" x14ac:dyDescent="0.3">
      <c r="A166" s="148">
        <v>46150</v>
      </c>
      <c r="B166" s="106" t="s">
        <v>21</v>
      </c>
      <c r="C166" s="153">
        <v>1686</v>
      </c>
      <c r="D166" s="153" t="s">
        <v>85</v>
      </c>
      <c r="E166" s="22">
        <v>2191</v>
      </c>
      <c r="F166" s="22">
        <v>107006</v>
      </c>
      <c r="G166" s="22">
        <v>17678</v>
      </c>
      <c r="H166" s="107">
        <f>_xlfn.XLOOKUP(Table1[[#This Row],[Shipment Number]], 'pivot '!A:A,'pivot '!G:G, "NF")</f>
        <v>2.0207879010428371</v>
      </c>
      <c r="I166" s="63">
        <f>Table1[[#This Row],[Tiyaar/gaz]]/1.0936</f>
        <v>16164.959765910755</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66" s="153"/>
    </row>
    <row r="167" spans="1:12" x14ac:dyDescent="0.3">
      <c r="A167" s="148">
        <v>46150</v>
      </c>
      <c r="B167" s="106" t="s">
        <v>21</v>
      </c>
      <c r="C167" s="153">
        <v>1687</v>
      </c>
      <c r="D167" s="153" t="s">
        <v>85</v>
      </c>
      <c r="E167" s="22">
        <v>2181</v>
      </c>
      <c r="F167" s="22">
        <v>9943</v>
      </c>
      <c r="G167" s="22">
        <v>2530</v>
      </c>
      <c r="H167" s="107">
        <f>_xlfn.XLOOKUP(Table1[[#This Row],[Shipment Number]], 'pivot '!A:A,'pivot '!G:G, "NF")</f>
        <v>1.4131831615776633</v>
      </c>
      <c r="I167" s="63">
        <f>Table1[[#This Row],[Tiyaar/gaz]]/1.0936</f>
        <v>2313.4601316752014</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67" s="153"/>
    </row>
    <row r="168" spans="1:12" x14ac:dyDescent="0.3">
      <c r="A168" s="148">
        <v>46150</v>
      </c>
      <c r="B168" s="106" t="s">
        <v>21</v>
      </c>
      <c r="C168" s="153">
        <v>1688</v>
      </c>
      <c r="D168" s="153" t="s">
        <v>85</v>
      </c>
      <c r="E168" s="22">
        <v>2191</v>
      </c>
      <c r="F168" s="22">
        <v>107006</v>
      </c>
      <c r="G168" s="22">
        <v>25378</v>
      </c>
      <c r="H168" s="107">
        <f>_xlfn.XLOOKUP(Table1[[#This Row],[Shipment Number]], 'pivot '!A:A,'pivot '!G:G, "NF")</f>
        <v>2.0207879010428371</v>
      </c>
      <c r="I168" s="63">
        <f>Table1[[#This Row],[Tiyaar/gaz]]/1.0936</f>
        <v>23205.925384052673</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68" s="153"/>
    </row>
    <row r="169" spans="1:12" x14ac:dyDescent="0.3">
      <c r="A169" s="148">
        <v>46150</v>
      </c>
      <c r="B169" s="106" t="s">
        <v>21</v>
      </c>
      <c r="C169" s="153">
        <v>1689</v>
      </c>
      <c r="D169" s="153" t="s">
        <v>85</v>
      </c>
      <c r="E169" s="22">
        <v>2191</v>
      </c>
      <c r="F169" s="22">
        <v>107006</v>
      </c>
      <c r="G169" s="22">
        <v>11306</v>
      </c>
      <c r="H169" s="107">
        <f>_xlfn.XLOOKUP(Table1[[#This Row],[Shipment Number]], 'pivot '!A:A,'pivot '!G:G, "NF")</f>
        <v>2.0207879010428371</v>
      </c>
      <c r="I169" s="63">
        <f>Table1[[#This Row],[Tiyaar/gaz]]/1.0936</f>
        <v>10338.332114118508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69" s="153"/>
    </row>
    <row r="170" spans="1:12" x14ac:dyDescent="0.3">
      <c r="A170" s="148">
        <v>46150</v>
      </c>
      <c r="B170" s="116" t="s">
        <v>21</v>
      </c>
      <c r="C170" s="153">
        <v>1690</v>
      </c>
      <c r="D170" s="153" t="s">
        <v>85</v>
      </c>
      <c r="E170" s="11">
        <v>2181</v>
      </c>
      <c r="F170" s="11">
        <v>9943</v>
      </c>
      <c r="G170" s="11">
        <v>5860</v>
      </c>
      <c r="H170" s="114">
        <f>_xlfn.XLOOKUP(Table1[[#This Row],[Shipment Number]], 'pivot '!A:A,'pivot '!G:G, "NF")</f>
        <v>1.4131831615776633</v>
      </c>
      <c r="I170" s="115">
        <f>Table1[[#This Row],[Tiyaar/gaz]]/1.0936</f>
        <v>5358.4491587417706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70" s="113"/>
    </row>
    <row r="171" spans="1:12" x14ac:dyDescent="0.3">
      <c r="A171" s="148">
        <v>46151</v>
      </c>
      <c r="B171" s="106" t="s">
        <v>21</v>
      </c>
      <c r="C171" s="153">
        <v>1691</v>
      </c>
      <c r="D171" s="153" t="s">
        <v>86</v>
      </c>
      <c r="E171" s="22">
        <v>2195</v>
      </c>
      <c r="F171" s="22">
        <v>17930</v>
      </c>
      <c r="G171" s="22">
        <v>19428</v>
      </c>
      <c r="H171" s="107">
        <f>_xlfn.XLOOKUP(Table1[[#This Row],[Shipment Number]], 'pivot '!A:A,'pivot '!G:G, "NF")</f>
        <v>0.91924581941231054</v>
      </c>
      <c r="I171" s="63">
        <f>Table1[[#This Row],[Tiyaar/gaz]]/1.0936</f>
        <v>17765.179224579373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71" s="153"/>
    </row>
    <row r="172" spans="1:12" x14ac:dyDescent="0.3">
      <c r="A172" s="148">
        <v>46151</v>
      </c>
      <c r="B172" s="106" t="s">
        <v>21</v>
      </c>
      <c r="C172" s="153">
        <v>1692</v>
      </c>
      <c r="D172" s="153" t="s">
        <v>85</v>
      </c>
      <c r="E172" s="22">
        <v>2192</v>
      </c>
      <c r="F172" s="22">
        <v>57164</v>
      </c>
      <c r="G172" s="22">
        <v>19836</v>
      </c>
      <c r="H172" s="107">
        <f>_xlfn.XLOOKUP(Table1[[#This Row],[Shipment Number]], 'pivot '!A:A,'pivot '!G:G, "NF")</f>
        <v>1.2469903326698102</v>
      </c>
      <c r="I172" s="63">
        <f>Table1[[#This Row],[Tiyaar/gaz]]/1.0936</f>
        <v>18138.25896122897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72" s="153"/>
    </row>
    <row r="173" spans="1:12" x14ac:dyDescent="0.3">
      <c r="A173" s="148">
        <v>46151</v>
      </c>
      <c r="B173" s="116" t="s">
        <v>441</v>
      </c>
      <c r="C173" s="153">
        <v>1693</v>
      </c>
      <c r="D173" s="153" t="s">
        <v>86</v>
      </c>
      <c r="E173" s="11">
        <v>2182</v>
      </c>
      <c r="F173" s="11">
        <v>99404</v>
      </c>
      <c r="G173" s="11">
        <v>37070</v>
      </c>
      <c r="H173" s="114">
        <f>_xlfn.XLOOKUP(Table1[[#This Row],[Shipment Number]], 'pivot '!A:A,'pivot '!G:G, "NF")</f>
        <v>6.694263575356814</v>
      </c>
      <c r="I173" s="115">
        <f>Table1[[#This Row],[Tiyaar/gaz]]/1.0936</f>
        <v>33897.220190197513</v>
      </c>
      <c r="J173" s="63">
        <f>Table1[[#This Row],[tiyar/meters]]*12</f>
        <v>406766.64228237013</v>
      </c>
      <c r="K173" s="113"/>
    </row>
    <row r="174" spans="1:12" x14ac:dyDescent="0.3">
      <c r="A174" s="148">
        <v>46151</v>
      </c>
      <c r="B174" s="116" t="s">
        <v>441</v>
      </c>
      <c r="C174" s="153">
        <v>1694</v>
      </c>
      <c r="D174" s="153" t="s">
        <v>86</v>
      </c>
      <c r="E174" s="11">
        <v>2182</v>
      </c>
      <c r="F174" s="11">
        <v>99404</v>
      </c>
      <c r="G174" s="11">
        <v>14046</v>
      </c>
      <c r="H174" s="114">
        <f>_xlfn.XLOOKUP(Table1[[#This Row],[Shipment Number]], 'pivot '!A:A,'pivot '!G:G, "NF")</f>
        <v>6.694263575356814</v>
      </c>
      <c r="I174" s="115">
        <f>Table1[[#This Row],[Tiyaar/gaz]]/1.0936</f>
        <v>12843.818580833944</v>
      </c>
      <c r="J174" s="63">
        <f>Table1[[#This Row],[tiyar/meters]]*12</f>
        <v>154125.82297000731</v>
      </c>
      <c r="K174" s="113"/>
    </row>
    <row r="175" spans="1:12" x14ac:dyDescent="0.3">
      <c r="A175" s="148">
        <v>46153</v>
      </c>
      <c r="B175" s="106" t="s">
        <v>441</v>
      </c>
      <c r="C175" s="153">
        <v>1695</v>
      </c>
      <c r="D175" s="153" t="s">
        <v>86</v>
      </c>
      <c r="E175" s="22">
        <v>2182</v>
      </c>
      <c r="F175" s="22">
        <v>99404</v>
      </c>
      <c r="G175" s="22">
        <v>39878</v>
      </c>
      <c r="H175" s="107">
        <f>_xlfn.XLOOKUP(Table1[[#This Row],[Shipment Number]], 'pivot '!A:A,'pivot '!G:G, "NF")</f>
        <v>6.694263575356814</v>
      </c>
      <c r="I175" s="63">
        <f>Table1[[#This Row],[Tiyaar/gaz]]/1.0936</f>
        <v>36464.886613021219</v>
      </c>
      <c r="J175" s="63">
        <f>Table1[[#This Row],[tiyar/meters]]*12</f>
        <v>437578.6393562546</v>
      </c>
      <c r="K175" s="153"/>
    </row>
    <row r="176" spans="1:12" x14ac:dyDescent="0.3">
      <c r="A176" s="148">
        <v>46153</v>
      </c>
      <c r="B176" s="116" t="s">
        <v>441</v>
      </c>
      <c r="C176" s="113">
        <v>1696</v>
      </c>
      <c r="D176" s="113" t="s">
        <v>86</v>
      </c>
      <c r="E176" s="11">
        <v>2182</v>
      </c>
      <c r="F176" s="11">
        <v>99404</v>
      </c>
      <c r="G176" s="11">
        <v>10437</v>
      </c>
      <c r="H176" s="114">
        <f>_xlfn.XLOOKUP(Table1[[#This Row],[Shipment Number]], 'pivot '!A:A,'pivot '!G:G, "NF")</f>
        <v>6.694263575356814</v>
      </c>
      <c r="I176" s="115">
        <f>Table1[[#This Row],[Tiyaar/gaz]]/1.0936</f>
        <v>9543.7088514996358</v>
      </c>
      <c r="J176" s="63">
        <f>Table1[[#This Row],[tiyar/meters]]*12</f>
        <v>114524.50621799563</v>
      </c>
      <c r="K176" s="113"/>
    </row>
    <row r="177" spans="1:11" x14ac:dyDescent="0.3">
      <c r="A177" s="148">
        <v>46154</v>
      </c>
      <c r="B177" s="116" t="s">
        <v>258</v>
      </c>
      <c r="C177" s="113">
        <v>1697</v>
      </c>
      <c r="D177" s="113" t="s">
        <v>86</v>
      </c>
      <c r="E177" s="11" t="s">
        <v>574</v>
      </c>
      <c r="F177" s="11">
        <v>7846</v>
      </c>
      <c r="G177" s="11">
        <v>8229</v>
      </c>
      <c r="H177" s="114">
        <f>_xlfn.XLOOKUP(Table1[[#This Row],[Shipment Number]], 'pivot '!A:A,'pivot '!G:G, "NF")</f>
        <v>4.0952192171876334</v>
      </c>
      <c r="I177" s="115">
        <f>Table1[[#This Row],[Tiyaar/gaz]]/1.0936</f>
        <v>7524.6891002194598</v>
      </c>
      <c r="J177" s="11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77" s="113"/>
    </row>
    <row r="178" spans="1:11" x14ac:dyDescent="0.3">
      <c r="A178" s="148">
        <v>46154</v>
      </c>
      <c r="B178" s="116" t="s">
        <v>258</v>
      </c>
      <c r="C178" s="113">
        <v>1698</v>
      </c>
      <c r="D178" s="113" t="s">
        <v>86</v>
      </c>
      <c r="E178" s="11">
        <v>2176</v>
      </c>
      <c r="F178" s="11">
        <v>17218</v>
      </c>
      <c r="G178" s="11">
        <v>18230</v>
      </c>
      <c r="H178" s="114">
        <f>_xlfn.XLOOKUP(Table1[[#This Row],[Shipment Number]], 'pivot '!A:A,'pivot '!G:G, "NF")</f>
        <v>3.1843727277802287</v>
      </c>
      <c r="I178" s="115">
        <f>Table1[[#This Row],[Tiyaar/gaz]]/1.0936</f>
        <v>16669.714703730799</v>
      </c>
      <c r="J178" s="11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78" s="113"/>
    </row>
    <row r="179" spans="1:11" x14ac:dyDescent="0.3">
      <c r="A179" s="148">
        <v>46154</v>
      </c>
      <c r="B179" s="116" t="s">
        <v>258</v>
      </c>
      <c r="C179" s="113">
        <v>1699</v>
      </c>
      <c r="D179" s="113" t="s">
        <v>86</v>
      </c>
      <c r="E179" s="11">
        <v>2173</v>
      </c>
      <c r="F179" s="11">
        <v>46820</v>
      </c>
      <c r="G179" s="11">
        <v>27486</v>
      </c>
      <c r="H179" s="114">
        <f>_xlfn.XLOOKUP(Table1[[#This Row],[Shipment Number]], 'pivot '!A:A,'pivot '!G:G, "NF")</f>
        <v>4.2778347369667671</v>
      </c>
      <c r="I179" s="115">
        <f>Table1[[#This Row],[Tiyaar/gaz]]/1.0936</f>
        <v>25133.504023408928</v>
      </c>
      <c r="J179" s="11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79" s="113"/>
    </row>
    <row r="180" spans="1:11" x14ac:dyDescent="0.3">
      <c r="A180" s="148">
        <v>46154</v>
      </c>
      <c r="B180" s="116" t="s">
        <v>258</v>
      </c>
      <c r="C180" s="113">
        <v>1700</v>
      </c>
      <c r="D180" s="113" t="s">
        <v>86</v>
      </c>
      <c r="E180" s="11">
        <v>2173</v>
      </c>
      <c r="F180" s="11">
        <v>46820</v>
      </c>
      <c r="G180" s="11">
        <v>20078</v>
      </c>
      <c r="H180" s="114">
        <f>_xlfn.XLOOKUP(Table1[[#This Row],[Shipment Number]], 'pivot '!A:A,'pivot '!G:G, "NF")</f>
        <v>4.2778347369667671</v>
      </c>
      <c r="I180" s="115">
        <f>Table1[[#This Row],[Tiyaar/gaz]]/1.0936</f>
        <v>18359.546452084858</v>
      </c>
      <c r="J180" s="11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80" s="113"/>
    </row>
    <row r="181" spans="1:11" x14ac:dyDescent="0.3">
      <c r="A181" s="148">
        <v>46154</v>
      </c>
      <c r="B181" s="116" t="s">
        <v>21</v>
      </c>
      <c r="C181" s="113">
        <v>1701</v>
      </c>
      <c r="D181" s="113" t="s">
        <v>86</v>
      </c>
      <c r="E181" s="11">
        <v>2200</v>
      </c>
      <c r="F181" s="11">
        <v>37514</v>
      </c>
      <c r="G181" s="11">
        <v>40509</v>
      </c>
      <c r="H181" s="114">
        <f>_xlfn.XLOOKUP(Table1[[#This Row],[Shipment Number]], 'pivot '!A:A,'pivot '!G:G, "NF")</f>
        <v>1.2585167423864192</v>
      </c>
      <c r="I181" s="115">
        <f>Table1[[#This Row],[Tiyaar/gaz]]/1.0936</f>
        <v>37041.880029261156</v>
      </c>
      <c r="J181" s="11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81" s="113"/>
    </row>
    <row r="182" spans="1:11" x14ac:dyDescent="0.3">
      <c r="A182" s="148">
        <v>46155</v>
      </c>
      <c r="B182" s="116" t="s">
        <v>500</v>
      </c>
      <c r="C182" s="113">
        <v>1702</v>
      </c>
      <c r="D182" s="113" t="s">
        <v>86</v>
      </c>
      <c r="E182" s="11">
        <v>2194</v>
      </c>
      <c r="F182" s="11">
        <v>30184</v>
      </c>
      <c r="G182" s="11">
        <v>7748</v>
      </c>
      <c r="H182" s="114">
        <f>_xlfn.XLOOKUP(Table1[[#This Row],[Shipment Number]], 'pivot '!A:A,'pivot '!G:G, "NF")</f>
        <v>3.6329919725706645</v>
      </c>
      <c r="I182" s="115">
        <f>Table1[[#This Row],[Tiyaar/gaz]]/1.0936</f>
        <v>7084.8573518653993</v>
      </c>
      <c r="J182" s="11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82" s="113"/>
    </row>
    <row r="183" spans="1:11" x14ac:dyDescent="0.3">
      <c r="A183" s="118">
        <v>46155</v>
      </c>
      <c r="B183" s="116" t="s">
        <v>500</v>
      </c>
      <c r="C183" s="113">
        <v>1703</v>
      </c>
      <c r="D183" s="113" t="s">
        <v>86</v>
      </c>
      <c r="E183" s="11">
        <v>2194</v>
      </c>
      <c r="F183" s="11">
        <v>30184</v>
      </c>
      <c r="G183" s="11">
        <v>24062</v>
      </c>
      <c r="H183" s="114">
        <f>_xlfn.XLOOKUP(Table1[[#This Row],[Shipment Number]], 'pivot '!A:A,'pivot '!G:G, "NF")</f>
        <v>3.6329919725706645</v>
      </c>
      <c r="I183" s="115">
        <f>Table1[[#This Row],[Tiyaar/gaz]]/1.0936</f>
        <v>22002.56035113387</v>
      </c>
      <c r="J183" s="11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83" s="113"/>
    </row>
    <row r="184" spans="1:11" x14ac:dyDescent="0.3">
      <c r="A184" s="118">
        <v>46157</v>
      </c>
      <c r="B184" s="116" t="s">
        <v>530</v>
      </c>
      <c r="C184" s="113">
        <v>1704</v>
      </c>
      <c r="D184" s="113" t="s">
        <v>85</v>
      </c>
      <c r="E184" s="11">
        <v>2198</v>
      </c>
      <c r="F184" s="11">
        <v>29612</v>
      </c>
      <c r="G184" s="11">
        <v>19224</v>
      </c>
      <c r="H184" s="114">
        <f>_xlfn.XLOOKUP(Table1[[#This Row],[Shipment Number]], 'pivot '!A:A,'pivot '!G:G, "NF")</f>
        <v>2.0525250197605516</v>
      </c>
      <c r="I184" s="115">
        <f>Table1[[#This Row],[Tiyaar/gaz]]/1.0936</f>
        <v>17578.639356254575</v>
      </c>
      <c r="J184" s="11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84" s="113"/>
    </row>
    <row r="185" spans="1:11" x14ac:dyDescent="0.3">
      <c r="A185" s="118">
        <v>46157</v>
      </c>
      <c r="B185" s="116" t="s">
        <v>21</v>
      </c>
      <c r="C185" s="113">
        <v>1705</v>
      </c>
      <c r="D185" s="113" t="s">
        <v>85</v>
      </c>
      <c r="E185" s="11">
        <v>2192</v>
      </c>
      <c r="F185" s="11">
        <v>57164</v>
      </c>
      <c r="G185" s="11">
        <v>6620</v>
      </c>
      <c r="H185" s="114">
        <f>_xlfn.XLOOKUP(Table1[[#This Row],[Shipment Number]], 'pivot '!A:A,'pivot '!G:G, "NF")</f>
        <v>1.2469903326698102</v>
      </c>
      <c r="I185" s="115">
        <f>Table1[[#This Row],[Tiyaar/gaz]]/1.0936</f>
        <v>6053.4016093635701</v>
      </c>
      <c r="J185" s="11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85" s="113"/>
    </row>
    <row r="186" spans="1:11" x14ac:dyDescent="0.3">
      <c r="A186" s="118">
        <v>46157</v>
      </c>
      <c r="B186" s="116" t="s">
        <v>21</v>
      </c>
      <c r="C186" s="113">
        <v>1706</v>
      </c>
      <c r="D186" s="113" t="s">
        <v>85</v>
      </c>
      <c r="E186" s="11">
        <v>2197</v>
      </c>
      <c r="F186" s="11">
        <v>9641</v>
      </c>
      <c r="G186" s="11">
        <v>10359</v>
      </c>
      <c r="H186" s="114">
        <f>_xlfn.XLOOKUP(Table1[[#This Row],[Shipment Number]], 'pivot '!A:A,'pivot '!G:G, "NF")</f>
        <v>1.7489390706464434</v>
      </c>
      <c r="I186" s="115">
        <f>Table1[[#This Row],[Tiyaar/gaz]]/1.0936</f>
        <v>9472.3847841989773</v>
      </c>
      <c r="J186" s="11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86" s="113"/>
    </row>
    <row r="187" spans="1:11" x14ac:dyDescent="0.3">
      <c r="A187" s="118">
        <v>46157</v>
      </c>
      <c r="B187" s="116" t="s">
        <v>21</v>
      </c>
      <c r="C187" s="113">
        <v>1707</v>
      </c>
      <c r="D187" s="113" t="s">
        <v>85</v>
      </c>
      <c r="E187" s="11">
        <v>2192</v>
      </c>
      <c r="F187" s="11">
        <v>57164</v>
      </c>
      <c r="G187" s="11">
        <v>35279</v>
      </c>
      <c r="H187" s="114">
        <f>_xlfn.XLOOKUP(Table1[[#This Row],[Shipment Number]], 'pivot '!A:A,'pivot '!G:G, "NF")</f>
        <v>1.2469903326698102</v>
      </c>
      <c r="I187" s="115">
        <f>Table1[[#This Row],[Tiyaar/gaz]]/1.0936</f>
        <v>32259.509875640091</v>
      </c>
      <c r="J187" s="11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87" s="113"/>
    </row>
    <row r="188" spans="1:11" x14ac:dyDescent="0.3">
      <c r="A188" s="118">
        <v>46157</v>
      </c>
      <c r="B188" s="116" t="s">
        <v>21</v>
      </c>
      <c r="C188" s="113">
        <v>1708</v>
      </c>
      <c r="D188" s="113" t="s">
        <v>231</v>
      </c>
      <c r="E188" s="11">
        <v>2161</v>
      </c>
      <c r="F188" s="11">
        <v>4032</v>
      </c>
      <c r="G188" s="11">
        <v>4192</v>
      </c>
      <c r="H188" s="114">
        <f>_xlfn.XLOOKUP(Table1[[#This Row],[Shipment Number]], 'pivot '!A:A,'pivot '!G:G, "NF")</f>
        <v>4.930272523542456</v>
      </c>
      <c r="I188" s="115">
        <f>Table1[[#This Row],[Tiyaar/gaz]]/1.0936</f>
        <v>3833.2114118507684</v>
      </c>
      <c r="J188" s="11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88" s="113"/>
    </row>
    <row r="189" spans="1:11" x14ac:dyDescent="0.3">
      <c r="A189" s="118">
        <v>46157</v>
      </c>
      <c r="B189" s="116" t="s">
        <v>21</v>
      </c>
      <c r="C189" s="135">
        <v>1709</v>
      </c>
      <c r="D189" s="135" t="s">
        <v>85</v>
      </c>
      <c r="E189" s="136">
        <v>2178</v>
      </c>
      <c r="F189" s="136">
        <v>15645</v>
      </c>
      <c r="G189" s="11">
        <v>1591</v>
      </c>
      <c r="H189" s="114">
        <f>_xlfn.XLOOKUP(Table1[[#This Row],[Shipment Number]], 'pivot '!A:A,'pivot '!G:G, "NF")</f>
        <v>28.460261428648579</v>
      </c>
      <c r="I189" s="115">
        <f>Table1[[#This Row],[Tiyaar/gaz]]/1.0936</f>
        <v>1454.8280907095832</v>
      </c>
      <c r="J189" s="11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89" s="113"/>
    </row>
    <row r="190" spans="1:11" x14ac:dyDescent="0.3">
      <c r="A190" s="118">
        <v>46157</v>
      </c>
      <c r="B190" s="116" t="s">
        <v>21</v>
      </c>
      <c r="C190" s="113">
        <v>1710</v>
      </c>
      <c r="D190" s="113" t="s">
        <v>231</v>
      </c>
      <c r="E190" s="11">
        <v>2175</v>
      </c>
      <c r="F190" s="11">
        <v>6003</v>
      </c>
      <c r="G190" s="11">
        <v>5324</v>
      </c>
      <c r="H190" s="114">
        <f>_xlfn.XLOOKUP(Table1[[#This Row],[Shipment Number]], 'pivot '!A:A,'pivot '!G:G, "NF")</f>
        <v>18.901802451614941</v>
      </c>
      <c r="I190" s="115">
        <f>Table1[[#This Row],[Tiyaar/gaz]]/1.0936</f>
        <v>4868.3247988295543</v>
      </c>
      <c r="J190" s="11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90" s="113"/>
    </row>
    <row r="191" spans="1:11" x14ac:dyDescent="0.3">
      <c r="A191" s="118">
        <v>46157</v>
      </c>
      <c r="B191" s="116" t="s">
        <v>21</v>
      </c>
      <c r="C191" s="113">
        <v>1711</v>
      </c>
      <c r="D191" s="113" t="s">
        <v>231</v>
      </c>
      <c r="E191" s="11">
        <v>2163</v>
      </c>
      <c r="F191" s="11">
        <v>4051</v>
      </c>
      <c r="G191" s="11">
        <v>4170</v>
      </c>
      <c r="H191" s="114">
        <f>_xlfn.XLOOKUP(Table1[[#This Row],[Shipment Number]], 'pivot '!A:A,'pivot '!G:G, "NF")</f>
        <v>5.8727630899159209</v>
      </c>
      <c r="I191" s="115">
        <f>Table1[[#This Row],[Tiyaar/gaz]]/1.0936</f>
        <v>3813.0943672275057</v>
      </c>
      <c r="J191" s="11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91" s="113"/>
    </row>
    <row r="192" spans="1:11" x14ac:dyDescent="0.3">
      <c r="A192" s="118">
        <v>46157</v>
      </c>
      <c r="B192" s="116" t="s">
        <v>21</v>
      </c>
      <c r="C192" s="113">
        <v>1712</v>
      </c>
      <c r="D192" s="113" t="s">
        <v>231</v>
      </c>
      <c r="E192" s="11">
        <v>2160</v>
      </c>
      <c r="F192" s="11">
        <v>2810</v>
      </c>
      <c r="G192" s="11">
        <v>2704</v>
      </c>
      <c r="H192" s="114">
        <f>_xlfn.XLOOKUP(Table1[[#This Row],[Shipment Number]], 'pivot '!A:A,'pivot '!G:G, "NF")</f>
        <v>12.008268098831891</v>
      </c>
      <c r="I192" s="115">
        <f>Table1[[#This Row],[Tiyaar/gaz]]/1.0936</f>
        <v>2472.567666422824</v>
      </c>
      <c r="J192" s="115"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92" s="113"/>
    </row>
    <row r="193" spans="1:11" x14ac:dyDescent="0.3">
      <c r="A193" s="118">
        <v>46157</v>
      </c>
      <c r="B193" s="116" t="s">
        <v>21</v>
      </c>
      <c r="C193" s="113">
        <v>1713</v>
      </c>
      <c r="D193" s="113" t="s">
        <v>231</v>
      </c>
      <c r="E193" s="11" t="s">
        <v>611</v>
      </c>
      <c r="F193" s="11">
        <v>2308</v>
      </c>
      <c r="G193" s="11">
        <v>2238</v>
      </c>
      <c r="H193" s="114">
        <f>_xlfn.XLOOKUP(Table1[[#This Row],[Shipment Number]], 'pivot '!A:A,'pivot '!G:G, "NF")</f>
        <v>11.332232025244707</v>
      </c>
      <c r="I193" s="115">
        <f>Table1[[#This Row],[Tiyaar/gaz]]/1.0936</f>
        <v>2046.452084857352</v>
      </c>
      <c r="J193" s="11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93" s="113"/>
    </row>
    <row r="194" spans="1:11" x14ac:dyDescent="0.3">
      <c r="A194" s="118">
        <v>46157</v>
      </c>
      <c r="B194" s="116" t="s">
        <v>21</v>
      </c>
      <c r="C194" s="113">
        <v>1714</v>
      </c>
      <c r="D194" s="113" t="s">
        <v>231</v>
      </c>
      <c r="E194" s="11" t="s">
        <v>97</v>
      </c>
      <c r="F194" s="11" t="s">
        <v>97</v>
      </c>
      <c r="G194" s="11">
        <v>2192</v>
      </c>
      <c r="H194" s="114">
        <f>_xlfn.XLOOKUP(Table1[[#This Row],[Shipment Number]], 'pivot '!A:A,'pivot '!G:G, "NF")</f>
        <v>-5.0674587415249448</v>
      </c>
      <c r="I194" s="115">
        <f>Table1[[#This Row],[Tiyaar/gaz]]/1.0936</f>
        <v>2004.3891733723483</v>
      </c>
      <c r="J194" s="11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94" s="113"/>
    </row>
    <row r="195" spans="1:11" x14ac:dyDescent="0.3">
      <c r="A195" s="118">
        <v>46158</v>
      </c>
      <c r="B195" s="116" t="s">
        <v>530</v>
      </c>
      <c r="C195" s="113">
        <v>1715</v>
      </c>
      <c r="D195" s="113" t="s">
        <v>85</v>
      </c>
      <c r="E195" s="11">
        <v>2198</v>
      </c>
      <c r="F195" s="11">
        <v>29612</v>
      </c>
      <c r="G195" s="11">
        <v>12495</v>
      </c>
      <c r="H195" s="114">
        <f>_xlfn.XLOOKUP(Table1[[#This Row],[Shipment Number]], 'pivot '!A:A,'pivot '!G:G, "NF")</f>
        <v>2.0525250197605516</v>
      </c>
      <c r="I195" s="115">
        <f>Table1[[#This Row],[Tiyaar/gaz]]/1.0936</f>
        <v>11425.56693489393</v>
      </c>
      <c r="J195" s="11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95" s="113"/>
    </row>
    <row r="196" spans="1:11" x14ac:dyDescent="0.3">
      <c r="A196" s="118">
        <v>46158</v>
      </c>
      <c r="B196" s="116" t="s">
        <v>21</v>
      </c>
      <c r="C196" s="113">
        <v>1716</v>
      </c>
      <c r="D196" s="113" t="s">
        <v>231</v>
      </c>
      <c r="E196" s="11">
        <v>2179</v>
      </c>
      <c r="F196" s="11">
        <v>35766</v>
      </c>
      <c r="G196" s="11">
        <v>36604</v>
      </c>
      <c r="H196" s="114">
        <f>_xlfn.XLOOKUP(Table1[[#This Row],[Shipment Number]], 'pivot '!A:A,'pivot '!G:G, "NF")</f>
        <v>6.4164161252808753</v>
      </c>
      <c r="I196" s="115">
        <f>Table1[[#This Row],[Tiyaar/gaz]]/1.0936</f>
        <v>33471.104608632042</v>
      </c>
      <c r="J196" s="11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96" s="113"/>
    </row>
    <row r="197" spans="1:11" x14ac:dyDescent="0.3">
      <c r="A197" s="118">
        <v>46158</v>
      </c>
      <c r="B197" s="116" t="s">
        <v>21</v>
      </c>
      <c r="C197" s="113">
        <v>1717</v>
      </c>
      <c r="D197" s="113" t="s">
        <v>231</v>
      </c>
      <c r="E197" s="11">
        <v>2196</v>
      </c>
      <c r="F197" s="11">
        <v>5782</v>
      </c>
      <c r="G197" s="11">
        <v>5794</v>
      </c>
      <c r="H197" s="114">
        <f>_xlfn.XLOOKUP(Table1[[#This Row],[Shipment Number]], 'pivot '!A:A,'pivot '!G:G, "NF")</f>
        <v>8.369110604081925</v>
      </c>
      <c r="I197" s="115">
        <f>Table1[[#This Row],[Tiyaar/gaz]]/1.0936</f>
        <v>5298.0980248719825</v>
      </c>
      <c r="J197" s="11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97" s="113"/>
    </row>
    <row r="198" spans="1:11" x14ac:dyDescent="0.3">
      <c r="A198" s="118">
        <v>46160</v>
      </c>
      <c r="B198" s="116" t="s">
        <v>22</v>
      </c>
      <c r="C198" s="113">
        <v>1718</v>
      </c>
      <c r="D198" s="113" t="s">
        <v>86</v>
      </c>
      <c r="E198" s="11">
        <v>2202</v>
      </c>
      <c r="F198" s="11">
        <v>30431</v>
      </c>
      <c r="G198" s="11">
        <v>31404</v>
      </c>
      <c r="H198" s="114">
        <f>_xlfn.XLOOKUP(Table1[[#This Row],[Shipment Number]], 'pivot '!A:A,'pivot '!G:G, "NF")</f>
        <v>5.6351523492880631</v>
      </c>
      <c r="I198" s="115">
        <f>Table1[[#This Row],[Tiyaar/gaz]]/1.0936</f>
        <v>28716.166788588151</v>
      </c>
      <c r="J198" s="11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98" s="113"/>
    </row>
    <row r="199" spans="1:11" x14ac:dyDescent="0.3">
      <c r="A199" s="118">
        <v>46160</v>
      </c>
      <c r="B199" s="116" t="s">
        <v>530</v>
      </c>
      <c r="C199" s="113">
        <v>1719</v>
      </c>
      <c r="D199" s="113" t="s">
        <v>86</v>
      </c>
      <c r="E199" s="11">
        <v>2199</v>
      </c>
      <c r="F199" s="11">
        <v>2332</v>
      </c>
      <c r="G199" s="11">
        <v>2498</v>
      </c>
      <c r="H199" s="114">
        <f>_xlfn.XLOOKUP(Table1[[#This Row],[Shipment Number]], 'pivot '!A:A,'pivot '!G:G, "NF")</f>
        <v>2.0497866269490999</v>
      </c>
      <c r="I199" s="115">
        <f>Table1[[#This Row],[Tiyaar/gaz]]/1.0936</f>
        <v>2284.1989758595469</v>
      </c>
      <c r="J199" s="11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99" s="113"/>
    </row>
    <row r="200" spans="1:11" x14ac:dyDescent="0.3">
      <c r="A200" s="118">
        <v>46160</v>
      </c>
      <c r="B200" s="116" t="s">
        <v>27</v>
      </c>
      <c r="C200" s="113">
        <v>1720</v>
      </c>
      <c r="D200" s="113" t="s">
        <v>231</v>
      </c>
      <c r="E200" s="11" t="s">
        <v>612</v>
      </c>
      <c r="F200" s="11"/>
      <c r="G200" s="11">
        <v>1756</v>
      </c>
      <c r="H200" s="114" t="e">
        <f>_xlfn.XLOOKUP(Table1[[#This Row],[Shipment Number]], 'pivot '!A:A,'pivot '!G:G, "NF")</f>
        <v>#DIV/0!</v>
      </c>
      <c r="I200" s="115">
        <f>Table1[[#This Row],[Tiyaar/gaz]]/1.0936</f>
        <v>1605.7059253840528</v>
      </c>
      <c r="J200" s="115" cm="1">
        <f t="array" ref="J2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00" s="113"/>
    </row>
    <row r="201" spans="1:11" x14ac:dyDescent="0.3">
      <c r="A201" s="118">
        <v>46160</v>
      </c>
      <c r="B201" s="116" t="s">
        <v>189</v>
      </c>
      <c r="C201" s="113">
        <v>1721</v>
      </c>
      <c r="D201" s="113" t="s">
        <v>86</v>
      </c>
      <c r="E201" s="11" t="s">
        <v>613</v>
      </c>
      <c r="F201" s="11">
        <v>4165</v>
      </c>
      <c r="G201" s="11">
        <v>4446</v>
      </c>
      <c r="H201" s="114">
        <f>_xlfn.XLOOKUP(Table1[[#This Row],[Shipment Number]], 'pivot '!A:A,'pivot '!G:G, "NF")</f>
        <v>2.3896317854134992</v>
      </c>
      <c r="I201" s="115">
        <f>Table1[[#This Row],[Tiyaar/gaz]]/1.0936</f>
        <v>4065.4718361375276</v>
      </c>
      <c r="J201" s="115" cm="1">
        <f t="array" ref="J2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01" s="113"/>
    </row>
    <row r="202" spans="1:11" x14ac:dyDescent="0.3">
      <c r="A202" s="118">
        <v>46160</v>
      </c>
      <c r="B202" s="116" t="s">
        <v>189</v>
      </c>
      <c r="C202" s="113">
        <v>1722</v>
      </c>
      <c r="D202" s="113" t="s">
        <v>85</v>
      </c>
      <c r="E202" s="11" t="s">
        <v>614</v>
      </c>
      <c r="F202" s="11">
        <v>30095</v>
      </c>
      <c r="G202" s="11">
        <v>32028</v>
      </c>
      <c r="H202" s="114">
        <f>_xlfn.XLOOKUP(Table1[[#This Row],[Shipment Number]], 'pivot '!A:A,'pivot '!G:G, "NF")</f>
        <v>2.6856310782740707</v>
      </c>
      <c r="I202" s="115">
        <f>Table1[[#This Row],[Tiyaar/gaz]]/1.0936</f>
        <v>29286.759326993419</v>
      </c>
      <c r="J202" s="11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202" s="113"/>
    </row>
    <row r="203" spans="1:11" x14ac:dyDescent="0.3">
      <c r="A203" s="124">
        <v>46160</v>
      </c>
      <c r="B203" s="125" t="s">
        <v>21</v>
      </c>
      <c r="C203" s="126">
        <v>1723</v>
      </c>
      <c r="D203" s="126" t="s">
        <v>85</v>
      </c>
      <c r="E203" s="127">
        <v>2500</v>
      </c>
      <c r="F203" s="127">
        <v>18246</v>
      </c>
      <c r="G203" s="127">
        <v>19353</v>
      </c>
      <c r="H203" s="128">
        <f>_xlfn.XLOOKUP(Table1[[#This Row],[Shipment Number]], 'pivot '!A:A,'pivot '!G:G, "NF")</f>
        <v>3.011079740017351</v>
      </c>
      <c r="I203" s="129">
        <f>Table1[[#This Row],[Tiyaar/gaz]]/1.0936</f>
        <v>17696.598390636431</v>
      </c>
      <c r="J203" s="129" cm="1">
        <f t="array" ref="J2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203" s="113"/>
    </row>
    <row r="204" spans="1:11" x14ac:dyDescent="0.3">
      <c r="A204" s="118">
        <v>46163</v>
      </c>
      <c r="B204" s="116" t="s">
        <v>441</v>
      </c>
      <c r="C204" s="113">
        <v>1724</v>
      </c>
      <c r="D204" s="113" t="s">
        <v>447</v>
      </c>
      <c r="E204" s="11">
        <v>2205</v>
      </c>
      <c r="F204" s="11">
        <v>14922</v>
      </c>
      <c r="G204" s="11">
        <v>14491</v>
      </c>
      <c r="H204" s="114">
        <f>_xlfn.XLOOKUP(Table1[[#This Row],[Shipment Number]], 'pivot '!A:A,'pivot '!G:G, "NF")</f>
        <v>11.200029963172554</v>
      </c>
      <c r="I204" s="115">
        <f>Table1[[#This Row],[Tiyaar/gaz]]/1.0936</f>
        <v>13250.731528895392</v>
      </c>
      <c r="J204" s="137"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204" s="113"/>
    </row>
    <row r="205" spans="1:11" x14ac:dyDescent="0.3">
      <c r="A205" s="118">
        <v>46163</v>
      </c>
      <c r="B205" s="116" t="s">
        <v>27</v>
      </c>
      <c r="C205" s="113">
        <v>1725</v>
      </c>
      <c r="D205" s="113" t="s">
        <v>86</v>
      </c>
      <c r="E205" s="11">
        <v>2207</v>
      </c>
      <c r="F205" s="11">
        <v>27810</v>
      </c>
      <c r="G205" s="11">
        <v>29585</v>
      </c>
      <c r="H205" s="114">
        <f>_xlfn.XLOOKUP(Table1[[#This Row],[Shipment Number]], 'pivot '!A:A,'pivot '!G:G, "NF")</f>
        <v>2.722571151772641</v>
      </c>
      <c r="I205" s="115">
        <f>Table1[[#This Row],[Tiyaar/gaz]]/1.0936</f>
        <v>27052.852962692028</v>
      </c>
      <c r="J205" s="11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205" s="113"/>
    </row>
    <row r="206" spans="1:11" x14ac:dyDescent="0.3">
      <c r="A206" s="118">
        <v>46163</v>
      </c>
      <c r="B206" s="116" t="s">
        <v>21</v>
      </c>
      <c r="C206" s="113">
        <v>1726</v>
      </c>
      <c r="D206" s="113" t="s">
        <v>231</v>
      </c>
      <c r="E206" s="11" t="s">
        <v>97</v>
      </c>
      <c r="F206" s="11">
        <v>2087</v>
      </c>
      <c r="G206" s="11">
        <v>206</v>
      </c>
      <c r="H206" s="114">
        <f>_xlfn.XLOOKUP(Table1[[#This Row],[Shipment Number]], 'pivot '!A:A,'pivot '!G:G, "NF")</f>
        <v>-5.0674587415249448</v>
      </c>
      <c r="I206" s="115">
        <f>Table1[[#This Row],[Tiyaar/gaz]]/1.0936</f>
        <v>188.36869056327726</v>
      </c>
      <c r="J206" s="115" cm="1">
        <f t="array" ref="J2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206" s="113"/>
    </row>
    <row r="207" spans="1:11" x14ac:dyDescent="0.3">
      <c r="A207" s="118">
        <v>46163</v>
      </c>
      <c r="B207" s="116" t="s">
        <v>21</v>
      </c>
      <c r="C207" s="113">
        <v>1727</v>
      </c>
      <c r="D207" s="113" t="s">
        <v>231</v>
      </c>
      <c r="E207" s="11" t="s">
        <v>615</v>
      </c>
      <c r="F207" s="11">
        <v>3244</v>
      </c>
      <c r="G207" s="11">
        <v>3296</v>
      </c>
      <c r="H207" s="114">
        <f>_xlfn.XLOOKUP(Table1[[#This Row],[Shipment Number]], 'pivot '!A:A,'pivot '!G:G, "NF")</f>
        <v>7.0931242597892634</v>
      </c>
      <c r="I207" s="115">
        <f>Table1[[#This Row],[Tiyaar/gaz]]/1.0936</f>
        <v>3013.8990490124361</v>
      </c>
      <c r="J207" s="115" cm="1">
        <f t="array" ref="J2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207" s="113"/>
    </row>
    <row r="208" spans="1:11" x14ac:dyDescent="0.3">
      <c r="A208" s="118">
        <v>46163</v>
      </c>
      <c r="B208" s="116" t="s">
        <v>21</v>
      </c>
      <c r="C208" s="113">
        <v>1728</v>
      </c>
      <c r="D208" s="113" t="s">
        <v>231</v>
      </c>
      <c r="E208" s="11">
        <v>2203</v>
      </c>
      <c r="F208" s="11">
        <v>9612</v>
      </c>
      <c r="G208" s="11">
        <v>10216</v>
      </c>
      <c r="H208" s="114">
        <f>_xlfn.XLOOKUP(Table1[[#This Row],[Shipment Number]], 'pivot '!A:A,'pivot '!G:G, "NF")</f>
        <v>2.8129006018750573</v>
      </c>
      <c r="I208" s="115">
        <f>Table1[[#This Row],[Tiyaar/gaz]]/1.0936</f>
        <v>9341.6239941477688</v>
      </c>
      <c r="J208" s="11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208" s="113"/>
    </row>
    <row r="209" spans="1:11" x14ac:dyDescent="0.3">
      <c r="A209" s="118">
        <v>46164</v>
      </c>
      <c r="B209" s="116" t="s">
        <v>27</v>
      </c>
      <c r="C209" s="113">
        <v>1729</v>
      </c>
      <c r="D209" s="113" t="s">
        <v>85</v>
      </c>
      <c r="E209" s="11">
        <v>2210</v>
      </c>
      <c r="F209" s="11">
        <v>53625</v>
      </c>
      <c r="G209" s="11">
        <v>12287</v>
      </c>
      <c r="H209" s="114">
        <f>_xlfn.XLOOKUP(Table1[[#This Row],[Shipment Number]], 'pivot '!A:A,'pivot '!G:G, "NF")</f>
        <v>2.9078699890696953</v>
      </c>
      <c r="I209" s="115">
        <f>Table1[[#This Row],[Tiyaar/gaz]]/1.0936</f>
        <v>11235.369422092173</v>
      </c>
      <c r="J209" s="11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209" s="113"/>
    </row>
    <row r="210" spans="1:11" x14ac:dyDescent="0.3">
      <c r="A210" s="118">
        <v>46164</v>
      </c>
      <c r="B210" s="116" t="s">
        <v>27</v>
      </c>
      <c r="C210" s="113">
        <v>1730</v>
      </c>
      <c r="D210" s="113" t="s">
        <v>85</v>
      </c>
      <c r="E210" s="11">
        <v>2210</v>
      </c>
      <c r="F210" s="11">
        <v>53625</v>
      </c>
      <c r="G210" s="11">
        <v>44652</v>
      </c>
      <c r="H210" s="114">
        <f>_xlfn.XLOOKUP(Table1[[#This Row],[Shipment Number]], 'pivot '!A:A,'pivot '!G:G, "NF")</f>
        <v>2.9078699890696953</v>
      </c>
      <c r="I210" s="115">
        <f>Table1[[#This Row],[Tiyaar/gaz]]/1.0936</f>
        <v>40830.285296269205</v>
      </c>
      <c r="J210" s="115" cm="1">
        <f t="array" ref="J2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210" s="113"/>
    </row>
    <row r="211" spans="1:11" x14ac:dyDescent="0.3">
      <c r="A211" s="118">
        <v>46167</v>
      </c>
      <c r="B211" s="116" t="s">
        <v>176</v>
      </c>
      <c r="C211" s="113">
        <v>1731</v>
      </c>
      <c r="D211" s="113" t="s">
        <v>206</v>
      </c>
      <c r="E211" s="11">
        <v>2214</v>
      </c>
      <c r="F211" s="11">
        <v>44943</v>
      </c>
      <c r="G211" s="11">
        <v>40590</v>
      </c>
      <c r="H211" s="114">
        <f>_xlfn.XLOOKUP(Table1[[#This Row],[Shipment Number]], 'pivot '!A:A,'pivot '!G:G, "NF")</f>
        <v>3.4052415348313758</v>
      </c>
      <c r="I211" s="115">
        <f>Table1[[#This Row],[Tiyaar/gaz]]/1.0936</f>
        <v>37115.947329919538</v>
      </c>
      <c r="J211" s="115">
        <f>Table1[[#This Row],[tiyar/meters]]*11</f>
        <v>408275.4206291149</v>
      </c>
      <c r="K211" s="113"/>
    </row>
    <row r="212" spans="1:11" x14ac:dyDescent="0.3">
      <c r="A212" s="118">
        <v>46167</v>
      </c>
      <c r="B212" s="116" t="s">
        <v>176</v>
      </c>
      <c r="C212" s="113">
        <v>1732</v>
      </c>
      <c r="D212" s="113" t="s">
        <v>206</v>
      </c>
      <c r="E212" s="11">
        <v>2214</v>
      </c>
      <c r="F212" s="11">
        <v>44943</v>
      </c>
      <c r="G212" s="11">
        <v>6886</v>
      </c>
      <c r="H212" s="114">
        <f>_xlfn.XLOOKUP(Table1[[#This Row],[Shipment Number]], 'pivot '!A:A,'pivot '!G:G, "NF")</f>
        <v>3.4052415348313758</v>
      </c>
      <c r="I212" s="115">
        <f>Table1[[#This Row],[Tiyaar/gaz]]/1.0936</f>
        <v>6296.6349670812006</v>
      </c>
      <c r="J212" s="115">
        <f>Table1[[#This Row],[tiyar/meters]]*11</f>
        <v>69262.984637893212</v>
      </c>
      <c r="K212" s="113"/>
    </row>
    <row r="213" spans="1:11" x14ac:dyDescent="0.3">
      <c r="A213" s="118">
        <v>46167</v>
      </c>
      <c r="B213" s="116" t="s">
        <v>176</v>
      </c>
      <c r="C213" s="113">
        <v>1733</v>
      </c>
      <c r="D213" s="113" t="s">
        <v>274</v>
      </c>
      <c r="E213" s="11">
        <v>2215</v>
      </c>
      <c r="F213" s="11">
        <v>3800</v>
      </c>
      <c r="G213" s="11">
        <v>4120</v>
      </c>
      <c r="H213" s="114">
        <f>_xlfn.XLOOKUP(Table1[[#This Row],[Shipment Number]], 'pivot '!A:A,'pivot '!G:G, "NF")</f>
        <v>0.85858391406459589</v>
      </c>
      <c r="I213" s="115">
        <f>Table1[[#This Row],[Tiyaar/gaz]]/1.0936</f>
        <v>3767.3738112655451</v>
      </c>
      <c r="J213" s="115" cm="1">
        <f t="array" ref="J2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13" s="113"/>
    </row>
    <row r="214" spans="1:11" x14ac:dyDescent="0.3">
      <c r="A214" s="118">
        <v>46167</v>
      </c>
      <c r="B214" s="116" t="s">
        <v>441</v>
      </c>
      <c r="C214" s="113">
        <v>1734</v>
      </c>
      <c r="D214" s="113" t="s">
        <v>447</v>
      </c>
      <c r="E214" s="11">
        <v>2213</v>
      </c>
      <c r="F214" s="11">
        <v>24903</v>
      </c>
      <c r="G214" s="11">
        <v>24785</v>
      </c>
      <c r="H214" s="114">
        <f>_xlfn.XLOOKUP(Table1[[#This Row],[Shipment Number]], 'pivot '!A:A,'pivot '!G:G, "NF")</f>
        <v>8.9921712631256412</v>
      </c>
      <c r="I214" s="115">
        <f>Table1[[#This Row],[Tiyaar/gaz]]/1.0936</f>
        <v>22663.679590343821</v>
      </c>
      <c r="J214" s="115" cm="1">
        <f t="array" ref="J2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14" s="113"/>
    </row>
    <row r="215" spans="1:11" x14ac:dyDescent="0.3">
      <c r="A215" s="118">
        <v>46167</v>
      </c>
      <c r="B215" s="116" t="s">
        <v>280</v>
      </c>
      <c r="C215" s="113">
        <v>1735</v>
      </c>
      <c r="D215" s="113" t="s">
        <v>231</v>
      </c>
      <c r="E215" s="11">
        <v>1639</v>
      </c>
      <c r="F215" s="11">
        <v>26048</v>
      </c>
      <c r="G215" s="11">
        <f>27444</f>
        <v>27444</v>
      </c>
      <c r="H215" s="114">
        <f>_xlfn.XLOOKUP(Table1[[#This Row],[Shipment Number]], 'pivot '!A:A,'pivot '!G:G, "NF")</f>
        <v>3.6582510887558328</v>
      </c>
      <c r="I215" s="115">
        <f>Table1[[#This Row],[Tiyaar/gaz]]/1.0936</f>
        <v>25095.098756400879</v>
      </c>
      <c r="J215" s="11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15" s="113"/>
    </row>
    <row r="216" spans="1:11" x14ac:dyDescent="0.3">
      <c r="A216" s="118">
        <v>46167</v>
      </c>
      <c r="B216" s="116" t="s">
        <v>280</v>
      </c>
      <c r="C216" s="113">
        <v>1736</v>
      </c>
      <c r="D216" s="113" t="s">
        <v>231</v>
      </c>
      <c r="E216" s="11">
        <v>1636</v>
      </c>
      <c r="F216" s="11">
        <v>26025</v>
      </c>
      <c r="G216" s="11">
        <v>27459</v>
      </c>
      <c r="H216" s="114">
        <f>_xlfn.XLOOKUP(Table1[[#This Row],[Shipment Number]], 'pivot '!A:A,'pivot '!G:G, "NF")</f>
        <v>3.5204037533546</v>
      </c>
      <c r="I216" s="115">
        <f>Table1[[#This Row],[Tiyaar/gaz]]/1.0936</f>
        <v>25108.814923189468</v>
      </c>
      <c r="J216" s="11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16" s="113"/>
    </row>
    <row r="217" spans="1:11" x14ac:dyDescent="0.3">
      <c r="A217" s="144">
        <v>46167</v>
      </c>
      <c r="B217" s="145"/>
      <c r="C217" s="135">
        <v>1737</v>
      </c>
      <c r="D217" s="135"/>
      <c r="E217" s="136"/>
      <c r="F217" s="136"/>
      <c r="G217" s="136"/>
      <c r="H217" s="146"/>
      <c r="I217" s="137"/>
      <c r="J217" s="137"/>
      <c r="K217" s="135"/>
    </row>
    <row r="218" spans="1:11" x14ac:dyDescent="0.3">
      <c r="A218" s="144">
        <v>46167</v>
      </c>
      <c r="B218" s="145"/>
      <c r="C218" s="135">
        <v>1738</v>
      </c>
      <c r="D218" s="135"/>
      <c r="E218" s="136"/>
      <c r="F218" s="136"/>
      <c r="G218" s="136"/>
      <c r="H218" s="146"/>
      <c r="I218" s="137"/>
      <c r="J218" s="137"/>
      <c r="K218" s="135"/>
    </row>
    <row r="219" spans="1:11" x14ac:dyDescent="0.3">
      <c r="A219" s="118">
        <v>46167</v>
      </c>
      <c r="B219" s="116" t="s">
        <v>258</v>
      </c>
      <c r="C219" s="113">
        <v>1739</v>
      </c>
      <c r="D219" s="113" t="s">
        <v>86</v>
      </c>
      <c r="E219" s="11">
        <v>2173</v>
      </c>
      <c r="F219" s="11">
        <v>46820</v>
      </c>
      <c r="G219" s="11">
        <v>1448</v>
      </c>
      <c r="H219" s="114">
        <f>_xlfn.XLOOKUP(Table1[[#This Row],[Shipment Number]], 'pivot '!A:A,'pivot '!G:G, "NF")</f>
        <v>4.2778347369667671</v>
      </c>
      <c r="I219" s="115">
        <f>Table1[[#This Row],[Tiyaar/gaz]]/1.0936</f>
        <v>1324.0673006583761</v>
      </c>
      <c r="J219" s="11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19" s="113"/>
    </row>
    <row r="220" spans="1:11" x14ac:dyDescent="0.3">
      <c r="A220" s="118">
        <v>46167</v>
      </c>
      <c r="B220" s="116" t="s">
        <v>258</v>
      </c>
      <c r="C220" s="113">
        <v>1740</v>
      </c>
      <c r="D220" s="113" t="s">
        <v>86</v>
      </c>
      <c r="E220" s="11">
        <v>2109</v>
      </c>
      <c r="F220" s="11"/>
      <c r="G220" s="11">
        <v>2870</v>
      </c>
      <c r="H220" s="114" t="e">
        <f>_xlfn.XLOOKUP(Table1[[#This Row],[Shipment Number]], 'pivot '!A:A,'pivot '!G:G, "NF")</f>
        <v>#DIV/0!</v>
      </c>
      <c r="I220" s="115">
        <f>Table1[[#This Row],[Tiyaar/gaz]]/1.0936</f>
        <v>2624.3599122165328</v>
      </c>
      <c r="J220" s="11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20" s="113"/>
    </row>
    <row r="221" spans="1:11" x14ac:dyDescent="0.3">
      <c r="A221" s="118">
        <v>46167</v>
      </c>
      <c r="B221" s="116" t="s">
        <v>441</v>
      </c>
      <c r="C221" s="113">
        <v>1741</v>
      </c>
      <c r="D221" s="113" t="s">
        <v>86</v>
      </c>
      <c r="E221" s="11">
        <v>2208</v>
      </c>
      <c r="F221" s="11">
        <v>73515</v>
      </c>
      <c r="G221" s="11">
        <v>38150</v>
      </c>
      <c r="H221" s="114">
        <f>_xlfn.XLOOKUP(Table1[[#This Row],[Shipment Number]], 'pivot '!A:A,'pivot '!G:G, "NF")</f>
        <v>3.9604008179311876</v>
      </c>
      <c r="I221" s="115">
        <f>Table1[[#This Row],[Tiyaar/gaz]]/1.0936</f>
        <v>34884.78419897586</v>
      </c>
      <c r="J221" s="115">
        <f>Table1[[#This Row],[tiyar/meters]]*12</f>
        <v>418617.41038771032</v>
      </c>
      <c r="K221" s="113"/>
    </row>
    <row r="222" spans="1:11" x14ac:dyDescent="0.3">
      <c r="A222" s="118">
        <v>46167</v>
      </c>
      <c r="B222" s="116" t="s">
        <v>441</v>
      </c>
      <c r="C222" s="113">
        <v>1742</v>
      </c>
      <c r="D222" s="113" t="s">
        <v>86</v>
      </c>
      <c r="E222" s="11">
        <v>2208</v>
      </c>
      <c r="F222" s="11">
        <v>73515</v>
      </c>
      <c r="G222" s="11">
        <v>15552</v>
      </c>
      <c r="H222" s="114">
        <f>_xlfn.XLOOKUP(Table1[[#This Row],[Shipment Number]], 'pivot '!A:A,'pivot '!G:G, "NF")</f>
        <v>3.9604008179311876</v>
      </c>
      <c r="I222" s="115">
        <f>Table1[[#This Row],[Tiyaar/gaz]]/1.0936</f>
        <v>14220.921726408194</v>
      </c>
      <c r="J222" s="115">
        <f>Table1[[#This Row],[tiyar/meters]]*12</f>
        <v>170651.06071689833</v>
      </c>
      <c r="K222" s="113"/>
    </row>
    <row r="223" spans="1:11" x14ac:dyDescent="0.3">
      <c r="A223" s="118">
        <v>46167</v>
      </c>
      <c r="B223" s="116" t="s">
        <v>441</v>
      </c>
      <c r="C223" s="113">
        <v>1743</v>
      </c>
      <c r="D223" s="113" t="s">
        <v>86</v>
      </c>
      <c r="E223" s="11">
        <v>2208</v>
      </c>
      <c r="F223" s="11">
        <v>73515</v>
      </c>
      <c r="G223" s="11">
        <v>23510</v>
      </c>
      <c r="H223" s="114">
        <f>_xlfn.XLOOKUP(Table1[[#This Row],[Shipment Number]], 'pivot '!A:A,'pivot '!G:G, "NF")</f>
        <v>3.9604008179311876</v>
      </c>
      <c r="I223" s="115">
        <f>Table1[[#This Row],[Tiyaar/gaz]]/1.0936</f>
        <v>21497.805413313828</v>
      </c>
      <c r="J223" s="115">
        <f>Table1[[#This Row],[tiyar/meters]]*12</f>
        <v>257973.66495976594</v>
      </c>
      <c r="K223" s="113"/>
    </row>
    <row r="224" spans="1:11" x14ac:dyDescent="0.3">
      <c r="A224" s="118">
        <v>46167</v>
      </c>
      <c r="B224" s="116" t="s">
        <v>441</v>
      </c>
      <c r="C224" s="113">
        <v>1744</v>
      </c>
      <c r="D224" s="113" t="s">
        <v>86</v>
      </c>
      <c r="E224" s="11">
        <v>2201</v>
      </c>
      <c r="F224" s="11">
        <v>83485</v>
      </c>
      <c r="G224" s="11">
        <v>38261</v>
      </c>
      <c r="H224" s="114">
        <f>_xlfn.XLOOKUP(Table1[[#This Row],[Shipment Number]], 'pivot '!A:A,'pivot '!G:G, "NF")</f>
        <v>4.5227079546242663</v>
      </c>
      <c r="I224" s="115">
        <f>Table1[[#This Row],[Tiyaar/gaz]]/1.0936</f>
        <v>34986.283833211412</v>
      </c>
      <c r="J224" s="115">
        <f>Table1[[#This Row],[tiyar/meters]]*12</f>
        <v>419835.40599853697</v>
      </c>
      <c r="K224" s="113"/>
    </row>
    <row r="225" spans="1:11" x14ac:dyDescent="0.3">
      <c r="A225" s="118">
        <v>46167</v>
      </c>
      <c r="B225" s="116" t="s">
        <v>441</v>
      </c>
      <c r="C225" s="113">
        <v>1745</v>
      </c>
      <c r="D225" s="113" t="s">
        <v>86</v>
      </c>
      <c r="E225" s="11">
        <v>2201</v>
      </c>
      <c r="F225" s="11">
        <v>83485</v>
      </c>
      <c r="G225" s="11">
        <v>28576</v>
      </c>
      <c r="H225" s="114">
        <f>_xlfn.XLOOKUP(Table1[[#This Row],[Shipment Number]], 'pivot '!A:A,'pivot '!G:G, "NF")</f>
        <v>4.5227079546242663</v>
      </c>
      <c r="I225" s="115">
        <f>Table1[[#This Row],[Tiyaar/gaz]]/1.0936</f>
        <v>26130.212143379667</v>
      </c>
      <c r="J225" s="115">
        <f>Table1[[#This Row],[tiyar/meters]]*12</f>
        <v>313562.54572055599</v>
      </c>
      <c r="K225" s="113"/>
    </row>
    <row r="226" spans="1:11" x14ac:dyDescent="0.3">
      <c r="A226" s="118">
        <v>46183</v>
      </c>
      <c r="B226" s="116" t="s">
        <v>21</v>
      </c>
      <c r="C226" s="113">
        <v>1746</v>
      </c>
      <c r="D226" s="113" t="s">
        <v>86</v>
      </c>
      <c r="E226" s="11" t="s">
        <v>726</v>
      </c>
      <c r="F226" s="11">
        <v>33085</v>
      </c>
      <c r="G226" s="11">
        <v>31683</v>
      </c>
      <c r="H226" s="114">
        <f>_xlfn.XLOOKUP(Table1[[#This Row],[Shipment Number]], 'pivot '!A:A,'pivot '!G:G, "NF")</f>
        <v>12.433769107281563</v>
      </c>
      <c r="I226" s="115">
        <f>Table1[[#This Row],[Tiyaar/gaz]]/1.0936</f>
        <v>28971.287490855892</v>
      </c>
      <c r="J226" s="11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26" s="113"/>
    </row>
    <row r="227" spans="1:11" x14ac:dyDescent="0.3">
      <c r="A227" s="118">
        <v>46183</v>
      </c>
      <c r="B227" s="116" t="s">
        <v>21</v>
      </c>
      <c r="C227" s="113">
        <v>1747</v>
      </c>
      <c r="D227" s="113" t="s">
        <v>85</v>
      </c>
      <c r="E227" s="11">
        <v>2211</v>
      </c>
      <c r="F227" s="11">
        <v>7182</v>
      </c>
      <c r="G227" s="11">
        <v>7337</v>
      </c>
      <c r="H227" s="114">
        <f>_xlfn.XLOOKUP(Table1[[#This Row],[Shipment Number]], 'pivot '!A:A,'pivot '!G:G, "NF")</f>
        <v>6.5854304948749132</v>
      </c>
      <c r="I227" s="115">
        <f>Table1[[#This Row],[Tiyaar/gaz]]/1.0936</f>
        <v>6709.0343818580841</v>
      </c>
      <c r="J227" s="115" cm="1">
        <f t="array" ref="J2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27" s="113"/>
    </row>
    <row r="228" spans="1:11" x14ac:dyDescent="0.3">
      <c r="A228" s="118">
        <v>46183</v>
      </c>
      <c r="B228" s="116" t="s">
        <v>21</v>
      </c>
      <c r="C228" s="113">
        <v>1748</v>
      </c>
      <c r="D228" s="113" t="s">
        <v>86</v>
      </c>
      <c r="E228" s="11">
        <v>2212</v>
      </c>
      <c r="F228" s="11">
        <v>1558</v>
      </c>
      <c r="G228" s="11">
        <v>1527</v>
      </c>
      <c r="H228" s="114">
        <f>_xlfn.XLOOKUP(Table1[[#This Row],[Shipment Number]], 'pivot '!A:A,'pivot '!G:G, "NF")</f>
        <v>10.378319699725694</v>
      </c>
      <c r="I228" s="115">
        <f>Table1[[#This Row],[Tiyaar/gaz]]/1.0936</f>
        <v>1396.3057790782736</v>
      </c>
      <c r="J228" s="115" cm="1">
        <f t="array" ref="J2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28" s="113"/>
    </row>
    <row r="229" spans="1:11" x14ac:dyDescent="0.3">
      <c r="A229" s="118">
        <v>46185</v>
      </c>
      <c r="B229" s="116" t="s">
        <v>441</v>
      </c>
      <c r="C229" s="113">
        <v>1749</v>
      </c>
      <c r="D229" s="113" t="s">
        <v>86</v>
      </c>
      <c r="E229" s="11">
        <v>2201</v>
      </c>
      <c r="F229" s="11">
        <v>83485</v>
      </c>
      <c r="G229" s="11">
        <v>20333</v>
      </c>
      <c r="H229" s="114">
        <f>_xlfn.XLOOKUP(Table1[[#This Row],[Shipment Number]], 'pivot '!A:A,'pivot '!G:G, "NF")</f>
        <v>4.5227079546242663</v>
      </c>
      <c r="I229" s="115">
        <f>Table1[[#This Row],[Tiyaar/gaz]]/1.0936</f>
        <v>18592.721287490858</v>
      </c>
      <c r="J229" s="115" cm="1">
        <f t="array" ref="J22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241705.37673738116</v>
      </c>
      <c r="K229" s="113"/>
    </row>
    <row r="230" spans="1:11" x14ac:dyDescent="0.3">
      <c r="A230" s="118">
        <v>46184</v>
      </c>
      <c r="B230" s="116" t="s">
        <v>258</v>
      </c>
      <c r="C230" s="113">
        <v>1750</v>
      </c>
      <c r="D230" s="113" t="s">
        <v>206</v>
      </c>
      <c r="E230" s="11">
        <v>2220</v>
      </c>
      <c r="F230" s="11">
        <v>24199</v>
      </c>
      <c r="G230" s="11">
        <v>25514</v>
      </c>
      <c r="H230" s="114">
        <f>_xlfn.XLOOKUP(Table1[[#This Row],[Shipment Number]], 'pivot '!A:A,'pivot '!G:G, "NF")</f>
        <v>3.5898785227934837</v>
      </c>
      <c r="I230" s="115">
        <f>Table1[[#This Row],[Tiyaar/gaz]]/1.0936</f>
        <v>23330.285296269205</v>
      </c>
      <c r="J230" s="115"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30" s="113"/>
    </row>
    <row r="231" spans="1:11" x14ac:dyDescent="0.3">
      <c r="A231" s="118">
        <v>46184</v>
      </c>
      <c r="B231" s="116" t="s">
        <v>258</v>
      </c>
      <c r="C231" s="113">
        <v>1751</v>
      </c>
      <c r="D231" s="113" t="s">
        <v>274</v>
      </c>
      <c r="E231" s="11">
        <v>2219</v>
      </c>
      <c r="F231" s="11">
        <v>23675</v>
      </c>
      <c r="G231" s="11">
        <v>24836</v>
      </c>
      <c r="H231" s="114">
        <f>_xlfn.XLOOKUP(Table1[[#This Row],[Shipment Number]], 'pivot '!A:A,'pivot '!G:G, "NF")</f>
        <v>4.0747009190073129</v>
      </c>
      <c r="I231" s="115">
        <f>Table1[[#This Row],[Tiyaar/gaz]]/1.0936</f>
        <v>22710.314557425019</v>
      </c>
      <c r="J231" s="115"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31" s="113"/>
    </row>
    <row r="232" spans="1:11" x14ac:dyDescent="0.3">
      <c r="A232" s="118">
        <v>46185</v>
      </c>
      <c r="B232" s="116" t="s">
        <v>176</v>
      </c>
      <c r="C232" s="113">
        <v>1752</v>
      </c>
      <c r="D232" s="113" t="s">
        <v>274</v>
      </c>
      <c r="E232" s="11">
        <v>2222</v>
      </c>
      <c r="F232" s="11">
        <v>9409</v>
      </c>
      <c r="G232" s="11">
        <v>8549</v>
      </c>
      <c r="H232" s="114">
        <f>_xlfn.XLOOKUP(Table1[[#This Row],[Shipment Number]], 'pivot '!A:A,'pivot '!G:G, "NF")</f>
        <v>1.8725786910585214</v>
      </c>
      <c r="I232" s="115">
        <f>Table1[[#This Row],[Tiyaar/gaz]]/1.0936</f>
        <v>7817.3006583760061</v>
      </c>
      <c r="J232" s="115"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32" s="113"/>
    </row>
    <row r="233" spans="1:11" x14ac:dyDescent="0.3">
      <c r="A233" s="118">
        <v>46185</v>
      </c>
      <c r="B233" s="116" t="s">
        <v>258</v>
      </c>
      <c r="C233" s="113">
        <v>1753</v>
      </c>
      <c r="D233" s="113" t="s">
        <v>86</v>
      </c>
      <c r="E233" s="147" t="s">
        <v>727</v>
      </c>
      <c r="F233" s="11">
        <v>4471</v>
      </c>
      <c r="G233" s="11">
        <v>4765</v>
      </c>
      <c r="H233" s="114">
        <f>_xlfn.XLOOKUP(Table1[[#This Row],[Shipment Number]], 'pivot '!A:A,'pivot '!G:G, "NF")</f>
        <v>2.5459856145194522</v>
      </c>
      <c r="I233" s="115">
        <f>Table1[[#This Row],[Tiyaar/gaz]]/1.0936</f>
        <v>4357.1689831748354</v>
      </c>
      <c r="J233" s="115"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33" s="113"/>
    </row>
    <row r="234" spans="1:11" x14ac:dyDescent="0.3">
      <c r="A234" s="118">
        <v>46185</v>
      </c>
      <c r="B234" s="116" t="s">
        <v>176</v>
      </c>
      <c r="C234" s="113">
        <v>1754</v>
      </c>
      <c r="D234" s="113" t="s">
        <v>206</v>
      </c>
      <c r="E234" s="11">
        <v>2216</v>
      </c>
      <c r="F234" s="11">
        <v>12883</v>
      </c>
      <c r="G234" s="11">
        <v>13549</v>
      </c>
      <c r="H234" s="114">
        <f>_xlfn.XLOOKUP(Table1[[#This Row],[Shipment Number]], 'pivot '!A:A,'pivot '!G:G, "NF")</f>
        <v>3.831745287805191</v>
      </c>
      <c r="I234" s="115">
        <f>Table1[[#This Row],[Tiyaar/gaz]]/1.0936</f>
        <v>12389.356254572056</v>
      </c>
      <c r="J234" s="115">
        <f>Table1[[#This Row],[tiyar/meters]]*11</f>
        <v>136282.91880029262</v>
      </c>
      <c r="K234" s="113"/>
    </row>
    <row r="235" spans="1:11" x14ac:dyDescent="0.3">
      <c r="A235" s="118">
        <v>46185</v>
      </c>
      <c r="B235" s="116" t="s">
        <v>176</v>
      </c>
      <c r="C235" s="113">
        <v>1755</v>
      </c>
      <c r="D235" s="113" t="s">
        <v>86</v>
      </c>
      <c r="E235" s="11">
        <v>2223</v>
      </c>
      <c r="F235" s="11">
        <v>14949</v>
      </c>
      <c r="G235" s="11">
        <v>15026</v>
      </c>
      <c r="H235" s="114">
        <f>_xlfn.XLOOKUP(Table1[[#This Row],[Shipment Number]], 'pivot '!A:A,'pivot '!G:G, "NF")</f>
        <v>0.96785055533607078</v>
      </c>
      <c r="I235" s="115">
        <f>Table1[[#This Row],[Tiyaar/gaz]]/1.0936</f>
        <v>13739.94147768837</v>
      </c>
      <c r="J235" s="115">
        <f>Table1[[#This Row],[tiyar/meters]]*11</f>
        <v>151139.35625457208</v>
      </c>
      <c r="K235" s="113"/>
    </row>
    <row r="236" spans="1:11" x14ac:dyDescent="0.3">
      <c r="A236" s="167">
        <v>46185</v>
      </c>
      <c r="B236" s="133" t="s">
        <v>21</v>
      </c>
      <c r="C236" s="168">
        <v>1756</v>
      </c>
      <c r="D236" s="168" t="s">
        <v>85</v>
      </c>
      <c r="E236" s="134">
        <v>2227</v>
      </c>
      <c r="F236" s="134"/>
      <c r="G236" s="134">
        <v>6743</v>
      </c>
      <c r="H236" s="169">
        <f>_xlfn.XLOOKUP(Table1[[#This Row],[Shipment Number]], 'pivot '!A:A,'pivot '!G:G, "NF")</f>
        <v>16.329502602226924</v>
      </c>
      <c r="I236" s="170">
        <f>Table1[[#This Row],[Tiyaar/gaz]]/1.0936</f>
        <v>6165.874177029993</v>
      </c>
      <c r="J236" s="170"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36" s="113"/>
    </row>
    <row r="237" spans="1:11" x14ac:dyDescent="0.3">
      <c r="A237" s="118">
        <v>46186</v>
      </c>
      <c r="B237" s="116" t="s">
        <v>27</v>
      </c>
      <c r="C237" s="113">
        <v>1757</v>
      </c>
      <c r="D237" s="113" t="s">
        <v>86</v>
      </c>
      <c r="E237" s="11">
        <v>2217</v>
      </c>
      <c r="F237" s="11">
        <v>30502</v>
      </c>
      <c r="G237" s="11">
        <v>24765</v>
      </c>
      <c r="H237" s="114">
        <f>_xlfn.XLOOKUP(Table1[[#This Row],[Shipment Number]], 'pivot '!A:A,'pivot '!G:G, "NF")</f>
        <v>1.3100319803462241</v>
      </c>
      <c r="I237" s="115">
        <f>Table1[[#This Row],[Tiyaar/gaz]]/1.0936</f>
        <v>22645.391367959037</v>
      </c>
      <c r="J237" s="115"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37" s="113"/>
    </row>
    <row r="238" spans="1:11" x14ac:dyDescent="0.3">
      <c r="A238" s="118">
        <v>46186</v>
      </c>
      <c r="B238" s="116" t="s">
        <v>21</v>
      </c>
      <c r="C238" s="113">
        <v>1758</v>
      </c>
      <c r="D238" s="113" t="s">
        <v>86</v>
      </c>
      <c r="E238" s="11" t="s">
        <v>728</v>
      </c>
      <c r="F238" s="11">
        <v>39273</v>
      </c>
      <c r="G238" s="11">
        <v>9874</v>
      </c>
      <c r="H238" s="114">
        <f>_xlfn.XLOOKUP(Table1[[#This Row],[Shipment Number]], 'pivot '!A:A,'pivot '!G:G, "NF")</f>
        <v>77.009916758668908</v>
      </c>
      <c r="I238" s="115">
        <f>Table1[[#This Row],[Tiyaar/gaz]]/1.0936</f>
        <v>9028.8953913679597</v>
      </c>
      <c r="J238" s="11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38" s="113"/>
    </row>
    <row r="239" spans="1:11" x14ac:dyDescent="0.3">
      <c r="A239" s="118">
        <v>46186</v>
      </c>
      <c r="B239" s="116" t="s">
        <v>21</v>
      </c>
      <c r="C239" s="113">
        <v>1759</v>
      </c>
      <c r="D239" s="113" t="s">
        <v>85</v>
      </c>
      <c r="E239" s="11">
        <v>2225</v>
      </c>
      <c r="F239" s="11">
        <v>52646</v>
      </c>
      <c r="G239" s="11">
        <v>6914</v>
      </c>
      <c r="H239" s="114">
        <f>_xlfn.XLOOKUP(Table1[[#This Row],[Shipment Number]], 'pivot '!A:A,'pivot '!G:G, "NF")</f>
        <v>87.991037346769176</v>
      </c>
      <c r="I239" s="115">
        <f>Table1[[#This Row],[Tiyaar/gaz]]/1.0936</f>
        <v>6322.2384784198985</v>
      </c>
      <c r="J239" s="11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39" s="113"/>
    </row>
    <row r="240" spans="1:11" x14ac:dyDescent="0.3">
      <c r="A240" s="118">
        <v>46186</v>
      </c>
      <c r="B240" s="116" t="s">
        <v>21</v>
      </c>
      <c r="C240" s="113">
        <v>1760</v>
      </c>
      <c r="D240" s="171" t="s">
        <v>85</v>
      </c>
      <c r="E240" s="172">
        <v>2227</v>
      </c>
      <c r="F240" s="172">
        <v>12403</v>
      </c>
      <c r="G240" s="11">
        <v>4606</v>
      </c>
      <c r="H240" s="114">
        <f>_xlfn.XLOOKUP(Table1[[#This Row],[Shipment Number]], 'pivot '!A:A,'pivot '!G:G, "NF")</f>
        <v>16.329502602226924</v>
      </c>
      <c r="I240" s="115">
        <f>Table1[[#This Row],[Tiyaar/gaz]]/1.0936</f>
        <v>4211.7776152158012</v>
      </c>
      <c r="J240" s="11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40" s="113"/>
    </row>
    <row r="241" spans="1:11" x14ac:dyDescent="0.3">
      <c r="A241" s="118">
        <v>46186</v>
      </c>
      <c r="B241" s="116" t="s">
        <v>441</v>
      </c>
      <c r="C241" s="113">
        <v>1761</v>
      </c>
      <c r="D241" s="113" t="s">
        <v>447</v>
      </c>
      <c r="E241" s="11" t="s">
        <v>731</v>
      </c>
      <c r="F241" s="11">
        <v>11205</v>
      </c>
      <c r="G241" s="11">
        <v>11205</v>
      </c>
      <c r="H241" s="114">
        <f>_xlfn.XLOOKUP(Table1[[#This Row],[Shipment Number]], 'pivot '!A:A,'pivot '!G:G, "NF")</f>
        <v>8.5588880760790005</v>
      </c>
      <c r="I241" s="115">
        <f>Table1[[#This Row],[Tiyaar/gaz]]/1.0936</f>
        <v>10245.976591075349</v>
      </c>
      <c r="J241" s="11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41" s="113"/>
    </row>
    <row r="242" spans="1:11" x14ac:dyDescent="0.3">
      <c r="A242" s="118">
        <v>46186</v>
      </c>
      <c r="B242" s="116" t="s">
        <v>441</v>
      </c>
      <c r="C242" s="113">
        <v>1762</v>
      </c>
      <c r="D242" s="113" t="s">
        <v>85</v>
      </c>
      <c r="E242" s="11">
        <v>2209</v>
      </c>
      <c r="F242" s="11">
        <v>5702</v>
      </c>
      <c r="G242" s="11">
        <v>5958</v>
      </c>
      <c r="H242" s="114">
        <f>_xlfn.XLOOKUP(Table1[[#This Row],[Shipment Number]], 'pivot '!A:A,'pivot '!G:G, "NF")</f>
        <v>4.4534996768289545</v>
      </c>
      <c r="I242" s="115">
        <f>Table1[[#This Row],[Tiyaar/gaz]]/1.0936</f>
        <v>5448.0614484272137</v>
      </c>
      <c r="J242" s="11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42" s="113"/>
    </row>
    <row r="243" spans="1:11" x14ac:dyDescent="0.3">
      <c r="A243" s="175">
        <v>46186</v>
      </c>
      <c r="B243" s="173" t="s">
        <v>27</v>
      </c>
      <c r="C243" s="171">
        <v>1763</v>
      </c>
      <c r="D243" s="171" t="s">
        <v>86</v>
      </c>
      <c r="E243" s="172">
        <v>2217</v>
      </c>
      <c r="F243" s="172">
        <v>30502</v>
      </c>
      <c r="G243" s="172">
        <v>8155</v>
      </c>
      <c r="H243" s="174">
        <f>_xlfn.XLOOKUP(Table1[[#This Row],[Shipment Number]], 'pivot '!A:A,'pivot '!G:G, "NF")</f>
        <v>1.3100319803462241</v>
      </c>
      <c r="I243" s="115">
        <f>Table1[[#This Row],[Tiyaar/gaz]]/1.0936</f>
        <v>7457.0226773957575</v>
      </c>
      <c r="J243" s="11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43" s="135"/>
    </row>
    <row r="244" spans="1:11" x14ac:dyDescent="0.3">
      <c r="A244" s="118">
        <v>46191</v>
      </c>
      <c r="B244" s="116" t="s">
        <v>21</v>
      </c>
      <c r="C244" s="113">
        <v>1764</v>
      </c>
      <c r="D244" s="113" t="s">
        <v>86</v>
      </c>
      <c r="E244" s="11">
        <v>2242</v>
      </c>
      <c r="F244" s="11">
        <v>24854</v>
      </c>
      <c r="G244" s="11">
        <v>25714</v>
      </c>
      <c r="H244" s="114">
        <f>_xlfn.XLOOKUP(Table1[[#This Row],[Shipment Number]], 'pivot '!A:A,'pivot '!G:G, "NF")</f>
        <v>5.3948357603723878</v>
      </c>
      <c r="I244" s="115">
        <f>Table1[[#This Row],[Tiyaar/gaz]]/1.0936</f>
        <v>23513.167520117047</v>
      </c>
      <c r="J244" s="11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44" s="113"/>
    </row>
    <row r="245" spans="1:11" x14ac:dyDescent="0.3">
      <c r="A245" s="118">
        <v>46191</v>
      </c>
      <c r="B245" s="116" t="s">
        <v>530</v>
      </c>
      <c r="C245" s="113">
        <v>1765</v>
      </c>
      <c r="D245" s="113" t="s">
        <v>85</v>
      </c>
      <c r="E245" s="11">
        <v>2232</v>
      </c>
      <c r="F245" s="11">
        <v>12052</v>
      </c>
      <c r="G245" s="11">
        <v>13016</v>
      </c>
      <c r="H245" s="114">
        <f>_xlfn.XLOOKUP(Table1[[#This Row],[Shipment Number]], 'pivot '!A:A,'pivot '!G:G, "NF")</f>
        <v>1.2448130765221066</v>
      </c>
      <c r="I245" s="115">
        <f>Table1[[#This Row],[Tiyaar/gaz]]/1.0936</f>
        <v>11901.975128017557</v>
      </c>
      <c r="J245" s="11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45" s="113"/>
    </row>
    <row r="246" spans="1:11" x14ac:dyDescent="0.3">
      <c r="A246" s="118">
        <v>46191</v>
      </c>
      <c r="B246" s="116" t="s">
        <v>176</v>
      </c>
      <c r="C246" s="113">
        <v>1766</v>
      </c>
      <c r="D246" s="113" t="s">
        <v>274</v>
      </c>
      <c r="E246" s="11">
        <v>2221</v>
      </c>
      <c r="F246" s="11">
        <v>11026</v>
      </c>
      <c r="G246" s="11">
        <v>11640</v>
      </c>
      <c r="H246" s="114">
        <f>_xlfn.XLOOKUP(Table1[[#This Row],[Shipment Number]], 'pivot '!A:A,'pivot '!G:G, "NF")</f>
        <v>3.4668471980373283</v>
      </c>
      <c r="I246" s="115">
        <f>Table1[[#This Row],[Tiyaar/gaz]]/1.0936</f>
        <v>10643.745427944405</v>
      </c>
      <c r="J246" s="115">
        <f>Table1[[#This Row],[tiyar/meters]]*15</f>
        <v>159656.18141916607</v>
      </c>
      <c r="K246" s="113"/>
    </row>
    <row r="247" spans="1:11" x14ac:dyDescent="0.3">
      <c r="A247" s="118">
        <v>46191</v>
      </c>
      <c r="B247" s="116" t="s">
        <v>176</v>
      </c>
      <c r="C247" s="113">
        <v>1767</v>
      </c>
      <c r="D247" s="113" t="s">
        <v>274</v>
      </c>
      <c r="E247" s="11">
        <v>2230</v>
      </c>
      <c r="F247" s="11">
        <v>20189</v>
      </c>
      <c r="G247" s="11">
        <v>22169</v>
      </c>
      <c r="H247" s="114">
        <f>_xlfn.XLOOKUP(Table1[[#This Row],[Shipment Number]], 'pivot '!A:A,'pivot '!G:G, "NF")</f>
        <v>-0.40903513009087078</v>
      </c>
      <c r="I247" s="115">
        <f>Table1[[#This Row],[Tiyaar/gaz]]/1.0936</f>
        <v>20271.580102414046</v>
      </c>
      <c r="J247" s="11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47" s="113"/>
    </row>
    <row r="248" spans="1:11" x14ac:dyDescent="0.3">
      <c r="A248" s="118">
        <v>46191</v>
      </c>
      <c r="B248" s="116" t="s">
        <v>176</v>
      </c>
      <c r="C248" s="113">
        <v>1768</v>
      </c>
      <c r="D248" s="113" t="s">
        <v>274</v>
      </c>
      <c r="E248" s="11">
        <v>2222</v>
      </c>
      <c r="F248" s="11">
        <v>9409</v>
      </c>
      <c r="G248" s="11">
        <v>1548</v>
      </c>
      <c r="H248" s="114">
        <f>_xlfn.XLOOKUP(Table1[[#This Row],[Shipment Number]], 'pivot '!A:A,'pivot '!G:G, "NF")</f>
        <v>1.8725786910585214</v>
      </c>
      <c r="I248" s="115">
        <f>Table1[[#This Row],[Tiyaar/gaz]]/1.0936</f>
        <v>1415.5084125822971</v>
      </c>
      <c r="J248" s="115"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48" s="113"/>
    </row>
    <row r="249" spans="1:11" x14ac:dyDescent="0.3">
      <c r="A249" s="118">
        <v>46191</v>
      </c>
      <c r="B249" s="116" t="s">
        <v>176</v>
      </c>
      <c r="C249" s="113">
        <v>1769</v>
      </c>
      <c r="D249" s="113" t="s">
        <v>274</v>
      </c>
      <c r="E249" s="11" t="s">
        <v>787</v>
      </c>
      <c r="F249" s="11">
        <v>2750</v>
      </c>
      <c r="G249" s="11">
        <v>3065</v>
      </c>
      <c r="H249" s="114">
        <f>_xlfn.XLOOKUP(Table1[[#This Row],[Shipment Number]], 'pivot '!A:A,'pivot '!G:G, "NF")</f>
        <v>-1.9152756533883206</v>
      </c>
      <c r="I249" s="115">
        <f>Table1[[#This Row],[Tiyaar/gaz]]/1.0936</f>
        <v>2802.6700804681786</v>
      </c>
      <c r="J249" s="11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49" s="113"/>
    </row>
    <row r="250" spans="1:11" x14ac:dyDescent="0.3">
      <c r="A250" s="118">
        <v>46191</v>
      </c>
      <c r="B250" s="116" t="s">
        <v>176</v>
      </c>
      <c r="C250" s="113">
        <v>1770</v>
      </c>
      <c r="D250" s="113" t="s">
        <v>206</v>
      </c>
      <c r="E250" s="11">
        <v>2231</v>
      </c>
      <c r="F250" s="11">
        <v>25816</v>
      </c>
      <c r="G250" s="11">
        <v>27352</v>
      </c>
      <c r="H250" s="114">
        <f>_xlfn.XLOOKUP(Table1[[#This Row],[Shipment Number]], 'pivot '!A:A,'pivot '!G:G, "NF")</f>
        <v>3.1183261022975017</v>
      </c>
      <c r="I250" s="115">
        <f>Table1[[#This Row],[Tiyaar/gaz]]/1.0936</f>
        <v>25010.972933430872</v>
      </c>
      <c r="J250" s="11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50" s="113"/>
    </row>
    <row r="251" spans="1:11" x14ac:dyDescent="0.3">
      <c r="A251" s="118">
        <v>46191</v>
      </c>
      <c r="B251" s="116" t="s">
        <v>176</v>
      </c>
      <c r="C251" s="113">
        <v>1771</v>
      </c>
      <c r="D251" s="113" t="s">
        <v>86</v>
      </c>
      <c r="E251" s="11">
        <v>2223</v>
      </c>
      <c r="F251" s="11">
        <v>14949</v>
      </c>
      <c r="G251" s="11">
        <v>1164</v>
      </c>
      <c r="H251" s="114">
        <f>_xlfn.XLOOKUP(Table1[[#This Row],[Shipment Number]], 'pivot '!A:A,'pivot '!G:G, "NF")</f>
        <v>0.96785055533607078</v>
      </c>
      <c r="I251" s="115">
        <f>Table1[[#This Row],[Tiyaar/gaz]]/1.0936</f>
        <v>1064.3745427944405</v>
      </c>
      <c r="J251" s="11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51" s="113"/>
    </row>
    <row r="252" spans="1:11" x14ac:dyDescent="0.3">
      <c r="A252" s="118">
        <v>46191</v>
      </c>
      <c r="B252" s="116" t="s">
        <v>280</v>
      </c>
      <c r="C252" s="113">
        <v>1772</v>
      </c>
      <c r="D252" s="113" t="s">
        <v>85</v>
      </c>
      <c r="E252" s="11">
        <v>1965</v>
      </c>
      <c r="F252" s="11">
        <v>24024</v>
      </c>
      <c r="G252" s="11">
        <v>25488</v>
      </c>
      <c r="H252" s="114">
        <f>_xlfn.XLOOKUP(Table1[[#This Row],[Shipment Number]], 'pivot '!A:A,'pivot '!G:G, "NF")</f>
        <v>2.9865525842116938</v>
      </c>
      <c r="I252" s="115">
        <f>Table1[[#This Row],[Tiyaar/gaz]]/1.0936</f>
        <v>23306.510607168984</v>
      </c>
      <c r="J252" s="11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52" s="113"/>
    </row>
    <row r="253" spans="1:11" x14ac:dyDescent="0.3">
      <c r="A253" s="118">
        <v>46195</v>
      </c>
      <c r="B253" s="116" t="s">
        <v>776</v>
      </c>
      <c r="C253" s="113">
        <v>1773</v>
      </c>
      <c r="D253" s="113" t="s">
        <v>86</v>
      </c>
      <c r="E253" s="11">
        <v>2243</v>
      </c>
      <c r="F253" s="11">
        <v>100115</v>
      </c>
      <c r="G253" s="11">
        <v>37718</v>
      </c>
      <c r="H253" s="114">
        <f>_xlfn.XLOOKUP(Table1[[#This Row],[Shipment Number]], 'pivot '!A:A,'pivot '!G:G, "NF")</f>
        <v>3.8322461722055436</v>
      </c>
      <c r="I253" s="115">
        <f>Table1[[#This Row],[Tiyaar/gaz]]/1.0936</f>
        <v>34489.758595464526</v>
      </c>
      <c r="J253" s="11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53" s="113"/>
    </row>
    <row r="254" spans="1:11" x14ac:dyDescent="0.3">
      <c r="A254" s="118">
        <v>46195</v>
      </c>
      <c r="B254" s="116" t="s">
        <v>776</v>
      </c>
      <c r="C254" s="113">
        <v>1774</v>
      </c>
      <c r="D254" s="113" t="s">
        <v>86</v>
      </c>
      <c r="E254" s="11">
        <v>2243</v>
      </c>
      <c r="F254" s="11">
        <v>100115</v>
      </c>
      <c r="G254" s="11">
        <v>12423</v>
      </c>
      <c r="H254" s="114">
        <f>_xlfn.XLOOKUP(Table1[[#This Row],[Shipment Number]], 'pivot '!A:A,'pivot '!G:G, "NF")</f>
        <v>3.8322461722055436</v>
      </c>
      <c r="I254" s="115">
        <f>Table1[[#This Row],[Tiyaar/gaz]]/1.0936</f>
        <v>11359.729334308706</v>
      </c>
      <c r="J254" s="11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54" s="113"/>
    </row>
    <row r="255" spans="1:11" x14ac:dyDescent="0.3">
      <c r="A255" s="118">
        <v>46195</v>
      </c>
      <c r="B255" s="116" t="s">
        <v>776</v>
      </c>
      <c r="C255" s="113">
        <v>1775</v>
      </c>
      <c r="D255" s="113" t="s">
        <v>86</v>
      </c>
      <c r="E255" s="11">
        <v>2243</v>
      </c>
      <c r="F255" s="11">
        <v>100115</v>
      </c>
      <c r="G255" s="11">
        <v>38464</v>
      </c>
      <c r="H255" s="114">
        <f>_xlfn.XLOOKUP(Table1[[#This Row],[Shipment Number]], 'pivot '!A:A,'pivot '!G:G, "NF")</f>
        <v>3.8322461722055436</v>
      </c>
      <c r="I255" s="115">
        <f>Table1[[#This Row],[Tiyaar/gaz]]/1.0936</f>
        <v>35171.909290416974</v>
      </c>
      <c r="J255" s="11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55" s="113"/>
    </row>
    <row r="256" spans="1:11" x14ac:dyDescent="0.3">
      <c r="A256" s="118">
        <v>46195</v>
      </c>
      <c r="B256" s="116" t="s">
        <v>776</v>
      </c>
      <c r="C256" s="113">
        <v>1776</v>
      </c>
      <c r="D256" s="113" t="s">
        <v>86</v>
      </c>
      <c r="E256" s="11">
        <v>2243</v>
      </c>
      <c r="F256" s="11">
        <v>100115</v>
      </c>
      <c r="G256" s="11">
        <v>16685</v>
      </c>
      <c r="H256" s="114">
        <f>_xlfn.XLOOKUP(Table1[[#This Row],[Shipment Number]], 'pivot '!A:A,'pivot '!G:G, "NF")</f>
        <v>3.8322461722055436</v>
      </c>
      <c r="I256" s="115">
        <f>Table1[[#This Row],[Tiyaar/gaz]]/1.0936</f>
        <v>15256.949524506219</v>
      </c>
      <c r="J256" s="11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56" s="113"/>
    </row>
    <row r="257" spans="1:11" x14ac:dyDescent="0.3">
      <c r="A257" s="118">
        <v>46195</v>
      </c>
      <c r="B257" s="116" t="s">
        <v>21</v>
      </c>
      <c r="C257" s="113">
        <v>1777</v>
      </c>
      <c r="D257" s="113" t="s">
        <v>85</v>
      </c>
      <c r="E257" s="11">
        <v>2237</v>
      </c>
      <c r="F257" s="11">
        <v>25929</v>
      </c>
      <c r="G257" s="11">
        <v>4360</v>
      </c>
      <c r="H257" s="114">
        <f>_xlfn.XLOOKUP(Table1[[#This Row],[Shipment Number]], 'pivot '!A:A,'pivot '!G:G, "NF")</f>
        <v>2.8634352719935237</v>
      </c>
      <c r="I257" s="115">
        <f>Table1[[#This Row],[Tiyaar/gaz]]/1.0936</f>
        <v>3986.8324798829558</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57" s="113"/>
    </row>
    <row r="258" spans="1:11" x14ac:dyDescent="0.3">
      <c r="A258" s="118">
        <v>46196</v>
      </c>
      <c r="B258" s="116" t="s">
        <v>776</v>
      </c>
      <c r="C258" s="113">
        <v>1778</v>
      </c>
      <c r="D258" s="113" t="s">
        <v>85</v>
      </c>
      <c r="E258" s="11" t="s">
        <v>852</v>
      </c>
      <c r="F258" s="11">
        <v>30000</v>
      </c>
      <c r="G258" s="11">
        <v>31992</v>
      </c>
      <c r="H258" s="114">
        <f>_xlfn.XLOOKUP(Table1[[#This Row],[Shipment Number]], 'pivot '!A:A,'pivot '!G:G, "NF")</f>
        <v>2.4871982443306422</v>
      </c>
      <c r="I258" s="115">
        <f>Table1[[#This Row],[Tiyaar/gaz]]/1.0936</f>
        <v>29253.840526700806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58" s="113"/>
    </row>
    <row r="259" spans="1:11" x14ac:dyDescent="0.3">
      <c r="A259" s="124">
        <v>46196</v>
      </c>
      <c r="B259" s="125" t="s">
        <v>21</v>
      </c>
      <c r="C259" s="126">
        <v>1779</v>
      </c>
      <c r="D259" s="126" t="s">
        <v>85</v>
      </c>
      <c r="E259" s="127">
        <v>2237</v>
      </c>
      <c r="F259" s="127">
        <v>25929</v>
      </c>
      <c r="G259" s="127">
        <v>23184</v>
      </c>
      <c r="H259" s="128">
        <f>_xlfn.XLOOKUP(Table1[[#This Row],[Shipment Number]], 'pivot '!A:A,'pivot '!G:G, "NF")</f>
        <v>2.8634352719935237</v>
      </c>
      <c r="I259" s="129">
        <f>Table1[[#This Row],[Tiyaar/gaz]]/1.0936</f>
        <v>21199.707388441846</v>
      </c>
      <c r="J259" s="129"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59" s="113"/>
    </row>
    <row r="260" spans="1:11" x14ac:dyDescent="0.3">
      <c r="A260" s="118">
        <v>46196</v>
      </c>
      <c r="B260" s="116" t="s">
        <v>258</v>
      </c>
      <c r="C260" s="113">
        <v>1780</v>
      </c>
      <c r="D260" s="113" t="s">
        <v>86</v>
      </c>
      <c r="E260" s="11">
        <v>2244</v>
      </c>
      <c r="F260" s="11">
        <v>49912</v>
      </c>
      <c r="G260" s="11">
        <v>35923</v>
      </c>
      <c r="H260" s="114">
        <f>_xlfn.XLOOKUP(Table1[[#This Row],[Shipment Number]], 'pivot '!A:A,'pivot '!G:G, "NF")</f>
        <v>3.6966362920173168</v>
      </c>
      <c r="I260" s="115">
        <f>Table1[[#This Row],[Tiyaar/gaz]]/1.0936</f>
        <v>32848.390636430144</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60" s="113"/>
    </row>
    <row r="261" spans="1:11" x14ac:dyDescent="0.3">
      <c r="A261" s="118">
        <v>46196</v>
      </c>
      <c r="B261" s="116" t="s">
        <v>258</v>
      </c>
      <c r="C261" s="113">
        <v>1781</v>
      </c>
      <c r="D261" s="113" t="s">
        <v>86</v>
      </c>
      <c r="E261" s="11">
        <v>2244</v>
      </c>
      <c r="F261" s="11">
        <v>49912</v>
      </c>
      <c r="G261" s="11">
        <v>16643</v>
      </c>
      <c r="H261" s="114">
        <f>_xlfn.XLOOKUP(Table1[[#This Row],[Shipment Number]], 'pivot '!A:A,'pivot '!G:G, "NF")</f>
        <v>3.6966362920173168</v>
      </c>
      <c r="I261" s="115">
        <f>Table1[[#This Row],[Tiyaar/gaz]]/1.0936</f>
        <v>15218.544257498172</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61" s="113"/>
    </row>
    <row r="262" spans="1:11" x14ac:dyDescent="0.3">
      <c r="A262" s="118">
        <v>46196</v>
      </c>
      <c r="B262" s="116" t="s">
        <v>21</v>
      </c>
      <c r="C262" s="113">
        <v>1782</v>
      </c>
      <c r="D262" s="113" t="s">
        <v>231</v>
      </c>
      <c r="E262" s="11">
        <v>2238</v>
      </c>
      <c r="F262" s="11">
        <v>50235</v>
      </c>
      <c r="G262" s="11">
        <v>29885</v>
      </c>
      <c r="H262" s="114">
        <f>_xlfn.XLOOKUP(Table1[[#This Row],[Shipment Number]], 'pivot '!A:A,'pivot '!G:G, "NF")</f>
        <v>20.299610120655302</v>
      </c>
      <c r="I262" s="115">
        <f>Table1[[#This Row],[Tiyaar/gaz]]/1.0936</f>
        <v>27327.17629846379</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62" s="113"/>
    </row>
    <row r="263" spans="1:11" x14ac:dyDescent="0.3">
      <c r="A263" s="118">
        <v>46207</v>
      </c>
      <c r="B263" s="116" t="s">
        <v>776</v>
      </c>
      <c r="C263" s="113">
        <v>1783</v>
      </c>
      <c r="D263" s="113" t="s">
        <v>85</v>
      </c>
      <c r="E263" s="11" t="s">
        <v>890</v>
      </c>
      <c r="F263" s="11">
        <v>28918</v>
      </c>
      <c r="G263" s="11">
        <v>30765</v>
      </c>
      <c r="H263" s="114">
        <f>_xlfn.XLOOKUP(Table1[[#This Row],[Shipment Number]], 'pivot '!A:A,'pivot '!G:G, "NF")</f>
        <v>2.7185210478100146</v>
      </c>
      <c r="I263" s="115">
        <f>Table1[[#This Row],[Tiyaar/gaz]]/1.0936</f>
        <v>28131.858083394298</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63" s="113"/>
    </row>
    <row r="264" spans="1:11" x14ac:dyDescent="0.3">
      <c r="A264" s="118">
        <v>46207</v>
      </c>
      <c r="B264" s="116" t="s">
        <v>441</v>
      </c>
      <c r="C264" s="113">
        <v>1784</v>
      </c>
      <c r="D264" s="113" t="s">
        <v>447</v>
      </c>
      <c r="E264" s="11" t="s">
        <v>891</v>
      </c>
      <c r="F264" s="11">
        <v>15696</v>
      </c>
      <c r="G264" s="11">
        <v>6929</v>
      </c>
      <c r="H264" s="114">
        <f>_xlfn.XLOOKUP(Table1[[#This Row],[Shipment Number]], 'pivot '!A:A,'pivot '!G:G, "NF")</f>
        <v>7.9355318722143551</v>
      </c>
      <c r="I264" s="115">
        <f>Table1[[#This Row],[Tiyaar/gaz]]/1.0936</f>
        <v>6335.954645208486</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64" s="113"/>
    </row>
    <row r="265" spans="1:11" x14ac:dyDescent="0.3">
      <c r="A265" s="118">
        <v>46209</v>
      </c>
      <c r="B265" s="116" t="s">
        <v>21</v>
      </c>
      <c r="C265" s="113">
        <v>1785</v>
      </c>
      <c r="D265" s="113" t="s">
        <v>231</v>
      </c>
      <c r="E265" s="11">
        <v>2184</v>
      </c>
      <c r="F265" s="11">
        <v>4568</v>
      </c>
      <c r="G265" s="11">
        <v>4647</v>
      </c>
      <c r="H265" s="114">
        <f>_xlfn.XLOOKUP(Table1[[#This Row],[Shipment Number]], 'pivot '!A:A,'pivot '!G:G, "NF")</f>
        <v>6.9774853085681059</v>
      </c>
      <c r="I265" s="115">
        <f>Table1[[#This Row],[Tiyaar/gaz]]/1.0936</f>
        <v>4249.2684711046086</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65" s="113"/>
    </row>
    <row r="266" spans="1:11" x14ac:dyDescent="0.3">
      <c r="A266" s="118">
        <v>46209</v>
      </c>
      <c r="B266" s="116" t="s">
        <v>21</v>
      </c>
      <c r="C266" s="113">
        <v>1786</v>
      </c>
      <c r="D266" s="113" t="s">
        <v>231</v>
      </c>
      <c r="E266" s="11">
        <v>2238</v>
      </c>
      <c r="F266" s="11">
        <v>50235</v>
      </c>
      <c r="G266" s="11">
        <v>1792</v>
      </c>
      <c r="H266" s="114">
        <f>_xlfn.XLOOKUP(Table1[[#This Row],[Shipment Number]], 'pivot '!A:A,'pivot '!G:G, "NF")</f>
        <v>20.299610120655302</v>
      </c>
      <c r="I266" s="115">
        <f>Table1[[#This Row],[Tiyaar/gaz]]/1.0936</f>
        <v>1638.6247256766644</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66" s="113"/>
    </row>
    <row r="267" spans="1:11" x14ac:dyDescent="0.3">
      <c r="A267" s="118">
        <v>46209</v>
      </c>
      <c r="B267" s="116" t="s">
        <v>892</v>
      </c>
      <c r="C267" s="113">
        <v>1787</v>
      </c>
      <c r="D267" s="113" t="s">
        <v>86</v>
      </c>
      <c r="E267" s="11">
        <v>2247</v>
      </c>
      <c r="F267" s="11">
        <v>9028</v>
      </c>
      <c r="G267" s="11">
        <v>9579</v>
      </c>
      <c r="H267" s="114">
        <f>_xlfn.XLOOKUP(Table1[[#This Row],[Shipment Number]], 'pivot '!A:A,'pivot '!G:G, "NF")</f>
        <v>2.978022693925638</v>
      </c>
      <c r="I267" s="115">
        <f>Table1[[#This Row],[Tiyaar/gaz]]/1.0936</f>
        <v>8759.1441111923923</v>
      </c>
      <c r="J267" s="115" cm="1">
        <f t="array" ref="J26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67" s="113"/>
    </row>
    <row r="268" spans="1:11" x14ac:dyDescent="0.3">
      <c r="A268" s="118">
        <v>46209</v>
      </c>
      <c r="B268" s="116" t="s">
        <v>21</v>
      </c>
      <c r="C268" s="113">
        <v>1788</v>
      </c>
      <c r="D268" s="113" t="s">
        <v>86</v>
      </c>
      <c r="E268" s="11">
        <v>2249</v>
      </c>
      <c r="F268" s="11">
        <v>40536</v>
      </c>
      <c r="G268" s="11">
        <v>23098</v>
      </c>
      <c r="H268" s="114">
        <f>_xlfn.XLOOKUP(Table1[[#This Row],[Shipment Number]], 'pivot '!A:A,'pivot '!G:G, "NF")</f>
        <v>4.4420529354347309</v>
      </c>
      <c r="I268" s="115">
        <f>Table1[[#This Row],[Tiyaar/gaz]]/1.0936</f>
        <v>21121.068032187271</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68" s="113"/>
    </row>
    <row r="269" spans="1:11" x14ac:dyDescent="0.3">
      <c r="A269" s="118">
        <v>46209</v>
      </c>
      <c r="B269" s="116" t="s">
        <v>441</v>
      </c>
      <c r="C269" s="113">
        <v>1789</v>
      </c>
      <c r="D269" s="113" t="s">
        <v>447</v>
      </c>
      <c r="E269" s="11" t="s">
        <v>891</v>
      </c>
      <c r="F269" s="11">
        <v>15696</v>
      </c>
      <c r="G269" s="11">
        <v>8874</v>
      </c>
      <c r="H269" s="114">
        <f>_xlfn.XLOOKUP(Table1[[#This Row],[Shipment Number]], 'pivot '!A:A,'pivot '!G:G, "NF")</f>
        <v>7.9355318722143551</v>
      </c>
      <c r="I269" s="115">
        <f>Table1[[#This Row],[Tiyaar/gaz]]/1.0936</f>
        <v>8114.4842721287496</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69" s="113"/>
    </row>
    <row r="270" spans="1:11" x14ac:dyDescent="0.3">
      <c r="A270" s="118">
        <v>46209</v>
      </c>
      <c r="B270" s="116" t="s">
        <v>21</v>
      </c>
      <c r="C270" s="113">
        <v>1790</v>
      </c>
      <c r="D270" s="113" t="s">
        <v>85</v>
      </c>
      <c r="E270" s="11">
        <v>2236</v>
      </c>
      <c r="F270" s="11">
        <v>47555</v>
      </c>
      <c r="G270" s="11">
        <v>2230</v>
      </c>
      <c r="H270" s="114">
        <f>_xlfn.XLOOKUP(Table1[[#This Row],[Shipment Number]], 'pivot '!A:A,'pivot '!G:G, "NF")</f>
        <v>88.291768888555254</v>
      </c>
      <c r="I270" s="115">
        <f>Table1[[#This Row],[Tiyaar/gaz]]/1.0936</f>
        <v>2039.1367959034383</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70" s="113"/>
    </row>
    <row r="271" spans="1:11" x14ac:dyDescent="0.3">
      <c r="A271" s="118">
        <v>46211</v>
      </c>
      <c r="B271" s="116" t="s">
        <v>21</v>
      </c>
      <c r="C271" s="113">
        <v>1791</v>
      </c>
      <c r="D271" s="113" t="s">
        <v>85</v>
      </c>
      <c r="E271" s="11">
        <v>2236</v>
      </c>
      <c r="F271" s="11">
        <v>47555</v>
      </c>
      <c r="G271" s="11">
        <v>3859</v>
      </c>
      <c r="H271" s="114">
        <f>_xlfn.XLOOKUP(Table1[[#This Row],[Shipment Number]], 'pivot '!A:A,'pivot '!G:G, "NF")</f>
        <v>88.291768888555254</v>
      </c>
      <c r="I271" s="115">
        <f>Table1[[#This Row],[Tiyaar/gaz]]/1.0936</f>
        <v>3528.7125091441117</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71" s="113"/>
    </row>
    <row r="272" spans="1:11" x14ac:dyDescent="0.3">
      <c r="A272" s="118">
        <v>46211</v>
      </c>
      <c r="B272" s="116" t="s">
        <v>21</v>
      </c>
      <c r="C272" s="113">
        <v>1792</v>
      </c>
      <c r="D272" s="113" t="s">
        <v>85</v>
      </c>
      <c r="E272" s="11">
        <v>2239</v>
      </c>
      <c r="F272" s="11">
        <v>47555</v>
      </c>
      <c r="G272" s="11">
        <v>13484</v>
      </c>
      <c r="H272" s="114">
        <f>_xlfn.XLOOKUP(Table1[[#This Row],[Shipment Number]], 'pivot '!A:A,'pivot '!G:G, "NF")</f>
        <v>74.072296221592879</v>
      </c>
      <c r="I272" s="115">
        <f>Table1[[#This Row],[Tiyaar/gaz]]/1.0936</f>
        <v>12329.919531821508</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72" s="113"/>
    </row>
    <row r="273" spans="1:11" x14ac:dyDescent="0.3">
      <c r="A273" s="118">
        <v>46211</v>
      </c>
      <c r="B273" s="116" t="s">
        <v>21</v>
      </c>
      <c r="C273" s="113">
        <v>1793</v>
      </c>
      <c r="D273" s="113" t="s">
        <v>231</v>
      </c>
      <c r="E273" s="11">
        <v>2250</v>
      </c>
      <c r="F273" s="11">
        <v>14961</v>
      </c>
      <c r="G273" s="11">
        <v>14807</v>
      </c>
      <c r="H273" s="114">
        <f>_xlfn.XLOOKUP(Table1[[#This Row],[Shipment Number]], 'pivot '!A:A,'pivot '!G:G, "NF")</f>
        <v>9.5001307227124983</v>
      </c>
      <c r="I273" s="115">
        <f>Table1[[#This Row],[Tiyaar/gaz]]/1.0936</f>
        <v>13539.685442574983</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73" s="113"/>
    </row>
    <row r="274" spans="1:11" x14ac:dyDescent="0.3">
      <c r="A274" s="118">
        <v>46211</v>
      </c>
      <c r="B274" s="116" t="s">
        <v>21</v>
      </c>
      <c r="C274" s="113">
        <v>1794</v>
      </c>
      <c r="D274" s="113" t="s">
        <v>231</v>
      </c>
      <c r="E274" s="11">
        <v>2251</v>
      </c>
      <c r="F274" s="11">
        <v>28877</v>
      </c>
      <c r="G274" s="11">
        <v>18689</v>
      </c>
      <c r="H274" s="114">
        <f>_xlfn.XLOOKUP(Table1[[#This Row],[Shipment Number]], 'pivot '!A:A,'pivot '!G:G, "NF")</f>
        <v>8.1757328126238491</v>
      </c>
      <c r="I274" s="115">
        <f>Table1[[#This Row],[Tiyaar/gaz]]/1.0936</f>
        <v>17089.429407461597</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74" s="113"/>
    </row>
    <row r="275" spans="1:11" x14ac:dyDescent="0.3">
      <c r="A275" s="118">
        <v>46211</v>
      </c>
      <c r="B275" s="116" t="s">
        <v>901</v>
      </c>
      <c r="C275" s="113">
        <v>1795</v>
      </c>
      <c r="D275" s="113" t="s">
        <v>231</v>
      </c>
      <c r="E275" s="11">
        <v>2252</v>
      </c>
      <c r="F275" s="11">
        <v>10038</v>
      </c>
      <c r="G275" s="11">
        <v>10382</v>
      </c>
      <c r="H275" s="114">
        <f>_xlfn.XLOOKUP(Table1[[#This Row],[Shipment Number]], 'pivot '!A:A,'pivot '!G:G, "NF")</f>
        <v>5.4252217579051774</v>
      </c>
      <c r="I275" s="115">
        <f>Table1[[#This Row],[Tiyaar/gaz]]/1.0936</f>
        <v>9493.4162399414781</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75" s="113"/>
    </row>
    <row r="276" spans="1:11" x14ac:dyDescent="0.3">
      <c r="A276" s="118">
        <v>46211</v>
      </c>
      <c r="B276" s="116" t="s">
        <v>21</v>
      </c>
      <c r="C276" s="113">
        <v>1796</v>
      </c>
      <c r="D276" s="113" t="s">
        <v>85</v>
      </c>
      <c r="E276" s="11" t="s">
        <v>907</v>
      </c>
      <c r="F276" s="11">
        <v>12403</v>
      </c>
      <c r="G276" s="11">
        <v>4519</v>
      </c>
      <c r="H276" s="114">
        <f>_xlfn.XLOOKUP(Table1[[#This Row],[Shipment Number]], 'pivot '!A:A,'pivot '!G:G, "NF")</f>
        <v>66.683674531629521</v>
      </c>
      <c r="I276" s="115">
        <f>Table1[[#This Row],[Tiyaar/gaz]]/1.0936</f>
        <v>4132.2238478419904</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76" s="113"/>
    </row>
    <row r="277" spans="1:11" x14ac:dyDescent="0.3">
      <c r="A277" s="118">
        <v>46211</v>
      </c>
      <c r="B277" s="116" t="s">
        <v>21</v>
      </c>
      <c r="C277" s="113">
        <v>1797</v>
      </c>
      <c r="D277" s="113" t="s">
        <v>85</v>
      </c>
      <c r="E277" s="11" t="s">
        <v>906</v>
      </c>
      <c r="F277" s="11">
        <v>14953</v>
      </c>
      <c r="G277" s="11">
        <v>8881</v>
      </c>
      <c r="H277" s="114">
        <f>_xlfn.XLOOKUP(Table1[[#This Row],[Shipment Number]], 'pivot '!A:A,'pivot '!G:G, "NF")</f>
        <v>45.69059620167576</v>
      </c>
      <c r="I277" s="115">
        <f>Table1[[#This Row],[Tiyaar/gaz]]/1.0936</f>
        <v>8120.8851499634238</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77" s="113"/>
    </row>
    <row r="278" spans="1:11" x14ac:dyDescent="0.3">
      <c r="A278" s="118">
        <v>46211</v>
      </c>
      <c r="B278" s="116" t="s">
        <v>182</v>
      </c>
      <c r="C278" s="113">
        <v>1798</v>
      </c>
      <c r="D278" s="113" t="s">
        <v>274</v>
      </c>
      <c r="E278" s="11">
        <v>2256</v>
      </c>
      <c r="F278" s="11">
        <v>6400</v>
      </c>
      <c r="G278" s="11">
        <v>6660</v>
      </c>
      <c r="H278" s="114">
        <f>_xlfn.XLOOKUP(Table1[[#This Row],[Shipment Number]], 'pivot '!A:A,'pivot '!G:G, "NF")</f>
        <v>4.844092904169699</v>
      </c>
      <c r="I278" s="115">
        <f>Table1[[#This Row],[Tiyaar/gaz]]/1.0936</f>
        <v>6089.9780541331384</v>
      </c>
      <c r="J278" s="115">
        <f>Table1[[#This Row],[tiyar/meters]]*15</f>
        <v>91349.670811997072</v>
      </c>
      <c r="K278" s="113"/>
    </row>
    <row r="279" spans="1:11" x14ac:dyDescent="0.3">
      <c r="A279" s="118">
        <v>46212</v>
      </c>
      <c r="B279" s="116" t="s">
        <v>928</v>
      </c>
      <c r="C279" s="113">
        <v>1799</v>
      </c>
      <c r="D279" s="113" t="s">
        <v>85</v>
      </c>
      <c r="E279" s="11" t="s">
        <v>929</v>
      </c>
      <c r="F279" s="11">
        <v>50000</v>
      </c>
      <c r="G279" s="11">
        <v>53438</v>
      </c>
      <c r="H279" s="114">
        <f>_xlfn.XLOOKUP(Table1[[#This Row],[Shipment Number]], 'pivot '!A:A,'pivot '!G:G, "NF")</f>
        <v>2.2713972201901811</v>
      </c>
      <c r="I279" s="115">
        <f>Table1[[#This Row],[Tiyaar/gaz]]/1.0936</f>
        <v>48864.301389904904</v>
      </c>
      <c r="J279" s="115" cm="1">
        <f t="array" ref="J27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79" s="113"/>
    </row>
    <row r="280" spans="1:11" x14ac:dyDescent="0.3">
      <c r="A280" s="118">
        <v>46212</v>
      </c>
      <c r="B280" s="116" t="s">
        <v>21</v>
      </c>
      <c r="C280" s="113">
        <v>1800</v>
      </c>
      <c r="D280" s="113" t="s">
        <v>86</v>
      </c>
      <c r="E280" s="11">
        <v>2249</v>
      </c>
      <c r="F280" s="11">
        <v>40536</v>
      </c>
      <c r="G280" s="11">
        <v>19263</v>
      </c>
      <c r="H280" s="114">
        <f>_xlfn.XLOOKUP(Table1[[#This Row],[Shipment Number]], 'pivot '!A:A,'pivot '!G:G, "NF")</f>
        <v>4.4420529354347309</v>
      </c>
      <c r="I280" s="115">
        <f>Table1[[#This Row],[Tiyaar/gaz]]/1.0936</f>
        <v>17614.301389904904</v>
      </c>
      <c r="J280" s="115" cm="1">
        <f t="array" ref="J28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80" s="113"/>
    </row>
    <row r="281" spans="1:11" x14ac:dyDescent="0.3">
      <c r="A281" s="118">
        <v>46213</v>
      </c>
      <c r="B281" s="116" t="s">
        <v>21</v>
      </c>
      <c r="C281" s="113">
        <v>1801</v>
      </c>
      <c r="D281" s="113" t="s">
        <v>231</v>
      </c>
      <c r="E281" s="11">
        <v>2251</v>
      </c>
      <c r="F281" s="11">
        <v>28877</v>
      </c>
      <c r="G281" s="11">
        <v>6125</v>
      </c>
      <c r="H281" s="114">
        <f>_xlfn.XLOOKUP(Table1[[#This Row],[Shipment Number]], 'pivot '!A:A,'pivot '!G:G, "NF")</f>
        <v>8.1757328126238491</v>
      </c>
      <c r="I281" s="115">
        <f>Table1[[#This Row],[Tiyaar/gaz]]/1.0936</f>
        <v>5600.7681053401611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81" s="113"/>
    </row>
    <row r="282" spans="1:11" x14ac:dyDescent="0.3">
      <c r="A282" s="118">
        <v>46213</v>
      </c>
      <c r="B282" s="116" t="s">
        <v>21</v>
      </c>
      <c r="C282" s="113">
        <v>1802</v>
      </c>
      <c r="D282" s="113" t="s">
        <v>231</v>
      </c>
      <c r="E282" s="11">
        <v>2251</v>
      </c>
      <c r="F282" s="11">
        <v>28877</v>
      </c>
      <c r="G282" s="11">
        <v>4184</v>
      </c>
      <c r="H282" s="114">
        <f>_xlfn.XLOOKUP(Table1[[#This Row],[Shipment Number]], 'pivot '!A:A,'pivot '!G:G, "NF")</f>
        <v>8.1757328126238491</v>
      </c>
      <c r="I282" s="115">
        <f>Table1[[#This Row],[Tiyaar/gaz]]/1.0936</f>
        <v>3825.8961228968546</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82" s="113"/>
    </row>
    <row r="283" spans="1:11" x14ac:dyDescent="0.3">
      <c r="A283" s="118">
        <v>46213</v>
      </c>
      <c r="B283" s="116" t="s">
        <v>176</v>
      </c>
      <c r="C283" s="113">
        <v>1803</v>
      </c>
      <c r="D283" s="113" t="s">
        <v>231</v>
      </c>
      <c r="E283" s="11">
        <v>2259</v>
      </c>
      <c r="F283" s="11">
        <v>28661</v>
      </c>
      <c r="G283" s="11">
        <v>28761</v>
      </c>
      <c r="H283" s="114">
        <f>_xlfn.XLOOKUP(Table1[[#This Row],[Shipment Number]], 'pivot '!A:A,'pivot '!G:G, "NF")</f>
        <v>8.2398443863126829</v>
      </c>
      <c r="I283" s="115">
        <f>Table1[[#This Row],[Tiyaar/gaz]]/1.0936</f>
        <v>26299.378200438921</v>
      </c>
      <c r="J283" s="115" cm="1">
        <f t="array" ref="J28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83" s="113"/>
    </row>
    <row r="284" spans="1:11" x14ac:dyDescent="0.3">
      <c r="A284" s="118">
        <v>46213</v>
      </c>
      <c r="B284" s="116" t="s">
        <v>21</v>
      </c>
      <c r="C284" s="113">
        <v>1804</v>
      </c>
      <c r="D284" s="113" t="s">
        <v>86</v>
      </c>
      <c r="E284" s="11">
        <v>2267</v>
      </c>
      <c r="F284" s="11">
        <v>16511</v>
      </c>
      <c r="G284" s="11">
        <v>17763</v>
      </c>
      <c r="H284" s="114">
        <f>_xlfn.XLOOKUP(Table1[[#This Row],[Shipment Number]], 'pivot '!A:A,'pivot '!G:G, "NF")</f>
        <v>1.6250698864630522</v>
      </c>
      <c r="I284" s="115">
        <f>Table1[[#This Row],[Tiyaar/gaz]]/1.0936</f>
        <v>16242.684711046088</v>
      </c>
      <c r="J284" s="115" cm="1">
        <f t="array" ref="J28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84" s="113"/>
    </row>
    <row r="285" spans="1:11" x14ac:dyDescent="0.3">
      <c r="A285" s="118">
        <v>46213</v>
      </c>
      <c r="B285" s="116" t="s">
        <v>21</v>
      </c>
      <c r="C285" s="113">
        <v>1805</v>
      </c>
      <c r="D285" s="113" t="s">
        <v>86</v>
      </c>
      <c r="E285" s="11">
        <v>2238</v>
      </c>
      <c r="F285" s="11">
        <v>50235</v>
      </c>
      <c r="G285" s="11">
        <v>12108</v>
      </c>
      <c r="H285" s="114">
        <f>_xlfn.XLOOKUP(Table1[[#This Row],[Shipment Number]], 'pivot '!A:A,'pivot '!G:G, "NF")</f>
        <v>20.299610120655302</v>
      </c>
      <c r="I285" s="115">
        <f>Table1[[#This Row],[Tiyaar/gaz]]/1.0936</f>
        <v>11071.689831748356</v>
      </c>
      <c r="J285" s="115" cm="1">
        <f t="array" ref="J28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85" s="113"/>
    </row>
    <row r="286" spans="1:11" x14ac:dyDescent="0.3">
      <c r="A286" s="118">
        <v>46213</v>
      </c>
      <c r="B286" s="116" t="s">
        <v>21</v>
      </c>
      <c r="C286" s="113">
        <v>1806</v>
      </c>
      <c r="D286" s="113" t="s">
        <v>86</v>
      </c>
      <c r="E286" s="11">
        <v>2269</v>
      </c>
      <c r="F286" s="11">
        <v>4869</v>
      </c>
      <c r="G286" s="11">
        <v>5141</v>
      </c>
      <c r="H286" s="114">
        <f>_xlfn.XLOOKUP(Table1[[#This Row],[Shipment Number]], 'pivot '!A:A,'pivot '!G:G, "NF")</f>
        <v>3.4506559045229324</v>
      </c>
      <c r="I286" s="115">
        <f>Table1[[#This Row],[Tiyaar/gaz]]/1.0936</f>
        <v>4700.9875640087785</v>
      </c>
      <c r="J286" s="115" cm="1">
        <f t="array" ref="J28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86" s="113"/>
    </row>
    <row r="287" spans="1:11" x14ac:dyDescent="0.3">
      <c r="A287" s="118">
        <v>46213</v>
      </c>
      <c r="B287" s="116"/>
      <c r="C287" s="113">
        <v>1807</v>
      </c>
      <c r="D287" s="113"/>
      <c r="E287" s="11"/>
      <c r="F287" s="11"/>
      <c r="G287" s="11"/>
      <c r="H287" s="114" t="e">
        <f>_xlfn.XLOOKUP(Table1[[#This Row],[Shipment Number]], 'pivot '!A:A,'pivot '!G:G, "NF")</f>
        <v>#DIV/0!</v>
      </c>
      <c r="I287" s="115">
        <f>Table1[[#This Row],[Tiyaar/gaz]]/1.0936</f>
        <v>0</v>
      </c>
      <c r="J287" s="115" t="e" cm="1">
        <f t="array" ref="J28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#N/A</v>
      </c>
      <c r="K287" s="113"/>
    </row>
    <row r="288" spans="1:11" x14ac:dyDescent="0.3">
      <c r="A288" s="118">
        <v>46214</v>
      </c>
      <c r="B288" s="116"/>
      <c r="C288" s="113">
        <v>1808</v>
      </c>
      <c r="D288" s="113"/>
      <c r="E288" s="11"/>
      <c r="F288" s="11"/>
      <c r="G288" s="11"/>
      <c r="H288" s="114" t="e">
        <f>_xlfn.XLOOKUP(Table1[[#This Row],[Shipment Number]], 'pivot '!A:A,'pivot '!G:G, "NF")</f>
        <v>#DIV/0!</v>
      </c>
      <c r="I288" s="115">
        <f>Table1[[#This Row],[Tiyaar/gaz]]/1.0936</f>
        <v>0</v>
      </c>
      <c r="J288" s="115" t="e" cm="1">
        <f t="array" ref="J28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#N/A</v>
      </c>
      <c r="K288" s="113"/>
    </row>
    <row r="289" spans="1:11" x14ac:dyDescent="0.3">
      <c r="A289" s="118">
        <v>46214</v>
      </c>
      <c r="B289" s="116"/>
      <c r="C289" s="113">
        <v>1809</v>
      </c>
      <c r="D289" s="113"/>
      <c r="E289" s="11"/>
      <c r="F289" s="11"/>
      <c r="G289" s="11"/>
      <c r="H289" s="114" t="e">
        <f>_xlfn.XLOOKUP(Table1[[#This Row],[Shipment Number]], 'pivot '!A:A,'pivot '!G:G, "NF")</f>
        <v>#DIV/0!</v>
      </c>
      <c r="I289" s="115">
        <f>Table1[[#This Row],[Tiyaar/gaz]]/1.0936</f>
        <v>0</v>
      </c>
      <c r="J289" s="115" t="e" cm="1">
        <f t="array" ref="J28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#N/A</v>
      </c>
      <c r="K289" s="113"/>
    </row>
    <row r="290" spans="1:11" x14ac:dyDescent="0.3">
      <c r="A290" s="118">
        <v>46214</v>
      </c>
      <c r="B290" s="116" t="s">
        <v>176</v>
      </c>
      <c r="C290" s="113">
        <v>1810</v>
      </c>
      <c r="D290" s="113" t="s">
        <v>447</v>
      </c>
      <c r="E290" s="11">
        <v>2261</v>
      </c>
      <c r="F290" s="11">
        <v>1209</v>
      </c>
      <c r="G290" s="11">
        <v>1212</v>
      </c>
      <c r="H290" s="114">
        <f>_xlfn.XLOOKUP(Table1[[#This Row],[Shipment Number]], 'pivot '!A:A,'pivot '!G:G, "NF")</f>
        <v>8.3319870539352792</v>
      </c>
      <c r="I290" s="115">
        <f>Table1[[#This Row],[Tiyaar/gaz]]/1.0936</f>
        <v>1108.2662765179225</v>
      </c>
      <c r="J290" s="115">
        <f>Table1[[#This Row],[tiyar/meters]]*35</f>
        <v>38789.319678127285</v>
      </c>
      <c r="K290" s="113"/>
    </row>
    <row r="291" spans="1:11" x14ac:dyDescent="0.3">
      <c r="A291" s="118">
        <v>46214</v>
      </c>
      <c r="B291" s="116" t="s">
        <v>176</v>
      </c>
      <c r="C291" s="113">
        <v>1811</v>
      </c>
      <c r="D291" s="113" t="s">
        <v>86</v>
      </c>
      <c r="E291" s="11">
        <v>2260</v>
      </c>
      <c r="F291" s="11">
        <v>2441</v>
      </c>
      <c r="G291" s="11">
        <v>2439</v>
      </c>
      <c r="H291" s="114">
        <f>_xlfn.XLOOKUP(Table1[[#This Row],[Shipment Number]], 'pivot '!A:A,'pivot '!G:G, "NF")</f>
        <v>8.6338091018257472</v>
      </c>
      <c r="I291" s="115">
        <f>Table1[[#This Row],[Tiyaar/gaz]]/1.0936</f>
        <v>2230.2487198244335</v>
      </c>
      <c r="J291" s="115">
        <f>Table1[[#This Row],[tiyar/meters]]*15</f>
        <v>33453.730797366501</v>
      </c>
      <c r="K291" s="113"/>
    </row>
    <row r="292" spans="1:11" x14ac:dyDescent="0.3">
      <c r="A292" s="118">
        <v>46214</v>
      </c>
      <c r="B292" s="116" t="s">
        <v>176</v>
      </c>
      <c r="C292" s="113">
        <v>1812</v>
      </c>
      <c r="D292" s="113" t="s">
        <v>206</v>
      </c>
      <c r="E292" s="11">
        <v>2254</v>
      </c>
      <c r="F292" s="11">
        <v>30184</v>
      </c>
      <c r="G292" s="11">
        <v>31912</v>
      </c>
      <c r="H292" s="114">
        <f>_xlfn.XLOOKUP(Table1[[#This Row],[Shipment Number]], 'pivot '!A:A,'pivot '!G:G, "NF")</f>
        <v>3.3239874199520614</v>
      </c>
      <c r="I292" s="115">
        <f>Table1[[#This Row],[Tiyaar/gaz]]/1.0936</f>
        <v>29180.687637161671</v>
      </c>
      <c r="J292" s="115" cm="1">
        <f t="array" ref="J29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92" s="113"/>
    </row>
    <row r="293" spans="1:11" x14ac:dyDescent="0.3">
      <c r="A293" s="118">
        <v>46214</v>
      </c>
      <c r="B293" s="116" t="s">
        <v>176</v>
      </c>
      <c r="C293" s="113">
        <v>1813</v>
      </c>
      <c r="D293" s="113" t="s">
        <v>274</v>
      </c>
      <c r="E293" s="11">
        <v>2253</v>
      </c>
      <c r="F293" s="11">
        <v>9273</v>
      </c>
      <c r="G293" s="11">
        <v>9916</v>
      </c>
      <c r="H293" s="114">
        <f>_xlfn.XLOOKUP(Table1[[#This Row],[Shipment Number]], 'pivot '!A:A,'pivot '!G:G, "NF")</f>
        <v>2.2182609902296235</v>
      </c>
      <c r="I293" s="115">
        <f>Table1[[#This Row],[Tiyaar/gaz]]/1.0936</f>
        <v>9067.300658376007</v>
      </c>
      <c r="J293" s="115" cm="1">
        <f t="array" ref="J29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93" s="113"/>
    </row>
    <row r="294" spans="1:11" x14ac:dyDescent="0.3">
      <c r="A294" s="118">
        <v>46214</v>
      </c>
      <c r="B294" s="116"/>
      <c r="C294" s="113"/>
      <c r="D294" s="113"/>
      <c r="E294" s="11"/>
      <c r="F294" s="11"/>
      <c r="G294" s="11"/>
      <c r="H294" s="114" t="e">
        <f>_xlfn.XLOOKUP(Table1[[#This Row],[Shipment Number]], 'pivot '!A:A,'pivot '!G:G, "NF")</f>
        <v>#DIV/0!</v>
      </c>
      <c r="I294" s="115">
        <f>Table1[[#This Row],[Tiyaar/gaz]]/1.0936</f>
        <v>0</v>
      </c>
      <c r="J294" s="115" t="e" cm="1">
        <f t="array" ref="J29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#N/A</v>
      </c>
      <c r="K294" s="113"/>
    </row>
    <row r="295" spans="1:11" x14ac:dyDescent="0.3">
      <c r="A295" s="118">
        <v>46214</v>
      </c>
      <c r="B295" s="116"/>
      <c r="C295" s="113"/>
      <c r="D295" s="113"/>
      <c r="E295" s="11"/>
      <c r="F295" s="11"/>
      <c r="G295" s="11"/>
      <c r="H295" s="114" t="e">
        <f>_xlfn.XLOOKUP(Table1[[#This Row],[Shipment Number]], 'pivot '!A:A,'pivot '!G:G, "NF")</f>
        <v>#DIV/0!</v>
      </c>
      <c r="I295" s="115"/>
      <c r="J295" s="115"/>
      <c r="K295" s="113"/>
    </row>
    <row r="296" spans="1:11" x14ac:dyDescent="0.3">
      <c r="A296" s="118"/>
      <c r="B296" s="116"/>
      <c r="C296" s="113"/>
      <c r="D296" s="113"/>
      <c r="E296" s="11"/>
      <c r="F296" s="11"/>
      <c r="G296" s="11"/>
      <c r="H296" s="114" t="e">
        <f>_xlfn.XLOOKUP(Table1[[#This Row],[Shipment Number]], 'pivot '!A:A,'pivot '!G:G, "NF")</f>
        <v>#DIV/0!</v>
      </c>
      <c r="I296" s="115"/>
      <c r="J296" s="115"/>
      <c r="K296" s="113"/>
    </row>
    <row r="297" spans="1:11" x14ac:dyDescent="0.3">
      <c r="A297" s="118"/>
      <c r="B297" s="116"/>
      <c r="C297" s="113"/>
      <c r="D297" s="113"/>
      <c r="E297" s="11"/>
      <c r="F297" s="11"/>
      <c r="G297" s="11"/>
      <c r="H297" s="114" t="e">
        <f>_xlfn.XLOOKUP(Table1[[#This Row],[Shipment Number]], 'pivot '!A:A,'pivot '!G:G, "NF")</f>
        <v>#DIV/0!</v>
      </c>
      <c r="I297" s="115"/>
      <c r="J297" s="115"/>
      <c r="K297" s="113"/>
    </row>
    <row r="298" spans="1:11" x14ac:dyDescent="0.3">
      <c r="A298" s="118"/>
      <c r="B298" s="116"/>
      <c r="C298" s="113"/>
      <c r="D298" s="113"/>
      <c r="E298" s="11"/>
      <c r="F298" s="11"/>
      <c r="G298" s="11"/>
      <c r="H298" s="114" t="e">
        <f>_xlfn.XLOOKUP(Table1[[#This Row],[Shipment Number]], 'pivot '!A:A,'pivot '!G:G, "NF")</f>
        <v>#DIV/0!</v>
      </c>
      <c r="I298" s="115"/>
      <c r="J298" s="115"/>
      <c r="K298" s="113"/>
    </row>
    <row r="299" spans="1:11" x14ac:dyDescent="0.3">
      <c r="A299" s="118"/>
      <c r="B299" s="116"/>
      <c r="C299" s="113"/>
      <c r="D299" s="113"/>
      <c r="E299" s="11"/>
      <c r="F299" s="11"/>
      <c r="G299" s="11"/>
      <c r="H299" s="114" t="e">
        <f>_xlfn.XLOOKUP(Table1[[#This Row],[Shipment Number]], 'pivot '!A:A,'pivot '!G:G, "NF")</f>
        <v>#DIV/0!</v>
      </c>
      <c r="I299" s="115"/>
      <c r="J299" s="115"/>
      <c r="K299" s="113"/>
    </row>
    <row r="300" spans="1:11" x14ac:dyDescent="0.3">
      <c r="A300" s="118"/>
      <c r="B300" s="116"/>
      <c r="C300" s="113"/>
      <c r="D300" s="113"/>
      <c r="E300" s="11"/>
      <c r="F300" s="11"/>
      <c r="G300" s="11"/>
      <c r="H300" s="114" t="e">
        <f>_xlfn.XLOOKUP(Table1[[#This Row],[Shipment Number]], 'pivot '!A:A,'pivot '!G:G, "NF")</f>
        <v>#DIV/0!</v>
      </c>
      <c r="I300" s="115"/>
      <c r="J300" s="115"/>
      <c r="K300" s="113"/>
    </row>
    <row r="301" spans="1:11" x14ac:dyDescent="0.3">
      <c r="A301" s="118"/>
      <c r="B301" s="116"/>
      <c r="C301" s="113"/>
      <c r="D301" s="113"/>
      <c r="E301" s="11"/>
      <c r="F301" s="11"/>
      <c r="G301" s="11"/>
      <c r="H301" s="114" t="e">
        <f>_xlfn.XLOOKUP(Table1[[#This Row],[Shipment Number]], 'pivot '!A:A,'pivot '!G:G, "NF")</f>
        <v>#DIV/0!</v>
      </c>
      <c r="I301" s="115"/>
      <c r="J301" s="115"/>
      <c r="K301" s="113"/>
    </row>
    <row r="302" spans="1:11" x14ac:dyDescent="0.3">
      <c r="A302" s="118"/>
      <c r="B302" s="116"/>
      <c r="C302" s="113"/>
      <c r="D302" s="113"/>
      <c r="E302" s="11"/>
      <c r="F302" s="11"/>
      <c r="G302" s="11"/>
      <c r="H302" s="114" t="e">
        <f>_xlfn.XLOOKUP(Table1[[#This Row],[Shipment Number]], 'pivot '!A:A,'pivot '!G:G, "NF")</f>
        <v>#DIV/0!</v>
      </c>
      <c r="I302" s="115"/>
      <c r="J302" s="115"/>
      <c r="K302" s="113"/>
    </row>
    <row r="303" spans="1:11" x14ac:dyDescent="0.3">
      <c r="A303" s="118"/>
      <c r="B303" s="116"/>
      <c r="C303" s="113"/>
      <c r="D303" s="113"/>
      <c r="E303" s="11"/>
      <c r="F303" s="11"/>
      <c r="G303" s="11"/>
      <c r="H303" s="114" t="e">
        <f>_xlfn.XLOOKUP(Table1[[#This Row],[Shipment Number]], 'pivot '!A:A,'pivot '!G:G, "NF")</f>
        <v>#DIV/0!</v>
      </c>
      <c r="I303" s="115"/>
      <c r="J303" s="115"/>
      <c r="K303" s="113"/>
    </row>
    <row r="304" spans="1:11" x14ac:dyDescent="0.3">
      <c r="A304" s="118"/>
      <c r="B304" s="116"/>
      <c r="C304" s="113"/>
      <c r="D304" s="113"/>
      <c r="E304" s="11"/>
      <c r="F304" s="11"/>
      <c r="G304" s="11"/>
      <c r="H304" s="114" t="e">
        <f>_xlfn.XLOOKUP(Table1[[#This Row],[Shipment Number]], 'pivot '!A:A,'pivot '!G:G, "NF")</f>
        <v>#DIV/0!</v>
      </c>
      <c r="I304" s="115"/>
      <c r="J304" s="115"/>
      <c r="K304" s="113"/>
    </row>
    <row r="305" spans="1:11" x14ac:dyDescent="0.3">
      <c r="A305" s="118"/>
      <c r="B305" s="116"/>
      <c r="C305" s="113"/>
      <c r="D305" s="113"/>
      <c r="E305" s="11"/>
      <c r="F305" s="11"/>
      <c r="G305" s="11"/>
      <c r="H305" s="114" t="e">
        <f>_xlfn.XLOOKUP(Table1[[#This Row],[Shipment Number]], 'pivot '!A:A,'pivot '!G:G, "NF")</f>
        <v>#DIV/0!</v>
      </c>
      <c r="I305" s="115"/>
      <c r="J305" s="115"/>
      <c r="K305" s="113"/>
    </row>
    <row r="306" spans="1:11" x14ac:dyDescent="0.3">
      <c r="A306" s="118"/>
      <c r="B306" s="116"/>
      <c r="C306" s="113"/>
      <c r="D306" s="113"/>
      <c r="E306" s="11"/>
      <c r="F306" s="11"/>
      <c r="G306" s="11"/>
      <c r="H306" s="114" t="e">
        <f>_xlfn.XLOOKUP(Table1[[#This Row],[Shipment Number]], 'pivot '!A:A,'pivot '!G:G, "NF")</f>
        <v>#DIV/0!</v>
      </c>
      <c r="I306" s="115"/>
      <c r="J306" s="115"/>
      <c r="K306" s="113"/>
    </row>
    <row r="307" spans="1:11" x14ac:dyDescent="0.3">
      <c r="A307" s="118"/>
      <c r="B307" s="116"/>
      <c r="C307" s="113"/>
      <c r="D307" s="113"/>
      <c r="E307" s="11"/>
      <c r="F307" s="11"/>
      <c r="G307" s="11"/>
      <c r="H307" s="114" t="e">
        <f>_xlfn.XLOOKUP(Table1[[#This Row],[Shipment Number]], 'pivot '!A:A,'pivot '!G:G, "NF")</f>
        <v>#DIV/0!</v>
      </c>
      <c r="I307" s="115"/>
      <c r="J307" s="115"/>
      <c r="K307" s="113"/>
    </row>
    <row r="308" spans="1:11" x14ac:dyDescent="0.3">
      <c r="A308" s="118"/>
      <c r="B308" s="116"/>
      <c r="C308" s="113"/>
      <c r="D308" s="113"/>
      <c r="E308" s="11"/>
      <c r="F308" s="11"/>
      <c r="G308" s="11"/>
      <c r="H308" s="114"/>
      <c r="I308" s="115"/>
      <c r="J308" s="115"/>
      <c r="K308" s="113"/>
    </row>
    <row r="309" spans="1:11" x14ac:dyDescent="0.3">
      <c r="A309" s="118"/>
      <c r="B309" s="116"/>
      <c r="C309" s="113"/>
      <c r="D309" s="113"/>
      <c r="E309" s="11"/>
      <c r="F309" s="11"/>
      <c r="G309" s="11"/>
      <c r="H309" s="114"/>
      <c r="I309" s="115"/>
      <c r="J309" s="115"/>
      <c r="K309" s="113"/>
    </row>
    <row r="310" spans="1:11" x14ac:dyDescent="0.3">
      <c r="A310" s="118"/>
      <c r="B310" s="116"/>
      <c r="C310" s="113"/>
      <c r="D310" s="113"/>
      <c r="E310" s="11"/>
      <c r="F310" s="11"/>
      <c r="G310" s="11"/>
      <c r="H310" s="114"/>
      <c r="I310" s="115"/>
      <c r="J310" s="115"/>
      <c r="K310" s="113"/>
    </row>
    <row r="311" spans="1:11" x14ac:dyDescent="0.3">
      <c r="A311" s="118"/>
      <c r="B311" s="116"/>
      <c r="C311" s="113"/>
      <c r="D311" s="113"/>
      <c r="E311" s="11"/>
      <c r="F311" s="11"/>
      <c r="G311" s="11"/>
      <c r="H311" s="114"/>
      <c r="I311" s="115"/>
      <c r="J311" s="115"/>
      <c r="K311" s="113"/>
    </row>
    <row r="312" spans="1:11" x14ac:dyDescent="0.3">
      <c r="A312" s="118"/>
      <c r="B312" s="116"/>
      <c r="C312" s="113"/>
      <c r="D312" s="113"/>
      <c r="E312" s="11"/>
      <c r="F312" s="11"/>
      <c r="G312" s="11"/>
      <c r="H312" s="114"/>
      <c r="I312" s="115"/>
      <c r="J312" s="115"/>
      <c r="K312" s="113"/>
    </row>
    <row r="313" spans="1:11" x14ac:dyDescent="0.3">
      <c r="A313" s="118"/>
      <c r="B313" s="116"/>
      <c r="C313" s="113"/>
      <c r="D313" s="113"/>
      <c r="E313" s="11"/>
      <c r="F313" s="11"/>
      <c r="G313" s="11"/>
      <c r="H313" s="114"/>
      <c r="I313" s="115"/>
      <c r="J313" s="115"/>
      <c r="K313" s="113"/>
    </row>
    <row r="314" spans="1:11" x14ac:dyDescent="0.3">
      <c r="A314" s="118"/>
      <c r="B314" s="116"/>
      <c r="C314" s="113"/>
      <c r="D314" s="113"/>
      <c r="E314" s="11"/>
      <c r="F314" s="11"/>
      <c r="G314" s="11"/>
      <c r="H314" s="114"/>
      <c r="I314" s="115"/>
      <c r="J314" s="115"/>
      <c r="K314" s="113"/>
    </row>
    <row r="315" spans="1:11" x14ac:dyDescent="0.3">
      <c r="A315" s="118"/>
      <c r="B315" s="116"/>
      <c r="C315" s="113"/>
      <c r="D315" s="113"/>
      <c r="E315" s="11"/>
      <c r="F315" s="11"/>
      <c r="G315" s="11"/>
      <c r="H315" s="114"/>
      <c r="I315" s="115"/>
      <c r="J315" s="115"/>
      <c r="K315" s="113"/>
    </row>
    <row r="316" spans="1:11" x14ac:dyDescent="0.3">
      <c r="A316" s="118"/>
      <c r="B316" s="116"/>
      <c r="C316" s="113"/>
      <c r="D316" s="113"/>
      <c r="E316" s="11"/>
      <c r="F316" s="11"/>
      <c r="G316" s="11"/>
      <c r="H316" s="114"/>
      <c r="I316" s="115"/>
      <c r="J316" s="115"/>
      <c r="K316" s="113"/>
    </row>
    <row r="317" spans="1:11" x14ac:dyDescent="0.3">
      <c r="A317" s="118"/>
      <c r="B317" s="116"/>
      <c r="C317" s="113"/>
      <c r="D317" s="113"/>
      <c r="E317" s="11"/>
      <c r="F317" s="11"/>
      <c r="G317" s="11"/>
      <c r="H317" s="114"/>
      <c r="I317" s="115"/>
      <c r="J317" s="115"/>
      <c r="K317" s="113"/>
    </row>
    <row r="318" spans="1:11" x14ac:dyDescent="0.3">
      <c r="A318" s="118"/>
      <c r="B318" s="116"/>
      <c r="C318" s="113"/>
      <c r="D318" s="113"/>
      <c r="E318" s="11"/>
      <c r="F318" s="11"/>
      <c r="G318" s="11"/>
      <c r="H318" s="114"/>
      <c r="I318" s="115"/>
      <c r="J318" s="115"/>
      <c r="K318" s="113"/>
    </row>
    <row r="319" spans="1:11" x14ac:dyDescent="0.3">
      <c r="A319" s="118"/>
      <c r="B319" s="116"/>
      <c r="C319" s="113"/>
      <c r="D319" s="113"/>
      <c r="E319" s="11"/>
      <c r="F319" s="11"/>
      <c r="G319" s="11"/>
      <c r="H319" s="114"/>
      <c r="I319" s="115"/>
      <c r="J319" s="115"/>
      <c r="K319" s="113"/>
    </row>
    <row r="320" spans="1:11" x14ac:dyDescent="0.3">
      <c r="A320" s="118"/>
      <c r="B320" s="116"/>
      <c r="C320" s="113"/>
      <c r="D320" s="113"/>
      <c r="E320" s="11"/>
      <c r="F320" s="11"/>
      <c r="G320" s="11"/>
      <c r="H320" s="114"/>
      <c r="I320" s="115"/>
      <c r="J320" s="115"/>
      <c r="K320" s="113"/>
    </row>
    <row r="321" spans="1:11" x14ac:dyDescent="0.3">
      <c r="A321" s="118"/>
      <c r="B321" s="116"/>
      <c r="C321" s="113"/>
      <c r="D321" s="113"/>
      <c r="E321" s="11"/>
      <c r="F321" s="11"/>
      <c r="G321" s="11"/>
      <c r="H321" s="114"/>
      <c r="I321" s="115"/>
      <c r="J321" s="115"/>
      <c r="K321" s="113"/>
    </row>
    <row r="322" spans="1:11" x14ac:dyDescent="0.3">
      <c r="A322" s="118"/>
      <c r="B322" s="116"/>
      <c r="C322" s="113"/>
      <c r="D322" s="113"/>
      <c r="E322" s="11"/>
      <c r="F322" s="11"/>
      <c r="G322" s="11"/>
      <c r="H322" s="114"/>
      <c r="I322" s="115"/>
      <c r="J322" s="115"/>
      <c r="K322" s="113"/>
    </row>
    <row r="323" spans="1:11" x14ac:dyDescent="0.3">
      <c r="A323" s="118"/>
      <c r="B323" s="116"/>
      <c r="C323" s="113"/>
      <c r="D323" s="113"/>
      <c r="E323" s="11"/>
      <c r="F323" s="11"/>
      <c r="G323" s="11"/>
      <c r="H323" s="114"/>
      <c r="I323" s="115"/>
      <c r="J323" s="115"/>
      <c r="K323" s="113"/>
    </row>
    <row r="324" spans="1:11" x14ac:dyDescent="0.3">
      <c r="A324" s="118"/>
      <c r="B324" s="116"/>
      <c r="C324" s="113"/>
      <c r="D324" s="113"/>
      <c r="E324" s="11"/>
      <c r="F324" s="11"/>
      <c r="G324" s="11"/>
      <c r="H324" s="114"/>
      <c r="I324" s="115"/>
      <c r="J324" s="115"/>
      <c r="K324" s="113"/>
    </row>
    <row r="325" spans="1:11" x14ac:dyDescent="0.3">
      <c r="A325" s="118"/>
      <c r="B325" s="116"/>
      <c r="C325" s="113"/>
      <c r="D325" s="113"/>
      <c r="E325" s="11"/>
      <c r="F325" s="11"/>
      <c r="G325" s="11"/>
      <c r="H325" s="114"/>
      <c r="I325" s="115"/>
      <c r="J325" s="115"/>
      <c r="K325" s="113"/>
    </row>
    <row r="326" spans="1:11" x14ac:dyDescent="0.3">
      <c r="A326" s="118"/>
      <c r="B326" s="116"/>
      <c r="C326" s="113"/>
      <c r="D326" s="113"/>
      <c r="E326" s="11"/>
      <c r="F326" s="11"/>
      <c r="G326" s="11"/>
      <c r="H326" s="114"/>
      <c r="I326" s="115"/>
      <c r="J326" s="115"/>
      <c r="K326" s="113"/>
    </row>
    <row r="327" spans="1:11" x14ac:dyDescent="0.3">
      <c r="A327" s="118"/>
      <c r="B327" s="116"/>
      <c r="C327" s="113"/>
      <c r="D327" s="113"/>
      <c r="E327" s="11"/>
      <c r="F327" s="11"/>
      <c r="G327" s="11"/>
      <c r="H327" s="114"/>
      <c r="I327" s="115"/>
      <c r="J327" s="115"/>
      <c r="K327" s="113"/>
    </row>
    <row r="328" spans="1:11" x14ac:dyDescent="0.3">
      <c r="A328" s="118"/>
      <c r="B328" s="116"/>
      <c r="C328" s="113"/>
      <c r="D328" s="113"/>
      <c r="E328" s="11"/>
      <c r="F328" s="11"/>
      <c r="G328" s="11"/>
      <c r="H328" s="114"/>
      <c r="I328" s="115"/>
      <c r="J328" s="115"/>
      <c r="K328" s="113"/>
    </row>
    <row r="329" spans="1:11" x14ac:dyDescent="0.3">
      <c r="A329" s="118"/>
      <c r="B329" s="116"/>
      <c r="C329" s="113"/>
      <c r="D329" s="113"/>
      <c r="E329" s="11"/>
      <c r="F329" s="11"/>
      <c r="G329" s="11"/>
      <c r="H329" s="114"/>
      <c r="I329" s="115"/>
      <c r="J329" s="115"/>
      <c r="K329" s="113"/>
    </row>
    <row r="330" spans="1:11" x14ac:dyDescent="0.3">
      <c r="A330" s="118"/>
      <c r="B330" s="116"/>
      <c r="C330" s="113"/>
      <c r="D330" s="113"/>
      <c r="E330" s="11"/>
      <c r="F330" s="11"/>
      <c r="G330" s="11"/>
      <c r="H330" s="114"/>
      <c r="I330" s="115"/>
      <c r="J330" s="115"/>
      <c r="K330" s="113"/>
    </row>
    <row r="331" spans="1:11" x14ac:dyDescent="0.3">
      <c r="A331" s="118"/>
      <c r="B331" s="116"/>
      <c r="C331" s="113"/>
      <c r="D331" s="113"/>
      <c r="E331" s="11"/>
      <c r="F331" s="11"/>
      <c r="G331" s="11"/>
      <c r="H331" s="114"/>
      <c r="I331" s="115"/>
      <c r="J331" s="115"/>
      <c r="K331" s="113"/>
    </row>
    <row r="332" spans="1:11" x14ac:dyDescent="0.3">
      <c r="A332" s="118"/>
      <c r="B332" s="116"/>
      <c r="C332" s="113"/>
      <c r="D332" s="113"/>
      <c r="E332" s="11"/>
      <c r="F332" s="11"/>
      <c r="G332" s="11"/>
      <c r="H332" s="114"/>
      <c r="I332" s="115"/>
      <c r="J332" s="115"/>
      <c r="K332" s="113"/>
    </row>
    <row r="333" spans="1:11" x14ac:dyDescent="0.3">
      <c r="A333" s="118"/>
      <c r="B333" s="116"/>
      <c r="C333" s="113"/>
      <c r="D333" s="113"/>
      <c r="E333" s="11"/>
      <c r="F333" s="11"/>
      <c r="G333" s="11"/>
      <c r="H333" s="114"/>
      <c r="I333" s="115"/>
      <c r="J333" s="115"/>
      <c r="K333" s="113"/>
    </row>
    <row r="334" spans="1:11" x14ac:dyDescent="0.3">
      <c r="A334" s="118"/>
      <c r="B334" s="116"/>
      <c r="C334" s="113"/>
      <c r="D334" s="113"/>
      <c r="E334" s="11"/>
      <c r="F334" s="11"/>
      <c r="G334" s="11"/>
      <c r="H334" s="114"/>
      <c r="I334" s="115"/>
      <c r="J334" s="115"/>
      <c r="K334" s="113"/>
    </row>
    <row r="335" spans="1:11" x14ac:dyDescent="0.3">
      <c r="A335" s="118"/>
      <c r="B335" s="116"/>
      <c r="C335" s="113"/>
      <c r="D335" s="113"/>
      <c r="E335" s="11"/>
      <c r="F335" s="11"/>
      <c r="G335" s="11"/>
      <c r="H335" s="114"/>
      <c r="I335" s="115"/>
      <c r="J335" s="115"/>
      <c r="K335" s="113"/>
    </row>
    <row r="336" spans="1:11" x14ac:dyDescent="0.3">
      <c r="A336" s="118"/>
      <c r="B336" s="116"/>
      <c r="C336" s="113"/>
      <c r="D336" s="113"/>
      <c r="E336" s="11"/>
      <c r="F336" s="11"/>
      <c r="G336" s="11"/>
      <c r="H336" s="114"/>
      <c r="I336" s="115"/>
      <c r="J336" s="115"/>
      <c r="K336" s="113"/>
    </row>
    <row r="337" spans="1:11" x14ac:dyDescent="0.3">
      <c r="A337" s="118"/>
      <c r="B337" s="116"/>
      <c r="C337" s="113"/>
      <c r="D337" s="113"/>
      <c r="E337" s="11"/>
      <c r="F337" s="11"/>
      <c r="G337" s="11"/>
      <c r="H337" s="114"/>
      <c r="I337" s="115"/>
      <c r="J337" s="115"/>
      <c r="K337" s="113"/>
    </row>
    <row r="338" spans="1:11" x14ac:dyDescent="0.3">
      <c r="A338" s="118"/>
      <c r="B338" s="116"/>
      <c r="C338" s="113"/>
      <c r="D338" s="113"/>
      <c r="E338" s="11"/>
      <c r="F338" s="11"/>
      <c r="G338" s="11"/>
      <c r="H338" s="114"/>
      <c r="I338" s="115"/>
      <c r="J338" s="115"/>
      <c r="K338" s="113"/>
    </row>
    <row r="339" spans="1:11" x14ac:dyDescent="0.3">
      <c r="A339" s="118"/>
      <c r="B339" s="116"/>
      <c r="C339" s="113"/>
      <c r="D339" s="113"/>
      <c r="E339" s="11"/>
      <c r="F339" s="11"/>
      <c r="G339" s="11"/>
      <c r="H339" s="114"/>
      <c r="I339" s="115"/>
      <c r="J339" s="115"/>
      <c r="K339" s="113"/>
    </row>
    <row r="340" spans="1:11" x14ac:dyDescent="0.3">
      <c r="A340" s="124"/>
      <c r="B340" s="125"/>
      <c r="C340" s="126"/>
      <c r="D340" s="126"/>
      <c r="E340" s="127"/>
      <c r="F340" s="127"/>
      <c r="G340" s="127"/>
      <c r="H340" s="128"/>
      <c r="I340" s="129"/>
      <c r="J340" s="129"/>
      <c r="K340" s="113"/>
    </row>
    <row r="341" spans="1:11" x14ac:dyDescent="0.3">
      <c r="A341" s="113"/>
      <c r="B341" s="116"/>
      <c r="C341" s="113"/>
      <c r="D341" s="113"/>
      <c r="E341" s="11"/>
      <c r="F341" s="11"/>
      <c r="G341" s="11"/>
      <c r="H341" s="114" t="e">
        <f>_xlfn.XLOOKUP(Table1[[#This Row],[Shipment Number]], 'pivot '!A:A,'pivot '!G:G, "NF")</f>
        <v>#DIV/0!</v>
      </c>
      <c r="I341" s="115"/>
      <c r="J341" s="115"/>
      <c r="K341" s="113"/>
    </row>
    <row r="342" spans="1:11" x14ac:dyDescent="0.3">
      <c r="A342" s="113"/>
      <c r="B342" s="116"/>
      <c r="C342" s="113"/>
      <c r="D342" s="113"/>
      <c r="E342" s="11"/>
      <c r="F342" s="11"/>
      <c r="G342" s="11"/>
      <c r="H342" s="114" t="e">
        <f>_xlfn.XLOOKUP(Table1[[#This Row],[Shipment Number]], 'pivot '!A:A,'pivot '!G:G, "NF")</f>
        <v>#DIV/0!</v>
      </c>
      <c r="I342" s="115"/>
      <c r="J342" s="115"/>
      <c r="K342" s="113"/>
    </row>
    <row r="343" spans="1:11" x14ac:dyDescent="0.3">
      <c r="A343" s="113"/>
      <c r="B343" s="116"/>
      <c r="C343" s="113"/>
      <c r="D343" s="113"/>
      <c r="E343" s="11"/>
      <c r="F343" s="11"/>
      <c r="G343" s="11"/>
      <c r="H343" s="114" t="e">
        <f>_xlfn.XLOOKUP(Table1[[#This Row],[Shipment Number]], 'pivot '!A:A,'pivot '!G:G, "NF")</f>
        <v>#DIV/0!</v>
      </c>
      <c r="I343" s="115"/>
      <c r="J343" s="115"/>
      <c r="K343" s="113"/>
    </row>
    <row r="344" spans="1:11" x14ac:dyDescent="0.3">
      <c r="A344" s="113"/>
      <c r="B344" s="116"/>
      <c r="C344" s="113"/>
      <c r="D344" s="113"/>
      <c r="E344" s="11"/>
      <c r="F344" s="11"/>
      <c r="G344" s="11"/>
      <c r="H344" s="114" t="e">
        <f>_xlfn.XLOOKUP(Table1[[#This Row],[Shipment Number]], 'pivot '!A:A,'pivot '!G:G, "NF")</f>
        <v>#DIV/0!</v>
      </c>
      <c r="I344" s="115"/>
      <c r="J344" s="115"/>
      <c r="K344" s="113"/>
    </row>
    <row r="345" spans="1:11" x14ac:dyDescent="0.3">
      <c r="A345"/>
      <c r="B345"/>
      <c r="C345"/>
      <c r="D345"/>
      <c r="E345" s="14"/>
      <c r="F345" s="14"/>
      <c r="G345" s="14"/>
      <c r="H345" s="43"/>
      <c r="I345" s="93" cm="1">
        <f t="array" aca="1" ref="I345" ca="1">SUMPRODUCT( SUBTOTAL(109, OFFSET(Table1[tiyar/meters], ROW(Table1[tiyar/meters])-MIN(ROW(Table1[tiyar/meters])), 0, 1)), --(Table1[Bill Number]&lt;&gt;"Closing CF") )</f>
        <v>3051880.9436722742</v>
      </c>
      <c r="J345" s="43" t="e" cm="1">
        <f t="array" aca="1" ref="J345" ca="1">SUMPRODUCT( SUBTOTAL(109, OFFSET(Table1[billing], ROW(Table1[billing])-MIN(ROW(Table1[billing])), 0, 1)), --(Table1[Bill Number]&lt;&gt;"Closing CF") )</f>
        <v>#N/A</v>
      </c>
      <c r="K345" s="14" t="e">
        <f>SUMIFS(Table1[billing], Table1[Bill Number], "&lt;&gt;January Closing CF")</f>
        <v>#N/A</v>
      </c>
    </row>
  </sheetData>
  <phoneticPr fontId="7" alignment="center"/>
  <conditionalFormatting sqref="H2:H345">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22" sqref="K22"/>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942</v>
      </c>
      <c r="I1" t="s">
        <v>943</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zoomScale="107" zoomScaleNormal="115" workbookViewId="0">
      <selection activeCell="H3" sqref="H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6640625" bestFit="1" customWidth="1"/>
    <col min="13" max="13" width="13.5546875" bestFit="1" customWidth="1"/>
    <col min="14" max="14" width="11.5546875" bestFit="1" customWidth="1"/>
    <col min="15" max="15" width="11.1093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14687650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851</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t="s">
        <v>28</v>
      </c>
      <c r="M85" s="14">
        <v>15804</v>
      </c>
      <c r="N85" s="14">
        <v>14687650</v>
      </c>
      <c r="O85" s="14">
        <v>0</v>
      </c>
      <c r="P85" s="14">
        <v>18699724</v>
      </c>
    </row>
    <row r="86" spans="1:16" x14ac:dyDescent="0.3">
      <c r="A86" s="1">
        <v>46213</v>
      </c>
      <c r="B86" t="s">
        <v>222</v>
      </c>
      <c r="D86" s="11">
        <v>213</v>
      </c>
      <c r="E86" s="11">
        <v>910</v>
      </c>
      <c r="F86" s="11"/>
      <c r="G86" s="11">
        <f t="shared" si="4"/>
        <v>193830</v>
      </c>
      <c r="H86" s="11"/>
      <c r="I86" s="11">
        <f>(D86*E86)-Table3[[#This Row],[Paid]]</f>
        <v>193830</v>
      </c>
    </row>
    <row r="87" spans="1:16" x14ac:dyDescent="0.3">
      <c r="A87" s="1"/>
      <c r="D87" s="11"/>
      <c r="E87" s="11"/>
      <c r="F87" s="11"/>
      <c r="G87" s="11">
        <f t="shared" si="4"/>
        <v>0</v>
      </c>
      <c r="H87" s="11"/>
      <c r="I87" s="11">
        <f>(D87*E87)-Table3[[#This Row],[Paid]]</f>
        <v>0</v>
      </c>
    </row>
    <row r="88" spans="1:16" x14ac:dyDescent="0.3">
      <c r="A88" s="1"/>
      <c r="D88" s="11"/>
      <c r="E88" s="11"/>
      <c r="F88" s="11"/>
      <c r="G88" s="11">
        <f t="shared" si="4"/>
        <v>0</v>
      </c>
      <c r="H88" s="11"/>
      <c r="I88" s="11">
        <f>(D88*E88)-Table3[[#This Row],[Paid]]</f>
        <v>0</v>
      </c>
    </row>
    <row r="89" spans="1:16" x14ac:dyDescent="0.3">
      <c r="A89" s="1"/>
      <c r="D89" s="11"/>
      <c r="E89" s="11"/>
      <c r="F89" s="11"/>
      <c r="G89" s="11">
        <f t="shared" si="4"/>
        <v>0</v>
      </c>
      <c r="H89" s="11"/>
      <c r="I89" s="11">
        <f>(D89*E89)-Table3[[#This Row],[Paid]]</f>
        <v>0</v>
      </c>
    </row>
    <row r="90" spans="1:16" x14ac:dyDescent="0.3">
      <c r="A90" s="1"/>
      <c r="D90" s="11"/>
      <c r="E90" s="11"/>
      <c r="F90" s="11"/>
      <c r="G90" s="11">
        <f t="shared" si="4"/>
        <v>0</v>
      </c>
      <c r="H90" s="11"/>
      <c r="I90" s="11">
        <f>(D90*E90)-Table3[[#This Row],[Paid]]</f>
        <v>0</v>
      </c>
    </row>
    <row r="91" spans="1:16" x14ac:dyDescent="0.3">
      <c r="A91" s="1"/>
      <c r="D91" s="11"/>
      <c r="E91" s="11"/>
      <c r="F91" s="11"/>
      <c r="G91" s="11">
        <f t="shared" si="4"/>
        <v>0</v>
      </c>
      <c r="H91" s="11"/>
      <c r="I91" s="11">
        <f>(D91*E91)-Table3[[#This Row],[Paid]]</f>
        <v>0</v>
      </c>
    </row>
    <row r="92" spans="1:16" x14ac:dyDescent="0.3">
      <c r="A92" s="1"/>
      <c r="D92" s="11"/>
      <c r="E92" s="11"/>
      <c r="F92" s="11"/>
      <c r="G92" s="11">
        <f t="shared" si="4"/>
        <v>0</v>
      </c>
      <c r="H92" s="11"/>
      <c r="I92" s="11">
        <f>(D92*E92)-Table3[[#This Row],[Paid]]</f>
        <v>0</v>
      </c>
    </row>
    <row r="93" spans="1:16" x14ac:dyDescent="0.3">
      <c r="A93" s="1"/>
      <c r="D93" s="11"/>
      <c r="E93" s="11"/>
      <c r="F93" s="11"/>
      <c r="G93" s="11">
        <f t="shared" si="4"/>
        <v>0</v>
      </c>
      <c r="H93" s="11"/>
      <c r="I93" s="11">
        <f>(D93*E93)-Table3[[#This Row],[Paid]]</f>
        <v>0</v>
      </c>
    </row>
    <row r="94" spans="1:16" x14ac:dyDescent="0.3">
      <c r="A94" s="1"/>
      <c r="D94" s="11"/>
      <c r="E94" s="11"/>
      <c r="F94" s="11"/>
      <c r="G94" s="11">
        <f t="shared" si="4"/>
        <v>0</v>
      </c>
      <c r="H94" s="11"/>
      <c r="I94" s="11">
        <f>(D94*E94)-Table3[[#This Row],[Paid]]</f>
        <v>0</v>
      </c>
    </row>
    <row r="95" spans="1:16" x14ac:dyDescent="0.3">
      <c r="A95" s="1"/>
      <c r="D95" s="11"/>
      <c r="E95" s="11"/>
      <c r="F95" s="11"/>
      <c r="G95" s="11">
        <f t="shared" si="4"/>
        <v>0</v>
      </c>
      <c r="H95" s="11"/>
      <c r="I95" s="11">
        <f>(D95*E95)-Table3[[#This Row],[Paid]]</f>
        <v>0</v>
      </c>
    </row>
    <row r="96" spans="1:16" x14ac:dyDescent="0.3">
      <c r="A96" s="1"/>
      <c r="D96" s="11"/>
      <c r="E96" s="11"/>
      <c r="F96" s="11"/>
      <c r="G96" s="11">
        <f>D96*E96</f>
        <v>0</v>
      </c>
      <c r="H96" s="11"/>
      <c r="I96" s="11">
        <f>(D96*E96)-Table3[[#This Row],[Paid]]</f>
        <v>0</v>
      </c>
    </row>
    <row r="97" spans="1:9" x14ac:dyDescent="0.3">
      <c r="A97" s="1"/>
      <c r="D97" s="14"/>
      <c r="E97" s="14"/>
      <c r="F97" s="14"/>
      <c r="G97" s="14">
        <f>SUBTOTAL(109,Table3[Total])</f>
        <v>14687650</v>
      </c>
      <c r="H97" s="14">
        <f>SUBTOTAL(109,Table3[Paid])</f>
        <v>0</v>
      </c>
      <c r="I97" s="14">
        <f>SUBTOTAL(109,Table3[balance])</f>
        <v>18699724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1178"/>
  <sheetViews>
    <sheetView topLeftCell="A1156" zoomScale="110" zoomScaleNormal="70" workbookViewId="0">
      <selection activeCell="A1177" sqref="A1177"/>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21875"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43244445.68</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43246038.229517192</v>
      </c>
      <c r="M5" s="45" t="s">
        <v>108</v>
      </c>
      <c r="N5" s="46">
        <f>(SUMIFS(Table14[Credit],Table14[Mode],"Bank")-SUMIFS(Table14[Debit],Table14[Mode],"Bank")-SUMIFS(Table14[Withdrawal],Table14[Mode],"Transfer"))</f>
        <v>1775282.5495171919</v>
      </c>
      <c r="O5">
        <v>360000</v>
      </c>
    </row>
    <row r="6" spans="1:16" x14ac:dyDescent="0.3">
      <c r="A6" s="85">
        <v>46111</v>
      </c>
      <c r="B6" s="80" t="s">
        <v>220</v>
      </c>
      <c r="C6" s="11">
        <v>949282</v>
      </c>
      <c r="D6" s="86"/>
      <c r="E6" s="80" t="s">
        <v>618</v>
      </c>
      <c r="F6" s="87" t="s">
        <v>108</v>
      </c>
      <c r="J6" s="52" t="s">
        <v>43</v>
      </c>
      <c r="K6" s="53">
        <f>(K5-K4)</f>
        <v>1592.5495171919465</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1164366.5495171919</v>
      </c>
      <c r="O7" s="89">
        <f>SUM(O5,O6)</f>
        <v>410000</v>
      </c>
      <c r="P7" s="14">
        <f>Table18[[#Totals],[amount]]-Table18[[#Totals],[Actual]]</f>
        <v>754366.54951719195</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46113</v>
      </c>
      <c r="B11" t="s">
        <v>223</v>
      </c>
      <c r="C11" s="11"/>
      <c r="D11" s="11">
        <v>100000</v>
      </c>
      <c r="E11" t="s">
        <v>292</v>
      </c>
      <c r="F11" s="108" t="s">
        <v>108</v>
      </c>
    </row>
    <row r="12" spans="1:16" x14ac:dyDescent="0.3">
      <c r="A12" s="111">
        <v>46113</v>
      </c>
      <c r="B12" t="s">
        <v>55</v>
      </c>
      <c r="C12" s="95">
        <v>30000</v>
      </c>
      <c r="D12" s="95"/>
      <c r="E12" t="s">
        <v>293</v>
      </c>
      <c r="F12" s="108" t="s">
        <v>108</v>
      </c>
    </row>
    <row r="13" spans="1:16" x14ac:dyDescent="0.3">
      <c r="A13" s="111">
        <v>46113</v>
      </c>
      <c r="B13" t="s">
        <v>269</v>
      </c>
      <c r="C13" s="95">
        <v>40000</v>
      </c>
      <c r="D13" s="95"/>
      <c r="E13" t="s">
        <v>252</v>
      </c>
      <c r="F13" s="108" t="s">
        <v>108</v>
      </c>
    </row>
    <row r="14" spans="1:16" x14ac:dyDescent="0.3">
      <c r="A14" s="111">
        <v>46113</v>
      </c>
      <c r="B14" t="s">
        <v>244</v>
      </c>
      <c r="C14" s="95">
        <v>2000</v>
      </c>
      <c r="D14" s="95"/>
      <c r="E14" t="s">
        <v>294</v>
      </c>
      <c r="F14" s="108" t="s">
        <v>108</v>
      </c>
    </row>
    <row r="15" spans="1:16" x14ac:dyDescent="0.3">
      <c r="A15" s="111">
        <v>46113</v>
      </c>
      <c r="B15" t="s">
        <v>55</v>
      </c>
      <c r="C15" s="95">
        <v>2625</v>
      </c>
      <c r="D15" s="95"/>
      <c r="F15" s="108" t="s">
        <v>108</v>
      </c>
    </row>
    <row r="16" spans="1:16" x14ac:dyDescent="0.3">
      <c r="A16" s="111">
        <v>46113</v>
      </c>
      <c r="B16" t="s">
        <v>94</v>
      </c>
      <c r="C16" s="95">
        <v>150000</v>
      </c>
      <c r="D16" s="11"/>
      <c r="E16" t="s">
        <v>295</v>
      </c>
      <c r="F16" s="108" t="s">
        <v>108</v>
      </c>
    </row>
    <row r="17" spans="1:6" x14ac:dyDescent="0.3">
      <c r="A17" s="38">
        <v>46113</v>
      </c>
      <c r="B17" t="s">
        <v>211</v>
      </c>
      <c r="C17" s="95">
        <v>250000</v>
      </c>
      <c r="D17" s="95"/>
      <c r="E17" t="s">
        <v>296</v>
      </c>
      <c r="F17" s="108" t="s">
        <v>108</v>
      </c>
    </row>
    <row r="18" spans="1:6" x14ac:dyDescent="0.3">
      <c r="A18" s="38">
        <v>46113</v>
      </c>
      <c r="B18" t="s">
        <v>211</v>
      </c>
      <c r="C18" s="95"/>
      <c r="D18" s="95">
        <v>5000</v>
      </c>
      <c r="E18" t="s">
        <v>297</v>
      </c>
      <c r="F18" s="108" t="s">
        <v>108</v>
      </c>
    </row>
    <row r="19" spans="1:6" x14ac:dyDescent="0.3">
      <c r="A19" s="38">
        <v>46113</v>
      </c>
      <c r="B19" t="s">
        <v>298</v>
      </c>
      <c r="C19" s="95">
        <v>5000</v>
      </c>
      <c r="D19" s="95"/>
      <c r="F19" s="108" t="s">
        <v>108</v>
      </c>
    </row>
    <row r="20" spans="1:6" x14ac:dyDescent="0.3">
      <c r="A20" s="38">
        <v>46113</v>
      </c>
      <c r="B20" t="s">
        <v>246</v>
      </c>
      <c r="C20" s="95"/>
      <c r="D20" s="95"/>
      <c r="F20" s="108" t="s">
        <v>108</v>
      </c>
    </row>
    <row r="21" spans="1:6" x14ac:dyDescent="0.3">
      <c r="A21" s="38">
        <v>46113</v>
      </c>
      <c r="B21" t="s">
        <v>253</v>
      </c>
      <c r="C21" s="95"/>
      <c r="D21" s="95"/>
      <c r="E21" t="s">
        <v>299</v>
      </c>
      <c r="F21" s="108" t="s">
        <v>108</v>
      </c>
    </row>
    <row r="22" spans="1:6" x14ac:dyDescent="0.3">
      <c r="A22" s="38">
        <v>46113</v>
      </c>
      <c r="B22" t="s">
        <v>55</v>
      </c>
      <c r="C22" s="95">
        <v>3400</v>
      </c>
      <c r="D22" s="95"/>
      <c r="E22" t="s">
        <v>300</v>
      </c>
      <c r="F22" s="108" t="s">
        <v>108</v>
      </c>
    </row>
    <row r="23" spans="1:6" x14ac:dyDescent="0.3">
      <c r="A23" s="38">
        <v>46114</v>
      </c>
      <c r="B23" t="s">
        <v>211</v>
      </c>
      <c r="C23" s="95">
        <v>100000</v>
      </c>
      <c r="D23" s="95"/>
      <c r="E23" t="s">
        <v>301</v>
      </c>
      <c r="F23" s="108" t="s">
        <v>108</v>
      </c>
    </row>
    <row r="24" spans="1:6" x14ac:dyDescent="0.3">
      <c r="A24" s="38">
        <v>46114</v>
      </c>
      <c r="B24" t="s">
        <v>246</v>
      </c>
      <c r="C24" s="95"/>
      <c r="D24" s="95"/>
      <c r="E24" t="s">
        <v>282</v>
      </c>
      <c r="F24" s="108" t="s">
        <v>108</v>
      </c>
    </row>
    <row r="25" spans="1:6" x14ac:dyDescent="0.3">
      <c r="A25" s="38">
        <v>46114</v>
      </c>
      <c r="B25" t="s">
        <v>223</v>
      </c>
      <c r="C25" s="95"/>
      <c r="D25" s="95">
        <v>60635</v>
      </c>
      <c r="E25" t="s">
        <v>302</v>
      </c>
      <c r="F25" s="108" t="s">
        <v>108</v>
      </c>
    </row>
    <row r="26" spans="1:6" x14ac:dyDescent="0.3">
      <c r="A26" s="38">
        <v>46114</v>
      </c>
      <c r="B26" t="s">
        <v>253</v>
      </c>
      <c r="C26" s="95"/>
      <c r="D26" s="95"/>
      <c r="E26" t="s">
        <v>261</v>
      </c>
      <c r="F26" s="108" t="s">
        <v>108</v>
      </c>
    </row>
    <row r="27" spans="1:6" x14ac:dyDescent="0.3">
      <c r="A27" s="38">
        <v>46114</v>
      </c>
      <c r="B27" t="s">
        <v>9</v>
      </c>
      <c r="C27" s="95"/>
      <c r="D27" s="95">
        <v>100000</v>
      </c>
      <c r="E27" t="s">
        <v>303</v>
      </c>
      <c r="F27" s="108" t="s">
        <v>108</v>
      </c>
    </row>
    <row r="28" spans="1:6" x14ac:dyDescent="0.3">
      <c r="A28" s="38">
        <v>46114</v>
      </c>
      <c r="B28" t="s">
        <v>168</v>
      </c>
      <c r="C28" s="95">
        <v>150100</v>
      </c>
      <c r="D28" s="95"/>
      <c r="E28" t="s">
        <v>304</v>
      </c>
      <c r="F28" s="108" t="s">
        <v>108</v>
      </c>
    </row>
    <row r="29" spans="1:6" x14ac:dyDescent="0.3">
      <c r="A29" s="38">
        <v>46114</v>
      </c>
      <c r="B29" t="s">
        <v>54</v>
      </c>
      <c r="C29" s="95">
        <v>12038</v>
      </c>
      <c r="D29" s="95"/>
      <c r="F29" s="108" t="s">
        <v>108</v>
      </c>
    </row>
    <row r="30" spans="1:6" x14ac:dyDescent="0.3">
      <c r="A30" s="38">
        <v>46114</v>
      </c>
      <c r="B30" t="s">
        <v>211</v>
      </c>
      <c r="C30" s="95">
        <f>620+1470+1470+481+2711+760</f>
        <v>7512</v>
      </c>
      <c r="D30" s="95"/>
      <c r="F30" s="108" t="s">
        <v>108</v>
      </c>
    </row>
    <row r="31" spans="1:6" x14ac:dyDescent="0.3">
      <c r="A31" s="38">
        <v>46114</v>
      </c>
      <c r="B31" t="s">
        <v>220</v>
      </c>
      <c r="C31" s="95">
        <f>9714-5500</f>
        <v>4214</v>
      </c>
      <c r="D31" s="95"/>
      <c r="E31" t="s">
        <v>305</v>
      </c>
      <c r="F31" s="108" t="s">
        <v>108</v>
      </c>
    </row>
    <row r="32" spans="1:6" x14ac:dyDescent="0.3">
      <c r="A32" s="111">
        <v>46115</v>
      </c>
      <c r="B32" t="s">
        <v>220</v>
      </c>
      <c r="C32" s="11">
        <v>5615</v>
      </c>
      <c r="D32" s="11"/>
      <c r="E32" t="s">
        <v>306</v>
      </c>
      <c r="F32" s="108" t="s">
        <v>108</v>
      </c>
    </row>
    <row r="33" spans="1:6" x14ac:dyDescent="0.3">
      <c r="A33" s="38">
        <v>46115</v>
      </c>
      <c r="B33" t="s">
        <v>219</v>
      </c>
      <c r="C33" s="11"/>
      <c r="D33" s="11">
        <f>71000+50000</f>
        <v>121000</v>
      </c>
      <c r="E33" t="s">
        <v>285</v>
      </c>
      <c r="F33" s="108" t="s">
        <v>108</v>
      </c>
    </row>
    <row r="34" spans="1:6" x14ac:dyDescent="0.3">
      <c r="A34" s="38">
        <v>46115</v>
      </c>
      <c r="B34" t="s">
        <v>257</v>
      </c>
      <c r="C34" s="95">
        <v>60214</v>
      </c>
      <c r="D34" s="95"/>
      <c r="E34" t="s">
        <v>307</v>
      </c>
      <c r="F34" s="108" t="s">
        <v>108</v>
      </c>
    </row>
    <row r="35" spans="1:6" x14ac:dyDescent="0.3">
      <c r="A35" s="38">
        <v>46116</v>
      </c>
      <c r="B35" t="s">
        <v>115</v>
      </c>
      <c r="C35" s="95">
        <v>100000</v>
      </c>
      <c r="D35" s="95"/>
      <c r="F35" s="108" t="s">
        <v>108</v>
      </c>
    </row>
    <row r="36" spans="1:6" x14ac:dyDescent="0.3">
      <c r="A36" s="38">
        <v>46116</v>
      </c>
      <c r="B36" t="s">
        <v>219</v>
      </c>
      <c r="C36" s="11"/>
      <c r="D36" s="11">
        <v>100000</v>
      </c>
      <c r="E36" t="s">
        <v>308</v>
      </c>
      <c r="F36" s="108" t="s">
        <v>108</v>
      </c>
    </row>
    <row r="37" spans="1:6" x14ac:dyDescent="0.3">
      <c r="A37" s="38">
        <v>46116</v>
      </c>
      <c r="B37" t="s">
        <v>220</v>
      </c>
      <c r="C37" s="11">
        <v>8000</v>
      </c>
      <c r="D37" s="11"/>
      <c r="E37" t="s">
        <v>309</v>
      </c>
      <c r="F37" s="108" t="s">
        <v>108</v>
      </c>
    </row>
    <row r="38" spans="1:6" x14ac:dyDescent="0.3">
      <c r="A38" s="111">
        <v>46116</v>
      </c>
      <c r="B38" t="s">
        <v>244</v>
      </c>
      <c r="C38" s="11">
        <v>5000</v>
      </c>
      <c r="D38" s="11"/>
      <c r="E38" t="s">
        <v>310</v>
      </c>
      <c r="F38" s="108" t="s">
        <v>108</v>
      </c>
    </row>
    <row r="39" spans="1:6" x14ac:dyDescent="0.3">
      <c r="A39" s="111">
        <v>46116</v>
      </c>
      <c r="B39" t="s">
        <v>253</v>
      </c>
      <c r="C39" s="11"/>
      <c r="D39" s="11"/>
      <c r="E39" t="s">
        <v>299</v>
      </c>
      <c r="F39" s="108" t="s">
        <v>108</v>
      </c>
    </row>
    <row r="40" spans="1:6" x14ac:dyDescent="0.3">
      <c r="A40" s="38">
        <v>46116</v>
      </c>
      <c r="B40" t="s">
        <v>244</v>
      </c>
      <c r="C40" s="11">
        <v>15000</v>
      </c>
      <c r="D40" s="11"/>
      <c r="E40" t="s">
        <v>346</v>
      </c>
      <c r="F40" s="108" t="s">
        <v>108</v>
      </c>
    </row>
    <row r="41" spans="1:6" x14ac:dyDescent="0.3">
      <c r="A41" s="38">
        <v>46116</v>
      </c>
      <c r="B41" t="s">
        <v>298</v>
      </c>
      <c r="C41" s="11">
        <v>6000</v>
      </c>
      <c r="D41" s="11"/>
      <c r="E41" t="s">
        <v>347</v>
      </c>
      <c r="F41" s="108" t="s">
        <v>108</v>
      </c>
    </row>
    <row r="42" spans="1:6" x14ac:dyDescent="0.3">
      <c r="A42" s="111">
        <v>46116</v>
      </c>
      <c r="B42" t="s">
        <v>54</v>
      </c>
      <c r="C42" s="11">
        <v>400</v>
      </c>
      <c r="D42" s="11"/>
      <c r="F42" s="108" t="s">
        <v>108</v>
      </c>
    </row>
    <row r="43" spans="1:6" x14ac:dyDescent="0.3">
      <c r="A43" s="111">
        <v>46116</v>
      </c>
      <c r="B43" t="s">
        <v>246</v>
      </c>
      <c r="C43" s="11">
        <v>17200</v>
      </c>
      <c r="D43" s="11"/>
      <c r="E43" t="s">
        <v>348</v>
      </c>
      <c r="F43" s="108" t="s">
        <v>108</v>
      </c>
    </row>
    <row r="44" spans="1:6" x14ac:dyDescent="0.3">
      <c r="A44" s="111">
        <v>46116</v>
      </c>
      <c r="B44" t="s">
        <v>244</v>
      </c>
      <c r="C44" s="95">
        <f>780+700</f>
        <v>1480</v>
      </c>
      <c r="D44" s="95"/>
      <c r="E44" t="s">
        <v>349</v>
      </c>
      <c r="F44" s="108" t="s">
        <v>108</v>
      </c>
    </row>
    <row r="45" spans="1:6" x14ac:dyDescent="0.3">
      <c r="A45" s="111">
        <v>46116</v>
      </c>
      <c r="B45" t="s">
        <v>244</v>
      </c>
      <c r="C45" s="95">
        <f>1500+10600</f>
        <v>12100</v>
      </c>
      <c r="D45" s="95"/>
      <c r="E45" t="s">
        <v>350</v>
      </c>
      <c r="F45" s="108" t="s">
        <v>108</v>
      </c>
    </row>
    <row r="46" spans="1:6" x14ac:dyDescent="0.3">
      <c r="A46" s="111">
        <v>46118</v>
      </c>
      <c r="B46" s="117" t="s">
        <v>54</v>
      </c>
      <c r="C46" s="11">
        <v>4400</v>
      </c>
      <c r="D46" s="11"/>
      <c r="E46" t="s">
        <v>287</v>
      </c>
      <c r="F46" s="108" t="s">
        <v>108</v>
      </c>
    </row>
    <row r="47" spans="1:6" x14ac:dyDescent="0.3">
      <c r="A47" s="111">
        <v>46118</v>
      </c>
      <c r="B47" t="s">
        <v>243</v>
      </c>
      <c r="C47" s="11"/>
      <c r="D47" s="11">
        <v>100000</v>
      </c>
      <c r="E47" t="s">
        <v>311</v>
      </c>
      <c r="F47" s="108" t="s">
        <v>108</v>
      </c>
    </row>
    <row r="48" spans="1:6" x14ac:dyDescent="0.3">
      <c r="A48" s="111">
        <v>46118</v>
      </c>
      <c r="B48" t="s">
        <v>246</v>
      </c>
      <c r="C48" s="11">
        <v>11340</v>
      </c>
      <c r="D48" s="11"/>
      <c r="E48" t="s">
        <v>312</v>
      </c>
      <c r="F48" s="108" t="s">
        <v>108</v>
      </c>
    </row>
    <row r="49" spans="1:6" x14ac:dyDescent="0.3">
      <c r="A49" s="111">
        <v>46118</v>
      </c>
      <c r="B49" t="s">
        <v>168</v>
      </c>
      <c r="C49" s="11">
        <v>100000</v>
      </c>
      <c r="D49" s="11"/>
      <c r="E49" t="s">
        <v>314</v>
      </c>
      <c r="F49" s="108" t="s">
        <v>108</v>
      </c>
    </row>
    <row r="50" spans="1:6" x14ac:dyDescent="0.3">
      <c r="A50" s="111">
        <v>46118</v>
      </c>
      <c r="B50" t="s">
        <v>253</v>
      </c>
      <c r="C50" s="11"/>
      <c r="D50" s="11"/>
      <c r="E50" t="s">
        <v>286</v>
      </c>
      <c r="F50" s="108" t="s">
        <v>108</v>
      </c>
    </row>
    <row r="51" spans="1:6" x14ac:dyDescent="0.3">
      <c r="A51" s="111">
        <v>46118</v>
      </c>
      <c r="B51" t="s">
        <v>211</v>
      </c>
      <c r="C51" s="11"/>
      <c r="D51" s="11">
        <v>20000</v>
      </c>
      <c r="E51" t="s">
        <v>345</v>
      </c>
      <c r="F51" s="108" t="s">
        <v>108</v>
      </c>
    </row>
    <row r="52" spans="1:6" x14ac:dyDescent="0.3">
      <c r="A52" s="111">
        <v>46118</v>
      </c>
      <c r="B52" t="s">
        <v>211</v>
      </c>
      <c r="C52" s="95"/>
      <c r="D52" s="95">
        <v>2000</v>
      </c>
      <c r="E52" t="s">
        <v>252</v>
      </c>
      <c r="F52" s="108" t="s">
        <v>108</v>
      </c>
    </row>
    <row r="53" spans="1:6" x14ac:dyDescent="0.3">
      <c r="A53" s="111">
        <v>46118</v>
      </c>
      <c r="B53" t="s">
        <v>269</v>
      </c>
      <c r="C53" s="95">
        <v>2000</v>
      </c>
      <c r="D53" s="95"/>
      <c r="E53" t="s">
        <v>252</v>
      </c>
      <c r="F53" s="108" t="s">
        <v>108</v>
      </c>
    </row>
    <row r="54" spans="1:6" x14ac:dyDescent="0.3">
      <c r="A54" s="111">
        <v>46119</v>
      </c>
      <c r="B54" t="s">
        <v>211</v>
      </c>
      <c r="C54" s="11"/>
      <c r="D54" s="11">
        <v>12000</v>
      </c>
      <c r="E54" t="s">
        <v>313</v>
      </c>
      <c r="F54" s="108" t="s">
        <v>108</v>
      </c>
    </row>
    <row r="55" spans="1:6" x14ac:dyDescent="0.3">
      <c r="A55" s="38">
        <v>46119</v>
      </c>
      <c r="B55" t="s">
        <v>315</v>
      </c>
      <c r="C55" s="11">
        <v>312000</v>
      </c>
      <c r="D55" s="11"/>
      <c r="E55" t="s">
        <v>316</v>
      </c>
      <c r="F55" s="108" t="s">
        <v>108</v>
      </c>
    </row>
    <row r="56" spans="1:6" x14ac:dyDescent="0.3">
      <c r="A56" s="38">
        <v>46119</v>
      </c>
      <c r="B56" t="s">
        <v>211</v>
      </c>
      <c r="C56" s="11"/>
      <c r="D56" s="11">
        <v>12000</v>
      </c>
      <c r="E56" t="s">
        <v>343</v>
      </c>
      <c r="F56" s="108" t="s">
        <v>108</v>
      </c>
    </row>
    <row r="57" spans="1:6" x14ac:dyDescent="0.3">
      <c r="A57" s="38">
        <v>46119</v>
      </c>
      <c r="B57" t="s">
        <v>219</v>
      </c>
      <c r="C57" s="11"/>
      <c r="D57" s="11">
        <v>300000</v>
      </c>
      <c r="E57" t="s">
        <v>317</v>
      </c>
      <c r="F57" s="108" t="s">
        <v>108</v>
      </c>
    </row>
    <row r="58" spans="1:6" x14ac:dyDescent="0.3">
      <c r="A58" s="38">
        <v>46119</v>
      </c>
      <c r="B58" t="s">
        <v>219</v>
      </c>
      <c r="C58" s="95"/>
      <c r="D58" s="95">
        <v>20000</v>
      </c>
      <c r="E58" t="s">
        <v>318</v>
      </c>
      <c r="F58" s="108" t="s">
        <v>108</v>
      </c>
    </row>
    <row r="59" spans="1:6" x14ac:dyDescent="0.3">
      <c r="A59" s="38">
        <v>46119</v>
      </c>
      <c r="B59" t="s">
        <v>253</v>
      </c>
      <c r="C59" s="95"/>
      <c r="D59" s="95"/>
      <c r="E59" t="s">
        <v>288</v>
      </c>
      <c r="F59" s="108" t="s">
        <v>108</v>
      </c>
    </row>
    <row r="60" spans="1:6" x14ac:dyDescent="0.3">
      <c r="A60" s="38">
        <v>46119</v>
      </c>
      <c r="B60" t="s">
        <v>253</v>
      </c>
      <c r="C60" s="95"/>
      <c r="D60" s="95"/>
      <c r="E60" t="s">
        <v>278</v>
      </c>
      <c r="F60" s="108" t="s">
        <v>108</v>
      </c>
    </row>
    <row r="61" spans="1:6" x14ac:dyDescent="0.3">
      <c r="A61" s="38">
        <v>46120</v>
      </c>
      <c r="B61" t="s">
        <v>219</v>
      </c>
      <c r="C61" s="95"/>
      <c r="D61" s="95">
        <v>150000</v>
      </c>
      <c r="E61" t="s">
        <v>319</v>
      </c>
      <c r="F61" s="108" t="s">
        <v>108</v>
      </c>
    </row>
    <row r="62" spans="1:6" x14ac:dyDescent="0.3">
      <c r="A62" s="38">
        <v>46120</v>
      </c>
      <c r="B62" t="s">
        <v>221</v>
      </c>
      <c r="C62" s="95">
        <v>150000</v>
      </c>
      <c r="D62" s="95"/>
      <c r="E62" t="s">
        <v>319</v>
      </c>
      <c r="F62" s="108" t="s">
        <v>108</v>
      </c>
    </row>
    <row r="63" spans="1:6" x14ac:dyDescent="0.3">
      <c r="A63" s="38">
        <v>46120</v>
      </c>
      <c r="B63" t="s">
        <v>219</v>
      </c>
      <c r="C63" s="95"/>
      <c r="D63" s="95">
        <v>30000</v>
      </c>
      <c r="E63" t="s">
        <v>320</v>
      </c>
      <c r="F63" s="108" t="s">
        <v>108</v>
      </c>
    </row>
    <row r="64" spans="1:6" x14ac:dyDescent="0.3">
      <c r="A64" s="38">
        <v>46120</v>
      </c>
      <c r="B64" t="s">
        <v>55</v>
      </c>
      <c r="C64" s="95">
        <v>1600</v>
      </c>
      <c r="D64" s="95"/>
      <c r="F64" s="108" t="s">
        <v>108</v>
      </c>
    </row>
    <row r="65" spans="1:6" x14ac:dyDescent="0.3">
      <c r="A65" s="38">
        <v>46120</v>
      </c>
      <c r="B65" t="s">
        <v>54</v>
      </c>
      <c r="C65" s="95">
        <v>5305</v>
      </c>
      <c r="D65" s="95"/>
      <c r="E65" t="s">
        <v>321</v>
      </c>
      <c r="F65" s="108" t="s">
        <v>108</v>
      </c>
    </row>
    <row r="66" spans="1:6" x14ac:dyDescent="0.3">
      <c r="A66" s="38">
        <v>46120</v>
      </c>
      <c r="B66" t="s">
        <v>55</v>
      </c>
      <c r="C66" s="95">
        <v>15673</v>
      </c>
      <c r="D66" s="95"/>
      <c r="E66" t="s">
        <v>322</v>
      </c>
      <c r="F66" s="108" t="s">
        <v>108</v>
      </c>
    </row>
    <row r="67" spans="1:6" x14ac:dyDescent="0.3">
      <c r="A67" s="38">
        <v>46120</v>
      </c>
      <c r="B67" t="s">
        <v>55</v>
      </c>
      <c r="C67" s="95">
        <v>400</v>
      </c>
      <c r="D67" s="95"/>
      <c r="F67" s="108" t="s">
        <v>108</v>
      </c>
    </row>
    <row r="68" spans="1:6" x14ac:dyDescent="0.3">
      <c r="A68" s="38">
        <v>46120</v>
      </c>
      <c r="B68" t="s">
        <v>219</v>
      </c>
      <c r="C68" s="95"/>
      <c r="D68" s="95">
        <v>74380</v>
      </c>
      <c r="E68" t="s">
        <v>175</v>
      </c>
      <c r="F68" s="108" t="s">
        <v>108</v>
      </c>
    </row>
    <row r="69" spans="1:6" x14ac:dyDescent="0.3">
      <c r="A69" s="38">
        <v>46120</v>
      </c>
      <c r="B69" t="s">
        <v>175</v>
      </c>
      <c r="C69" s="11">
        <v>74380</v>
      </c>
      <c r="D69" s="11"/>
      <c r="E69" t="s">
        <v>256</v>
      </c>
      <c r="F69" s="108" t="s">
        <v>108</v>
      </c>
    </row>
    <row r="70" spans="1:6" x14ac:dyDescent="0.3">
      <c r="A70" s="38">
        <v>46120</v>
      </c>
      <c r="B70" t="s">
        <v>54</v>
      </c>
      <c r="C70" s="11">
        <v>2800</v>
      </c>
      <c r="D70" s="11"/>
      <c r="E70" t="s">
        <v>323</v>
      </c>
      <c r="F70" s="108" t="s">
        <v>108</v>
      </c>
    </row>
    <row r="71" spans="1:6" x14ac:dyDescent="0.3">
      <c r="A71" s="38">
        <v>46120</v>
      </c>
      <c r="B71" t="s">
        <v>55</v>
      </c>
      <c r="C71" s="11">
        <v>6800</v>
      </c>
      <c r="D71" s="11"/>
      <c r="E71" t="s">
        <v>325</v>
      </c>
      <c r="F71" s="108" t="s">
        <v>108</v>
      </c>
    </row>
    <row r="72" spans="1:6" x14ac:dyDescent="0.3">
      <c r="A72" s="38">
        <v>46120</v>
      </c>
      <c r="B72" t="s">
        <v>246</v>
      </c>
      <c r="C72" s="11">
        <v>15000</v>
      </c>
      <c r="D72" s="11"/>
      <c r="E72" t="s">
        <v>326</v>
      </c>
      <c r="F72" s="108" t="s">
        <v>108</v>
      </c>
    </row>
    <row r="73" spans="1:6" x14ac:dyDescent="0.3">
      <c r="A73" s="38">
        <v>46120</v>
      </c>
      <c r="B73" t="s">
        <v>221</v>
      </c>
      <c r="C73" s="11">
        <v>50000</v>
      </c>
      <c r="D73" s="11"/>
      <c r="E73" t="s">
        <v>328</v>
      </c>
      <c r="F73" s="108" t="s">
        <v>108</v>
      </c>
    </row>
    <row r="74" spans="1:6" x14ac:dyDescent="0.3">
      <c r="A74" s="38">
        <v>46120</v>
      </c>
      <c r="B74" t="s">
        <v>219</v>
      </c>
      <c r="C74" s="11"/>
      <c r="D74" s="11">
        <v>50000</v>
      </c>
      <c r="E74" t="s">
        <v>328</v>
      </c>
      <c r="F74" s="108" t="s">
        <v>108</v>
      </c>
    </row>
    <row r="75" spans="1:6" x14ac:dyDescent="0.3">
      <c r="A75" s="38">
        <v>46121</v>
      </c>
      <c r="B75" t="s">
        <v>55</v>
      </c>
      <c r="C75" s="11">
        <v>1300</v>
      </c>
      <c r="D75" s="11"/>
      <c r="F75" s="108" t="s">
        <v>108</v>
      </c>
    </row>
    <row r="76" spans="1:6" x14ac:dyDescent="0.3">
      <c r="A76" s="38">
        <v>46121</v>
      </c>
      <c r="B76" t="s">
        <v>251</v>
      </c>
      <c r="C76" s="11">
        <v>34336</v>
      </c>
      <c r="D76" s="11"/>
      <c r="E76" t="s">
        <v>324</v>
      </c>
      <c r="F76" s="108" t="s">
        <v>108</v>
      </c>
    </row>
    <row r="77" spans="1:6" x14ac:dyDescent="0.3">
      <c r="A77" s="111">
        <v>46121</v>
      </c>
      <c r="B77" t="s">
        <v>244</v>
      </c>
      <c r="C77" s="11">
        <v>3500</v>
      </c>
      <c r="D77" s="11"/>
      <c r="F77" s="108" t="s">
        <v>108</v>
      </c>
    </row>
    <row r="78" spans="1:6" x14ac:dyDescent="0.3">
      <c r="A78" s="111">
        <v>46121</v>
      </c>
      <c r="B78" t="s">
        <v>211</v>
      </c>
      <c r="C78" s="11"/>
      <c r="D78" s="11">
        <v>34336</v>
      </c>
      <c r="E78" t="s">
        <v>251</v>
      </c>
      <c r="F78" s="108" t="s">
        <v>108</v>
      </c>
    </row>
    <row r="79" spans="1:6" x14ac:dyDescent="0.3">
      <c r="A79" s="111">
        <v>46121</v>
      </c>
      <c r="B79" t="s">
        <v>175</v>
      </c>
      <c r="C79" s="11">
        <v>27000</v>
      </c>
      <c r="D79" s="11"/>
      <c r="E79" t="s">
        <v>327</v>
      </c>
      <c r="F79" s="108" t="s">
        <v>108</v>
      </c>
    </row>
    <row r="80" spans="1:6" x14ac:dyDescent="0.3">
      <c r="A80" s="111">
        <v>46121</v>
      </c>
      <c r="B80" t="s">
        <v>219</v>
      </c>
      <c r="C80" s="11"/>
      <c r="D80" s="11">
        <v>27000</v>
      </c>
      <c r="E80" t="s">
        <v>175</v>
      </c>
      <c r="F80" s="108" t="s">
        <v>108</v>
      </c>
    </row>
    <row r="81" spans="1:6" x14ac:dyDescent="0.3">
      <c r="A81" s="111">
        <v>46121</v>
      </c>
      <c r="B81" t="s">
        <v>219</v>
      </c>
      <c r="C81" s="11"/>
      <c r="D81" s="11">
        <v>1000000</v>
      </c>
      <c r="E81" t="s">
        <v>271</v>
      </c>
      <c r="F81" s="108" t="s">
        <v>108</v>
      </c>
    </row>
    <row r="82" spans="1:6" x14ac:dyDescent="0.3">
      <c r="A82" s="111">
        <v>46121</v>
      </c>
      <c r="B82" t="s">
        <v>219</v>
      </c>
      <c r="C82" s="11"/>
      <c r="D82" s="11">
        <v>45000</v>
      </c>
      <c r="E82" t="s">
        <v>271</v>
      </c>
      <c r="F82" s="108" t="s">
        <v>108</v>
      </c>
    </row>
    <row r="83" spans="1:6" x14ac:dyDescent="0.3">
      <c r="A83" s="111">
        <v>46121</v>
      </c>
      <c r="B83" t="s">
        <v>253</v>
      </c>
      <c r="C83" s="11"/>
      <c r="D83" s="11"/>
      <c r="E83" t="s">
        <v>353</v>
      </c>
      <c r="F83" s="108" t="s">
        <v>108</v>
      </c>
    </row>
    <row r="84" spans="1:6" x14ac:dyDescent="0.3">
      <c r="A84" s="111">
        <v>46121</v>
      </c>
      <c r="B84" t="s">
        <v>253</v>
      </c>
      <c r="C84" s="11"/>
      <c r="D84" s="11"/>
      <c r="E84" t="s">
        <v>262</v>
      </c>
      <c r="F84" s="108" t="s">
        <v>108</v>
      </c>
    </row>
    <row r="85" spans="1:6" x14ac:dyDescent="0.3">
      <c r="A85" s="111">
        <v>46121</v>
      </c>
      <c r="B85" t="s">
        <v>253</v>
      </c>
      <c r="C85" s="11"/>
      <c r="D85" s="11"/>
      <c r="E85" t="s">
        <v>288</v>
      </c>
      <c r="F85" s="108" t="s">
        <v>108</v>
      </c>
    </row>
    <row r="86" spans="1:6" x14ac:dyDescent="0.3">
      <c r="A86" s="111">
        <v>46122</v>
      </c>
      <c r="B86" t="s">
        <v>219</v>
      </c>
      <c r="C86" s="11"/>
      <c r="D86" s="11">
        <v>62000</v>
      </c>
      <c r="E86" t="s">
        <v>329</v>
      </c>
      <c r="F86" s="108" t="s">
        <v>108</v>
      </c>
    </row>
    <row r="87" spans="1:6" x14ac:dyDescent="0.3">
      <c r="A87" s="111">
        <v>46122</v>
      </c>
      <c r="B87" t="s">
        <v>55</v>
      </c>
      <c r="C87" s="11">
        <v>2200</v>
      </c>
      <c r="D87" s="11"/>
      <c r="F87" s="108" t="s">
        <v>108</v>
      </c>
    </row>
    <row r="88" spans="1:6" x14ac:dyDescent="0.3">
      <c r="A88" s="111">
        <v>46122</v>
      </c>
      <c r="B88" t="s">
        <v>55</v>
      </c>
      <c r="C88" s="11">
        <v>30000</v>
      </c>
      <c r="D88" s="11"/>
      <c r="E88" t="s">
        <v>330</v>
      </c>
      <c r="F88" s="108" t="s">
        <v>108</v>
      </c>
    </row>
    <row r="89" spans="1:6" x14ac:dyDescent="0.3">
      <c r="A89" s="111">
        <v>46122</v>
      </c>
      <c r="B89" t="s">
        <v>331</v>
      </c>
      <c r="C89" s="11">
        <v>50000</v>
      </c>
      <c r="D89" s="11"/>
      <c r="E89" t="s">
        <v>332</v>
      </c>
      <c r="F89" s="108" t="s">
        <v>108</v>
      </c>
    </row>
    <row r="90" spans="1:6" x14ac:dyDescent="0.3">
      <c r="A90" s="111">
        <v>46122</v>
      </c>
      <c r="B90" t="s">
        <v>219</v>
      </c>
      <c r="C90" s="11"/>
      <c r="D90" s="11">
        <v>77000</v>
      </c>
      <c r="E90" t="s">
        <v>320</v>
      </c>
      <c r="F90" s="108" t="s">
        <v>108</v>
      </c>
    </row>
    <row r="91" spans="1:6" x14ac:dyDescent="0.3">
      <c r="A91" s="111">
        <v>46122</v>
      </c>
      <c r="B91" t="s">
        <v>54</v>
      </c>
      <c r="C91" s="11">
        <v>3044</v>
      </c>
      <c r="D91" s="11"/>
      <c r="E91" t="s">
        <v>333</v>
      </c>
      <c r="F91" s="108" t="s">
        <v>108</v>
      </c>
    </row>
    <row r="92" spans="1:6" x14ac:dyDescent="0.3">
      <c r="A92" s="111">
        <v>46122</v>
      </c>
      <c r="B92" t="s">
        <v>253</v>
      </c>
      <c r="C92" s="11"/>
      <c r="D92" s="11"/>
      <c r="E92" t="s">
        <v>334</v>
      </c>
      <c r="F92" s="108" t="s">
        <v>108</v>
      </c>
    </row>
    <row r="93" spans="1:6" x14ac:dyDescent="0.3">
      <c r="A93" s="111">
        <v>46122</v>
      </c>
      <c r="B93" t="s">
        <v>55</v>
      </c>
      <c r="C93" s="11">
        <v>1200</v>
      </c>
      <c r="D93" s="11"/>
      <c r="F93" s="108" t="s">
        <v>108</v>
      </c>
    </row>
    <row r="94" spans="1:6" x14ac:dyDescent="0.3">
      <c r="A94" s="111">
        <v>46122</v>
      </c>
      <c r="B94" t="s">
        <v>244</v>
      </c>
      <c r="C94" s="11">
        <v>600</v>
      </c>
      <c r="D94" s="11"/>
      <c r="F94" s="108" t="s">
        <v>108</v>
      </c>
    </row>
    <row r="95" spans="1:6" x14ac:dyDescent="0.3">
      <c r="A95" s="111">
        <v>46122</v>
      </c>
      <c r="B95" t="s">
        <v>54</v>
      </c>
      <c r="C95" s="95">
        <v>7636.4</v>
      </c>
      <c r="D95" s="95"/>
      <c r="E95" t="s">
        <v>254</v>
      </c>
      <c r="F95" s="108" t="s">
        <v>108</v>
      </c>
    </row>
    <row r="96" spans="1:6" x14ac:dyDescent="0.3">
      <c r="A96" s="111">
        <v>46122</v>
      </c>
      <c r="B96" t="s">
        <v>219</v>
      </c>
      <c r="C96" s="95"/>
      <c r="D96" s="95">
        <v>50000</v>
      </c>
      <c r="E96" t="s">
        <v>285</v>
      </c>
      <c r="F96" s="108" t="s">
        <v>108</v>
      </c>
    </row>
    <row r="97" spans="1:13" x14ac:dyDescent="0.3">
      <c r="A97" s="111">
        <v>46122</v>
      </c>
      <c r="B97" t="s">
        <v>253</v>
      </c>
      <c r="C97" s="95"/>
      <c r="D97" s="95"/>
      <c r="E97" t="s">
        <v>270</v>
      </c>
      <c r="F97" s="108" t="s">
        <v>108</v>
      </c>
    </row>
    <row r="98" spans="1:13" x14ac:dyDescent="0.3">
      <c r="A98" s="111">
        <v>46122</v>
      </c>
      <c r="B98" t="s">
        <v>253</v>
      </c>
      <c r="C98" s="95"/>
      <c r="D98" s="95"/>
      <c r="E98" t="s">
        <v>351</v>
      </c>
      <c r="F98" s="108" t="s">
        <v>108</v>
      </c>
    </row>
    <row r="99" spans="1:13" x14ac:dyDescent="0.3">
      <c r="A99" s="111">
        <v>46123</v>
      </c>
      <c r="B99" t="s">
        <v>367</v>
      </c>
      <c r="C99" s="95"/>
      <c r="D99" s="95">
        <v>5965</v>
      </c>
      <c r="E99" t="s">
        <v>54</v>
      </c>
      <c r="F99" s="108" t="s">
        <v>108</v>
      </c>
    </row>
    <row r="100" spans="1:13" x14ac:dyDescent="0.3">
      <c r="A100" s="111">
        <v>46123</v>
      </c>
      <c r="B100" t="s">
        <v>54</v>
      </c>
      <c r="C100" s="95">
        <v>5965</v>
      </c>
      <c r="D100" s="95"/>
      <c r="E100" t="s">
        <v>174</v>
      </c>
      <c r="F100" s="108" t="s">
        <v>108</v>
      </c>
    </row>
    <row r="101" spans="1:13" x14ac:dyDescent="0.3">
      <c r="A101" s="111">
        <v>46123</v>
      </c>
      <c r="B101" t="s">
        <v>220</v>
      </c>
      <c r="C101" s="11">
        <v>4471</v>
      </c>
      <c r="D101" s="11"/>
      <c r="E101" t="s">
        <v>283</v>
      </c>
      <c r="F101" s="108" t="s">
        <v>108</v>
      </c>
    </row>
    <row r="102" spans="1:13" x14ac:dyDescent="0.3">
      <c r="A102" s="111">
        <v>46123</v>
      </c>
      <c r="B102" t="s">
        <v>54</v>
      </c>
      <c r="C102" s="11">
        <v>1500</v>
      </c>
      <c r="D102" s="11"/>
      <c r="E102" t="s">
        <v>323</v>
      </c>
      <c r="F102" s="108" t="s">
        <v>108</v>
      </c>
    </row>
    <row r="103" spans="1:13" x14ac:dyDescent="0.3">
      <c r="A103" s="111">
        <v>46123</v>
      </c>
      <c r="B103" t="s">
        <v>35</v>
      </c>
      <c r="C103" s="11"/>
      <c r="D103" s="11">
        <v>400000</v>
      </c>
      <c r="E103" t="s">
        <v>335</v>
      </c>
      <c r="F103" s="108" t="s">
        <v>108</v>
      </c>
    </row>
    <row r="104" spans="1:13" x14ac:dyDescent="0.3">
      <c r="A104" s="111">
        <v>46123</v>
      </c>
      <c r="B104" t="s">
        <v>168</v>
      </c>
      <c r="C104" s="11">
        <v>200200</v>
      </c>
      <c r="D104" s="11"/>
      <c r="E104" t="s">
        <v>336</v>
      </c>
      <c r="F104" s="108" t="s">
        <v>108</v>
      </c>
    </row>
    <row r="105" spans="1:13" x14ac:dyDescent="0.3">
      <c r="A105" s="38">
        <v>46123</v>
      </c>
      <c r="B105" t="s">
        <v>253</v>
      </c>
      <c r="C105" s="11"/>
      <c r="D105" s="11"/>
      <c r="E105" t="s">
        <v>252</v>
      </c>
      <c r="F105" s="108" t="s">
        <v>108</v>
      </c>
      <c r="I105">
        <v>15400</v>
      </c>
      <c r="K105">
        <v>4300</v>
      </c>
      <c r="L105">
        <v>4300</v>
      </c>
      <c r="M105">
        <v>4300</v>
      </c>
    </row>
    <row r="106" spans="1:13" x14ac:dyDescent="0.3">
      <c r="A106" s="38">
        <v>46123</v>
      </c>
      <c r="B106" t="s">
        <v>54</v>
      </c>
      <c r="C106" s="11">
        <v>6000</v>
      </c>
      <c r="D106" s="11"/>
      <c r="E106" t="s">
        <v>337</v>
      </c>
      <c r="F106" s="108" t="s">
        <v>108</v>
      </c>
      <c r="I106">
        <v>4300</v>
      </c>
      <c r="K106">
        <v>1200</v>
      </c>
      <c r="L106">
        <v>1200</v>
      </c>
      <c r="M106">
        <v>1200</v>
      </c>
    </row>
    <row r="107" spans="1:13" x14ac:dyDescent="0.3">
      <c r="A107" s="111">
        <v>46123</v>
      </c>
      <c r="B107" t="s">
        <v>211</v>
      </c>
      <c r="C107" s="11">
        <v>1490</v>
      </c>
      <c r="D107" s="11"/>
      <c r="F107" s="108" t="s">
        <v>108</v>
      </c>
      <c r="I107">
        <v>13400</v>
      </c>
      <c r="K107">
        <v>22700</v>
      </c>
      <c r="L107">
        <v>22700</v>
      </c>
      <c r="M107">
        <v>22700</v>
      </c>
    </row>
    <row r="108" spans="1:13" x14ac:dyDescent="0.3">
      <c r="A108" s="111">
        <v>46124</v>
      </c>
      <c r="B108" t="s">
        <v>55</v>
      </c>
      <c r="C108" s="11">
        <v>4500</v>
      </c>
      <c r="D108" s="11"/>
      <c r="F108" s="108" t="s">
        <v>108</v>
      </c>
      <c r="I108">
        <v>14900</v>
      </c>
      <c r="K108">
        <v>15000</v>
      </c>
      <c r="L108">
        <v>15000</v>
      </c>
      <c r="M108">
        <v>15000</v>
      </c>
    </row>
    <row r="109" spans="1:13" x14ac:dyDescent="0.3">
      <c r="A109" s="111">
        <v>46124</v>
      </c>
      <c r="B109" t="s">
        <v>331</v>
      </c>
      <c r="C109" s="11">
        <v>100000</v>
      </c>
      <c r="D109" s="11"/>
      <c r="E109" t="s">
        <v>338</v>
      </c>
      <c r="F109" s="108" t="s">
        <v>108</v>
      </c>
      <c r="I109">
        <v>15000</v>
      </c>
      <c r="K109">
        <v>15150</v>
      </c>
      <c r="L109">
        <v>15150</v>
      </c>
      <c r="M109">
        <v>15150</v>
      </c>
    </row>
    <row r="110" spans="1:13" x14ac:dyDescent="0.3">
      <c r="A110" s="111">
        <v>46124</v>
      </c>
      <c r="B110" t="s">
        <v>219</v>
      </c>
      <c r="C110" s="11"/>
      <c r="D110" s="11">
        <v>40000</v>
      </c>
      <c r="E110" t="s">
        <v>339</v>
      </c>
      <c r="F110" s="108" t="s">
        <v>108</v>
      </c>
      <c r="I110">
        <v>11650</v>
      </c>
      <c r="K110">
        <v>22400</v>
      </c>
      <c r="L110">
        <v>22400</v>
      </c>
      <c r="M110">
        <v>22400</v>
      </c>
    </row>
    <row r="111" spans="1:13" x14ac:dyDescent="0.3">
      <c r="A111" s="111">
        <v>46124</v>
      </c>
      <c r="B111" t="s">
        <v>221</v>
      </c>
      <c r="C111" s="11">
        <v>100000</v>
      </c>
      <c r="D111" s="11"/>
      <c r="E111" t="s">
        <v>340</v>
      </c>
      <c r="F111" s="108" t="s">
        <v>108</v>
      </c>
      <c r="I111">
        <v>22700</v>
      </c>
      <c r="K111">
        <v>25000</v>
      </c>
      <c r="L111">
        <v>25000</v>
      </c>
      <c r="M111">
        <v>25000</v>
      </c>
    </row>
    <row r="112" spans="1:13" x14ac:dyDescent="0.3">
      <c r="A112" s="38">
        <v>46124</v>
      </c>
      <c r="B112" t="s">
        <v>55</v>
      </c>
      <c r="C112" s="11">
        <v>1600</v>
      </c>
      <c r="D112" s="11"/>
      <c r="F112" s="108" t="s">
        <v>108</v>
      </c>
      <c r="I112">
        <v>17000</v>
      </c>
      <c r="K112">
        <v>20880</v>
      </c>
      <c r="L112">
        <v>20880</v>
      </c>
      <c r="M112">
        <v>20880</v>
      </c>
    </row>
    <row r="113" spans="1:13" x14ac:dyDescent="0.3">
      <c r="A113" s="38">
        <v>46124</v>
      </c>
      <c r="B113" t="s">
        <v>55</v>
      </c>
      <c r="C113" s="11">
        <v>5040</v>
      </c>
      <c r="D113" s="11"/>
      <c r="F113" s="108" t="s">
        <v>108</v>
      </c>
      <c r="I113">
        <v>15000</v>
      </c>
      <c r="K113">
        <v>20000</v>
      </c>
      <c r="L113">
        <v>20000</v>
      </c>
      <c r="M113">
        <v>20000</v>
      </c>
    </row>
    <row r="114" spans="1:13" x14ac:dyDescent="0.3">
      <c r="A114" s="38">
        <v>46124</v>
      </c>
      <c r="B114" t="s">
        <v>211</v>
      </c>
      <c r="C114" s="11"/>
      <c r="D114" s="11">
        <v>5040</v>
      </c>
      <c r="E114" t="s">
        <v>344</v>
      </c>
      <c r="F114" s="108" t="s">
        <v>108</v>
      </c>
      <c r="I114">
        <v>1200</v>
      </c>
      <c r="K114">
        <v>150000</v>
      </c>
      <c r="L114">
        <v>150000</v>
      </c>
      <c r="M114">
        <v>150000</v>
      </c>
    </row>
    <row r="115" spans="1:13" x14ac:dyDescent="0.3">
      <c r="A115" s="38">
        <v>46124</v>
      </c>
      <c r="B115" t="s">
        <v>219</v>
      </c>
      <c r="C115" s="11"/>
      <c r="D115" s="11">
        <v>10000</v>
      </c>
      <c r="E115" t="s">
        <v>341</v>
      </c>
      <c r="F115" s="108" t="s">
        <v>108</v>
      </c>
      <c r="I115">
        <v>25600</v>
      </c>
      <c r="K115">
        <v>45200</v>
      </c>
      <c r="L115">
        <v>45200</v>
      </c>
      <c r="M115">
        <v>45200</v>
      </c>
    </row>
    <row r="116" spans="1:13" x14ac:dyDescent="0.3">
      <c r="A116" s="38">
        <v>46124</v>
      </c>
      <c r="B116" t="s">
        <v>54</v>
      </c>
      <c r="C116" s="11">
        <v>7392</v>
      </c>
      <c r="D116" s="11"/>
      <c r="E116" t="s">
        <v>342</v>
      </c>
      <c r="F116" s="108" t="s">
        <v>108</v>
      </c>
      <c r="I116">
        <v>15300</v>
      </c>
      <c r="K116">
        <v>44800</v>
      </c>
      <c r="L116">
        <v>44800</v>
      </c>
      <c r="M116">
        <v>44800</v>
      </c>
    </row>
    <row r="117" spans="1:13" x14ac:dyDescent="0.3">
      <c r="A117" s="38">
        <v>46125</v>
      </c>
      <c r="B117" t="s">
        <v>9</v>
      </c>
      <c r="C117" s="11"/>
      <c r="D117" s="11">
        <v>100000</v>
      </c>
      <c r="E117" t="s">
        <v>356</v>
      </c>
      <c r="F117" s="108" t="s">
        <v>108</v>
      </c>
      <c r="I117">
        <v>16650</v>
      </c>
      <c r="K117">
        <v>5200</v>
      </c>
      <c r="L117">
        <v>5200</v>
      </c>
      <c r="M117">
        <v>5200</v>
      </c>
    </row>
    <row r="118" spans="1:13" x14ac:dyDescent="0.3">
      <c r="A118" s="38">
        <v>46125</v>
      </c>
      <c r="B118" t="s">
        <v>55</v>
      </c>
      <c r="C118" s="11">
        <v>1000</v>
      </c>
      <c r="D118" s="11"/>
      <c r="F118" s="108" t="s">
        <v>108</v>
      </c>
      <c r="I118">
        <v>20000</v>
      </c>
      <c r="K118">
        <v>39400</v>
      </c>
      <c r="L118">
        <v>39400</v>
      </c>
      <c r="M118">
        <v>39400</v>
      </c>
    </row>
    <row r="119" spans="1:13" x14ac:dyDescent="0.3">
      <c r="A119" s="38">
        <v>46125</v>
      </c>
      <c r="B119" t="s">
        <v>357</v>
      </c>
      <c r="C119" s="95">
        <v>65310</v>
      </c>
      <c r="D119" s="95"/>
      <c r="E119" t="s">
        <v>358</v>
      </c>
      <c r="F119" s="108" t="s">
        <v>108</v>
      </c>
      <c r="I119">
        <v>5200</v>
      </c>
      <c r="K119">
        <v>21600</v>
      </c>
      <c r="L119">
        <v>21600</v>
      </c>
      <c r="M119">
        <v>21600</v>
      </c>
    </row>
    <row r="120" spans="1:13" x14ac:dyDescent="0.3">
      <c r="A120" s="38">
        <v>46125</v>
      </c>
      <c r="B120" t="s">
        <v>211</v>
      </c>
      <c r="C120" s="95"/>
      <c r="D120" s="95">
        <v>70000</v>
      </c>
      <c r="E120" t="s">
        <v>359</v>
      </c>
      <c r="F120" s="108" t="s">
        <v>108</v>
      </c>
      <c r="I120">
        <v>46400</v>
      </c>
      <c r="K120">
        <v>46400</v>
      </c>
      <c r="L120">
        <v>46400</v>
      </c>
      <c r="M120">
        <v>46400</v>
      </c>
    </row>
    <row r="121" spans="1:13" x14ac:dyDescent="0.3">
      <c r="A121" s="111">
        <v>46125</v>
      </c>
      <c r="B121" t="s">
        <v>221</v>
      </c>
      <c r="C121" s="95">
        <v>100000</v>
      </c>
      <c r="D121" s="95"/>
      <c r="E121" t="s">
        <v>360</v>
      </c>
      <c r="F121" s="108" t="s">
        <v>108</v>
      </c>
      <c r="I121">
        <v>16300</v>
      </c>
      <c r="K121">
        <v>8400</v>
      </c>
      <c r="L121">
        <v>8400</v>
      </c>
      <c r="M121">
        <v>8400</v>
      </c>
    </row>
    <row r="122" spans="1:13" x14ac:dyDescent="0.3">
      <c r="A122" s="111">
        <v>46125</v>
      </c>
      <c r="B122" t="s">
        <v>54</v>
      </c>
      <c r="C122" s="95">
        <v>3920</v>
      </c>
      <c r="D122" s="95"/>
      <c r="F122" s="108" t="s">
        <v>108</v>
      </c>
      <c r="I122">
        <v>21700</v>
      </c>
      <c r="K122">
        <v>35000</v>
      </c>
      <c r="L122">
        <v>35000</v>
      </c>
      <c r="M122">
        <v>35000</v>
      </c>
    </row>
    <row r="123" spans="1:13" x14ac:dyDescent="0.3">
      <c r="A123" s="111">
        <v>46125</v>
      </c>
      <c r="B123" t="s">
        <v>168</v>
      </c>
      <c r="C123" s="95">
        <v>1000</v>
      </c>
      <c r="D123" s="95"/>
      <c r="E123" t="s">
        <v>265</v>
      </c>
      <c r="F123" s="108" t="s">
        <v>108</v>
      </c>
      <c r="I123">
        <v>6000</v>
      </c>
      <c r="K123">
        <v>80000</v>
      </c>
      <c r="L123">
        <v>80000</v>
      </c>
      <c r="M123">
        <v>80000</v>
      </c>
    </row>
    <row r="124" spans="1:13" x14ac:dyDescent="0.3">
      <c r="A124" s="111">
        <v>46125</v>
      </c>
      <c r="B124" t="s">
        <v>168</v>
      </c>
      <c r="C124" s="95">
        <v>10000</v>
      </c>
      <c r="D124" s="95"/>
      <c r="E124" t="s">
        <v>361</v>
      </c>
      <c r="F124" s="108" t="s">
        <v>108</v>
      </c>
      <c r="I124">
        <v>45000</v>
      </c>
      <c r="K124">
        <v>9500</v>
      </c>
      <c r="L124">
        <v>9500</v>
      </c>
      <c r="M124">
        <v>9500</v>
      </c>
    </row>
    <row r="125" spans="1:13" x14ac:dyDescent="0.3">
      <c r="A125" s="111">
        <v>46125</v>
      </c>
      <c r="B125" t="s">
        <v>191</v>
      </c>
      <c r="C125" s="95"/>
      <c r="D125" s="95">
        <v>28000</v>
      </c>
      <c r="E125" t="s">
        <v>380</v>
      </c>
      <c r="F125" s="108" t="s">
        <v>108</v>
      </c>
      <c r="I125">
        <v>21600</v>
      </c>
      <c r="K125">
        <v>34000</v>
      </c>
      <c r="L125">
        <v>34000</v>
      </c>
      <c r="M125">
        <v>34000</v>
      </c>
    </row>
    <row r="126" spans="1:13" x14ac:dyDescent="0.3">
      <c r="A126" s="111">
        <v>46125</v>
      </c>
      <c r="B126" t="s">
        <v>54</v>
      </c>
      <c r="C126" s="95">
        <v>1700</v>
      </c>
      <c r="D126" s="95"/>
      <c r="E126" t="s">
        <v>362</v>
      </c>
      <c r="F126" s="108" t="s">
        <v>108</v>
      </c>
      <c r="I126">
        <v>39400</v>
      </c>
      <c r="K126">
        <v>21700</v>
      </c>
      <c r="L126">
        <v>21700</v>
      </c>
      <c r="M126">
        <v>21700</v>
      </c>
    </row>
    <row r="127" spans="1:13" x14ac:dyDescent="0.3">
      <c r="A127" s="111">
        <v>46125</v>
      </c>
      <c r="B127" t="s">
        <v>175</v>
      </c>
      <c r="C127" s="95">
        <v>98950</v>
      </c>
      <c r="D127" s="95"/>
      <c r="E127" t="s">
        <v>363</v>
      </c>
      <c r="F127" s="108" t="s">
        <v>108</v>
      </c>
      <c r="I127">
        <v>8400</v>
      </c>
      <c r="K127">
        <v>17000</v>
      </c>
      <c r="L127">
        <v>17000</v>
      </c>
      <c r="M127">
        <v>17000</v>
      </c>
    </row>
    <row r="128" spans="1:13" x14ac:dyDescent="0.3">
      <c r="A128" s="111">
        <v>46125</v>
      </c>
      <c r="B128" t="s">
        <v>219</v>
      </c>
      <c r="C128" s="95"/>
      <c r="D128" s="95">
        <v>100000</v>
      </c>
      <c r="E128" t="s">
        <v>175</v>
      </c>
      <c r="F128" s="108" t="s">
        <v>108</v>
      </c>
      <c r="I128">
        <v>45200</v>
      </c>
      <c r="K128">
        <v>25600</v>
      </c>
      <c r="L128">
        <v>25600</v>
      </c>
      <c r="M128">
        <v>25600</v>
      </c>
    </row>
    <row r="129" spans="1:13" x14ac:dyDescent="0.3">
      <c r="A129" s="111">
        <v>46126</v>
      </c>
      <c r="B129" t="s">
        <v>55</v>
      </c>
      <c r="C129" s="11">
        <v>2600</v>
      </c>
      <c r="D129" s="11"/>
      <c r="F129" s="108" t="s">
        <v>108</v>
      </c>
      <c r="I129">
        <v>34000</v>
      </c>
      <c r="K129">
        <v>14900</v>
      </c>
      <c r="L129">
        <v>14900</v>
      </c>
      <c r="M129">
        <v>14900</v>
      </c>
    </row>
    <row r="130" spans="1:13" x14ac:dyDescent="0.3">
      <c r="A130" s="38">
        <v>46126</v>
      </c>
      <c r="B130" t="s">
        <v>244</v>
      </c>
      <c r="C130" s="11">
        <v>500</v>
      </c>
      <c r="D130" s="11"/>
      <c r="F130" s="108"/>
      <c r="I130">
        <v>22400</v>
      </c>
      <c r="K130">
        <v>11650</v>
      </c>
      <c r="L130">
        <v>11650</v>
      </c>
      <c r="M130">
        <v>11650</v>
      </c>
    </row>
    <row r="131" spans="1:13" x14ac:dyDescent="0.3">
      <c r="A131" s="111">
        <v>46126</v>
      </c>
      <c r="B131" t="s">
        <v>35</v>
      </c>
      <c r="C131" s="95"/>
      <c r="D131" s="95">
        <v>200000</v>
      </c>
      <c r="E131" t="s">
        <v>355</v>
      </c>
      <c r="F131" s="108" t="s">
        <v>108</v>
      </c>
      <c r="I131">
        <v>5700</v>
      </c>
      <c r="K131">
        <v>15300</v>
      </c>
      <c r="L131">
        <v>15400</v>
      </c>
      <c r="M131">
        <v>15400</v>
      </c>
    </row>
    <row r="132" spans="1:13" x14ac:dyDescent="0.3">
      <c r="A132" s="38">
        <v>46126</v>
      </c>
      <c r="B132" t="s">
        <v>221</v>
      </c>
      <c r="C132" s="95">
        <v>85000</v>
      </c>
      <c r="D132" s="95"/>
      <c r="E132" t="s">
        <v>364</v>
      </c>
      <c r="F132" s="108" t="s">
        <v>108</v>
      </c>
      <c r="I132">
        <v>80000</v>
      </c>
      <c r="K132">
        <v>15000</v>
      </c>
      <c r="L132">
        <v>16300</v>
      </c>
      <c r="M132">
        <v>16300</v>
      </c>
    </row>
    <row r="133" spans="1:13" x14ac:dyDescent="0.3">
      <c r="A133" s="38">
        <v>46126</v>
      </c>
      <c r="B133" t="s">
        <v>219</v>
      </c>
      <c r="C133" s="95"/>
      <c r="D133" s="95">
        <v>85000</v>
      </c>
      <c r="E133" t="s">
        <v>365</v>
      </c>
      <c r="F133" s="108" t="s">
        <v>108</v>
      </c>
      <c r="I133">
        <v>2500</v>
      </c>
      <c r="K133">
        <v>6000</v>
      </c>
      <c r="L133">
        <v>15300</v>
      </c>
      <c r="M133">
        <v>15300</v>
      </c>
    </row>
    <row r="134" spans="1:13" x14ac:dyDescent="0.3">
      <c r="A134" s="38">
        <v>46126</v>
      </c>
      <c r="B134" t="s">
        <v>244</v>
      </c>
      <c r="C134" s="95">
        <v>2020</v>
      </c>
      <c r="D134" s="95"/>
      <c r="E134" t="s">
        <v>366</v>
      </c>
      <c r="F134" s="108" t="s">
        <v>108</v>
      </c>
      <c r="I134">
        <v>9500</v>
      </c>
      <c r="K134">
        <v>16550</v>
      </c>
      <c r="L134">
        <v>15000</v>
      </c>
      <c r="M134">
        <v>15000</v>
      </c>
    </row>
    <row r="135" spans="1:13" x14ac:dyDescent="0.3">
      <c r="A135" s="38">
        <v>46126</v>
      </c>
      <c r="B135" t="s">
        <v>367</v>
      </c>
      <c r="C135" s="95"/>
      <c r="D135" s="95">
        <v>500000</v>
      </c>
      <c r="E135" t="s">
        <v>368</v>
      </c>
      <c r="F135" s="108" t="s">
        <v>108</v>
      </c>
      <c r="I135">
        <v>20880</v>
      </c>
      <c r="K135">
        <v>13400</v>
      </c>
      <c r="L135">
        <v>6000</v>
      </c>
      <c r="M135">
        <v>6000</v>
      </c>
    </row>
    <row r="136" spans="1:13" x14ac:dyDescent="0.3">
      <c r="A136" s="111">
        <v>46126</v>
      </c>
      <c r="B136" t="s">
        <v>219</v>
      </c>
      <c r="C136" s="95">
        <v>200000</v>
      </c>
      <c r="D136" s="95"/>
      <c r="E136" t="s">
        <v>369</v>
      </c>
      <c r="F136" s="108" t="s">
        <v>108</v>
      </c>
      <c r="I136">
        <v>150000</v>
      </c>
      <c r="K136">
        <v>11650</v>
      </c>
      <c r="L136">
        <v>16550</v>
      </c>
      <c r="M136">
        <v>16550</v>
      </c>
    </row>
    <row r="137" spans="1:13" x14ac:dyDescent="0.3">
      <c r="A137" s="38">
        <v>46126</v>
      </c>
      <c r="B137" t="s">
        <v>372</v>
      </c>
      <c r="C137" s="95">
        <v>4000</v>
      </c>
      <c r="D137" s="95"/>
      <c r="E137" t="s">
        <v>289</v>
      </c>
      <c r="F137" s="108" t="s">
        <v>108</v>
      </c>
      <c r="K137">
        <v>2500</v>
      </c>
      <c r="L137">
        <v>13400</v>
      </c>
      <c r="M137">
        <v>13400</v>
      </c>
    </row>
    <row r="138" spans="1:13" x14ac:dyDescent="0.3">
      <c r="A138" s="111">
        <v>46126</v>
      </c>
      <c r="B138" t="s">
        <v>246</v>
      </c>
      <c r="C138" s="95">
        <v>3900</v>
      </c>
      <c r="D138" s="95"/>
      <c r="F138" s="108" t="s">
        <v>108</v>
      </c>
      <c r="K138">
        <v>5700</v>
      </c>
      <c r="L138">
        <v>11650</v>
      </c>
      <c r="M138">
        <v>11650</v>
      </c>
    </row>
    <row r="139" spans="1:13" x14ac:dyDescent="0.3">
      <c r="A139" s="38">
        <v>46126</v>
      </c>
      <c r="B139" t="s">
        <v>253</v>
      </c>
      <c r="C139" s="95"/>
      <c r="D139" s="95"/>
      <c r="E139" t="s">
        <v>379</v>
      </c>
      <c r="F139" s="108" t="s">
        <v>108</v>
      </c>
      <c r="L139">
        <v>2500</v>
      </c>
      <c r="M139">
        <v>2500</v>
      </c>
    </row>
    <row r="140" spans="1:13" x14ac:dyDescent="0.3">
      <c r="A140" s="38">
        <v>46127</v>
      </c>
      <c r="B140" t="s">
        <v>279</v>
      </c>
      <c r="C140" s="95"/>
      <c r="D140" s="95">
        <v>164000</v>
      </c>
      <c r="F140" s="108" t="s">
        <v>108</v>
      </c>
      <c r="L140">
        <v>5700</v>
      </c>
      <c r="M140">
        <v>5700</v>
      </c>
    </row>
    <row r="141" spans="1:13" x14ac:dyDescent="0.3">
      <c r="A141" s="38">
        <v>46127</v>
      </c>
      <c r="B141" t="s">
        <v>219</v>
      </c>
      <c r="C141" s="95">
        <v>164000</v>
      </c>
      <c r="D141" s="95"/>
      <c r="E141" t="s">
        <v>378</v>
      </c>
      <c r="F141" s="108" t="s">
        <v>108</v>
      </c>
      <c r="L141">
        <v>5000</v>
      </c>
      <c r="M141">
        <v>5000</v>
      </c>
    </row>
    <row r="142" spans="1:13" x14ac:dyDescent="0.3">
      <c r="A142" s="38">
        <v>46127</v>
      </c>
      <c r="B142" t="s">
        <v>227</v>
      </c>
      <c r="C142" s="95">
        <v>400000</v>
      </c>
      <c r="D142" s="95"/>
      <c r="E142" t="s">
        <v>370</v>
      </c>
      <c r="F142" s="108" t="s">
        <v>108</v>
      </c>
    </row>
    <row r="143" spans="1:13" x14ac:dyDescent="0.3">
      <c r="A143" s="38">
        <v>46127</v>
      </c>
      <c r="B143" t="s">
        <v>55</v>
      </c>
      <c r="C143" s="11">
        <v>3210</v>
      </c>
      <c r="D143" s="11"/>
      <c r="E143" t="s">
        <v>373</v>
      </c>
      <c r="F143" s="108" t="s">
        <v>108</v>
      </c>
    </row>
    <row r="144" spans="1:13" x14ac:dyDescent="0.3">
      <c r="A144" s="38">
        <v>46127</v>
      </c>
      <c r="B144" t="s">
        <v>221</v>
      </c>
      <c r="C144" s="11">
        <v>50000</v>
      </c>
      <c r="D144" s="11"/>
      <c r="E144" t="s">
        <v>374</v>
      </c>
      <c r="F144" s="108" t="s">
        <v>108</v>
      </c>
    </row>
    <row r="145" spans="1:6" x14ac:dyDescent="0.3">
      <c r="A145" s="38">
        <v>46127</v>
      </c>
      <c r="B145" t="s">
        <v>211</v>
      </c>
      <c r="C145" s="11">
        <v>2490</v>
      </c>
      <c r="D145" s="11"/>
      <c r="F145" s="108" t="s">
        <v>108</v>
      </c>
    </row>
    <row r="146" spans="1:6" x14ac:dyDescent="0.3">
      <c r="A146" s="38">
        <v>46127</v>
      </c>
      <c r="B146" t="s">
        <v>226</v>
      </c>
      <c r="C146" s="95"/>
      <c r="D146" s="95">
        <v>676071</v>
      </c>
      <c r="E146" t="s">
        <v>445</v>
      </c>
      <c r="F146" s="108" t="s">
        <v>108</v>
      </c>
    </row>
    <row r="147" spans="1:6" x14ac:dyDescent="0.3">
      <c r="A147" s="38">
        <v>46127</v>
      </c>
      <c r="B147" t="s">
        <v>219</v>
      </c>
      <c r="C147" s="95">
        <v>676071</v>
      </c>
      <c r="D147" s="95"/>
      <c r="E147" t="s">
        <v>446</v>
      </c>
      <c r="F147" s="108" t="s">
        <v>108</v>
      </c>
    </row>
    <row r="148" spans="1:6" x14ac:dyDescent="0.3">
      <c r="A148" s="38">
        <v>46128</v>
      </c>
      <c r="B148" t="s">
        <v>55</v>
      </c>
      <c r="C148" s="11">
        <v>27000</v>
      </c>
      <c r="D148" s="11"/>
      <c r="F148" s="108" t="s">
        <v>108</v>
      </c>
    </row>
    <row r="149" spans="1:6" x14ac:dyDescent="0.3">
      <c r="A149" s="38">
        <v>46128</v>
      </c>
      <c r="B149" t="s">
        <v>219</v>
      </c>
      <c r="C149" s="11"/>
      <c r="D149" s="11">
        <v>27000</v>
      </c>
      <c r="E149" t="s">
        <v>55</v>
      </c>
      <c r="F149" s="108" t="s">
        <v>108</v>
      </c>
    </row>
    <row r="150" spans="1:6" x14ac:dyDescent="0.3">
      <c r="A150" s="38">
        <v>46128</v>
      </c>
      <c r="B150" t="s">
        <v>55</v>
      </c>
      <c r="C150" s="95">
        <v>600</v>
      </c>
      <c r="D150" s="95"/>
      <c r="F150" s="108" t="s">
        <v>108</v>
      </c>
    </row>
    <row r="151" spans="1:6" x14ac:dyDescent="0.3">
      <c r="A151" s="111">
        <v>46128</v>
      </c>
      <c r="B151" t="s">
        <v>219</v>
      </c>
      <c r="C151" s="95"/>
      <c r="D151" s="95">
        <v>600</v>
      </c>
      <c r="F151" s="108" t="s">
        <v>108</v>
      </c>
    </row>
    <row r="152" spans="1:6" x14ac:dyDescent="0.3">
      <c r="A152" s="111">
        <v>46128</v>
      </c>
      <c r="B152" t="s">
        <v>55</v>
      </c>
      <c r="C152" s="95">
        <v>3800</v>
      </c>
      <c r="D152" s="95"/>
      <c r="F152" s="108" t="s">
        <v>108</v>
      </c>
    </row>
    <row r="153" spans="1:6" x14ac:dyDescent="0.3">
      <c r="A153" s="111">
        <v>46128</v>
      </c>
      <c r="B153" t="s">
        <v>219</v>
      </c>
      <c r="C153" s="95"/>
      <c r="D153" s="95">
        <v>3800</v>
      </c>
      <c r="F153" s="108" t="s">
        <v>108</v>
      </c>
    </row>
    <row r="154" spans="1:6" x14ac:dyDescent="0.3">
      <c r="A154" s="111">
        <v>46128</v>
      </c>
      <c r="B154" t="s">
        <v>55</v>
      </c>
      <c r="C154" s="95">
        <v>2635</v>
      </c>
      <c r="D154" s="95"/>
      <c r="F154" s="108" t="s">
        <v>108</v>
      </c>
    </row>
    <row r="155" spans="1:6" x14ac:dyDescent="0.3">
      <c r="A155" s="111">
        <v>46128</v>
      </c>
      <c r="B155" t="s">
        <v>367</v>
      </c>
      <c r="C155" s="95"/>
      <c r="D155" s="95">
        <v>400000</v>
      </c>
      <c r="E155" t="s">
        <v>375</v>
      </c>
      <c r="F155" s="108" t="s">
        <v>108</v>
      </c>
    </row>
    <row r="156" spans="1:6" x14ac:dyDescent="0.3">
      <c r="A156" s="38">
        <v>46128</v>
      </c>
      <c r="B156" t="s">
        <v>221</v>
      </c>
      <c r="C156" s="95">
        <v>200125</v>
      </c>
      <c r="D156" s="95"/>
      <c r="E156" t="s">
        <v>376</v>
      </c>
      <c r="F156" s="108" t="s">
        <v>108</v>
      </c>
    </row>
    <row r="157" spans="1:6" x14ac:dyDescent="0.3">
      <c r="A157" s="38">
        <v>46128</v>
      </c>
      <c r="B157" t="s">
        <v>168</v>
      </c>
      <c r="C157" s="95">
        <v>203000</v>
      </c>
      <c r="D157" s="95"/>
      <c r="E157" t="s">
        <v>377</v>
      </c>
      <c r="F157" s="108" t="s">
        <v>108</v>
      </c>
    </row>
    <row r="158" spans="1:6" x14ac:dyDescent="0.3">
      <c r="A158" s="38">
        <v>46128</v>
      </c>
      <c r="B158" t="s">
        <v>9</v>
      </c>
      <c r="C158" s="95"/>
      <c r="D158" s="95">
        <v>100000</v>
      </c>
      <c r="E158" t="s">
        <v>109</v>
      </c>
      <c r="F158" s="108" t="s">
        <v>108</v>
      </c>
    </row>
    <row r="159" spans="1:6" x14ac:dyDescent="0.3">
      <c r="A159" s="38">
        <v>46128</v>
      </c>
      <c r="B159" t="s">
        <v>115</v>
      </c>
      <c r="C159" s="11">
        <v>90000</v>
      </c>
      <c r="D159" s="11"/>
      <c r="F159" s="108" t="s">
        <v>108</v>
      </c>
    </row>
    <row r="160" spans="1:6" x14ac:dyDescent="0.3">
      <c r="A160" s="38">
        <v>46128</v>
      </c>
      <c r="B160" t="s">
        <v>219</v>
      </c>
      <c r="C160" s="11">
        <v>10000</v>
      </c>
      <c r="D160" s="11"/>
      <c r="E160" t="s">
        <v>381</v>
      </c>
      <c r="F160" s="108" t="s">
        <v>108</v>
      </c>
    </row>
    <row r="161" spans="1:15" x14ac:dyDescent="0.3">
      <c r="A161" s="38">
        <v>46128</v>
      </c>
      <c r="B161" t="s">
        <v>54</v>
      </c>
      <c r="C161" s="95">
        <v>7763</v>
      </c>
      <c r="D161" s="95"/>
      <c r="E161" t="s">
        <v>254</v>
      </c>
      <c r="F161" s="108" t="s">
        <v>108</v>
      </c>
    </row>
    <row r="162" spans="1:15" x14ac:dyDescent="0.3">
      <c r="A162" s="38">
        <v>46128</v>
      </c>
      <c r="B162" t="s">
        <v>116</v>
      </c>
      <c r="C162" s="11">
        <v>38800</v>
      </c>
      <c r="D162" s="11"/>
      <c r="E162" t="s">
        <v>382</v>
      </c>
      <c r="F162" s="108" t="s">
        <v>108</v>
      </c>
    </row>
    <row r="163" spans="1:15" x14ac:dyDescent="0.3">
      <c r="A163" s="38">
        <v>46128</v>
      </c>
      <c r="B163" t="s">
        <v>35</v>
      </c>
      <c r="C163" s="11"/>
      <c r="D163" s="11">
        <v>200000</v>
      </c>
      <c r="E163" t="s">
        <v>383</v>
      </c>
      <c r="F163" s="108" t="s">
        <v>108</v>
      </c>
      <c r="J163" s="3" t="s">
        <v>6</v>
      </c>
      <c r="K163" t="s">
        <v>117</v>
      </c>
      <c r="L163" t="s">
        <v>118</v>
      </c>
      <c r="N163">
        <v>32600</v>
      </c>
      <c r="O163">
        <v>32600</v>
      </c>
    </row>
    <row r="164" spans="1:15" x14ac:dyDescent="0.3">
      <c r="A164" s="38">
        <v>46128</v>
      </c>
      <c r="B164" t="s">
        <v>253</v>
      </c>
      <c r="C164" s="11"/>
      <c r="D164" s="11"/>
      <c r="E164" t="s">
        <v>262</v>
      </c>
      <c r="F164" s="108" t="s">
        <v>108</v>
      </c>
      <c r="G164" s="122"/>
      <c r="J164" s="4" t="s">
        <v>732</v>
      </c>
      <c r="K164" s="14"/>
      <c r="L164" s="14"/>
      <c r="N164">
        <v>45600</v>
      </c>
      <c r="O164">
        <v>9200</v>
      </c>
    </row>
    <row r="165" spans="1:15" x14ac:dyDescent="0.3">
      <c r="A165" s="38">
        <v>46128</v>
      </c>
      <c r="B165" t="s">
        <v>54</v>
      </c>
      <c r="C165" s="11">
        <v>3943</v>
      </c>
      <c r="D165" s="11"/>
      <c r="E165" t="s">
        <v>384</v>
      </c>
      <c r="F165" s="108" t="s">
        <v>108</v>
      </c>
      <c r="G165" s="122"/>
      <c r="J165" s="4" t="s">
        <v>733</v>
      </c>
      <c r="K165" s="14">
        <v>689345.22951719165</v>
      </c>
      <c r="L165" s="14">
        <v>1398490</v>
      </c>
      <c r="N165">
        <v>49400</v>
      </c>
      <c r="O165">
        <v>45600</v>
      </c>
    </row>
    <row r="166" spans="1:15" x14ac:dyDescent="0.3">
      <c r="A166" s="38">
        <v>46128</v>
      </c>
      <c r="B166" t="s">
        <v>54</v>
      </c>
      <c r="C166" s="11">
        <v>1500</v>
      </c>
      <c r="D166" s="11"/>
      <c r="E166" t="s">
        <v>385</v>
      </c>
      <c r="F166" s="108" t="s">
        <v>108</v>
      </c>
      <c r="G166" s="122"/>
      <c r="J166" s="4" t="s">
        <v>734</v>
      </c>
      <c r="K166" s="14">
        <v>11732958</v>
      </c>
      <c r="L166" s="14">
        <v>10310580.4</v>
      </c>
      <c r="N166">
        <v>37200</v>
      </c>
      <c r="O166">
        <v>30000</v>
      </c>
    </row>
    <row r="167" spans="1:15" x14ac:dyDescent="0.3">
      <c r="A167" s="38">
        <v>46129</v>
      </c>
      <c r="B167" t="s">
        <v>386</v>
      </c>
      <c r="C167" s="11">
        <v>1437</v>
      </c>
      <c r="D167" s="11"/>
      <c r="E167" t="s">
        <v>387</v>
      </c>
      <c r="F167" s="108" t="s">
        <v>108</v>
      </c>
      <c r="J167" s="4" t="s">
        <v>735</v>
      </c>
      <c r="K167" s="14">
        <v>11790240</v>
      </c>
      <c r="L167" s="14">
        <v>12470645.279999999</v>
      </c>
      <c r="N167">
        <v>9200</v>
      </c>
      <c r="O167">
        <v>37200</v>
      </c>
    </row>
    <row r="168" spans="1:15" x14ac:dyDescent="0.3">
      <c r="A168" s="38">
        <v>46129</v>
      </c>
      <c r="B168" t="s">
        <v>211</v>
      </c>
      <c r="C168" s="11">
        <v>2880</v>
      </c>
      <c r="D168" s="11"/>
      <c r="F168" s="108" t="s">
        <v>108</v>
      </c>
      <c r="J168" s="4" t="s">
        <v>736</v>
      </c>
      <c r="K168" s="14">
        <v>11017194</v>
      </c>
      <c r="L168" s="14">
        <v>10969669</v>
      </c>
      <c r="N168">
        <v>50000</v>
      </c>
      <c r="O168">
        <v>49400</v>
      </c>
    </row>
    <row r="169" spans="1:15" x14ac:dyDescent="0.3">
      <c r="A169" s="111">
        <v>46129</v>
      </c>
      <c r="B169" t="s">
        <v>55</v>
      </c>
      <c r="C169" s="11">
        <v>6000</v>
      </c>
      <c r="D169" s="11"/>
      <c r="E169" t="s">
        <v>388</v>
      </c>
      <c r="F169" s="108" t="s">
        <v>108</v>
      </c>
      <c r="J169" s="42" t="s">
        <v>737</v>
      </c>
      <c r="K169" s="14">
        <v>80000</v>
      </c>
      <c r="L169" s="14">
        <v>89850</v>
      </c>
      <c r="N169">
        <v>60400</v>
      </c>
      <c r="O169">
        <v>60400</v>
      </c>
    </row>
    <row r="170" spans="1:15" x14ac:dyDescent="0.3">
      <c r="A170" s="38">
        <v>46129</v>
      </c>
      <c r="B170" t="s">
        <v>221</v>
      </c>
      <c r="C170" s="11">
        <v>50000</v>
      </c>
      <c r="D170" s="11"/>
      <c r="E170" t="s">
        <v>389</v>
      </c>
      <c r="F170" s="108" t="s">
        <v>108</v>
      </c>
      <c r="J170" s="42" t="s">
        <v>738</v>
      </c>
      <c r="K170" s="14">
        <v>200000</v>
      </c>
      <c r="L170" s="14">
        <v>218060</v>
      </c>
      <c r="N170">
        <v>30000</v>
      </c>
      <c r="O170">
        <v>50000</v>
      </c>
    </row>
    <row r="171" spans="1:15" x14ac:dyDescent="0.3">
      <c r="A171" s="38">
        <v>46129</v>
      </c>
      <c r="B171" t="s">
        <v>54</v>
      </c>
      <c r="C171" s="11">
        <v>2010</v>
      </c>
      <c r="D171" s="11"/>
      <c r="E171" t="s">
        <v>390</v>
      </c>
      <c r="F171" s="108" t="s">
        <v>108</v>
      </c>
      <c r="J171" s="42" t="s">
        <v>739</v>
      </c>
      <c r="K171" s="14">
        <v>70000</v>
      </c>
      <c r="L171" s="14">
        <v>60000</v>
      </c>
      <c r="N171">
        <v>13670</v>
      </c>
      <c r="O171">
        <v>1000</v>
      </c>
    </row>
    <row r="172" spans="1:15" x14ac:dyDescent="0.3">
      <c r="A172" s="38">
        <v>46129</v>
      </c>
      <c r="B172" t="s">
        <v>55</v>
      </c>
      <c r="C172" s="11">
        <v>1320</v>
      </c>
      <c r="D172" s="11"/>
      <c r="F172" s="108" t="s">
        <v>108</v>
      </c>
      <c r="J172" s="42" t="s">
        <v>740</v>
      </c>
      <c r="K172" s="14">
        <v>100000</v>
      </c>
      <c r="L172" s="14">
        <v>103500</v>
      </c>
      <c r="N172">
        <v>18120</v>
      </c>
      <c r="O172">
        <v>35000</v>
      </c>
    </row>
    <row r="173" spans="1:15" x14ac:dyDescent="0.3">
      <c r="A173" s="38">
        <v>46129</v>
      </c>
      <c r="B173" t="s">
        <v>54</v>
      </c>
      <c r="C173" s="11">
        <v>1000</v>
      </c>
      <c r="D173" s="11"/>
      <c r="F173" s="108" t="s">
        <v>108</v>
      </c>
      <c r="J173" s="42" t="s">
        <v>741</v>
      </c>
      <c r="K173" s="14">
        <v>330760</v>
      </c>
      <c r="L173" s="14">
        <v>324370</v>
      </c>
      <c r="N173">
        <v>7650</v>
      </c>
      <c r="O173">
        <v>29600</v>
      </c>
    </row>
    <row r="174" spans="1:15" x14ac:dyDescent="0.3">
      <c r="A174" s="38">
        <v>46130</v>
      </c>
      <c r="B174" t="s">
        <v>55</v>
      </c>
      <c r="C174" s="11">
        <v>1370</v>
      </c>
      <c r="D174" s="11"/>
      <c r="E174" t="s">
        <v>284</v>
      </c>
      <c r="F174" s="108" t="s">
        <v>108</v>
      </c>
      <c r="J174" s="42" t="s">
        <v>742</v>
      </c>
      <c r="K174" s="14">
        <v>753600</v>
      </c>
      <c r="L174" s="14">
        <v>749025</v>
      </c>
      <c r="N174">
        <v>25000</v>
      </c>
      <c r="O174">
        <v>20000</v>
      </c>
    </row>
    <row r="175" spans="1:15" x14ac:dyDescent="0.3">
      <c r="A175" s="111">
        <v>46130</v>
      </c>
      <c r="B175" t="s">
        <v>219</v>
      </c>
      <c r="C175" s="11"/>
      <c r="D175" s="11">
        <v>1370</v>
      </c>
      <c r="E175" t="s">
        <v>284</v>
      </c>
      <c r="F175" s="108" t="s">
        <v>108</v>
      </c>
      <c r="J175" s="42" t="s">
        <v>743</v>
      </c>
      <c r="K175" s="14">
        <v>154000</v>
      </c>
      <c r="L175" s="14">
        <v>159430</v>
      </c>
      <c r="N175">
        <v>12000</v>
      </c>
      <c r="O175">
        <v>20800</v>
      </c>
    </row>
    <row r="176" spans="1:15" x14ac:dyDescent="0.3">
      <c r="A176" s="38">
        <v>46130</v>
      </c>
      <c r="B176" t="s">
        <v>269</v>
      </c>
      <c r="C176" s="11">
        <v>5000</v>
      </c>
      <c r="D176" s="11"/>
      <c r="E176" t="s">
        <v>391</v>
      </c>
      <c r="F176" s="108" t="s">
        <v>108</v>
      </c>
      <c r="J176" s="42" t="s">
        <v>744</v>
      </c>
      <c r="K176" s="14">
        <v>753900</v>
      </c>
      <c r="L176" s="14">
        <v>762216</v>
      </c>
      <c r="N176">
        <v>22650</v>
      </c>
      <c r="O176">
        <v>19200</v>
      </c>
    </row>
    <row r="177" spans="1:15" x14ac:dyDescent="0.3">
      <c r="A177" s="38">
        <v>46130</v>
      </c>
      <c r="B177" t="s">
        <v>357</v>
      </c>
      <c r="C177" s="11">
        <v>10000</v>
      </c>
      <c r="D177" s="11"/>
      <c r="E177" t="s">
        <v>326</v>
      </c>
      <c r="F177" s="108" t="s">
        <v>108</v>
      </c>
      <c r="J177" s="42" t="s">
        <v>745</v>
      </c>
      <c r="K177" s="14">
        <v>167000</v>
      </c>
      <c r="L177" s="14">
        <v>169150</v>
      </c>
      <c r="N177">
        <v>22650</v>
      </c>
    </row>
    <row r="178" spans="1:15" x14ac:dyDescent="0.3">
      <c r="A178" s="38">
        <v>46130</v>
      </c>
      <c r="B178" t="s">
        <v>9</v>
      </c>
      <c r="C178" s="11"/>
      <c r="D178" s="11">
        <v>100000</v>
      </c>
      <c r="E178" t="s">
        <v>109</v>
      </c>
      <c r="F178" s="108" t="s">
        <v>108</v>
      </c>
      <c r="J178" s="42" t="s">
        <v>746</v>
      </c>
      <c r="K178" s="14">
        <v>188650</v>
      </c>
      <c r="L178" s="14">
        <v>178290</v>
      </c>
      <c r="N178">
        <v>24400</v>
      </c>
    </row>
    <row r="179" spans="1:15" x14ac:dyDescent="0.3">
      <c r="A179" s="38">
        <v>46130</v>
      </c>
      <c r="B179" t="s">
        <v>115</v>
      </c>
      <c r="C179" s="11">
        <v>100000</v>
      </c>
      <c r="D179" s="11"/>
      <c r="E179" t="s">
        <v>109</v>
      </c>
      <c r="F179" s="108" t="s">
        <v>108</v>
      </c>
      <c r="J179" s="42" t="s">
        <v>747</v>
      </c>
      <c r="K179" s="14">
        <v>600000</v>
      </c>
      <c r="L179" s="14">
        <v>143682</v>
      </c>
      <c r="N179">
        <v>15000</v>
      </c>
      <c r="O179">
        <v>20850</v>
      </c>
    </row>
    <row r="180" spans="1:15" x14ac:dyDescent="0.3">
      <c r="A180" s="38">
        <v>46130</v>
      </c>
      <c r="B180" t="s">
        <v>55</v>
      </c>
      <c r="C180" s="11">
        <v>1100</v>
      </c>
      <c r="D180" s="11"/>
      <c r="F180" s="108" t="s">
        <v>108</v>
      </c>
      <c r="J180" s="42" t="s">
        <v>889</v>
      </c>
      <c r="K180" s="14">
        <v>5434</v>
      </c>
      <c r="L180" s="14">
        <v>5434</v>
      </c>
      <c r="N180">
        <v>22650</v>
      </c>
      <c r="O180">
        <v>16630</v>
      </c>
    </row>
    <row r="181" spans="1:15" x14ac:dyDescent="0.3">
      <c r="A181" s="38">
        <v>46130</v>
      </c>
      <c r="B181" t="s">
        <v>357</v>
      </c>
      <c r="C181" s="11">
        <v>30000</v>
      </c>
      <c r="D181" s="11"/>
      <c r="E181" t="s">
        <v>392</v>
      </c>
      <c r="F181" s="108" t="s">
        <v>108</v>
      </c>
      <c r="J181" s="42" t="s">
        <v>748</v>
      </c>
      <c r="K181" s="14">
        <v>203520</v>
      </c>
      <c r="L181" s="14">
        <v>391020</v>
      </c>
      <c r="N181">
        <v>25000</v>
      </c>
      <c r="O181">
        <v>16630</v>
      </c>
    </row>
    <row r="182" spans="1:15" x14ac:dyDescent="0.3">
      <c r="A182" s="38">
        <v>46130</v>
      </c>
      <c r="B182" t="s">
        <v>55</v>
      </c>
      <c r="C182" s="11">
        <v>1800</v>
      </c>
      <c r="D182" s="11"/>
      <c r="F182" s="108" t="s">
        <v>108</v>
      </c>
      <c r="J182" s="42" t="s">
        <v>749</v>
      </c>
      <c r="K182" s="14"/>
      <c r="L182" s="14">
        <v>43290</v>
      </c>
      <c r="N182">
        <v>20000</v>
      </c>
      <c r="O182">
        <v>7650</v>
      </c>
    </row>
    <row r="183" spans="1:15" x14ac:dyDescent="0.3">
      <c r="A183" s="38">
        <v>46130</v>
      </c>
      <c r="B183" t="s">
        <v>55</v>
      </c>
      <c r="C183" s="11">
        <v>550</v>
      </c>
      <c r="D183" s="11"/>
      <c r="F183" s="108" t="s">
        <v>108</v>
      </c>
      <c r="J183" s="42" t="s">
        <v>750</v>
      </c>
      <c r="K183" s="14">
        <v>1323328</v>
      </c>
      <c r="L183" s="14">
        <v>1552352</v>
      </c>
      <c r="N183">
        <v>16650</v>
      </c>
      <c r="O183">
        <v>17000</v>
      </c>
    </row>
    <row r="184" spans="1:15" x14ac:dyDescent="0.3">
      <c r="A184" s="38">
        <v>46130</v>
      </c>
      <c r="B184" t="s">
        <v>54</v>
      </c>
      <c r="C184" s="11">
        <v>950</v>
      </c>
      <c r="D184" s="11"/>
      <c r="F184" s="108" t="s">
        <v>108</v>
      </c>
      <c r="J184" s="42" t="s">
        <v>751</v>
      </c>
      <c r="K184" s="14">
        <v>1204000</v>
      </c>
      <c r="L184" s="14">
        <v>123100</v>
      </c>
      <c r="N184">
        <v>29600</v>
      </c>
      <c r="O184">
        <v>16650</v>
      </c>
    </row>
    <row r="185" spans="1:15" x14ac:dyDescent="0.3">
      <c r="A185" s="38">
        <v>46130</v>
      </c>
      <c r="B185" t="s">
        <v>221</v>
      </c>
      <c r="C185" s="11">
        <v>48800</v>
      </c>
      <c r="D185" s="11"/>
      <c r="E185" t="s">
        <v>393</v>
      </c>
      <c r="F185" s="108" t="s">
        <v>108</v>
      </c>
      <c r="J185" s="42" t="s">
        <v>752</v>
      </c>
      <c r="K185" s="14">
        <v>250740</v>
      </c>
      <c r="L185" s="14">
        <v>1311448</v>
      </c>
      <c r="N185">
        <v>16630</v>
      </c>
      <c r="O185">
        <v>24400</v>
      </c>
    </row>
    <row r="186" spans="1:15" x14ac:dyDescent="0.3">
      <c r="A186" s="38">
        <v>46130</v>
      </c>
      <c r="B186" t="s">
        <v>35</v>
      </c>
      <c r="C186" s="11"/>
      <c r="D186" s="11">
        <v>123800</v>
      </c>
      <c r="F186" s="108" t="s">
        <v>108</v>
      </c>
      <c r="J186" s="42" t="s">
        <v>783</v>
      </c>
      <c r="K186" s="14">
        <v>729150</v>
      </c>
      <c r="L186" s="14">
        <v>748550</v>
      </c>
      <c r="N186">
        <v>16650</v>
      </c>
      <c r="O186">
        <v>15000</v>
      </c>
    </row>
    <row r="187" spans="1:15" x14ac:dyDescent="0.3">
      <c r="A187" s="38">
        <v>46130</v>
      </c>
      <c r="B187" t="s">
        <v>219</v>
      </c>
      <c r="C187" s="11"/>
      <c r="D187" s="11">
        <v>48800</v>
      </c>
      <c r="E187" t="s">
        <v>394</v>
      </c>
      <c r="F187" s="108" t="s">
        <v>108</v>
      </c>
      <c r="J187" s="42" t="s">
        <v>784</v>
      </c>
      <c r="K187" s="14">
        <v>265000</v>
      </c>
      <c r="L187" s="14">
        <v>257950</v>
      </c>
      <c r="N187">
        <v>160000</v>
      </c>
      <c r="O187">
        <v>16650</v>
      </c>
    </row>
    <row r="188" spans="1:15" x14ac:dyDescent="0.3">
      <c r="A188" s="38">
        <v>46130</v>
      </c>
      <c r="B188" t="s">
        <v>219</v>
      </c>
      <c r="C188" s="11">
        <v>123800</v>
      </c>
      <c r="D188" s="11"/>
      <c r="E188" t="s">
        <v>395</v>
      </c>
      <c r="F188" s="108" t="s">
        <v>108</v>
      </c>
      <c r="J188" s="42" t="s">
        <v>785</v>
      </c>
      <c r="K188" s="14">
        <v>24396</v>
      </c>
      <c r="L188" s="14">
        <v>13289</v>
      </c>
      <c r="N188">
        <v>17000</v>
      </c>
      <c r="O188">
        <v>13650</v>
      </c>
    </row>
    <row r="189" spans="1:15" x14ac:dyDescent="0.3">
      <c r="A189" s="38">
        <v>46131</v>
      </c>
      <c r="B189" t="s">
        <v>269</v>
      </c>
      <c r="C189" s="11">
        <v>75000</v>
      </c>
      <c r="D189" s="11"/>
      <c r="E189" t="s">
        <v>396</v>
      </c>
      <c r="F189" s="108" t="s">
        <v>108</v>
      </c>
      <c r="J189" s="42" t="s">
        <v>786</v>
      </c>
      <c r="K189" s="14">
        <v>2172410</v>
      </c>
      <c r="L189" s="14">
        <v>2169256</v>
      </c>
      <c r="N189">
        <v>19200</v>
      </c>
      <c r="O189">
        <v>12000</v>
      </c>
    </row>
    <row r="190" spans="1:15" x14ac:dyDescent="0.3">
      <c r="A190" s="38">
        <v>46131</v>
      </c>
      <c r="B190" t="s">
        <v>219</v>
      </c>
      <c r="C190" s="11"/>
      <c r="D190" s="11">
        <v>75000</v>
      </c>
      <c r="E190" t="s">
        <v>397</v>
      </c>
      <c r="F190" s="108" t="s">
        <v>108</v>
      </c>
      <c r="J190" s="42" t="s">
        <v>853</v>
      </c>
      <c r="K190" s="14">
        <v>253306</v>
      </c>
      <c r="L190" s="14">
        <v>272546</v>
      </c>
      <c r="N190">
        <v>20000</v>
      </c>
      <c r="O190">
        <v>14000</v>
      </c>
    </row>
    <row r="191" spans="1:15" x14ac:dyDescent="0.3">
      <c r="A191" s="38">
        <v>46131</v>
      </c>
      <c r="B191" t="s">
        <v>116</v>
      </c>
      <c r="C191" s="11">
        <v>31000</v>
      </c>
      <c r="D191" s="11"/>
      <c r="E191" t="s">
        <v>61</v>
      </c>
      <c r="F191" s="108" t="s">
        <v>108</v>
      </c>
      <c r="J191" s="42" t="s">
        <v>854</v>
      </c>
      <c r="K191" s="14">
        <v>343000</v>
      </c>
      <c r="L191" s="14">
        <v>308470</v>
      </c>
      <c r="N191">
        <v>20850</v>
      </c>
      <c r="O191">
        <v>25000</v>
      </c>
    </row>
    <row r="192" spans="1:15" x14ac:dyDescent="0.3">
      <c r="A192" s="38">
        <v>46131</v>
      </c>
      <c r="B192" t="s">
        <v>219</v>
      </c>
      <c r="C192" s="11"/>
      <c r="D192" s="11">
        <v>31000</v>
      </c>
      <c r="E192" t="s">
        <v>316</v>
      </c>
      <c r="F192" s="108" t="s">
        <v>108</v>
      </c>
      <c r="J192" s="42" t="s">
        <v>855</v>
      </c>
      <c r="K192" s="14">
        <v>50000</v>
      </c>
      <c r="L192" s="14">
        <v>86461</v>
      </c>
      <c r="N192">
        <v>16650</v>
      </c>
      <c r="O192">
        <v>20000</v>
      </c>
    </row>
    <row r="193" spans="1:15" x14ac:dyDescent="0.3">
      <c r="A193" s="38">
        <v>46131</v>
      </c>
      <c r="B193" t="s">
        <v>219</v>
      </c>
      <c r="C193" s="11"/>
      <c r="D193" s="11">
        <v>48500</v>
      </c>
      <c r="E193" t="s">
        <v>398</v>
      </c>
      <c r="F193" s="108" t="s">
        <v>108</v>
      </c>
      <c r="J193" s="42" t="s">
        <v>856</v>
      </c>
      <c r="K193" s="14">
        <v>10000</v>
      </c>
      <c r="L193" s="14">
        <v>11800</v>
      </c>
      <c r="N193">
        <v>14000</v>
      </c>
      <c r="O193">
        <v>25000</v>
      </c>
    </row>
    <row r="194" spans="1:15" x14ac:dyDescent="0.3">
      <c r="A194" s="38">
        <v>46131</v>
      </c>
      <c r="B194" t="s">
        <v>222</v>
      </c>
      <c r="C194" s="11">
        <v>48500</v>
      </c>
      <c r="D194" s="11"/>
      <c r="E194" t="s">
        <v>240</v>
      </c>
      <c r="F194" s="108" t="s">
        <v>108</v>
      </c>
      <c r="J194" s="42" t="s">
        <v>857</v>
      </c>
      <c r="K194" s="14">
        <v>10000</v>
      </c>
      <c r="L194" s="14">
        <v>10110</v>
      </c>
      <c r="N194">
        <v>3900</v>
      </c>
      <c r="O194">
        <v>3900</v>
      </c>
    </row>
    <row r="195" spans="1:15" x14ac:dyDescent="0.3">
      <c r="A195" s="38">
        <v>46131</v>
      </c>
      <c r="B195" t="s">
        <v>386</v>
      </c>
      <c r="C195" s="11">
        <v>3000</v>
      </c>
      <c r="D195" s="11"/>
      <c r="E195" t="s">
        <v>266</v>
      </c>
      <c r="F195" s="108" t="s">
        <v>108</v>
      </c>
      <c r="J195" s="42" t="s">
        <v>858</v>
      </c>
      <c r="K195" s="14">
        <v>770000</v>
      </c>
      <c r="L195" s="14">
        <v>665420</v>
      </c>
      <c r="N195">
        <v>35000</v>
      </c>
      <c r="O195">
        <v>18120</v>
      </c>
    </row>
    <row r="196" spans="1:15" x14ac:dyDescent="0.3">
      <c r="A196" s="38">
        <v>46131</v>
      </c>
      <c r="B196" t="s">
        <v>425</v>
      </c>
      <c r="C196" s="11">
        <v>25000</v>
      </c>
      <c r="D196" s="11"/>
      <c r="E196" t="s">
        <v>240</v>
      </c>
      <c r="F196" s="108" t="s">
        <v>108</v>
      </c>
      <c r="J196" s="42" t="s">
        <v>859</v>
      </c>
      <c r="K196" s="14">
        <v>5000</v>
      </c>
      <c r="L196" s="14">
        <v>41600</v>
      </c>
      <c r="O196">
        <v>22650</v>
      </c>
    </row>
    <row r="197" spans="1:15" x14ac:dyDescent="0.3">
      <c r="A197" s="38">
        <v>46131</v>
      </c>
      <c r="B197" t="s">
        <v>244</v>
      </c>
      <c r="C197" s="11">
        <v>480</v>
      </c>
      <c r="D197" s="11"/>
      <c r="E197" t="s">
        <v>399</v>
      </c>
      <c r="F197" s="108" t="s">
        <v>108</v>
      </c>
      <c r="J197" s="4" t="s">
        <v>860</v>
      </c>
      <c r="K197" s="14">
        <v>5568801</v>
      </c>
      <c r="L197" s="14">
        <v>5644651</v>
      </c>
      <c r="O197">
        <v>22650</v>
      </c>
    </row>
    <row r="198" spans="1:15" x14ac:dyDescent="0.3">
      <c r="A198" s="38">
        <v>46131</v>
      </c>
      <c r="B198" t="s">
        <v>386</v>
      </c>
      <c r="C198" s="11">
        <v>4000</v>
      </c>
      <c r="D198" s="11" t="s">
        <v>400</v>
      </c>
      <c r="E198" t="s">
        <v>401</v>
      </c>
      <c r="F198" s="108" t="s">
        <v>108</v>
      </c>
      <c r="J198" s="4" t="s">
        <v>28</v>
      </c>
      <c r="K198" s="14">
        <v>40798538.229517192</v>
      </c>
      <c r="L198" s="14">
        <v>40794035.68</v>
      </c>
      <c r="O198">
        <v>160000</v>
      </c>
    </row>
    <row r="199" spans="1:15" x14ac:dyDescent="0.3">
      <c r="A199" s="38">
        <v>46131</v>
      </c>
      <c r="B199" t="s">
        <v>55</v>
      </c>
      <c r="C199" s="11">
        <v>5400</v>
      </c>
      <c r="D199" s="11"/>
      <c r="E199" t="s">
        <v>402</v>
      </c>
      <c r="F199" s="108" t="s">
        <v>108</v>
      </c>
    </row>
    <row r="200" spans="1:15" x14ac:dyDescent="0.3">
      <c r="A200" s="38">
        <v>46132</v>
      </c>
      <c r="B200" t="s">
        <v>54</v>
      </c>
      <c r="C200" s="11">
        <v>7014</v>
      </c>
      <c r="D200" s="11"/>
      <c r="E200" t="s">
        <v>254</v>
      </c>
      <c r="F200" s="108"/>
    </row>
    <row r="201" spans="1:15" x14ac:dyDescent="0.3">
      <c r="A201" s="38">
        <v>46132</v>
      </c>
      <c r="B201" t="s">
        <v>219</v>
      </c>
      <c r="C201" s="11"/>
      <c r="D201" s="11">
        <v>15000</v>
      </c>
      <c r="E201" t="s">
        <v>403</v>
      </c>
      <c r="F201" s="108" t="s">
        <v>108</v>
      </c>
    </row>
    <row r="202" spans="1:15" x14ac:dyDescent="0.3">
      <c r="A202" s="38">
        <v>46132</v>
      </c>
      <c r="B202" t="s">
        <v>211</v>
      </c>
      <c r="C202" s="11"/>
      <c r="D202" s="11">
        <v>8800</v>
      </c>
      <c r="E202" t="s">
        <v>404</v>
      </c>
      <c r="F202" s="108" t="s">
        <v>108</v>
      </c>
    </row>
    <row r="203" spans="1:15" x14ac:dyDescent="0.3">
      <c r="A203" s="38">
        <v>46132</v>
      </c>
      <c r="B203" t="s">
        <v>386</v>
      </c>
      <c r="C203" s="11">
        <v>8800</v>
      </c>
      <c r="D203" s="11"/>
      <c r="E203" t="s">
        <v>404</v>
      </c>
      <c r="F203" s="108" t="s">
        <v>108</v>
      </c>
    </row>
    <row r="204" spans="1:15" x14ac:dyDescent="0.3">
      <c r="A204" s="38">
        <v>46132</v>
      </c>
      <c r="B204" t="s">
        <v>219</v>
      </c>
      <c r="C204" s="11"/>
      <c r="D204" s="11">
        <v>50000</v>
      </c>
      <c r="E204" t="s">
        <v>405</v>
      </c>
      <c r="F204" s="108" t="s">
        <v>108</v>
      </c>
    </row>
    <row r="205" spans="1:15" x14ac:dyDescent="0.3">
      <c r="A205" s="38">
        <v>46132</v>
      </c>
      <c r="B205" t="s">
        <v>269</v>
      </c>
      <c r="C205" s="11">
        <v>50000</v>
      </c>
      <c r="D205" s="11"/>
      <c r="E205" t="s">
        <v>406</v>
      </c>
      <c r="F205" s="108" t="s">
        <v>108</v>
      </c>
    </row>
    <row r="206" spans="1:15" x14ac:dyDescent="0.3">
      <c r="A206" s="38">
        <v>46132</v>
      </c>
      <c r="B206" t="s">
        <v>55</v>
      </c>
      <c r="C206" s="11">
        <v>4000</v>
      </c>
      <c r="D206" s="11"/>
      <c r="F206" s="108" t="s">
        <v>108</v>
      </c>
    </row>
    <row r="207" spans="1:15" x14ac:dyDescent="0.3">
      <c r="A207" s="38">
        <v>46132</v>
      </c>
      <c r="B207" t="s">
        <v>219</v>
      </c>
      <c r="C207" s="11"/>
      <c r="D207" s="11">
        <v>50000</v>
      </c>
      <c r="E207" t="s">
        <v>407</v>
      </c>
      <c r="F207" s="108" t="s">
        <v>108</v>
      </c>
    </row>
    <row r="208" spans="1:15" x14ac:dyDescent="0.3">
      <c r="A208" s="111">
        <v>46132</v>
      </c>
      <c r="B208" t="s">
        <v>116</v>
      </c>
      <c r="C208" s="11">
        <v>31200</v>
      </c>
      <c r="D208" s="11"/>
      <c r="E208" t="s">
        <v>61</v>
      </c>
      <c r="F208" s="108" t="s">
        <v>108</v>
      </c>
    </row>
    <row r="209" spans="1:6" x14ac:dyDescent="0.3">
      <c r="A209" s="38">
        <v>46132</v>
      </c>
      <c r="B209" t="s">
        <v>357</v>
      </c>
      <c r="C209" s="11">
        <v>19685</v>
      </c>
      <c r="D209" s="11"/>
      <c r="F209" s="108" t="s">
        <v>108</v>
      </c>
    </row>
    <row r="210" spans="1:6" x14ac:dyDescent="0.3">
      <c r="A210" s="38">
        <v>46132</v>
      </c>
      <c r="B210" t="s">
        <v>54</v>
      </c>
      <c r="C210" s="95">
        <v>600</v>
      </c>
      <c r="D210" s="95"/>
      <c r="E210" t="s">
        <v>289</v>
      </c>
      <c r="F210" s="108" t="s">
        <v>108</v>
      </c>
    </row>
    <row r="211" spans="1:6" x14ac:dyDescent="0.3">
      <c r="A211" s="38">
        <v>46132</v>
      </c>
      <c r="B211" t="s">
        <v>219</v>
      </c>
      <c r="C211" s="11"/>
      <c r="D211" s="11">
        <v>280000</v>
      </c>
      <c r="E211" t="s">
        <v>408</v>
      </c>
      <c r="F211" s="108" t="s">
        <v>108</v>
      </c>
    </row>
    <row r="212" spans="1:6" x14ac:dyDescent="0.3">
      <c r="A212" s="38">
        <v>46132</v>
      </c>
      <c r="B212" t="s">
        <v>168</v>
      </c>
      <c r="C212" s="11">
        <v>150000</v>
      </c>
      <c r="D212" s="11"/>
      <c r="E212" t="s">
        <v>409</v>
      </c>
      <c r="F212" s="108" t="s">
        <v>108</v>
      </c>
    </row>
    <row r="213" spans="1:6" x14ac:dyDescent="0.3">
      <c r="A213" s="38">
        <v>46132</v>
      </c>
      <c r="B213" t="s">
        <v>257</v>
      </c>
      <c r="C213" s="95">
        <v>100000</v>
      </c>
      <c r="D213" s="95"/>
      <c r="E213" t="s">
        <v>410</v>
      </c>
      <c r="F213" s="108" t="s">
        <v>108</v>
      </c>
    </row>
    <row r="214" spans="1:6" x14ac:dyDescent="0.3">
      <c r="A214" s="38">
        <v>46132</v>
      </c>
      <c r="B214" t="s">
        <v>386</v>
      </c>
      <c r="C214" s="95">
        <v>20000</v>
      </c>
      <c r="D214" s="95"/>
      <c r="E214" t="s">
        <v>411</v>
      </c>
      <c r="F214" s="108" t="s">
        <v>108</v>
      </c>
    </row>
    <row r="215" spans="1:6" x14ac:dyDescent="0.3">
      <c r="A215" s="38">
        <v>46132</v>
      </c>
      <c r="B215" t="s">
        <v>269</v>
      </c>
      <c r="C215" s="95">
        <v>10000</v>
      </c>
      <c r="D215" s="95"/>
      <c r="E215" t="s">
        <v>252</v>
      </c>
      <c r="F215" s="108" t="s">
        <v>108</v>
      </c>
    </row>
    <row r="216" spans="1:6" x14ac:dyDescent="0.3">
      <c r="A216" s="111">
        <v>46132</v>
      </c>
      <c r="B216" t="s">
        <v>54</v>
      </c>
      <c r="C216" s="95">
        <v>4226</v>
      </c>
      <c r="D216" s="95"/>
      <c r="E216" t="s">
        <v>174</v>
      </c>
      <c r="F216" s="108" t="s">
        <v>108</v>
      </c>
    </row>
    <row r="217" spans="1:6" x14ac:dyDescent="0.3">
      <c r="A217" s="111">
        <v>46132</v>
      </c>
      <c r="B217" t="s">
        <v>367</v>
      </c>
      <c r="C217" s="11"/>
      <c r="D217" s="11">
        <v>4226</v>
      </c>
      <c r="E217" t="s">
        <v>54</v>
      </c>
      <c r="F217" s="108" t="s">
        <v>108</v>
      </c>
    </row>
    <row r="218" spans="1:6" x14ac:dyDescent="0.3">
      <c r="A218" s="38">
        <v>46133</v>
      </c>
      <c r="B218" t="s">
        <v>367</v>
      </c>
      <c r="C218" s="11"/>
      <c r="D218" s="11">
        <v>1000000</v>
      </c>
      <c r="E218" t="s">
        <v>413</v>
      </c>
      <c r="F218" s="108" t="s">
        <v>108</v>
      </c>
    </row>
    <row r="219" spans="1:6" x14ac:dyDescent="0.3">
      <c r="A219" s="111">
        <v>46133</v>
      </c>
      <c r="B219" t="s">
        <v>55</v>
      </c>
      <c r="C219" s="11">
        <v>4000</v>
      </c>
      <c r="D219" s="11"/>
      <c r="F219" s="108" t="s">
        <v>108</v>
      </c>
    </row>
    <row r="220" spans="1:6" x14ac:dyDescent="0.3">
      <c r="A220" s="111">
        <v>46133</v>
      </c>
      <c r="B220" t="s">
        <v>51</v>
      </c>
      <c r="C220" s="11">
        <v>923841</v>
      </c>
      <c r="D220" s="11"/>
      <c r="E220" t="s">
        <v>414</v>
      </c>
      <c r="F220" s="108" t="s">
        <v>108</v>
      </c>
    </row>
    <row r="221" spans="1:6" x14ac:dyDescent="0.3">
      <c r="A221" s="111">
        <v>46133</v>
      </c>
      <c r="B221" t="s">
        <v>55</v>
      </c>
      <c r="C221" s="11">
        <v>1560</v>
      </c>
      <c r="D221" s="11"/>
      <c r="E221" t="s">
        <v>281</v>
      </c>
      <c r="F221" s="108" t="s">
        <v>108</v>
      </c>
    </row>
    <row r="222" spans="1:6" x14ac:dyDescent="0.3">
      <c r="A222" s="111">
        <v>46133</v>
      </c>
      <c r="B222" t="s">
        <v>55</v>
      </c>
      <c r="C222" s="11">
        <v>3700</v>
      </c>
      <c r="D222" s="11"/>
      <c r="E222" t="s">
        <v>281</v>
      </c>
      <c r="F222" s="108" t="s">
        <v>108</v>
      </c>
    </row>
    <row r="223" spans="1:6" x14ac:dyDescent="0.3">
      <c r="A223" s="111">
        <v>46133</v>
      </c>
      <c r="B223" t="s">
        <v>55</v>
      </c>
      <c r="C223" s="11">
        <v>2350</v>
      </c>
      <c r="D223" s="11"/>
      <c r="E223" t="s">
        <v>415</v>
      </c>
      <c r="F223" s="108" t="s">
        <v>108</v>
      </c>
    </row>
    <row r="224" spans="1:6" x14ac:dyDescent="0.3">
      <c r="A224" s="111">
        <v>46133</v>
      </c>
      <c r="B224" t="s">
        <v>372</v>
      </c>
      <c r="C224" s="11">
        <v>50000</v>
      </c>
      <c r="D224" s="11"/>
      <c r="E224" t="s">
        <v>416</v>
      </c>
      <c r="F224" s="108" t="s">
        <v>108</v>
      </c>
    </row>
    <row r="225" spans="1:7" x14ac:dyDescent="0.3">
      <c r="A225" s="111">
        <v>46133</v>
      </c>
      <c r="B225" t="s">
        <v>219</v>
      </c>
      <c r="C225" s="11"/>
      <c r="D225" s="11">
        <v>50000</v>
      </c>
      <c r="E225" t="s">
        <v>224</v>
      </c>
      <c r="F225" s="108" t="s">
        <v>108</v>
      </c>
    </row>
    <row r="226" spans="1:7" x14ac:dyDescent="0.3">
      <c r="A226" s="111">
        <v>46133</v>
      </c>
      <c r="B226" t="s">
        <v>269</v>
      </c>
      <c r="C226" s="11">
        <v>25000</v>
      </c>
      <c r="D226" s="11"/>
      <c r="E226" s="130" t="s">
        <v>288</v>
      </c>
      <c r="F226" s="108" t="s">
        <v>108</v>
      </c>
    </row>
    <row r="227" spans="1:7" x14ac:dyDescent="0.3">
      <c r="A227" s="111">
        <v>46133</v>
      </c>
      <c r="B227" t="s">
        <v>219</v>
      </c>
      <c r="C227" s="95"/>
      <c r="D227" s="95">
        <v>800000</v>
      </c>
      <c r="E227" t="s">
        <v>109</v>
      </c>
      <c r="F227" s="108" t="s">
        <v>108</v>
      </c>
    </row>
    <row r="228" spans="1:7" x14ac:dyDescent="0.3">
      <c r="A228" s="111">
        <v>46133</v>
      </c>
      <c r="B228" t="s">
        <v>243</v>
      </c>
      <c r="C228" s="95"/>
      <c r="D228" s="95">
        <v>100000</v>
      </c>
      <c r="E228" t="s">
        <v>109</v>
      </c>
      <c r="F228" s="108" t="s">
        <v>108</v>
      </c>
    </row>
    <row r="229" spans="1:7" x14ac:dyDescent="0.3">
      <c r="A229" s="111">
        <v>46133</v>
      </c>
      <c r="B229" t="s">
        <v>273</v>
      </c>
      <c r="C229" s="11"/>
      <c r="D229" s="11">
        <v>287000</v>
      </c>
      <c r="E229" t="s">
        <v>109</v>
      </c>
      <c r="F229" s="108" t="s">
        <v>108</v>
      </c>
    </row>
    <row r="230" spans="1:7" x14ac:dyDescent="0.3">
      <c r="A230" s="111">
        <v>46133</v>
      </c>
      <c r="B230" t="s">
        <v>219</v>
      </c>
      <c r="C230" s="11">
        <v>387000</v>
      </c>
      <c r="D230" s="11"/>
      <c r="E230" t="s">
        <v>431</v>
      </c>
      <c r="F230" s="108" t="s">
        <v>108</v>
      </c>
    </row>
    <row r="231" spans="1:7" x14ac:dyDescent="0.3">
      <c r="A231" s="138">
        <v>46133</v>
      </c>
      <c r="B231" s="122" t="s">
        <v>253</v>
      </c>
      <c r="C231" s="134">
        <v>495910</v>
      </c>
      <c r="D231" s="134"/>
      <c r="E231" s="122" t="s">
        <v>268</v>
      </c>
      <c r="F231" s="123" t="s">
        <v>108</v>
      </c>
      <c r="G231" s="122"/>
    </row>
    <row r="232" spans="1:7" x14ac:dyDescent="0.3">
      <c r="A232" s="38">
        <v>46133</v>
      </c>
      <c r="B232" t="s">
        <v>253</v>
      </c>
      <c r="C232" s="11">
        <v>45000</v>
      </c>
      <c r="D232" s="11"/>
      <c r="E232" t="s">
        <v>391</v>
      </c>
      <c r="F232" s="108" t="s">
        <v>108</v>
      </c>
    </row>
    <row r="233" spans="1:7" x14ac:dyDescent="0.3">
      <c r="A233" s="38">
        <v>46134</v>
      </c>
      <c r="B233" t="s">
        <v>219</v>
      </c>
      <c r="C233" s="11"/>
      <c r="D233" s="11">
        <v>100000</v>
      </c>
      <c r="E233" t="s">
        <v>417</v>
      </c>
      <c r="F233" s="108" t="s">
        <v>108</v>
      </c>
    </row>
    <row r="234" spans="1:7" x14ac:dyDescent="0.3">
      <c r="A234" s="38">
        <v>46134</v>
      </c>
      <c r="B234" t="s">
        <v>175</v>
      </c>
      <c r="C234" s="11">
        <v>136375</v>
      </c>
      <c r="D234" s="11"/>
      <c r="E234" s="117">
        <v>46123</v>
      </c>
      <c r="F234" s="108" t="s">
        <v>108</v>
      </c>
    </row>
    <row r="235" spans="1:7" x14ac:dyDescent="0.3">
      <c r="A235" s="38">
        <v>46134</v>
      </c>
      <c r="B235" t="s">
        <v>219</v>
      </c>
      <c r="C235" s="11"/>
      <c r="D235" s="11">
        <v>300000</v>
      </c>
      <c r="E235" t="s">
        <v>419</v>
      </c>
      <c r="F235" s="108" t="s">
        <v>108</v>
      </c>
    </row>
    <row r="236" spans="1:7" x14ac:dyDescent="0.3">
      <c r="A236" s="38">
        <v>46134</v>
      </c>
      <c r="B236" t="s">
        <v>222</v>
      </c>
      <c r="C236" s="11">
        <v>200000</v>
      </c>
      <c r="D236" s="11"/>
      <c r="E236" t="s">
        <v>420</v>
      </c>
      <c r="F236" s="108" t="s">
        <v>108</v>
      </c>
    </row>
    <row r="237" spans="1:7" x14ac:dyDescent="0.3">
      <c r="A237" s="38">
        <v>46134</v>
      </c>
      <c r="B237" t="s">
        <v>257</v>
      </c>
      <c r="C237" s="11">
        <v>100000</v>
      </c>
      <c r="D237" s="11"/>
      <c r="E237" t="s">
        <v>421</v>
      </c>
      <c r="F237" s="108" t="s">
        <v>108</v>
      </c>
    </row>
    <row r="238" spans="1:7" x14ac:dyDescent="0.3">
      <c r="A238" s="38">
        <v>46134</v>
      </c>
      <c r="B238" t="s">
        <v>219</v>
      </c>
      <c r="C238" s="95"/>
      <c r="D238" s="95">
        <v>17000</v>
      </c>
      <c r="E238" t="s">
        <v>422</v>
      </c>
      <c r="F238" s="108" t="s">
        <v>108</v>
      </c>
    </row>
    <row r="239" spans="1:7" x14ac:dyDescent="0.3">
      <c r="A239" s="38">
        <v>46134</v>
      </c>
      <c r="B239" t="s">
        <v>253</v>
      </c>
      <c r="C239" s="95">
        <v>16000</v>
      </c>
      <c r="D239" s="95"/>
      <c r="E239" t="s">
        <v>423</v>
      </c>
      <c r="F239" s="108" t="s">
        <v>108</v>
      </c>
    </row>
    <row r="240" spans="1:7" x14ac:dyDescent="0.3">
      <c r="A240" s="38">
        <v>46134</v>
      </c>
      <c r="B240" t="s">
        <v>64</v>
      </c>
      <c r="C240" s="95">
        <v>60000</v>
      </c>
      <c r="D240" s="95"/>
      <c r="E240" t="s">
        <v>424</v>
      </c>
      <c r="F240" s="108" t="s">
        <v>108</v>
      </c>
    </row>
    <row r="241" spans="1:6" x14ac:dyDescent="0.3">
      <c r="A241" s="38">
        <v>46134</v>
      </c>
      <c r="B241" t="s">
        <v>219</v>
      </c>
      <c r="C241" s="95"/>
      <c r="D241" s="95">
        <v>60000</v>
      </c>
      <c r="E241" t="s">
        <v>424</v>
      </c>
      <c r="F241" s="108" t="s">
        <v>108</v>
      </c>
    </row>
    <row r="242" spans="1:6" x14ac:dyDescent="0.3">
      <c r="A242" s="38">
        <v>46134</v>
      </c>
      <c r="B242" t="s">
        <v>55</v>
      </c>
      <c r="C242" s="95">
        <v>2400</v>
      </c>
      <c r="D242" s="95"/>
      <c r="E242" t="s">
        <v>432</v>
      </c>
      <c r="F242" s="108" t="s">
        <v>108</v>
      </c>
    </row>
    <row r="243" spans="1:6" x14ac:dyDescent="0.3">
      <c r="A243" s="38">
        <v>46134</v>
      </c>
      <c r="B243" t="s">
        <v>54</v>
      </c>
      <c r="C243" s="11">
        <v>10000</v>
      </c>
      <c r="D243" s="11"/>
      <c r="E243" t="s">
        <v>433</v>
      </c>
      <c r="F243" s="108" t="s">
        <v>108</v>
      </c>
    </row>
    <row r="244" spans="1:6" x14ac:dyDescent="0.3">
      <c r="A244" s="38">
        <v>46134</v>
      </c>
      <c r="B244" t="s">
        <v>244</v>
      </c>
      <c r="C244" s="11">
        <v>400</v>
      </c>
      <c r="D244" s="11"/>
      <c r="E244" t="s">
        <v>434</v>
      </c>
      <c r="F244" s="108" t="s">
        <v>108</v>
      </c>
    </row>
    <row r="245" spans="1:6" x14ac:dyDescent="0.3">
      <c r="A245" s="38">
        <v>46134</v>
      </c>
      <c r="B245" t="s">
        <v>244</v>
      </c>
      <c r="C245" s="11">
        <v>1050</v>
      </c>
      <c r="D245" s="11"/>
      <c r="E245" t="s">
        <v>435</v>
      </c>
      <c r="F245" s="108" t="s">
        <v>108</v>
      </c>
    </row>
    <row r="246" spans="1:6" x14ac:dyDescent="0.3">
      <c r="A246" s="38">
        <v>46134</v>
      </c>
      <c r="B246" t="s">
        <v>221</v>
      </c>
      <c r="C246" s="11">
        <v>6000</v>
      </c>
      <c r="D246" s="11"/>
      <c r="E246" t="s">
        <v>265</v>
      </c>
      <c r="F246" s="108" t="s">
        <v>108</v>
      </c>
    </row>
    <row r="247" spans="1:6" x14ac:dyDescent="0.3">
      <c r="A247" s="111">
        <v>46134</v>
      </c>
      <c r="B247" t="s">
        <v>168</v>
      </c>
      <c r="C247" s="11">
        <v>2000</v>
      </c>
      <c r="D247" s="11"/>
      <c r="E247" t="s">
        <v>265</v>
      </c>
      <c r="F247" s="108" t="s">
        <v>108</v>
      </c>
    </row>
    <row r="248" spans="1:6" x14ac:dyDescent="0.3">
      <c r="A248" s="111">
        <v>46134</v>
      </c>
      <c r="B248" t="s">
        <v>257</v>
      </c>
      <c r="C248" s="11">
        <v>2000</v>
      </c>
      <c r="D248" s="11"/>
      <c r="E248" t="s">
        <v>265</v>
      </c>
      <c r="F248" s="108" t="s">
        <v>108</v>
      </c>
    </row>
    <row r="249" spans="1:6" x14ac:dyDescent="0.3">
      <c r="A249" s="111">
        <v>46134</v>
      </c>
      <c r="B249" t="s">
        <v>222</v>
      </c>
      <c r="C249" s="95">
        <v>1000</v>
      </c>
      <c r="D249" s="95"/>
      <c r="E249" t="s">
        <v>265</v>
      </c>
      <c r="F249" s="108" t="s">
        <v>108</v>
      </c>
    </row>
    <row r="250" spans="1:6" x14ac:dyDescent="0.3">
      <c r="A250" s="111">
        <v>46134</v>
      </c>
      <c r="B250" t="s">
        <v>425</v>
      </c>
      <c r="C250" s="95">
        <v>1000</v>
      </c>
      <c r="D250" s="95"/>
      <c r="E250" t="s">
        <v>265</v>
      </c>
      <c r="F250" s="108" t="s">
        <v>108</v>
      </c>
    </row>
    <row r="251" spans="1:6" x14ac:dyDescent="0.3">
      <c r="A251" s="111">
        <v>46135</v>
      </c>
      <c r="B251" t="s">
        <v>219</v>
      </c>
      <c r="C251" s="95"/>
      <c r="D251" s="95">
        <v>30000</v>
      </c>
      <c r="E251" t="s">
        <v>425</v>
      </c>
      <c r="F251" s="108" t="s">
        <v>108</v>
      </c>
    </row>
    <row r="252" spans="1:6" x14ac:dyDescent="0.3">
      <c r="A252" s="111">
        <v>46135</v>
      </c>
      <c r="B252" t="s">
        <v>425</v>
      </c>
      <c r="C252" s="95">
        <v>30000</v>
      </c>
      <c r="D252" s="95"/>
      <c r="E252" t="s">
        <v>240</v>
      </c>
      <c r="F252" s="108" t="s">
        <v>108</v>
      </c>
    </row>
    <row r="253" spans="1:6" x14ac:dyDescent="0.3">
      <c r="A253" s="111">
        <v>46135</v>
      </c>
      <c r="B253" t="s">
        <v>55</v>
      </c>
      <c r="C253" s="95">
        <v>2100</v>
      </c>
      <c r="D253" s="95"/>
      <c r="E253" t="s">
        <v>426</v>
      </c>
      <c r="F253" s="108" t="s">
        <v>108</v>
      </c>
    </row>
    <row r="254" spans="1:6" x14ac:dyDescent="0.3">
      <c r="A254" s="111">
        <v>46135</v>
      </c>
      <c r="B254" t="s">
        <v>55</v>
      </c>
      <c r="C254" s="95">
        <v>2600</v>
      </c>
      <c r="D254" s="95"/>
      <c r="E254" t="s">
        <v>427</v>
      </c>
      <c r="F254" s="108" t="s">
        <v>108</v>
      </c>
    </row>
    <row r="255" spans="1:6" x14ac:dyDescent="0.3">
      <c r="A255" s="111">
        <v>46135</v>
      </c>
      <c r="B255" t="s">
        <v>55</v>
      </c>
      <c r="C255" s="95">
        <v>550</v>
      </c>
      <c r="D255" s="95"/>
      <c r="E255" t="s">
        <v>428</v>
      </c>
      <c r="F255" s="108" t="s">
        <v>108</v>
      </c>
    </row>
    <row r="256" spans="1:6" x14ac:dyDescent="0.3">
      <c r="A256" s="111">
        <v>46135</v>
      </c>
      <c r="B256" t="s">
        <v>175</v>
      </c>
      <c r="C256" s="95">
        <v>30000</v>
      </c>
      <c r="D256" s="95"/>
      <c r="E256" t="s">
        <v>125</v>
      </c>
      <c r="F256" s="108" t="s">
        <v>108</v>
      </c>
    </row>
    <row r="257" spans="1:6" x14ac:dyDescent="0.3">
      <c r="A257" s="111">
        <v>46135</v>
      </c>
      <c r="B257" t="s">
        <v>219</v>
      </c>
      <c r="C257" s="95"/>
      <c r="D257" s="95">
        <v>142000</v>
      </c>
      <c r="E257" t="s">
        <v>429</v>
      </c>
      <c r="F257" s="108" t="s">
        <v>108</v>
      </c>
    </row>
    <row r="258" spans="1:6" x14ac:dyDescent="0.3">
      <c r="A258" s="38">
        <v>46135</v>
      </c>
      <c r="B258" t="s">
        <v>257</v>
      </c>
      <c r="C258" s="95">
        <v>100000</v>
      </c>
      <c r="D258" s="95"/>
      <c r="E258" t="s">
        <v>430</v>
      </c>
      <c r="F258" s="108" t="s">
        <v>108</v>
      </c>
    </row>
    <row r="259" spans="1:6" x14ac:dyDescent="0.3">
      <c r="A259" s="38">
        <v>46135</v>
      </c>
      <c r="B259" t="s">
        <v>253</v>
      </c>
      <c r="C259" s="95">
        <v>43000</v>
      </c>
      <c r="D259" s="95"/>
      <c r="E259" t="s">
        <v>262</v>
      </c>
      <c r="F259" s="108" t="s">
        <v>108</v>
      </c>
    </row>
    <row r="260" spans="1:6" x14ac:dyDescent="0.3">
      <c r="A260" s="38">
        <v>46135</v>
      </c>
      <c r="B260" t="s">
        <v>211</v>
      </c>
      <c r="C260" s="95">
        <f>1133+1490+300</f>
        <v>2923</v>
      </c>
      <c r="D260" s="95"/>
      <c r="F260" s="108" t="s">
        <v>108</v>
      </c>
    </row>
    <row r="261" spans="1:6" x14ac:dyDescent="0.3">
      <c r="A261" s="38">
        <v>46135</v>
      </c>
      <c r="B261" t="s">
        <v>55</v>
      </c>
      <c r="C261" s="95">
        <f>10656*2</f>
        <v>21312</v>
      </c>
      <c r="D261" s="95"/>
      <c r="E261" t="s">
        <v>436</v>
      </c>
      <c r="F261" s="108" t="s">
        <v>108</v>
      </c>
    </row>
    <row r="262" spans="1:6" x14ac:dyDescent="0.3">
      <c r="A262" s="38">
        <v>46135</v>
      </c>
      <c r="B262" t="s">
        <v>222</v>
      </c>
      <c r="C262" s="95">
        <v>70000</v>
      </c>
      <c r="D262" s="95"/>
      <c r="E262" t="s">
        <v>240</v>
      </c>
      <c r="F262" s="108" t="s">
        <v>108</v>
      </c>
    </row>
    <row r="263" spans="1:6" x14ac:dyDescent="0.3">
      <c r="A263" s="38">
        <v>46135</v>
      </c>
      <c r="B263" t="s">
        <v>269</v>
      </c>
      <c r="C263" s="95">
        <v>50000</v>
      </c>
      <c r="D263" s="95"/>
      <c r="E263" s="131" t="s">
        <v>437</v>
      </c>
      <c r="F263" s="108" t="s">
        <v>108</v>
      </c>
    </row>
    <row r="264" spans="1:6" x14ac:dyDescent="0.3">
      <c r="A264" s="38">
        <v>46135</v>
      </c>
      <c r="B264" t="s">
        <v>269</v>
      </c>
      <c r="C264" s="95">
        <v>20000</v>
      </c>
      <c r="D264" s="95"/>
      <c r="E264" s="131" t="s">
        <v>288</v>
      </c>
      <c r="F264" s="108" t="s">
        <v>108</v>
      </c>
    </row>
    <row r="265" spans="1:6" x14ac:dyDescent="0.3">
      <c r="A265" s="38">
        <v>46135</v>
      </c>
      <c r="B265" t="s">
        <v>54</v>
      </c>
      <c r="C265" s="95">
        <v>5000</v>
      </c>
      <c r="D265" s="95"/>
      <c r="E265" t="s">
        <v>438</v>
      </c>
      <c r="F265" s="108" t="s">
        <v>108</v>
      </c>
    </row>
    <row r="266" spans="1:6" x14ac:dyDescent="0.3">
      <c r="A266" s="38">
        <v>46135</v>
      </c>
      <c r="B266" t="s">
        <v>55</v>
      </c>
      <c r="C266" s="95">
        <v>5500</v>
      </c>
      <c r="D266" s="95"/>
      <c r="E266" t="s">
        <v>439</v>
      </c>
      <c r="F266" s="108" t="s">
        <v>108</v>
      </c>
    </row>
    <row r="267" spans="1:6" x14ac:dyDescent="0.3">
      <c r="A267" s="38">
        <v>46135</v>
      </c>
      <c r="B267" t="s">
        <v>386</v>
      </c>
      <c r="C267" s="95">
        <f>280+365</f>
        <v>645</v>
      </c>
      <c r="D267" s="95"/>
      <c r="E267" t="s">
        <v>440</v>
      </c>
      <c r="F267" s="108" t="s">
        <v>108</v>
      </c>
    </row>
    <row r="268" spans="1:6" x14ac:dyDescent="0.3">
      <c r="A268" s="38">
        <v>46135</v>
      </c>
      <c r="B268" t="s">
        <v>367</v>
      </c>
      <c r="C268" s="11"/>
      <c r="D268" s="11">
        <v>4414</v>
      </c>
      <c r="E268" t="s">
        <v>54</v>
      </c>
      <c r="F268" s="108" t="s">
        <v>108</v>
      </c>
    </row>
    <row r="269" spans="1:6" x14ac:dyDescent="0.3">
      <c r="A269" s="111">
        <v>46135</v>
      </c>
      <c r="B269" t="s">
        <v>54</v>
      </c>
      <c r="C269" s="95">
        <v>4414</v>
      </c>
      <c r="D269" s="95"/>
      <c r="E269" t="s">
        <v>250</v>
      </c>
      <c r="F269" s="108" t="s">
        <v>108</v>
      </c>
    </row>
    <row r="270" spans="1:6" x14ac:dyDescent="0.3">
      <c r="A270" s="38">
        <v>46136</v>
      </c>
      <c r="B270" t="s">
        <v>211</v>
      </c>
      <c r="C270" s="11">
        <v>1133</v>
      </c>
      <c r="D270" s="11"/>
      <c r="F270" s="108" t="s">
        <v>108</v>
      </c>
    </row>
    <row r="271" spans="1:6" x14ac:dyDescent="0.3">
      <c r="A271" s="111">
        <v>46136</v>
      </c>
      <c r="B271" t="s">
        <v>219</v>
      </c>
      <c r="C271" s="11"/>
      <c r="D271" s="11">
        <v>47400</v>
      </c>
      <c r="E271" t="s">
        <v>316</v>
      </c>
      <c r="F271" s="108" t="s">
        <v>108</v>
      </c>
    </row>
    <row r="272" spans="1:6" x14ac:dyDescent="0.3">
      <c r="A272" s="111">
        <v>46136</v>
      </c>
      <c r="B272" t="s">
        <v>116</v>
      </c>
      <c r="C272" s="11">
        <v>47400</v>
      </c>
      <c r="D272" s="11"/>
      <c r="E272" t="s">
        <v>316</v>
      </c>
      <c r="F272" s="108" t="s">
        <v>108</v>
      </c>
    </row>
    <row r="273" spans="1:6" x14ac:dyDescent="0.3">
      <c r="A273" s="111">
        <v>46136</v>
      </c>
      <c r="B273" t="s">
        <v>55</v>
      </c>
      <c r="C273" s="11">
        <v>32000</v>
      </c>
      <c r="D273" s="11"/>
      <c r="E273" t="s">
        <v>330</v>
      </c>
      <c r="F273" s="108" t="s">
        <v>108</v>
      </c>
    </row>
    <row r="274" spans="1:6" x14ac:dyDescent="0.3">
      <c r="A274" s="111">
        <v>46136</v>
      </c>
      <c r="B274" t="s">
        <v>219</v>
      </c>
      <c r="C274" s="11"/>
      <c r="D274" s="11">
        <v>32000</v>
      </c>
      <c r="E274" t="s">
        <v>330</v>
      </c>
      <c r="F274" s="108" t="s">
        <v>108</v>
      </c>
    </row>
    <row r="275" spans="1:6" x14ac:dyDescent="0.3">
      <c r="A275" s="111">
        <v>46136</v>
      </c>
      <c r="B275" t="s">
        <v>55</v>
      </c>
      <c r="C275" s="11">
        <v>10656</v>
      </c>
      <c r="D275" s="11"/>
      <c r="E275" t="s">
        <v>259</v>
      </c>
      <c r="F275" s="108" t="s">
        <v>108</v>
      </c>
    </row>
    <row r="276" spans="1:6" x14ac:dyDescent="0.3">
      <c r="A276" s="111">
        <v>46137</v>
      </c>
      <c r="B276" t="s">
        <v>244</v>
      </c>
      <c r="C276" s="11">
        <v>400</v>
      </c>
      <c r="D276" s="11"/>
      <c r="E276" t="s">
        <v>449</v>
      </c>
      <c r="F276" s="108" t="s">
        <v>108</v>
      </c>
    </row>
    <row r="277" spans="1:6" x14ac:dyDescent="0.3">
      <c r="A277" s="111">
        <v>46137</v>
      </c>
      <c r="B277" t="s">
        <v>55</v>
      </c>
      <c r="C277" s="11">
        <v>690</v>
      </c>
      <c r="D277" s="11"/>
      <c r="E277" t="s">
        <v>448</v>
      </c>
      <c r="F277" s="108" t="s">
        <v>108</v>
      </c>
    </row>
    <row r="278" spans="1:6" x14ac:dyDescent="0.3">
      <c r="A278" s="111">
        <v>46137</v>
      </c>
      <c r="B278" t="s">
        <v>211</v>
      </c>
      <c r="C278" s="11"/>
      <c r="D278" s="11">
        <v>600</v>
      </c>
      <c r="F278" s="108" t="s">
        <v>108</v>
      </c>
    </row>
    <row r="279" spans="1:6" x14ac:dyDescent="0.3">
      <c r="A279" s="111">
        <v>46137</v>
      </c>
      <c r="B279" t="s">
        <v>269</v>
      </c>
      <c r="C279" s="11">
        <v>3000</v>
      </c>
      <c r="D279" s="11"/>
      <c r="E279" s="131" t="s">
        <v>252</v>
      </c>
      <c r="F279" s="108" t="s">
        <v>108</v>
      </c>
    </row>
    <row r="280" spans="1:6" x14ac:dyDescent="0.3">
      <c r="A280" s="111">
        <v>46137</v>
      </c>
      <c r="B280" t="s">
        <v>219</v>
      </c>
      <c r="C280" s="11"/>
      <c r="D280" s="11">
        <v>8000</v>
      </c>
      <c r="E280" t="s">
        <v>318</v>
      </c>
      <c r="F280" s="108" t="s">
        <v>108</v>
      </c>
    </row>
    <row r="281" spans="1:6" x14ac:dyDescent="0.3">
      <c r="A281" s="111">
        <v>46137</v>
      </c>
      <c r="B281" t="s">
        <v>219</v>
      </c>
      <c r="C281" s="11"/>
      <c r="D281" s="11">
        <v>147000</v>
      </c>
      <c r="E281" t="s">
        <v>450</v>
      </c>
      <c r="F281" s="108" t="s">
        <v>108</v>
      </c>
    </row>
    <row r="282" spans="1:6" x14ac:dyDescent="0.3">
      <c r="A282" s="111">
        <v>46137</v>
      </c>
      <c r="B282" t="s">
        <v>116</v>
      </c>
      <c r="C282" s="11">
        <v>55000</v>
      </c>
      <c r="D282" s="11"/>
      <c r="E282" t="s">
        <v>61</v>
      </c>
      <c r="F282" s="108" t="s">
        <v>108</v>
      </c>
    </row>
    <row r="283" spans="1:6" x14ac:dyDescent="0.3">
      <c r="A283" s="111">
        <v>46137</v>
      </c>
      <c r="B283" t="s">
        <v>257</v>
      </c>
      <c r="C283" s="11">
        <v>100000</v>
      </c>
      <c r="D283" s="11"/>
      <c r="E283" t="s">
        <v>451</v>
      </c>
      <c r="F283" s="108" t="s">
        <v>108</v>
      </c>
    </row>
    <row r="284" spans="1:6" x14ac:dyDescent="0.3">
      <c r="A284" s="111">
        <v>46137</v>
      </c>
      <c r="B284" t="s">
        <v>386</v>
      </c>
      <c r="C284" s="11">
        <v>8000</v>
      </c>
      <c r="D284" s="11"/>
      <c r="E284" t="s">
        <v>452</v>
      </c>
      <c r="F284" s="108" t="s">
        <v>108</v>
      </c>
    </row>
    <row r="285" spans="1:6" x14ac:dyDescent="0.3">
      <c r="A285" s="111">
        <v>46137</v>
      </c>
      <c r="B285" t="s">
        <v>219</v>
      </c>
      <c r="C285" s="11"/>
      <c r="D285" s="11">
        <v>10000</v>
      </c>
      <c r="E285" t="s">
        <v>453</v>
      </c>
      <c r="F285" s="108" t="s">
        <v>108</v>
      </c>
    </row>
    <row r="286" spans="1:6" x14ac:dyDescent="0.3">
      <c r="A286" s="111">
        <v>46137</v>
      </c>
      <c r="B286" t="s">
        <v>9</v>
      </c>
      <c r="C286" s="11"/>
      <c r="D286" s="11">
        <v>98000</v>
      </c>
      <c r="E286" t="s">
        <v>454</v>
      </c>
      <c r="F286" s="108" t="s">
        <v>108</v>
      </c>
    </row>
    <row r="287" spans="1:6" x14ac:dyDescent="0.3">
      <c r="A287" s="111">
        <v>46137</v>
      </c>
      <c r="B287" t="s">
        <v>269</v>
      </c>
      <c r="C287" s="11">
        <v>10000</v>
      </c>
      <c r="D287" s="11"/>
      <c r="E287" s="131" t="s">
        <v>288</v>
      </c>
      <c r="F287" s="108" t="s">
        <v>108</v>
      </c>
    </row>
    <row r="288" spans="1:6" x14ac:dyDescent="0.3">
      <c r="A288" s="111">
        <v>46137</v>
      </c>
      <c r="B288" t="s">
        <v>55</v>
      </c>
      <c r="C288" s="11">
        <v>10656</v>
      </c>
      <c r="D288" s="11"/>
      <c r="E288" t="s">
        <v>259</v>
      </c>
      <c r="F288" s="108" t="s">
        <v>108</v>
      </c>
    </row>
    <row r="289" spans="1:9" x14ac:dyDescent="0.3">
      <c r="A289" s="111">
        <v>46137</v>
      </c>
      <c r="B289" t="s">
        <v>222</v>
      </c>
      <c r="C289" s="11">
        <v>75000</v>
      </c>
      <c r="D289" s="11"/>
      <c r="E289" t="s">
        <v>455</v>
      </c>
      <c r="F289" s="108" t="s">
        <v>108</v>
      </c>
    </row>
    <row r="290" spans="1:9" x14ac:dyDescent="0.3">
      <c r="A290" s="111">
        <v>46137</v>
      </c>
      <c r="B290" t="s">
        <v>175</v>
      </c>
      <c r="C290" s="11">
        <v>18000</v>
      </c>
      <c r="D290" s="11"/>
      <c r="E290" t="s">
        <v>564</v>
      </c>
      <c r="F290" s="108" t="s">
        <v>108</v>
      </c>
    </row>
    <row r="291" spans="1:9" x14ac:dyDescent="0.3">
      <c r="A291" s="111">
        <v>46137</v>
      </c>
      <c r="B291" t="s">
        <v>219</v>
      </c>
      <c r="C291" s="11"/>
      <c r="D291" s="11">
        <v>18000</v>
      </c>
      <c r="E291" t="s">
        <v>564</v>
      </c>
      <c r="F291" s="108" t="s">
        <v>108</v>
      </c>
    </row>
    <row r="292" spans="1:9" x14ac:dyDescent="0.3">
      <c r="A292" s="111">
        <v>46138</v>
      </c>
      <c r="B292" t="s">
        <v>55</v>
      </c>
      <c r="C292" s="11">
        <v>11456</v>
      </c>
      <c r="D292" s="11"/>
      <c r="E292" t="s">
        <v>457</v>
      </c>
      <c r="F292" s="108" t="s">
        <v>108</v>
      </c>
    </row>
    <row r="293" spans="1:9" x14ac:dyDescent="0.3">
      <c r="A293" s="111">
        <v>46139</v>
      </c>
      <c r="B293" t="s">
        <v>115</v>
      </c>
      <c r="C293" s="11">
        <v>200000</v>
      </c>
      <c r="D293" s="11"/>
      <c r="E293" t="s">
        <v>458</v>
      </c>
      <c r="F293" s="108" t="s">
        <v>108</v>
      </c>
    </row>
    <row r="294" spans="1:9" x14ac:dyDescent="0.3">
      <c r="A294" s="111">
        <v>46139</v>
      </c>
      <c r="B294" t="s">
        <v>219</v>
      </c>
      <c r="C294" s="11"/>
      <c r="D294" s="11">
        <v>200000</v>
      </c>
      <c r="E294" t="s">
        <v>115</v>
      </c>
      <c r="F294" s="108" t="s">
        <v>108</v>
      </c>
    </row>
    <row r="295" spans="1:9" x14ac:dyDescent="0.3">
      <c r="A295" s="111">
        <v>46139</v>
      </c>
      <c r="B295" t="s">
        <v>243</v>
      </c>
      <c r="C295" s="11"/>
      <c r="D295" s="11">
        <v>86594</v>
      </c>
      <c r="E295" t="s">
        <v>459</v>
      </c>
      <c r="F295" s="108" t="s">
        <v>108</v>
      </c>
    </row>
    <row r="296" spans="1:9" x14ac:dyDescent="0.3">
      <c r="A296" s="111">
        <v>46139</v>
      </c>
      <c r="B296" t="s">
        <v>219</v>
      </c>
      <c r="C296" s="11">
        <v>86594</v>
      </c>
      <c r="D296" s="11"/>
      <c r="E296" t="s">
        <v>243</v>
      </c>
      <c r="F296" s="108" t="s">
        <v>108</v>
      </c>
    </row>
    <row r="297" spans="1:9" x14ac:dyDescent="0.3">
      <c r="A297" s="111">
        <v>46139</v>
      </c>
      <c r="B297" t="s">
        <v>55</v>
      </c>
      <c r="C297" s="11">
        <v>6200</v>
      </c>
      <c r="D297" s="11"/>
      <c r="E297" t="s">
        <v>460</v>
      </c>
      <c r="F297" s="108" t="s">
        <v>108</v>
      </c>
    </row>
    <row r="298" spans="1:9" x14ac:dyDescent="0.3">
      <c r="A298" s="111">
        <v>46139</v>
      </c>
      <c r="B298" t="s">
        <v>219</v>
      </c>
      <c r="C298" s="95"/>
      <c r="D298" s="95">
        <v>6200</v>
      </c>
      <c r="E298" t="s">
        <v>460</v>
      </c>
      <c r="F298" s="108" t="s">
        <v>108</v>
      </c>
      <c r="I298">
        <v>80000</v>
      </c>
    </row>
    <row r="299" spans="1:9" x14ac:dyDescent="0.3">
      <c r="A299" s="111">
        <v>46139</v>
      </c>
      <c r="B299" t="s">
        <v>54</v>
      </c>
      <c r="C299" s="11">
        <v>1500</v>
      </c>
      <c r="D299" s="11"/>
      <c r="F299" s="108" t="s">
        <v>108</v>
      </c>
      <c r="I299">
        <v>50000</v>
      </c>
    </row>
    <row r="300" spans="1:9" x14ac:dyDescent="0.3">
      <c r="A300" s="111">
        <v>46139</v>
      </c>
      <c r="B300" t="s">
        <v>55</v>
      </c>
      <c r="C300" s="95">
        <v>1460</v>
      </c>
      <c r="D300" s="95"/>
      <c r="E300" t="s">
        <v>461</v>
      </c>
      <c r="F300" s="108" t="s">
        <v>108</v>
      </c>
      <c r="I300">
        <v>6000</v>
      </c>
    </row>
    <row r="301" spans="1:9" x14ac:dyDescent="0.3">
      <c r="A301" s="111">
        <v>46139</v>
      </c>
      <c r="B301" t="s">
        <v>219</v>
      </c>
      <c r="C301" s="95"/>
      <c r="D301" s="95">
        <v>7000</v>
      </c>
      <c r="E301" t="s">
        <v>422</v>
      </c>
      <c r="F301" s="108" t="s">
        <v>108</v>
      </c>
      <c r="I301">
        <v>1000</v>
      </c>
    </row>
    <row r="302" spans="1:9" x14ac:dyDescent="0.3">
      <c r="A302" s="111">
        <v>46139</v>
      </c>
      <c r="B302" t="s">
        <v>54</v>
      </c>
      <c r="C302" s="95">
        <v>2500</v>
      </c>
      <c r="D302" s="95"/>
      <c r="E302" t="s">
        <v>462</v>
      </c>
      <c r="F302" s="108" t="s">
        <v>108</v>
      </c>
      <c r="I302">
        <v>42000</v>
      </c>
    </row>
    <row r="303" spans="1:9" x14ac:dyDescent="0.3">
      <c r="A303" s="111">
        <v>46139</v>
      </c>
      <c r="B303" t="s">
        <v>54</v>
      </c>
      <c r="C303" s="95">
        <v>4500</v>
      </c>
      <c r="D303" s="95"/>
      <c r="E303" t="s">
        <v>463</v>
      </c>
      <c r="F303" s="108" t="s">
        <v>108</v>
      </c>
      <c r="I303">
        <v>22800</v>
      </c>
    </row>
    <row r="304" spans="1:9" x14ac:dyDescent="0.3">
      <c r="A304" s="111">
        <v>46139</v>
      </c>
      <c r="B304" t="s">
        <v>54</v>
      </c>
      <c r="C304" s="95">
        <v>5000</v>
      </c>
      <c r="D304" s="95"/>
      <c r="E304" t="s">
        <v>254</v>
      </c>
      <c r="F304" s="108" t="s">
        <v>108</v>
      </c>
      <c r="I304">
        <v>11600</v>
      </c>
    </row>
    <row r="305" spans="1:9" x14ac:dyDescent="0.3">
      <c r="A305" s="38">
        <v>46139</v>
      </c>
      <c r="B305" t="s">
        <v>211</v>
      </c>
      <c r="C305" s="95">
        <v>1350</v>
      </c>
      <c r="D305" s="95"/>
      <c r="F305" s="108" t="s">
        <v>108</v>
      </c>
      <c r="I305">
        <v>20800</v>
      </c>
    </row>
    <row r="306" spans="1:9" x14ac:dyDescent="0.3">
      <c r="A306" s="38">
        <v>46139</v>
      </c>
      <c r="B306" t="s">
        <v>367</v>
      </c>
      <c r="C306" s="95"/>
      <c r="D306" s="95">
        <v>3927</v>
      </c>
      <c r="E306" t="s">
        <v>54</v>
      </c>
      <c r="F306" s="108" t="s">
        <v>108</v>
      </c>
      <c r="I306">
        <v>37000</v>
      </c>
    </row>
    <row r="307" spans="1:9" x14ac:dyDescent="0.3">
      <c r="A307" s="111">
        <v>46139</v>
      </c>
      <c r="B307" t="s">
        <v>54</v>
      </c>
      <c r="C307" s="95">
        <v>3927</v>
      </c>
      <c r="D307" s="95"/>
      <c r="F307" s="108" t="s">
        <v>108</v>
      </c>
      <c r="I307">
        <v>25200</v>
      </c>
    </row>
    <row r="308" spans="1:9" x14ac:dyDescent="0.3">
      <c r="A308" s="111">
        <v>46140</v>
      </c>
      <c r="B308" t="s">
        <v>219</v>
      </c>
      <c r="C308" s="11"/>
      <c r="D308" s="11">
        <v>50000</v>
      </c>
      <c r="E308" t="s">
        <v>464</v>
      </c>
      <c r="F308" s="108" t="s">
        <v>108</v>
      </c>
      <c r="I308">
        <v>30000</v>
      </c>
    </row>
    <row r="309" spans="1:9" x14ac:dyDescent="0.3">
      <c r="A309" s="111">
        <v>46140</v>
      </c>
      <c r="B309" t="s">
        <v>116</v>
      </c>
      <c r="C309" s="11">
        <v>39000</v>
      </c>
      <c r="D309" s="11"/>
      <c r="E309" t="s">
        <v>316</v>
      </c>
      <c r="F309" s="108" t="s">
        <v>108</v>
      </c>
      <c r="I309">
        <v>33600</v>
      </c>
    </row>
    <row r="310" spans="1:9" x14ac:dyDescent="0.3">
      <c r="A310" s="111">
        <v>46140</v>
      </c>
      <c r="B310" t="s">
        <v>54</v>
      </c>
      <c r="C310" s="11">
        <v>600</v>
      </c>
      <c r="D310" s="11"/>
      <c r="E310" t="s">
        <v>465</v>
      </c>
      <c r="F310" s="108" t="s">
        <v>108</v>
      </c>
      <c r="I310">
        <v>13000</v>
      </c>
    </row>
    <row r="311" spans="1:9" x14ac:dyDescent="0.3">
      <c r="A311" s="111">
        <v>46140</v>
      </c>
      <c r="B311" t="s">
        <v>55</v>
      </c>
      <c r="C311" s="11">
        <v>190</v>
      </c>
      <c r="D311" s="11"/>
      <c r="F311" s="108" t="s">
        <v>108</v>
      </c>
      <c r="I311">
        <v>13650</v>
      </c>
    </row>
    <row r="312" spans="1:9" x14ac:dyDescent="0.3">
      <c r="A312" s="111">
        <v>46140</v>
      </c>
      <c r="B312" t="s">
        <v>55</v>
      </c>
      <c r="C312" s="11">
        <v>950</v>
      </c>
      <c r="D312" s="11"/>
      <c r="E312" t="s">
        <v>466</v>
      </c>
      <c r="F312" s="108" t="s">
        <v>108</v>
      </c>
      <c r="I312">
        <v>20800</v>
      </c>
    </row>
    <row r="313" spans="1:9" x14ac:dyDescent="0.3">
      <c r="A313" s="111">
        <v>46140</v>
      </c>
      <c r="B313" t="s">
        <v>219</v>
      </c>
      <c r="C313" s="11"/>
      <c r="D313" s="11">
        <v>60000</v>
      </c>
      <c r="E313" t="s">
        <v>467</v>
      </c>
      <c r="F313" s="108" t="s">
        <v>108</v>
      </c>
      <c r="I313">
        <v>20000</v>
      </c>
    </row>
    <row r="314" spans="1:9" x14ac:dyDescent="0.3">
      <c r="A314" s="111">
        <v>46140</v>
      </c>
      <c r="B314" t="s">
        <v>55</v>
      </c>
      <c r="C314" s="11">
        <v>500</v>
      </c>
      <c r="D314" s="11"/>
      <c r="F314" s="108" t="s">
        <v>108</v>
      </c>
      <c r="I314">
        <v>13300</v>
      </c>
    </row>
    <row r="315" spans="1:9" x14ac:dyDescent="0.3">
      <c r="A315" s="38">
        <v>46140</v>
      </c>
      <c r="B315" t="s">
        <v>269</v>
      </c>
      <c r="C315" s="11">
        <v>60000</v>
      </c>
      <c r="D315" s="11"/>
      <c r="E315" s="131" t="s">
        <v>406</v>
      </c>
      <c r="F315" s="108" t="s">
        <v>108</v>
      </c>
      <c r="I315">
        <v>13650</v>
      </c>
    </row>
    <row r="316" spans="1:9" x14ac:dyDescent="0.3">
      <c r="A316" s="38">
        <v>46140</v>
      </c>
      <c r="B316" t="s">
        <v>269</v>
      </c>
      <c r="C316" s="95">
        <v>5000</v>
      </c>
      <c r="D316" s="95"/>
      <c r="E316" t="s">
        <v>391</v>
      </c>
      <c r="F316" s="108" t="s">
        <v>108</v>
      </c>
      <c r="I316">
        <v>12000</v>
      </c>
    </row>
    <row r="317" spans="1:9" x14ac:dyDescent="0.3">
      <c r="A317" s="111">
        <v>46141</v>
      </c>
      <c r="B317" t="s">
        <v>244</v>
      </c>
      <c r="C317" s="95">
        <v>800</v>
      </c>
      <c r="D317" s="95"/>
      <c r="F317" s="108" t="s">
        <v>108</v>
      </c>
      <c r="I317">
        <v>11650</v>
      </c>
    </row>
    <row r="318" spans="1:9" x14ac:dyDescent="0.3">
      <c r="A318" s="38">
        <v>46141</v>
      </c>
      <c r="B318" t="s">
        <v>55</v>
      </c>
      <c r="C318" s="11">
        <v>34369</v>
      </c>
      <c r="D318" s="11"/>
      <c r="E318" t="s">
        <v>468</v>
      </c>
      <c r="F318" s="108" t="s">
        <v>108</v>
      </c>
      <c r="I318">
        <v>20200</v>
      </c>
    </row>
    <row r="319" spans="1:9" x14ac:dyDescent="0.3">
      <c r="A319" s="111">
        <v>46141</v>
      </c>
      <c r="B319" t="s">
        <v>219</v>
      </c>
      <c r="C319" s="11"/>
      <c r="D319" s="11">
        <v>40000</v>
      </c>
      <c r="E319" t="s">
        <v>469</v>
      </c>
      <c r="F319" s="108" t="s">
        <v>108</v>
      </c>
      <c r="I319">
        <v>22650</v>
      </c>
    </row>
    <row r="320" spans="1:9" x14ac:dyDescent="0.3">
      <c r="A320" s="38">
        <v>46141</v>
      </c>
      <c r="B320" t="s">
        <v>219</v>
      </c>
      <c r="C320" s="11"/>
      <c r="D320" s="11">
        <v>200000</v>
      </c>
      <c r="E320" t="s">
        <v>470</v>
      </c>
      <c r="F320" s="108" t="s">
        <v>108</v>
      </c>
      <c r="I320">
        <v>14650</v>
      </c>
    </row>
    <row r="321" spans="1:9" x14ac:dyDescent="0.3">
      <c r="A321" s="111">
        <v>46141</v>
      </c>
      <c r="B321" t="s">
        <v>222</v>
      </c>
      <c r="C321" s="11">
        <v>200500</v>
      </c>
      <c r="D321" s="11"/>
      <c r="E321" t="s">
        <v>471</v>
      </c>
      <c r="F321" s="108" t="s">
        <v>108</v>
      </c>
      <c r="I321">
        <v>24800</v>
      </c>
    </row>
    <row r="322" spans="1:9" x14ac:dyDescent="0.3">
      <c r="A322" s="38">
        <v>46141</v>
      </c>
      <c r="B322" t="s">
        <v>219</v>
      </c>
      <c r="C322" s="11"/>
      <c r="D322" s="11">
        <v>300000</v>
      </c>
      <c r="E322" t="s">
        <v>472</v>
      </c>
      <c r="F322" s="108" t="s">
        <v>108</v>
      </c>
      <c r="I322">
        <v>10650</v>
      </c>
    </row>
    <row r="323" spans="1:9" x14ac:dyDescent="0.3">
      <c r="A323" s="111">
        <v>46141</v>
      </c>
      <c r="B323" t="s">
        <v>257</v>
      </c>
      <c r="C323" s="11">
        <v>150000</v>
      </c>
      <c r="D323" s="11"/>
      <c r="E323" t="s">
        <v>473</v>
      </c>
      <c r="F323" s="108" t="s">
        <v>108</v>
      </c>
      <c r="I323">
        <v>14400</v>
      </c>
    </row>
    <row r="324" spans="1:9" x14ac:dyDescent="0.3">
      <c r="A324" s="38">
        <v>46141</v>
      </c>
      <c r="B324" t="s">
        <v>221</v>
      </c>
      <c r="C324" s="11">
        <v>150000</v>
      </c>
      <c r="D324" s="11"/>
      <c r="E324" t="s">
        <v>474</v>
      </c>
      <c r="F324" s="108" t="s">
        <v>108</v>
      </c>
      <c r="I324">
        <v>14800</v>
      </c>
    </row>
    <row r="325" spans="1:9" x14ac:dyDescent="0.3">
      <c r="A325" s="111">
        <v>46141</v>
      </c>
      <c r="B325" t="s">
        <v>456</v>
      </c>
      <c r="C325" s="11">
        <v>3000</v>
      </c>
      <c r="D325" s="11"/>
      <c r="E325" t="s">
        <v>488</v>
      </c>
      <c r="F325" s="108" t="s">
        <v>108</v>
      </c>
      <c r="I325">
        <v>12800</v>
      </c>
    </row>
    <row r="326" spans="1:9" x14ac:dyDescent="0.3">
      <c r="A326" s="38">
        <v>46141</v>
      </c>
      <c r="B326" t="s">
        <v>357</v>
      </c>
      <c r="C326" s="11">
        <v>5000</v>
      </c>
      <c r="D326" s="11"/>
      <c r="F326" s="108" t="s">
        <v>108</v>
      </c>
      <c r="I326">
        <v>18000</v>
      </c>
    </row>
    <row r="327" spans="1:9" x14ac:dyDescent="0.3">
      <c r="A327" s="111">
        <v>46141</v>
      </c>
      <c r="B327" t="s">
        <v>55</v>
      </c>
      <c r="C327" s="11">
        <v>600</v>
      </c>
      <c r="D327" s="11"/>
      <c r="F327" s="108" t="s">
        <v>108</v>
      </c>
      <c r="I327">
        <v>14000</v>
      </c>
    </row>
    <row r="328" spans="1:9" x14ac:dyDescent="0.3">
      <c r="A328" s="38">
        <v>46141</v>
      </c>
      <c r="B328" t="s">
        <v>219</v>
      </c>
      <c r="C328" s="11"/>
      <c r="D328" s="11">
        <v>176000</v>
      </c>
      <c r="E328" t="s">
        <v>475</v>
      </c>
      <c r="F328" s="108" t="s">
        <v>108</v>
      </c>
      <c r="I328">
        <v>14000</v>
      </c>
    </row>
    <row r="329" spans="1:9" x14ac:dyDescent="0.3">
      <c r="A329" s="111">
        <v>46141</v>
      </c>
      <c r="B329" t="s">
        <v>476</v>
      </c>
      <c r="C329" s="11">
        <v>26000</v>
      </c>
      <c r="D329" s="11"/>
      <c r="E329" t="s">
        <v>240</v>
      </c>
      <c r="F329" s="108" t="s">
        <v>108</v>
      </c>
      <c r="I329">
        <v>55000</v>
      </c>
    </row>
    <row r="330" spans="1:9" x14ac:dyDescent="0.3">
      <c r="A330" s="38">
        <v>46141</v>
      </c>
      <c r="B330" t="s">
        <v>168</v>
      </c>
      <c r="C330" s="11">
        <v>150000</v>
      </c>
      <c r="D330" s="11"/>
      <c r="E330" t="s">
        <v>477</v>
      </c>
      <c r="F330" s="108" t="s">
        <v>108</v>
      </c>
      <c r="I330">
        <v>35000</v>
      </c>
    </row>
    <row r="331" spans="1:9" x14ac:dyDescent="0.3">
      <c r="A331" s="111">
        <v>46141</v>
      </c>
      <c r="B331" t="s">
        <v>219</v>
      </c>
      <c r="C331" s="11"/>
      <c r="D331" s="11">
        <v>20000</v>
      </c>
      <c r="E331" t="s">
        <v>479</v>
      </c>
      <c r="F331" s="108" t="s">
        <v>108</v>
      </c>
      <c r="I331">
        <v>14650</v>
      </c>
    </row>
    <row r="332" spans="1:9" x14ac:dyDescent="0.3">
      <c r="A332" s="38">
        <v>46141</v>
      </c>
      <c r="B332" t="s">
        <v>253</v>
      </c>
      <c r="C332" s="11">
        <v>10000</v>
      </c>
      <c r="D332" s="11"/>
      <c r="E332" t="s">
        <v>478</v>
      </c>
      <c r="F332" s="108" t="s">
        <v>108</v>
      </c>
      <c r="I332">
        <v>23000</v>
      </c>
    </row>
    <row r="333" spans="1:9" x14ac:dyDescent="0.3">
      <c r="A333" s="38">
        <v>46142</v>
      </c>
      <c r="B333" t="s">
        <v>55</v>
      </c>
      <c r="C333" s="11">
        <v>590</v>
      </c>
      <c r="D333" s="11"/>
      <c r="F333" s="108" t="s">
        <v>108</v>
      </c>
      <c r="I333">
        <v>2650</v>
      </c>
    </row>
    <row r="334" spans="1:9" x14ac:dyDescent="0.3">
      <c r="A334" s="38">
        <v>46142</v>
      </c>
      <c r="B334" t="s">
        <v>219</v>
      </c>
      <c r="C334" s="11"/>
      <c r="D334" s="11">
        <v>12500</v>
      </c>
      <c r="E334" t="s">
        <v>391</v>
      </c>
      <c r="F334" s="108" t="s">
        <v>108</v>
      </c>
      <c r="I334">
        <v>17060</v>
      </c>
    </row>
    <row r="335" spans="1:9" x14ac:dyDescent="0.3">
      <c r="A335" s="38">
        <v>46142</v>
      </c>
      <c r="B335" t="s">
        <v>244</v>
      </c>
      <c r="C335" s="11">
        <v>12500</v>
      </c>
      <c r="D335" s="11"/>
      <c r="E335" t="s">
        <v>391</v>
      </c>
      <c r="F335" s="108" t="s">
        <v>108</v>
      </c>
      <c r="I335">
        <v>10000</v>
      </c>
    </row>
    <row r="336" spans="1:9" x14ac:dyDescent="0.3">
      <c r="A336" s="38">
        <v>46142</v>
      </c>
      <c r="B336" t="s">
        <v>386</v>
      </c>
      <c r="C336" s="11">
        <v>12000</v>
      </c>
      <c r="D336" s="11"/>
      <c r="E336" t="s">
        <v>480</v>
      </c>
      <c r="F336" s="108" t="s">
        <v>108</v>
      </c>
      <c r="I336">
        <v>154000</v>
      </c>
    </row>
    <row r="337" spans="1:6" x14ac:dyDescent="0.3">
      <c r="A337" s="38">
        <v>46142</v>
      </c>
      <c r="B337" t="s">
        <v>493</v>
      </c>
      <c r="C337" s="11"/>
      <c r="D337" s="11">
        <v>100000</v>
      </c>
      <c r="E337" t="s">
        <v>271</v>
      </c>
      <c r="F337" s="108" t="s">
        <v>108</v>
      </c>
    </row>
    <row r="338" spans="1:6" x14ac:dyDescent="0.3">
      <c r="A338" s="38">
        <v>46142</v>
      </c>
      <c r="B338" t="s">
        <v>222</v>
      </c>
      <c r="C338" s="11">
        <v>82600</v>
      </c>
      <c r="D338" s="11"/>
      <c r="E338" t="s">
        <v>240</v>
      </c>
      <c r="F338" s="108" t="s">
        <v>108</v>
      </c>
    </row>
    <row r="339" spans="1:6" x14ac:dyDescent="0.3">
      <c r="A339" s="38">
        <v>46142</v>
      </c>
      <c r="B339" t="s">
        <v>219</v>
      </c>
      <c r="C339" s="95"/>
      <c r="D339" s="95">
        <v>715000</v>
      </c>
      <c r="E339" t="s">
        <v>109</v>
      </c>
      <c r="F339" s="108" t="s">
        <v>108</v>
      </c>
    </row>
    <row r="340" spans="1:6" x14ac:dyDescent="0.3">
      <c r="A340" s="38">
        <v>46142</v>
      </c>
      <c r="B340" t="s">
        <v>253</v>
      </c>
      <c r="C340" s="11">
        <v>16000</v>
      </c>
      <c r="D340" s="11"/>
      <c r="E340" t="s">
        <v>423</v>
      </c>
      <c r="F340" s="108" t="s">
        <v>108</v>
      </c>
    </row>
    <row r="341" spans="1:6" x14ac:dyDescent="0.3">
      <c r="A341" s="38">
        <v>46143</v>
      </c>
      <c r="B341" t="s">
        <v>54</v>
      </c>
      <c r="C341" s="95">
        <v>1500</v>
      </c>
      <c r="D341" s="95"/>
      <c r="F341" s="108" t="s">
        <v>108</v>
      </c>
    </row>
    <row r="342" spans="1:6" x14ac:dyDescent="0.3">
      <c r="A342" s="38">
        <v>46143</v>
      </c>
      <c r="B342" t="s">
        <v>54</v>
      </c>
      <c r="C342" s="95">
        <v>14000</v>
      </c>
      <c r="D342" s="95"/>
      <c r="E342" t="s">
        <v>254</v>
      </c>
      <c r="F342" s="108" t="s">
        <v>108</v>
      </c>
    </row>
    <row r="343" spans="1:6" x14ac:dyDescent="0.3">
      <c r="A343" s="38">
        <v>46143</v>
      </c>
      <c r="B343" t="s">
        <v>244</v>
      </c>
      <c r="C343" s="95">
        <v>2000</v>
      </c>
      <c r="D343" s="95"/>
      <c r="E343" t="s">
        <v>481</v>
      </c>
      <c r="F343" s="108" t="s">
        <v>108</v>
      </c>
    </row>
    <row r="344" spans="1:6" x14ac:dyDescent="0.3">
      <c r="A344" s="38">
        <v>46143</v>
      </c>
      <c r="B344" t="s">
        <v>219</v>
      </c>
      <c r="C344" s="95"/>
      <c r="D344" s="95">
        <v>42000</v>
      </c>
      <c r="E344" t="s">
        <v>320</v>
      </c>
      <c r="F344" s="108" t="s">
        <v>108</v>
      </c>
    </row>
    <row r="345" spans="1:6" x14ac:dyDescent="0.3">
      <c r="A345" s="38">
        <v>46143</v>
      </c>
      <c r="B345" t="s">
        <v>386</v>
      </c>
      <c r="C345" s="95">
        <v>43000</v>
      </c>
      <c r="D345" s="95"/>
      <c r="E345" t="s">
        <v>482</v>
      </c>
      <c r="F345" s="108" t="s">
        <v>108</v>
      </c>
    </row>
    <row r="346" spans="1:6" x14ac:dyDescent="0.3">
      <c r="A346" s="38">
        <v>46143</v>
      </c>
      <c r="B346" t="s">
        <v>253</v>
      </c>
      <c r="C346" s="95">
        <v>15000</v>
      </c>
      <c r="D346" s="95"/>
      <c r="E346" t="s">
        <v>483</v>
      </c>
      <c r="F346" s="108" t="s">
        <v>108</v>
      </c>
    </row>
    <row r="347" spans="1:6" x14ac:dyDescent="0.3">
      <c r="A347" s="38">
        <v>46143</v>
      </c>
      <c r="B347" t="s">
        <v>219</v>
      </c>
      <c r="C347" s="95"/>
      <c r="D347" s="95">
        <v>30000</v>
      </c>
      <c r="E347" t="s">
        <v>484</v>
      </c>
      <c r="F347" s="108" t="s">
        <v>108</v>
      </c>
    </row>
    <row r="348" spans="1:6" x14ac:dyDescent="0.3">
      <c r="A348" s="111">
        <v>46143</v>
      </c>
      <c r="B348" t="s">
        <v>116</v>
      </c>
      <c r="C348" s="95">
        <v>39000</v>
      </c>
      <c r="D348" s="95"/>
      <c r="E348" t="s">
        <v>61</v>
      </c>
      <c r="F348" s="108" t="s">
        <v>108</v>
      </c>
    </row>
    <row r="349" spans="1:6" x14ac:dyDescent="0.3">
      <c r="A349" s="111">
        <v>46143</v>
      </c>
      <c r="B349" t="s">
        <v>54</v>
      </c>
      <c r="C349" s="11">
        <v>600</v>
      </c>
      <c r="D349" s="11"/>
      <c r="F349" s="108" t="s">
        <v>108</v>
      </c>
    </row>
    <row r="350" spans="1:6" x14ac:dyDescent="0.3">
      <c r="A350" s="111">
        <v>46143</v>
      </c>
      <c r="B350" t="s">
        <v>493</v>
      </c>
      <c r="C350" s="11"/>
      <c r="D350" s="11">
        <v>100000</v>
      </c>
      <c r="E350" t="s">
        <v>494</v>
      </c>
      <c r="F350" s="108" t="s">
        <v>108</v>
      </c>
    </row>
    <row r="351" spans="1:6" x14ac:dyDescent="0.3">
      <c r="A351" s="111">
        <v>46143</v>
      </c>
      <c r="B351" t="s">
        <v>222</v>
      </c>
      <c r="C351" s="11">
        <v>60900</v>
      </c>
      <c r="D351" s="11"/>
      <c r="E351" t="s">
        <v>240</v>
      </c>
      <c r="F351" s="108" t="s">
        <v>108</v>
      </c>
    </row>
    <row r="352" spans="1:6" x14ac:dyDescent="0.3">
      <c r="A352" s="111">
        <v>46144</v>
      </c>
      <c r="B352" t="s">
        <v>367</v>
      </c>
      <c r="C352" s="11"/>
      <c r="D352" s="11">
        <v>800000</v>
      </c>
      <c r="E352" t="s">
        <v>485</v>
      </c>
      <c r="F352" s="108" t="s">
        <v>108</v>
      </c>
    </row>
    <row r="353" spans="1:6" x14ac:dyDescent="0.3">
      <c r="A353" s="111">
        <v>46144</v>
      </c>
      <c r="B353" t="s">
        <v>55</v>
      </c>
      <c r="C353" s="11">
        <v>4500</v>
      </c>
      <c r="D353" s="11"/>
      <c r="E353" t="s">
        <v>426</v>
      </c>
      <c r="F353" s="108" t="s">
        <v>108</v>
      </c>
    </row>
    <row r="354" spans="1:6" x14ac:dyDescent="0.3">
      <c r="A354" s="111">
        <v>46144</v>
      </c>
      <c r="B354" t="s">
        <v>175</v>
      </c>
      <c r="C354" s="11">
        <v>56000</v>
      </c>
      <c r="D354" s="11"/>
      <c r="E354" t="s">
        <v>486</v>
      </c>
      <c r="F354" s="108" t="s">
        <v>108</v>
      </c>
    </row>
    <row r="355" spans="1:6" x14ac:dyDescent="0.3">
      <c r="A355" s="38">
        <v>46144</v>
      </c>
      <c r="B355" t="s">
        <v>116</v>
      </c>
      <c r="C355" s="11">
        <f>104000-56000</f>
        <v>48000</v>
      </c>
      <c r="D355" s="11"/>
      <c r="E355" t="s">
        <v>487</v>
      </c>
      <c r="F355" s="108" t="s">
        <v>108</v>
      </c>
    </row>
    <row r="356" spans="1:6" x14ac:dyDescent="0.3">
      <c r="A356" s="38">
        <v>46144</v>
      </c>
      <c r="B356" t="s">
        <v>116</v>
      </c>
      <c r="C356" s="95">
        <v>4400</v>
      </c>
      <c r="D356" s="95"/>
      <c r="E356" t="s">
        <v>489</v>
      </c>
      <c r="F356" s="108" t="s">
        <v>108</v>
      </c>
    </row>
    <row r="357" spans="1:6" x14ac:dyDescent="0.3">
      <c r="A357" s="38">
        <v>46144</v>
      </c>
      <c r="B357" t="s">
        <v>55</v>
      </c>
      <c r="C357" s="95">
        <v>10620</v>
      </c>
      <c r="D357" s="95"/>
      <c r="E357" t="s">
        <v>490</v>
      </c>
      <c r="F357" s="108" t="s">
        <v>108</v>
      </c>
    </row>
    <row r="358" spans="1:6" x14ac:dyDescent="0.3">
      <c r="A358" s="111">
        <v>46144</v>
      </c>
      <c r="B358" t="s">
        <v>222</v>
      </c>
      <c r="C358" s="95">
        <v>200500</v>
      </c>
      <c r="D358" s="95"/>
      <c r="E358" t="s">
        <v>491</v>
      </c>
      <c r="F358" s="108" t="s">
        <v>108</v>
      </c>
    </row>
    <row r="359" spans="1:6" x14ac:dyDescent="0.3">
      <c r="A359" s="111">
        <v>46144</v>
      </c>
      <c r="B359" t="s">
        <v>222</v>
      </c>
      <c r="C359" s="95">
        <v>4000</v>
      </c>
      <c r="D359" s="95"/>
      <c r="E359" t="s">
        <v>265</v>
      </c>
      <c r="F359" s="108" t="s">
        <v>108</v>
      </c>
    </row>
    <row r="360" spans="1:6" x14ac:dyDescent="0.3">
      <c r="A360" s="111">
        <v>46144</v>
      </c>
      <c r="B360" t="s">
        <v>476</v>
      </c>
      <c r="C360" s="95">
        <v>1000</v>
      </c>
      <c r="D360" s="95"/>
      <c r="E360" t="s">
        <v>265</v>
      </c>
      <c r="F360" s="108" t="s">
        <v>108</v>
      </c>
    </row>
    <row r="361" spans="1:6" x14ac:dyDescent="0.3">
      <c r="A361" s="111">
        <v>46144</v>
      </c>
      <c r="B361" t="s">
        <v>425</v>
      </c>
      <c r="C361" s="95">
        <v>1000</v>
      </c>
      <c r="D361" s="95"/>
      <c r="E361" t="s">
        <v>265</v>
      </c>
      <c r="F361" s="108" t="s">
        <v>108</v>
      </c>
    </row>
    <row r="362" spans="1:6" x14ac:dyDescent="0.3">
      <c r="A362" s="111">
        <v>46144</v>
      </c>
      <c r="B362" t="s">
        <v>257</v>
      </c>
      <c r="C362" s="95">
        <v>2000</v>
      </c>
      <c r="D362" s="95"/>
      <c r="E362" t="s">
        <v>265</v>
      </c>
      <c r="F362" s="108" t="s">
        <v>108</v>
      </c>
    </row>
    <row r="363" spans="1:6" x14ac:dyDescent="0.3">
      <c r="A363" s="111">
        <v>46144</v>
      </c>
      <c r="B363" t="s">
        <v>253</v>
      </c>
      <c r="C363" s="95">
        <v>27600</v>
      </c>
      <c r="D363" s="95"/>
      <c r="E363" t="s">
        <v>288</v>
      </c>
      <c r="F363" s="108" t="s">
        <v>108</v>
      </c>
    </row>
    <row r="364" spans="1:6" x14ac:dyDescent="0.3">
      <c r="A364" s="38">
        <v>46144</v>
      </c>
      <c r="B364" t="s">
        <v>253</v>
      </c>
      <c r="C364" s="95">
        <v>1019630</v>
      </c>
      <c r="D364" s="95"/>
      <c r="E364" t="s">
        <v>268</v>
      </c>
      <c r="F364" s="108" t="s">
        <v>108</v>
      </c>
    </row>
    <row r="365" spans="1:6" x14ac:dyDescent="0.3">
      <c r="A365" s="38">
        <v>46144</v>
      </c>
      <c r="B365" t="s">
        <v>219</v>
      </c>
      <c r="C365" s="95">
        <v>500000</v>
      </c>
      <c r="D365" s="95"/>
      <c r="E365" t="s">
        <v>492</v>
      </c>
      <c r="F365" s="108" t="s">
        <v>108</v>
      </c>
    </row>
    <row r="366" spans="1:6" x14ac:dyDescent="0.3">
      <c r="A366" s="38">
        <v>46144</v>
      </c>
      <c r="B366" t="s">
        <v>219</v>
      </c>
      <c r="C366" s="95"/>
      <c r="D366" s="95">
        <v>400000</v>
      </c>
      <c r="E366" t="s">
        <v>109</v>
      </c>
      <c r="F366" s="108" t="s">
        <v>108</v>
      </c>
    </row>
    <row r="367" spans="1:6" x14ac:dyDescent="0.3">
      <c r="A367" s="38">
        <v>46145</v>
      </c>
      <c r="B367" t="s">
        <v>55</v>
      </c>
      <c r="C367" s="95">
        <v>1160</v>
      </c>
      <c r="D367" s="95"/>
      <c r="E367" t="s">
        <v>272</v>
      </c>
      <c r="F367" s="108" t="s">
        <v>108</v>
      </c>
    </row>
    <row r="368" spans="1:6" x14ac:dyDescent="0.3">
      <c r="A368" s="38">
        <v>46145</v>
      </c>
      <c r="B368" t="s">
        <v>55</v>
      </c>
      <c r="C368" s="95">
        <v>10200</v>
      </c>
      <c r="D368" s="95"/>
      <c r="E368" t="s">
        <v>426</v>
      </c>
      <c r="F368" s="108" t="s">
        <v>108</v>
      </c>
    </row>
    <row r="369" spans="1:6" x14ac:dyDescent="0.3">
      <c r="A369" s="38">
        <v>46145</v>
      </c>
      <c r="B369" t="s">
        <v>219</v>
      </c>
      <c r="C369" s="95"/>
      <c r="D369" s="95">
        <v>10200</v>
      </c>
      <c r="E369" t="s">
        <v>426</v>
      </c>
      <c r="F369" s="108" t="s">
        <v>108</v>
      </c>
    </row>
    <row r="370" spans="1:6" x14ac:dyDescent="0.3">
      <c r="A370" s="38">
        <v>46145</v>
      </c>
      <c r="B370" t="s">
        <v>55</v>
      </c>
      <c r="C370" s="95">
        <v>10000</v>
      </c>
      <c r="D370" s="95"/>
      <c r="E370" t="s">
        <v>259</v>
      </c>
      <c r="F370" s="108" t="s">
        <v>108</v>
      </c>
    </row>
    <row r="371" spans="1:6" x14ac:dyDescent="0.3">
      <c r="A371" s="38">
        <v>46145</v>
      </c>
      <c r="B371" t="s">
        <v>219</v>
      </c>
      <c r="C371" s="95"/>
      <c r="D371" s="95">
        <v>10000</v>
      </c>
      <c r="E371" t="s">
        <v>259</v>
      </c>
      <c r="F371" s="108" t="s">
        <v>108</v>
      </c>
    </row>
    <row r="372" spans="1:6" x14ac:dyDescent="0.3">
      <c r="A372" s="38">
        <v>46145</v>
      </c>
      <c r="B372" t="s">
        <v>211</v>
      </c>
      <c r="C372" s="95">
        <f>1970+780+780+1300+780</f>
        <v>5610</v>
      </c>
      <c r="D372" s="95"/>
      <c r="F372" s="108" t="s">
        <v>108</v>
      </c>
    </row>
    <row r="373" spans="1:6" x14ac:dyDescent="0.3">
      <c r="A373" s="111">
        <v>46146</v>
      </c>
      <c r="B373" t="s">
        <v>211</v>
      </c>
      <c r="C373" s="95">
        <f>750+1860+760</f>
        <v>3370</v>
      </c>
      <c r="D373" s="95"/>
      <c r="F373" s="108" t="s">
        <v>108</v>
      </c>
    </row>
    <row r="374" spans="1:6" x14ac:dyDescent="0.3">
      <c r="A374" s="38">
        <v>46146</v>
      </c>
      <c r="B374" t="s">
        <v>298</v>
      </c>
      <c r="C374" s="11">
        <v>5000</v>
      </c>
      <c r="D374" s="11"/>
      <c r="E374" t="s">
        <v>347</v>
      </c>
      <c r="F374" s="108" t="s">
        <v>108</v>
      </c>
    </row>
    <row r="375" spans="1:6" x14ac:dyDescent="0.3">
      <c r="A375" s="111">
        <v>46146</v>
      </c>
      <c r="B375" t="s">
        <v>55</v>
      </c>
      <c r="C375" s="11">
        <v>52160</v>
      </c>
      <c r="D375" s="11"/>
      <c r="E375" t="s">
        <v>259</v>
      </c>
      <c r="F375" s="108" t="s">
        <v>108</v>
      </c>
    </row>
    <row r="376" spans="1:6" x14ac:dyDescent="0.3">
      <c r="A376" s="38">
        <v>46146</v>
      </c>
      <c r="B376" t="s">
        <v>54</v>
      </c>
      <c r="C376" s="11">
        <v>2000</v>
      </c>
      <c r="D376" s="11"/>
      <c r="E376" t="s">
        <v>495</v>
      </c>
      <c r="F376" s="108" t="s">
        <v>108</v>
      </c>
    </row>
    <row r="377" spans="1:6" x14ac:dyDescent="0.3">
      <c r="A377" s="111">
        <v>46146</v>
      </c>
      <c r="B377" t="s">
        <v>54</v>
      </c>
      <c r="C377" s="11">
        <v>3000</v>
      </c>
      <c r="D377" s="11"/>
      <c r="E377" t="s">
        <v>496</v>
      </c>
      <c r="F377" s="108" t="s">
        <v>108</v>
      </c>
    </row>
    <row r="378" spans="1:6" x14ac:dyDescent="0.3">
      <c r="A378" s="38">
        <v>46146</v>
      </c>
      <c r="B378" t="s">
        <v>54</v>
      </c>
      <c r="C378" s="11">
        <v>5000</v>
      </c>
      <c r="D378" s="11"/>
      <c r="E378" t="s">
        <v>463</v>
      </c>
      <c r="F378" s="108" t="s">
        <v>108</v>
      </c>
    </row>
    <row r="379" spans="1:6" x14ac:dyDescent="0.3">
      <c r="A379" s="111">
        <v>46146</v>
      </c>
      <c r="B379" t="s">
        <v>55</v>
      </c>
      <c r="C379" s="11">
        <v>10000</v>
      </c>
      <c r="D379" s="11"/>
      <c r="E379" t="s">
        <v>497</v>
      </c>
      <c r="F379" s="108" t="s">
        <v>108</v>
      </c>
    </row>
    <row r="380" spans="1:6" x14ac:dyDescent="0.3">
      <c r="A380" s="38">
        <v>46146</v>
      </c>
      <c r="B380" t="s">
        <v>35</v>
      </c>
      <c r="C380" s="11"/>
      <c r="D380" s="11">
        <v>178000</v>
      </c>
      <c r="E380" t="s">
        <v>109</v>
      </c>
      <c r="F380" s="108" t="s">
        <v>108</v>
      </c>
    </row>
    <row r="381" spans="1:6" x14ac:dyDescent="0.3">
      <c r="A381" s="111">
        <v>46146</v>
      </c>
      <c r="B381" t="s">
        <v>9</v>
      </c>
      <c r="C381" s="11"/>
      <c r="D381" s="11">
        <v>100000</v>
      </c>
      <c r="E381" t="s">
        <v>498</v>
      </c>
      <c r="F381" s="108" t="s">
        <v>108</v>
      </c>
    </row>
    <row r="382" spans="1:6" x14ac:dyDescent="0.3">
      <c r="A382" s="38">
        <v>46146</v>
      </c>
      <c r="B382" t="s">
        <v>386</v>
      </c>
      <c r="C382" s="11">
        <v>9000</v>
      </c>
      <c r="D382" s="11"/>
      <c r="E382" t="s">
        <v>480</v>
      </c>
      <c r="F382" s="108" t="s">
        <v>108</v>
      </c>
    </row>
    <row r="383" spans="1:6" x14ac:dyDescent="0.3">
      <c r="A383" s="111">
        <v>46146</v>
      </c>
      <c r="B383" t="s">
        <v>257</v>
      </c>
      <c r="C383" s="11">
        <v>150000</v>
      </c>
      <c r="D383" s="11"/>
      <c r="E383" t="s">
        <v>499</v>
      </c>
      <c r="F383" s="108" t="s">
        <v>108</v>
      </c>
    </row>
    <row r="384" spans="1:6" x14ac:dyDescent="0.3">
      <c r="A384" s="38">
        <v>46146</v>
      </c>
      <c r="B384" t="s">
        <v>357</v>
      </c>
      <c r="C384" s="11">
        <v>18000</v>
      </c>
      <c r="D384" s="11"/>
      <c r="E384" t="s">
        <v>113</v>
      </c>
      <c r="F384" s="108" t="s">
        <v>108</v>
      </c>
    </row>
    <row r="385" spans="1:6" x14ac:dyDescent="0.3">
      <c r="A385" s="111">
        <v>46146</v>
      </c>
      <c r="B385" t="s">
        <v>116</v>
      </c>
      <c r="C385" s="11">
        <v>39000</v>
      </c>
      <c r="D385" s="11"/>
      <c r="E385" t="s">
        <v>316</v>
      </c>
      <c r="F385" s="108" t="s">
        <v>108</v>
      </c>
    </row>
    <row r="386" spans="1:6" x14ac:dyDescent="0.3">
      <c r="A386" s="38">
        <v>46146</v>
      </c>
      <c r="B386" t="s">
        <v>54</v>
      </c>
      <c r="C386" s="95">
        <v>700</v>
      </c>
      <c r="D386" s="95"/>
      <c r="E386" t="s">
        <v>289</v>
      </c>
      <c r="F386" s="108" t="s">
        <v>108</v>
      </c>
    </row>
    <row r="387" spans="1:6" x14ac:dyDescent="0.3">
      <c r="A387" s="111">
        <v>46146</v>
      </c>
      <c r="B387" t="s">
        <v>191</v>
      </c>
      <c r="C387" s="11"/>
      <c r="D387" s="11">
        <v>100000</v>
      </c>
      <c r="E387" t="s">
        <v>271</v>
      </c>
      <c r="F387" s="108" t="s">
        <v>108</v>
      </c>
    </row>
    <row r="388" spans="1:6" x14ac:dyDescent="0.3">
      <c r="A388" s="111">
        <v>46146</v>
      </c>
      <c r="B388" t="s">
        <v>55</v>
      </c>
      <c r="C388" s="11">
        <v>24080</v>
      </c>
      <c r="D388" s="11"/>
      <c r="E388" t="s">
        <v>259</v>
      </c>
      <c r="F388" s="108" t="s">
        <v>108</v>
      </c>
    </row>
    <row r="389" spans="1:6" x14ac:dyDescent="0.3">
      <c r="A389" s="38">
        <v>46146</v>
      </c>
      <c r="B389" t="s">
        <v>517</v>
      </c>
      <c r="C389" s="11">
        <v>25000</v>
      </c>
      <c r="D389" s="11"/>
      <c r="E389" t="s">
        <v>240</v>
      </c>
      <c r="F389" s="108" t="s">
        <v>108</v>
      </c>
    </row>
    <row r="390" spans="1:6" x14ac:dyDescent="0.3">
      <c r="A390" s="111">
        <v>46146</v>
      </c>
      <c r="B390" t="s">
        <v>517</v>
      </c>
      <c r="C390" s="11">
        <v>24000</v>
      </c>
      <c r="D390" s="11"/>
      <c r="E390" t="s">
        <v>240</v>
      </c>
      <c r="F390" s="108" t="s">
        <v>108</v>
      </c>
    </row>
    <row r="391" spans="1:6" x14ac:dyDescent="0.3">
      <c r="A391" s="111">
        <v>46147</v>
      </c>
      <c r="B391" t="s">
        <v>222</v>
      </c>
      <c r="C391" s="11">
        <v>105000</v>
      </c>
      <c r="D391" s="11"/>
      <c r="E391" t="s">
        <v>240</v>
      </c>
      <c r="F391" s="108" t="s">
        <v>108</v>
      </c>
    </row>
    <row r="392" spans="1:6" x14ac:dyDescent="0.3">
      <c r="A392" s="111">
        <v>46147</v>
      </c>
      <c r="B392" t="s">
        <v>456</v>
      </c>
      <c r="C392" s="11">
        <v>32000</v>
      </c>
      <c r="D392" s="11"/>
      <c r="F392" s="108" t="s">
        <v>108</v>
      </c>
    </row>
    <row r="393" spans="1:6" x14ac:dyDescent="0.3">
      <c r="A393" s="111">
        <v>46147</v>
      </c>
      <c r="B393" t="s">
        <v>191</v>
      </c>
      <c r="C393" s="11"/>
      <c r="D393" s="11">
        <v>50000</v>
      </c>
      <c r="F393" s="108" t="s">
        <v>108</v>
      </c>
    </row>
    <row r="394" spans="1:6" x14ac:dyDescent="0.3">
      <c r="A394" s="38">
        <v>46147</v>
      </c>
      <c r="B394" t="s">
        <v>244</v>
      </c>
      <c r="C394" s="11">
        <v>3000</v>
      </c>
      <c r="D394" s="11"/>
      <c r="F394" s="108" t="s">
        <v>108</v>
      </c>
    </row>
    <row r="395" spans="1:6" x14ac:dyDescent="0.3">
      <c r="A395" s="38">
        <v>46147</v>
      </c>
      <c r="B395" t="s">
        <v>55</v>
      </c>
      <c r="C395" s="95">
        <v>300</v>
      </c>
      <c r="D395" s="95"/>
      <c r="E395" t="s">
        <v>518</v>
      </c>
      <c r="F395" s="108" t="s">
        <v>108</v>
      </c>
    </row>
    <row r="396" spans="1:6" x14ac:dyDescent="0.3">
      <c r="A396" s="38">
        <v>46147</v>
      </c>
      <c r="B396" t="s">
        <v>54</v>
      </c>
      <c r="C396" s="95">
        <v>1606</v>
      </c>
      <c r="D396" s="95"/>
      <c r="F396" s="108" t="s">
        <v>108</v>
      </c>
    </row>
    <row r="397" spans="1:6" x14ac:dyDescent="0.3">
      <c r="A397" s="38">
        <v>46147</v>
      </c>
      <c r="B397" t="s">
        <v>493</v>
      </c>
      <c r="C397" s="95"/>
      <c r="D397" s="95">
        <v>65000</v>
      </c>
      <c r="F397" s="108" t="s">
        <v>108</v>
      </c>
    </row>
    <row r="398" spans="1:6" x14ac:dyDescent="0.3">
      <c r="A398" s="38">
        <v>46147</v>
      </c>
      <c r="B398" t="s">
        <v>55</v>
      </c>
      <c r="C398" s="95">
        <v>1180</v>
      </c>
      <c r="D398" s="95"/>
      <c r="F398" s="108" t="s">
        <v>108</v>
      </c>
    </row>
    <row r="399" spans="1:6" x14ac:dyDescent="0.3">
      <c r="A399" s="38">
        <v>46147</v>
      </c>
      <c r="B399" t="s">
        <v>244</v>
      </c>
      <c r="C399" s="95">
        <v>15000</v>
      </c>
      <c r="D399" s="95"/>
      <c r="E399" t="s">
        <v>519</v>
      </c>
      <c r="F399" s="108" t="s">
        <v>108</v>
      </c>
    </row>
    <row r="400" spans="1:6" x14ac:dyDescent="0.3">
      <c r="A400" s="38">
        <v>46147</v>
      </c>
      <c r="B400" t="s">
        <v>525</v>
      </c>
      <c r="C400" s="95">
        <v>3600</v>
      </c>
      <c r="D400" s="95"/>
      <c r="F400" s="108" t="s">
        <v>108</v>
      </c>
    </row>
    <row r="401" spans="1:15" x14ac:dyDescent="0.3">
      <c r="A401" s="38">
        <v>46147</v>
      </c>
      <c r="B401" t="s">
        <v>54</v>
      </c>
      <c r="C401" s="95">
        <v>600</v>
      </c>
      <c r="D401" s="95"/>
      <c r="F401" s="108" t="s">
        <v>108</v>
      </c>
    </row>
    <row r="402" spans="1:15" x14ac:dyDescent="0.3">
      <c r="A402" s="38">
        <v>46147</v>
      </c>
      <c r="B402" t="s">
        <v>244</v>
      </c>
      <c r="C402" s="95">
        <f>11000-3600-600</f>
        <v>6800</v>
      </c>
      <c r="D402" s="95"/>
      <c r="E402" t="s">
        <v>526</v>
      </c>
      <c r="F402" s="108" t="s">
        <v>108</v>
      </c>
    </row>
    <row r="403" spans="1:15" x14ac:dyDescent="0.3">
      <c r="A403" s="38">
        <v>46148</v>
      </c>
      <c r="B403" t="s">
        <v>35</v>
      </c>
      <c r="C403" s="95"/>
      <c r="D403" s="95">
        <v>100000</v>
      </c>
      <c r="F403" s="108" t="s">
        <v>108</v>
      </c>
    </row>
    <row r="404" spans="1:15" x14ac:dyDescent="0.3">
      <c r="A404" s="38">
        <v>46148</v>
      </c>
      <c r="B404" t="s">
        <v>116</v>
      </c>
      <c r="C404" s="95">
        <v>58500</v>
      </c>
      <c r="D404" s="95"/>
      <c r="E404" t="s">
        <v>520</v>
      </c>
      <c r="F404" s="108" t="s">
        <v>108</v>
      </c>
    </row>
    <row r="405" spans="1:15" x14ac:dyDescent="0.3">
      <c r="A405" s="38">
        <v>46148</v>
      </c>
      <c r="B405" t="s">
        <v>55</v>
      </c>
      <c r="C405" s="95">
        <v>1200</v>
      </c>
      <c r="D405" s="95"/>
      <c r="F405" s="108" t="s">
        <v>108</v>
      </c>
    </row>
    <row r="406" spans="1:15" x14ac:dyDescent="0.3">
      <c r="A406" s="38">
        <v>46148</v>
      </c>
      <c r="B406" t="s">
        <v>55</v>
      </c>
      <c r="C406" s="95">
        <v>4280</v>
      </c>
      <c r="D406" s="95"/>
      <c r="F406" s="108" t="s">
        <v>108</v>
      </c>
    </row>
    <row r="407" spans="1:15" x14ac:dyDescent="0.3">
      <c r="A407" s="38">
        <v>46148</v>
      </c>
      <c r="B407" t="s">
        <v>244</v>
      </c>
      <c r="C407" s="95">
        <v>550</v>
      </c>
      <c r="D407" s="95"/>
      <c r="E407" t="s">
        <v>366</v>
      </c>
      <c r="F407" s="108" t="s">
        <v>108</v>
      </c>
    </row>
    <row r="408" spans="1:15" x14ac:dyDescent="0.3">
      <c r="A408" s="38">
        <v>46148</v>
      </c>
      <c r="B408" t="s">
        <v>493</v>
      </c>
      <c r="C408" s="95"/>
      <c r="D408" s="95">
        <v>70000</v>
      </c>
      <c r="E408" t="s">
        <v>109</v>
      </c>
      <c r="F408" s="108" t="s">
        <v>108</v>
      </c>
    </row>
    <row r="409" spans="1:15" x14ac:dyDescent="0.3">
      <c r="A409" s="38">
        <v>46148</v>
      </c>
      <c r="B409" t="s">
        <v>55</v>
      </c>
      <c r="C409" s="95">
        <v>2550</v>
      </c>
      <c r="D409" s="95"/>
      <c r="E409" t="s">
        <v>521</v>
      </c>
      <c r="F409" s="108" t="s">
        <v>108</v>
      </c>
    </row>
    <row r="410" spans="1:15" x14ac:dyDescent="0.3">
      <c r="A410" s="38">
        <v>46148</v>
      </c>
      <c r="B410" t="s">
        <v>244</v>
      </c>
      <c r="C410" s="95">
        <v>2600</v>
      </c>
      <c r="D410" s="95"/>
      <c r="E410" t="s">
        <v>522</v>
      </c>
      <c r="F410" s="108" t="s">
        <v>108</v>
      </c>
    </row>
    <row r="411" spans="1:15" x14ac:dyDescent="0.3">
      <c r="A411" s="38">
        <v>46148</v>
      </c>
      <c r="B411" t="s">
        <v>476</v>
      </c>
      <c r="C411" s="95">
        <v>29500</v>
      </c>
      <c r="D411" s="95"/>
      <c r="E411" t="s">
        <v>240</v>
      </c>
      <c r="F411" s="108" t="s">
        <v>108</v>
      </c>
    </row>
    <row r="412" spans="1:15" x14ac:dyDescent="0.3">
      <c r="A412" s="38">
        <v>46148</v>
      </c>
      <c r="B412" t="s">
        <v>517</v>
      </c>
      <c r="C412" s="95">
        <v>28000</v>
      </c>
      <c r="D412" s="95"/>
      <c r="E412" t="s">
        <v>240</v>
      </c>
      <c r="F412" s="108" t="s">
        <v>108</v>
      </c>
    </row>
    <row r="413" spans="1:15" x14ac:dyDescent="0.3">
      <c r="A413" s="38">
        <v>46148</v>
      </c>
      <c r="B413" t="s">
        <v>219</v>
      </c>
      <c r="C413" s="95"/>
      <c r="D413" s="95">
        <v>56632</v>
      </c>
      <c r="E413" t="s">
        <v>285</v>
      </c>
      <c r="F413" s="108" t="s">
        <v>108</v>
      </c>
    </row>
    <row r="414" spans="1:15" x14ac:dyDescent="0.3">
      <c r="A414" s="38">
        <v>46148</v>
      </c>
      <c r="B414" t="s">
        <v>219</v>
      </c>
      <c r="C414" s="95"/>
      <c r="D414" s="95">
        <v>100000</v>
      </c>
      <c r="E414" t="s">
        <v>523</v>
      </c>
      <c r="F414" s="108" t="s">
        <v>108</v>
      </c>
    </row>
    <row r="415" spans="1:15" x14ac:dyDescent="0.3">
      <c r="A415" s="38">
        <v>46148</v>
      </c>
      <c r="B415" t="s">
        <v>517</v>
      </c>
      <c r="C415" s="95">
        <v>150000</v>
      </c>
      <c r="D415" s="95"/>
      <c r="E415" t="s">
        <v>524</v>
      </c>
      <c r="F415" s="108" t="s">
        <v>108</v>
      </c>
      <c r="J415">
        <v>30000</v>
      </c>
      <c r="L415">
        <v>10000</v>
      </c>
      <c r="M415">
        <v>16300</v>
      </c>
      <c r="O415">
        <v>5100</v>
      </c>
    </row>
    <row r="416" spans="1:15" x14ac:dyDescent="0.3">
      <c r="A416" s="38">
        <v>46148</v>
      </c>
      <c r="B416" t="s">
        <v>269</v>
      </c>
      <c r="C416" s="95">
        <v>5000</v>
      </c>
      <c r="D416" s="95"/>
      <c r="E416" t="s">
        <v>252</v>
      </c>
      <c r="F416" s="108" t="s">
        <v>108</v>
      </c>
      <c r="J416">
        <v>119760</v>
      </c>
      <c r="L416">
        <v>3200</v>
      </c>
      <c r="M416">
        <v>12800</v>
      </c>
      <c r="O416">
        <v>12300</v>
      </c>
    </row>
    <row r="417" spans="1:15" x14ac:dyDescent="0.3">
      <c r="A417" s="38">
        <v>46148</v>
      </c>
      <c r="B417" t="s">
        <v>493</v>
      </c>
      <c r="C417" s="95"/>
      <c r="D417" s="95">
        <v>30000</v>
      </c>
      <c r="F417" s="108" t="s">
        <v>108</v>
      </c>
      <c r="J417">
        <v>35000</v>
      </c>
      <c r="L417">
        <v>22800</v>
      </c>
      <c r="M417">
        <v>22650</v>
      </c>
      <c r="O417">
        <v>10810</v>
      </c>
    </row>
    <row r="418" spans="1:15" x14ac:dyDescent="0.3">
      <c r="A418" s="38">
        <v>46148</v>
      </c>
      <c r="B418" t="s">
        <v>219</v>
      </c>
      <c r="C418" s="95">
        <v>30000</v>
      </c>
      <c r="D418" s="95"/>
      <c r="E418" t="s">
        <v>529</v>
      </c>
      <c r="F418" s="108" t="s">
        <v>108</v>
      </c>
      <c r="J418">
        <v>29600</v>
      </c>
      <c r="L418">
        <v>29600</v>
      </c>
      <c r="M418">
        <v>22800</v>
      </c>
      <c r="O418">
        <v>12000</v>
      </c>
    </row>
    <row r="419" spans="1:15" x14ac:dyDescent="0.3">
      <c r="A419" s="38">
        <v>46149</v>
      </c>
      <c r="B419" t="s">
        <v>219</v>
      </c>
      <c r="C419" s="95"/>
      <c r="D419" s="95">
        <v>55000</v>
      </c>
      <c r="F419" s="108" t="s">
        <v>108</v>
      </c>
      <c r="J419">
        <v>46600</v>
      </c>
      <c r="L419">
        <v>46600</v>
      </c>
      <c r="M419">
        <v>15000</v>
      </c>
      <c r="O419">
        <v>11650</v>
      </c>
    </row>
    <row r="420" spans="1:15" x14ac:dyDescent="0.3">
      <c r="A420" s="38">
        <v>46149</v>
      </c>
      <c r="B420" t="s">
        <v>527</v>
      </c>
      <c r="C420" s="95">
        <v>55000</v>
      </c>
      <c r="D420" s="95"/>
      <c r="E420" t="s">
        <v>215</v>
      </c>
      <c r="F420" s="108" t="s">
        <v>108</v>
      </c>
      <c r="J420">
        <v>22800</v>
      </c>
      <c r="L420">
        <v>20800</v>
      </c>
      <c r="M420">
        <v>18450</v>
      </c>
      <c r="O420">
        <v>16300</v>
      </c>
    </row>
    <row r="421" spans="1:15" x14ac:dyDescent="0.3">
      <c r="A421" s="38">
        <v>46149</v>
      </c>
      <c r="B421" t="s">
        <v>386</v>
      </c>
      <c r="C421" s="95">
        <v>9000</v>
      </c>
      <c r="D421" s="95"/>
      <c r="E421" t="s">
        <v>528</v>
      </c>
      <c r="F421" s="108" t="s">
        <v>108</v>
      </c>
      <c r="J421">
        <v>3200</v>
      </c>
      <c r="L421">
        <v>20000</v>
      </c>
      <c r="M421">
        <v>24600</v>
      </c>
      <c r="O421">
        <v>17300</v>
      </c>
    </row>
    <row r="422" spans="1:15" x14ac:dyDescent="0.3">
      <c r="A422" s="111">
        <v>46149</v>
      </c>
      <c r="B422" t="s">
        <v>219</v>
      </c>
      <c r="C422" s="95"/>
      <c r="D422" s="95">
        <v>50000</v>
      </c>
      <c r="E422" t="s">
        <v>532</v>
      </c>
      <c r="F422" s="108" t="s">
        <v>108</v>
      </c>
      <c r="J422">
        <v>11640</v>
      </c>
      <c r="L422">
        <v>80000</v>
      </c>
      <c r="M422">
        <v>15000</v>
      </c>
      <c r="O422">
        <v>17460</v>
      </c>
    </row>
    <row r="423" spans="1:15" x14ac:dyDescent="0.3">
      <c r="A423" s="111">
        <v>46149</v>
      </c>
      <c r="B423" t="s">
        <v>517</v>
      </c>
      <c r="C423" s="11">
        <v>24500</v>
      </c>
      <c r="D423" s="11"/>
      <c r="E423" t="s">
        <v>240</v>
      </c>
      <c r="F423" s="108" t="s">
        <v>108</v>
      </c>
      <c r="J423">
        <v>17500</v>
      </c>
      <c r="L423">
        <v>30000</v>
      </c>
      <c r="M423">
        <v>12000</v>
      </c>
      <c r="O423">
        <v>18450</v>
      </c>
    </row>
    <row r="424" spans="1:15" x14ac:dyDescent="0.3">
      <c r="A424" s="111">
        <v>46149</v>
      </c>
      <c r="B424" t="s">
        <v>517</v>
      </c>
      <c r="C424" s="11">
        <v>25000</v>
      </c>
      <c r="D424" s="11"/>
      <c r="E424" t="s">
        <v>240</v>
      </c>
      <c r="F424" s="108" t="s">
        <v>108</v>
      </c>
      <c r="J424">
        <v>20800</v>
      </c>
      <c r="L424">
        <v>15600</v>
      </c>
      <c r="M424">
        <v>18300</v>
      </c>
      <c r="O424">
        <v>12800</v>
      </c>
    </row>
    <row r="425" spans="1:15" x14ac:dyDescent="0.3">
      <c r="A425" s="111">
        <v>46149</v>
      </c>
      <c r="B425" t="s">
        <v>211</v>
      </c>
      <c r="C425" s="11">
        <v>500</v>
      </c>
      <c r="D425" s="11"/>
      <c r="F425" s="108" t="s">
        <v>108</v>
      </c>
      <c r="J425">
        <v>15600</v>
      </c>
      <c r="L425">
        <v>15000</v>
      </c>
      <c r="M425">
        <v>20000</v>
      </c>
      <c r="O425">
        <v>24600</v>
      </c>
    </row>
    <row r="426" spans="1:15" x14ac:dyDescent="0.3">
      <c r="A426" s="111">
        <v>46149</v>
      </c>
      <c r="B426" t="s">
        <v>219</v>
      </c>
      <c r="C426" s="11"/>
      <c r="D426" s="11">
        <v>20000</v>
      </c>
      <c r="E426" t="s">
        <v>263</v>
      </c>
      <c r="F426" s="108" t="s">
        <v>108</v>
      </c>
      <c r="J426">
        <v>11000</v>
      </c>
      <c r="L426">
        <v>14300</v>
      </c>
      <c r="M426">
        <v>20000</v>
      </c>
      <c r="O426">
        <v>22800</v>
      </c>
    </row>
    <row r="427" spans="1:15" x14ac:dyDescent="0.3">
      <c r="A427" s="111">
        <v>46149</v>
      </c>
      <c r="B427" t="s">
        <v>269</v>
      </c>
      <c r="C427" s="11">
        <v>25000</v>
      </c>
      <c r="D427" s="11"/>
      <c r="E427" t="s">
        <v>406</v>
      </c>
      <c r="F427" s="108" t="s">
        <v>108</v>
      </c>
      <c r="J427">
        <v>17000</v>
      </c>
      <c r="L427">
        <v>16500</v>
      </c>
      <c r="M427">
        <v>38400</v>
      </c>
      <c r="O427">
        <v>20000</v>
      </c>
    </row>
    <row r="428" spans="1:15" x14ac:dyDescent="0.3">
      <c r="A428" s="38">
        <v>46149</v>
      </c>
      <c r="B428" t="s">
        <v>357</v>
      </c>
      <c r="C428" s="95">
        <v>2200</v>
      </c>
      <c r="D428" s="95"/>
      <c r="F428" s="108" t="s">
        <v>108</v>
      </c>
      <c r="J428">
        <v>10000</v>
      </c>
      <c r="L428">
        <v>17500</v>
      </c>
      <c r="M428">
        <v>12300</v>
      </c>
      <c r="O428">
        <v>18300</v>
      </c>
    </row>
    <row r="429" spans="1:15" x14ac:dyDescent="0.3">
      <c r="A429" s="38">
        <v>46150</v>
      </c>
      <c r="B429" t="s">
        <v>55</v>
      </c>
      <c r="C429" s="11">
        <v>1600</v>
      </c>
      <c r="D429" s="11"/>
      <c r="F429" s="108" t="s">
        <v>108</v>
      </c>
      <c r="J429">
        <v>80000</v>
      </c>
      <c r="L429">
        <v>17500</v>
      </c>
      <c r="M429">
        <v>17300</v>
      </c>
      <c r="O429">
        <v>15000</v>
      </c>
    </row>
    <row r="430" spans="1:15" x14ac:dyDescent="0.3">
      <c r="A430" s="38">
        <v>46150</v>
      </c>
      <c r="B430" t="s">
        <v>219</v>
      </c>
      <c r="C430" s="95"/>
      <c r="D430" s="95">
        <v>60000</v>
      </c>
      <c r="E430" t="s">
        <v>533</v>
      </c>
      <c r="F430" s="108" t="s">
        <v>108</v>
      </c>
      <c r="J430">
        <v>20000</v>
      </c>
      <c r="L430">
        <v>17500</v>
      </c>
      <c r="M430">
        <v>5100</v>
      </c>
      <c r="O430">
        <v>11000</v>
      </c>
    </row>
    <row r="431" spans="1:15" x14ac:dyDescent="0.3">
      <c r="A431" s="38">
        <v>46150</v>
      </c>
      <c r="B431" t="s">
        <v>55</v>
      </c>
      <c r="C431" s="95">
        <v>2520</v>
      </c>
      <c r="D431" s="95"/>
      <c r="E431" t="s">
        <v>448</v>
      </c>
      <c r="F431" s="108" t="s">
        <v>108</v>
      </c>
      <c r="L431">
        <v>3300</v>
      </c>
      <c r="M431">
        <v>8350</v>
      </c>
      <c r="O431">
        <v>35000</v>
      </c>
    </row>
    <row r="432" spans="1:15" x14ac:dyDescent="0.3">
      <c r="A432" s="38">
        <v>46150</v>
      </c>
      <c r="B432" t="s">
        <v>116</v>
      </c>
      <c r="C432" s="95">
        <v>46800</v>
      </c>
      <c r="D432" s="95"/>
      <c r="E432" t="s">
        <v>534</v>
      </c>
      <c r="F432" s="108" t="s">
        <v>108</v>
      </c>
      <c r="L432">
        <v>5830</v>
      </c>
      <c r="M432">
        <v>9850</v>
      </c>
      <c r="O432">
        <v>7000</v>
      </c>
    </row>
    <row r="433" spans="1:15" x14ac:dyDescent="0.3">
      <c r="A433" s="38">
        <v>46150</v>
      </c>
      <c r="B433" t="s">
        <v>54</v>
      </c>
      <c r="C433" s="95">
        <v>700</v>
      </c>
      <c r="D433" s="95"/>
      <c r="E433" t="s">
        <v>289</v>
      </c>
      <c r="F433" s="108" t="s">
        <v>108</v>
      </c>
      <c r="L433">
        <v>7000</v>
      </c>
      <c r="M433">
        <v>20000</v>
      </c>
      <c r="O433">
        <v>5850</v>
      </c>
    </row>
    <row r="434" spans="1:15" x14ac:dyDescent="0.3">
      <c r="A434" s="38">
        <v>46150</v>
      </c>
      <c r="B434" t="s">
        <v>357</v>
      </c>
      <c r="C434" s="95">
        <v>2200</v>
      </c>
      <c r="D434" s="95"/>
      <c r="E434" t="s">
        <v>535</v>
      </c>
      <c r="F434" s="108" t="s">
        <v>108</v>
      </c>
      <c r="L434">
        <v>5332</v>
      </c>
      <c r="O434">
        <v>3300</v>
      </c>
    </row>
    <row r="435" spans="1:15" x14ac:dyDescent="0.3">
      <c r="A435" s="38">
        <v>46150</v>
      </c>
      <c r="B435" t="s">
        <v>219</v>
      </c>
      <c r="C435" s="95"/>
      <c r="D435" s="95">
        <v>250000</v>
      </c>
      <c r="E435" t="s">
        <v>536</v>
      </c>
      <c r="F435" s="108" t="s">
        <v>108</v>
      </c>
      <c r="L435">
        <v>35000</v>
      </c>
      <c r="O435">
        <v>17500</v>
      </c>
    </row>
    <row r="436" spans="1:15" x14ac:dyDescent="0.3">
      <c r="A436" s="38">
        <v>46150</v>
      </c>
      <c r="B436" t="s">
        <v>493</v>
      </c>
      <c r="C436" s="95"/>
      <c r="D436" s="95">
        <v>100000</v>
      </c>
      <c r="E436" t="s">
        <v>109</v>
      </c>
      <c r="F436" s="108" t="s">
        <v>108</v>
      </c>
      <c r="L436">
        <v>11000</v>
      </c>
      <c r="M436">
        <v>17000</v>
      </c>
      <c r="O436">
        <v>17500</v>
      </c>
    </row>
    <row r="437" spans="1:15" x14ac:dyDescent="0.3">
      <c r="A437" s="38">
        <v>46150</v>
      </c>
      <c r="B437" t="s">
        <v>219</v>
      </c>
      <c r="C437" s="95">
        <v>100000</v>
      </c>
      <c r="D437" s="95"/>
      <c r="E437" t="s">
        <v>529</v>
      </c>
      <c r="F437" s="108" t="s">
        <v>108</v>
      </c>
      <c r="L437">
        <v>17460</v>
      </c>
      <c r="M437">
        <v>22000</v>
      </c>
      <c r="O437">
        <v>17500</v>
      </c>
    </row>
    <row r="438" spans="1:15" x14ac:dyDescent="0.3">
      <c r="A438" s="38">
        <v>46150</v>
      </c>
      <c r="B438" t="s">
        <v>257</v>
      </c>
      <c r="C438" s="95">
        <v>100000</v>
      </c>
      <c r="D438" s="95"/>
      <c r="E438" t="s">
        <v>537</v>
      </c>
      <c r="F438" s="108" t="s">
        <v>108</v>
      </c>
      <c r="L438">
        <v>11640</v>
      </c>
      <c r="O438">
        <v>16500</v>
      </c>
    </row>
    <row r="439" spans="1:15" x14ac:dyDescent="0.3">
      <c r="A439" s="38">
        <v>46150</v>
      </c>
      <c r="B439" t="s">
        <v>221</v>
      </c>
      <c r="C439" s="95">
        <v>100000</v>
      </c>
      <c r="D439" s="95"/>
      <c r="E439" t="s">
        <v>537</v>
      </c>
      <c r="F439" s="108" t="s">
        <v>108</v>
      </c>
      <c r="L439">
        <v>10800</v>
      </c>
      <c r="O439">
        <v>14300</v>
      </c>
    </row>
    <row r="440" spans="1:15" x14ac:dyDescent="0.3">
      <c r="A440" s="38">
        <v>46150</v>
      </c>
      <c r="B440" t="s">
        <v>253</v>
      </c>
      <c r="C440" s="95">
        <v>45000</v>
      </c>
      <c r="D440" s="95"/>
      <c r="E440" t="s">
        <v>538</v>
      </c>
      <c r="F440" s="108" t="s">
        <v>108</v>
      </c>
      <c r="L440">
        <v>17000</v>
      </c>
      <c r="O440">
        <v>15000</v>
      </c>
    </row>
    <row r="441" spans="1:15" x14ac:dyDescent="0.3">
      <c r="A441" s="38">
        <v>46150</v>
      </c>
      <c r="B441" t="s">
        <v>211</v>
      </c>
      <c r="C441" s="95">
        <v>790</v>
      </c>
      <c r="D441" s="95"/>
      <c r="E441" t="s">
        <v>255</v>
      </c>
      <c r="F441" s="108" t="s">
        <v>108</v>
      </c>
      <c r="O441">
        <v>22650</v>
      </c>
    </row>
    <row r="442" spans="1:15" x14ac:dyDescent="0.3">
      <c r="A442" s="38">
        <v>46150</v>
      </c>
      <c r="B442" t="s">
        <v>175</v>
      </c>
      <c r="C442" s="11">
        <v>36000</v>
      </c>
      <c r="D442" s="11"/>
      <c r="E442" t="s">
        <v>564</v>
      </c>
      <c r="F442" s="108" t="s">
        <v>108</v>
      </c>
      <c r="O442">
        <v>20000</v>
      </c>
    </row>
    <row r="443" spans="1:15" x14ac:dyDescent="0.3">
      <c r="A443" s="38">
        <v>46150</v>
      </c>
      <c r="B443" t="s">
        <v>219</v>
      </c>
      <c r="C443" s="11"/>
      <c r="D443" s="11">
        <v>36000</v>
      </c>
      <c r="E443" t="s">
        <v>564</v>
      </c>
      <c r="F443" s="108" t="s">
        <v>108</v>
      </c>
      <c r="O443">
        <v>15600</v>
      </c>
    </row>
    <row r="444" spans="1:15" x14ac:dyDescent="0.3">
      <c r="A444" s="38">
        <v>46151</v>
      </c>
      <c r="B444" t="s">
        <v>539</v>
      </c>
      <c r="C444" s="95"/>
      <c r="D444" s="95">
        <v>500000</v>
      </c>
      <c r="E444" t="s">
        <v>540</v>
      </c>
      <c r="F444" s="108" t="s">
        <v>108</v>
      </c>
      <c r="O444">
        <v>15000</v>
      </c>
    </row>
    <row r="445" spans="1:15" x14ac:dyDescent="0.3">
      <c r="A445" s="38">
        <v>46151</v>
      </c>
      <c r="B445" t="s">
        <v>175</v>
      </c>
      <c r="C445" s="95">
        <v>55000</v>
      </c>
      <c r="D445" s="95"/>
      <c r="E445" t="s">
        <v>486</v>
      </c>
      <c r="F445" s="108" t="s">
        <v>108</v>
      </c>
      <c r="O445">
        <v>400</v>
      </c>
    </row>
    <row r="446" spans="1:15" x14ac:dyDescent="0.3">
      <c r="A446" s="38">
        <v>46151</v>
      </c>
      <c r="B446" t="s">
        <v>54</v>
      </c>
      <c r="C446" s="95">
        <v>2000</v>
      </c>
      <c r="D446" s="95"/>
      <c r="E446" t="s">
        <v>541</v>
      </c>
      <c r="F446" s="108" t="s">
        <v>108</v>
      </c>
      <c r="O446">
        <v>20000</v>
      </c>
    </row>
    <row r="447" spans="1:15" x14ac:dyDescent="0.3">
      <c r="A447" s="38">
        <v>46151</v>
      </c>
      <c r="B447" t="s">
        <v>222</v>
      </c>
      <c r="C447" s="95">
        <v>100000</v>
      </c>
      <c r="D447" s="95"/>
      <c r="E447" t="s">
        <v>240</v>
      </c>
      <c r="F447" s="108" t="s">
        <v>108</v>
      </c>
      <c r="O447">
        <v>30000</v>
      </c>
    </row>
    <row r="448" spans="1:15" x14ac:dyDescent="0.3">
      <c r="A448" s="38">
        <v>46151</v>
      </c>
      <c r="B448" t="s">
        <v>357</v>
      </c>
      <c r="C448" s="95">
        <v>30000</v>
      </c>
      <c r="D448" s="95"/>
      <c r="E448" t="s">
        <v>542</v>
      </c>
      <c r="F448" s="108" t="s">
        <v>108</v>
      </c>
      <c r="O448">
        <v>8350</v>
      </c>
    </row>
    <row r="449" spans="1:16" x14ac:dyDescent="0.3">
      <c r="A449" s="38">
        <v>46151</v>
      </c>
      <c r="B449" t="s">
        <v>476</v>
      </c>
      <c r="C449" s="95">
        <v>198400</v>
      </c>
      <c r="D449" s="95"/>
      <c r="E449" t="s">
        <v>543</v>
      </c>
      <c r="F449" s="108" t="s">
        <v>108</v>
      </c>
      <c r="O449">
        <v>9850</v>
      </c>
      <c r="P449">
        <v>17000</v>
      </c>
    </row>
    <row r="450" spans="1:16" x14ac:dyDescent="0.3">
      <c r="A450" s="38">
        <v>46151</v>
      </c>
      <c r="B450" t="s">
        <v>168</v>
      </c>
      <c r="C450" s="95">
        <v>100000</v>
      </c>
      <c r="D450" s="95"/>
      <c r="E450" t="s">
        <v>544</v>
      </c>
      <c r="F450" s="108" t="s">
        <v>108</v>
      </c>
      <c r="O450">
        <v>80000</v>
      </c>
    </row>
    <row r="451" spans="1:16" x14ac:dyDescent="0.3">
      <c r="A451" s="38">
        <v>46151</v>
      </c>
      <c r="B451" t="s">
        <v>55</v>
      </c>
      <c r="C451" s="95">
        <v>2800</v>
      </c>
      <c r="D451" s="95"/>
      <c r="E451" t="s">
        <v>427</v>
      </c>
      <c r="F451" s="108" t="s">
        <v>108</v>
      </c>
      <c r="O451">
        <v>20000</v>
      </c>
    </row>
    <row r="452" spans="1:16" x14ac:dyDescent="0.3">
      <c r="A452" s="38">
        <v>46151</v>
      </c>
      <c r="B452" t="s">
        <v>269</v>
      </c>
      <c r="C452" s="95">
        <v>10000</v>
      </c>
      <c r="D452" s="95"/>
      <c r="E452" t="s">
        <v>478</v>
      </c>
      <c r="F452" s="108" t="s">
        <v>108</v>
      </c>
      <c r="O452">
        <v>20800</v>
      </c>
    </row>
    <row r="453" spans="1:16" x14ac:dyDescent="0.3">
      <c r="A453" s="38">
        <v>46151</v>
      </c>
      <c r="B453" t="s">
        <v>269</v>
      </c>
      <c r="C453" s="95">
        <v>10000</v>
      </c>
      <c r="D453" s="95"/>
      <c r="E453" t="s">
        <v>288</v>
      </c>
      <c r="F453" s="108" t="s">
        <v>108</v>
      </c>
      <c r="O453">
        <v>46600</v>
      </c>
    </row>
    <row r="454" spans="1:16" x14ac:dyDescent="0.3">
      <c r="A454" s="38">
        <v>46151</v>
      </c>
      <c r="B454" t="s">
        <v>211</v>
      </c>
      <c r="C454" s="95">
        <v>2260</v>
      </c>
      <c r="D454" s="95"/>
      <c r="F454" s="108" t="s">
        <v>108</v>
      </c>
      <c r="L454" s="19">
        <v>48600</v>
      </c>
      <c r="N454" s="19">
        <v>27400</v>
      </c>
      <c r="O454">
        <v>29600</v>
      </c>
    </row>
    <row r="455" spans="1:16" x14ac:dyDescent="0.3">
      <c r="A455" s="38">
        <v>46151</v>
      </c>
      <c r="B455" t="s">
        <v>493</v>
      </c>
      <c r="C455" s="95"/>
      <c r="D455" s="95">
        <v>100000</v>
      </c>
      <c r="E455" t="s">
        <v>109</v>
      </c>
      <c r="F455" s="108" t="s">
        <v>108</v>
      </c>
      <c r="L455">
        <v>49200</v>
      </c>
      <c r="N455">
        <v>3400</v>
      </c>
      <c r="O455">
        <v>22800</v>
      </c>
    </row>
    <row r="456" spans="1:16" x14ac:dyDescent="0.3">
      <c r="A456" s="38">
        <v>46151</v>
      </c>
      <c r="B456" t="s">
        <v>219</v>
      </c>
      <c r="C456" s="95">
        <v>100000</v>
      </c>
      <c r="D456" s="95"/>
      <c r="E456" t="s">
        <v>529</v>
      </c>
      <c r="F456" s="108" t="s">
        <v>108</v>
      </c>
      <c r="L456">
        <v>52000</v>
      </c>
      <c r="N456" s="19">
        <v>6200</v>
      </c>
      <c r="O456">
        <v>3200</v>
      </c>
    </row>
    <row r="457" spans="1:16" x14ac:dyDescent="0.3">
      <c r="A457" s="38">
        <v>46152</v>
      </c>
      <c r="B457" t="s">
        <v>219</v>
      </c>
      <c r="C457" s="95"/>
      <c r="D457" s="95">
        <v>18000</v>
      </c>
      <c r="F457" s="108" t="s">
        <v>108</v>
      </c>
      <c r="L457">
        <v>42800</v>
      </c>
      <c r="N457">
        <v>3400</v>
      </c>
      <c r="O457">
        <v>48400</v>
      </c>
    </row>
    <row r="458" spans="1:16" x14ac:dyDescent="0.3">
      <c r="A458" s="38">
        <v>46152</v>
      </c>
      <c r="B458" t="s">
        <v>386</v>
      </c>
      <c r="C458" s="95">
        <v>4500</v>
      </c>
      <c r="D458" s="95"/>
      <c r="E458" t="s">
        <v>283</v>
      </c>
      <c r="F458" s="108" t="s">
        <v>108</v>
      </c>
      <c r="L458">
        <v>25200</v>
      </c>
      <c r="N458" s="19">
        <v>25200</v>
      </c>
      <c r="O458">
        <v>5330</v>
      </c>
    </row>
    <row r="459" spans="1:16" x14ac:dyDescent="0.3">
      <c r="A459" s="38">
        <v>46152</v>
      </c>
      <c r="B459" t="s">
        <v>211</v>
      </c>
      <c r="C459" s="95">
        <v>780</v>
      </c>
      <c r="D459" s="95"/>
      <c r="F459" s="108" t="s">
        <v>108</v>
      </c>
      <c r="L459">
        <v>37600</v>
      </c>
      <c r="N459" s="19">
        <v>19500</v>
      </c>
      <c r="O459">
        <v>17000</v>
      </c>
    </row>
    <row r="460" spans="1:16" x14ac:dyDescent="0.3">
      <c r="A460" s="38">
        <v>46152</v>
      </c>
      <c r="B460" t="s">
        <v>55</v>
      </c>
      <c r="C460" s="95">
        <v>1560</v>
      </c>
      <c r="D460" s="95"/>
      <c r="F460" s="108" t="s">
        <v>108</v>
      </c>
      <c r="L460">
        <v>23000</v>
      </c>
      <c r="N460" s="19">
        <v>20300</v>
      </c>
    </row>
    <row r="461" spans="1:16" x14ac:dyDescent="0.3">
      <c r="A461" s="38">
        <v>46152</v>
      </c>
      <c r="B461" t="s">
        <v>55</v>
      </c>
      <c r="C461" s="95">
        <v>2500</v>
      </c>
      <c r="D461" s="95"/>
      <c r="F461" s="108" t="s">
        <v>108</v>
      </c>
      <c r="L461">
        <v>6200</v>
      </c>
      <c r="N461" s="19">
        <v>21000</v>
      </c>
    </row>
    <row r="462" spans="1:16" x14ac:dyDescent="0.3">
      <c r="A462" s="38">
        <v>46152</v>
      </c>
      <c r="B462" t="s">
        <v>55</v>
      </c>
      <c r="C462" s="95">
        <v>550</v>
      </c>
      <c r="D462" s="95"/>
      <c r="F462" s="108" t="s">
        <v>108</v>
      </c>
      <c r="L462">
        <v>3400</v>
      </c>
      <c r="N462" s="19">
        <v>40000</v>
      </c>
    </row>
    <row r="463" spans="1:16" x14ac:dyDescent="0.3">
      <c r="A463" s="38">
        <v>46152</v>
      </c>
      <c r="B463" t="s">
        <v>55</v>
      </c>
      <c r="C463" s="95">
        <v>1000</v>
      </c>
      <c r="D463" s="95"/>
      <c r="F463" s="108" t="s">
        <v>108</v>
      </c>
      <c r="L463">
        <v>19800</v>
      </c>
      <c r="N463" s="19">
        <v>3000</v>
      </c>
    </row>
    <row r="464" spans="1:16" x14ac:dyDescent="0.3">
      <c r="A464" s="38">
        <v>46152</v>
      </c>
      <c r="B464" t="s">
        <v>211</v>
      </c>
      <c r="C464" s="95"/>
      <c r="D464" s="95">
        <v>1000</v>
      </c>
      <c r="F464" s="108" t="s">
        <v>108</v>
      </c>
      <c r="L464">
        <v>3400</v>
      </c>
      <c r="N464" s="19">
        <v>20600</v>
      </c>
    </row>
    <row r="465" spans="1:14" x14ac:dyDescent="0.3">
      <c r="A465" s="38">
        <v>46153</v>
      </c>
      <c r="B465" t="s">
        <v>191</v>
      </c>
      <c r="C465" s="95"/>
      <c r="D465" s="95">
        <v>60000</v>
      </c>
      <c r="F465" s="108" t="s">
        <v>108</v>
      </c>
      <c r="L465">
        <v>31150</v>
      </c>
      <c r="N465" s="19">
        <v>12750</v>
      </c>
    </row>
    <row r="466" spans="1:14" x14ac:dyDescent="0.3">
      <c r="A466" s="38">
        <v>46153</v>
      </c>
      <c r="B466" t="s">
        <v>219</v>
      </c>
      <c r="C466" s="95">
        <v>60000</v>
      </c>
      <c r="D466" s="95"/>
      <c r="E466" t="s">
        <v>191</v>
      </c>
      <c r="F466" s="108" t="s">
        <v>108</v>
      </c>
      <c r="L466">
        <v>12750</v>
      </c>
      <c r="N466" s="19">
        <v>14400</v>
      </c>
    </row>
    <row r="467" spans="1:14" x14ac:dyDescent="0.3">
      <c r="A467" s="38">
        <v>46153</v>
      </c>
      <c r="B467" t="s">
        <v>55</v>
      </c>
      <c r="C467" s="95">
        <v>3500</v>
      </c>
      <c r="D467" s="95"/>
      <c r="E467" t="s">
        <v>546</v>
      </c>
      <c r="F467" s="108" t="s">
        <v>108</v>
      </c>
      <c r="L467">
        <v>27400</v>
      </c>
      <c r="N467" s="19">
        <v>9000</v>
      </c>
    </row>
    <row r="468" spans="1:14" x14ac:dyDescent="0.3">
      <c r="A468" s="38">
        <v>46153</v>
      </c>
      <c r="B468" t="s">
        <v>55</v>
      </c>
      <c r="C468" s="95">
        <v>1560</v>
      </c>
      <c r="D468" s="95"/>
      <c r="E468" t="s">
        <v>546</v>
      </c>
      <c r="F468" s="108" t="s">
        <v>108</v>
      </c>
      <c r="L468">
        <v>15700</v>
      </c>
      <c r="N468" s="19">
        <v>17400</v>
      </c>
    </row>
    <row r="469" spans="1:14" x14ac:dyDescent="0.3">
      <c r="A469" s="38">
        <v>46153</v>
      </c>
      <c r="B469" t="s">
        <v>219</v>
      </c>
      <c r="C469" s="95"/>
      <c r="D469" s="95">
        <v>3500</v>
      </c>
      <c r="F469" s="108" t="s">
        <v>108</v>
      </c>
      <c r="L469">
        <v>12550</v>
      </c>
      <c r="N469" s="19">
        <v>19782</v>
      </c>
    </row>
    <row r="470" spans="1:14" x14ac:dyDescent="0.3">
      <c r="A470" s="38">
        <v>46153</v>
      </c>
      <c r="B470" t="s">
        <v>55</v>
      </c>
      <c r="C470" s="95">
        <v>2500</v>
      </c>
      <c r="D470" s="95"/>
      <c r="E470" t="s">
        <v>291</v>
      </c>
      <c r="F470" s="108" t="s">
        <v>108</v>
      </c>
      <c r="L470">
        <v>14800</v>
      </c>
      <c r="N470" s="19">
        <v>23000</v>
      </c>
    </row>
    <row r="471" spans="1:14" x14ac:dyDescent="0.3">
      <c r="A471" s="38">
        <v>46153</v>
      </c>
      <c r="B471" t="s">
        <v>55</v>
      </c>
      <c r="C471" s="95">
        <v>550</v>
      </c>
      <c r="D471" s="95"/>
      <c r="F471" s="108" t="s">
        <v>108</v>
      </c>
      <c r="L471">
        <v>14350</v>
      </c>
      <c r="N471" s="19">
        <v>15700</v>
      </c>
    </row>
    <row r="472" spans="1:14" x14ac:dyDescent="0.3">
      <c r="A472" s="38">
        <v>46153</v>
      </c>
      <c r="B472" t="s">
        <v>115</v>
      </c>
      <c r="C472" s="95">
        <v>100000</v>
      </c>
      <c r="D472" s="95"/>
      <c r="E472" t="s">
        <v>547</v>
      </c>
      <c r="F472" s="108" t="s">
        <v>108</v>
      </c>
      <c r="L472">
        <v>40000</v>
      </c>
      <c r="N472" s="19">
        <v>14800</v>
      </c>
    </row>
    <row r="473" spans="1:14" x14ac:dyDescent="0.3">
      <c r="A473" s="38">
        <v>46153</v>
      </c>
      <c r="B473" t="s">
        <v>219</v>
      </c>
      <c r="C473" s="95"/>
      <c r="D473" s="95">
        <v>100000</v>
      </c>
      <c r="E473" t="s">
        <v>548</v>
      </c>
      <c r="F473" s="108" t="s">
        <v>108</v>
      </c>
      <c r="L473">
        <v>17400</v>
      </c>
      <c r="N473" s="19">
        <v>12550</v>
      </c>
    </row>
    <row r="474" spans="1:14" x14ac:dyDescent="0.3">
      <c r="A474" s="38">
        <v>46153</v>
      </c>
      <c r="B474" t="s">
        <v>9</v>
      </c>
      <c r="C474" s="95"/>
      <c r="D474" s="95">
        <v>37085</v>
      </c>
      <c r="E474" t="s">
        <v>215</v>
      </c>
      <c r="F474" s="108" t="s">
        <v>108</v>
      </c>
      <c r="L474">
        <v>19500</v>
      </c>
      <c r="N474" s="19">
        <v>31150</v>
      </c>
    </row>
    <row r="475" spans="1:14" x14ac:dyDescent="0.3">
      <c r="A475" s="38">
        <v>46153</v>
      </c>
      <c r="B475" t="s">
        <v>55</v>
      </c>
      <c r="C475" s="95">
        <v>28500</v>
      </c>
      <c r="D475" s="95"/>
      <c r="E475" t="s">
        <v>549</v>
      </c>
      <c r="F475" s="108" t="s">
        <v>108</v>
      </c>
      <c r="L475">
        <v>3000</v>
      </c>
      <c r="N475" s="19">
        <v>27500</v>
      </c>
    </row>
    <row r="476" spans="1:14" x14ac:dyDescent="0.3">
      <c r="A476" s="38">
        <v>46153</v>
      </c>
      <c r="B476" t="s">
        <v>219</v>
      </c>
      <c r="C476" s="95"/>
      <c r="D476" s="95">
        <v>250000</v>
      </c>
      <c r="E476" t="s">
        <v>550</v>
      </c>
      <c r="F476" s="108" t="s">
        <v>108</v>
      </c>
      <c r="L476">
        <v>1000</v>
      </c>
      <c r="N476" s="19">
        <v>20000</v>
      </c>
    </row>
    <row r="477" spans="1:14" x14ac:dyDescent="0.3">
      <c r="A477" s="38">
        <v>46153</v>
      </c>
      <c r="B477" t="s">
        <v>219</v>
      </c>
      <c r="C477" s="95"/>
      <c r="D477" s="95">
        <v>134000</v>
      </c>
      <c r="E477" t="s">
        <v>551</v>
      </c>
      <c r="F477" s="108" t="s">
        <v>108</v>
      </c>
      <c r="L477">
        <v>9000</v>
      </c>
      <c r="N477" s="19">
        <v>52000</v>
      </c>
    </row>
    <row r="478" spans="1:14" x14ac:dyDescent="0.3">
      <c r="A478" s="38">
        <v>46153</v>
      </c>
      <c r="B478" t="s">
        <v>517</v>
      </c>
      <c r="C478" s="95">
        <v>300000</v>
      </c>
      <c r="D478" s="95"/>
      <c r="E478" t="s">
        <v>552</v>
      </c>
      <c r="F478" s="108" t="s">
        <v>108</v>
      </c>
      <c r="L478">
        <v>21000</v>
      </c>
      <c r="N478" s="19">
        <v>49200</v>
      </c>
    </row>
    <row r="479" spans="1:14" x14ac:dyDescent="0.3">
      <c r="A479" s="38">
        <v>46153</v>
      </c>
      <c r="B479" t="s">
        <v>54</v>
      </c>
      <c r="C479" s="95">
        <v>3500</v>
      </c>
      <c r="D479" s="95"/>
      <c r="E479" t="s">
        <v>553</v>
      </c>
      <c r="F479" s="108" t="s">
        <v>108</v>
      </c>
      <c r="L479">
        <v>20300</v>
      </c>
      <c r="N479" s="19">
        <v>37600</v>
      </c>
    </row>
    <row r="480" spans="1:14" x14ac:dyDescent="0.3">
      <c r="A480" s="38">
        <v>46153</v>
      </c>
      <c r="B480" t="s">
        <v>269</v>
      </c>
      <c r="C480" s="95">
        <v>5000</v>
      </c>
      <c r="D480" s="95"/>
      <c r="E480" t="s">
        <v>554</v>
      </c>
      <c r="F480" s="108" t="s">
        <v>108</v>
      </c>
      <c r="L480">
        <v>27500</v>
      </c>
      <c r="N480" s="19">
        <v>48600</v>
      </c>
    </row>
    <row r="481" spans="1:14" x14ac:dyDescent="0.3">
      <c r="A481" s="38">
        <v>46153</v>
      </c>
      <c r="B481" t="s">
        <v>211</v>
      </c>
      <c r="C481" s="95">
        <v>200</v>
      </c>
      <c r="D481" s="95"/>
      <c r="F481" s="108" t="s">
        <v>108</v>
      </c>
      <c r="L481">
        <v>20000</v>
      </c>
      <c r="N481" s="19">
        <v>42800</v>
      </c>
    </row>
    <row r="482" spans="1:14" x14ac:dyDescent="0.3">
      <c r="A482" s="38">
        <v>46153</v>
      </c>
      <c r="B482" t="s">
        <v>55</v>
      </c>
      <c r="C482" s="95">
        <v>12491</v>
      </c>
      <c r="D482" s="95"/>
      <c r="E482" t="s">
        <v>259</v>
      </c>
      <c r="F482" s="108" t="s">
        <v>108</v>
      </c>
      <c r="L482">
        <v>20600</v>
      </c>
    </row>
    <row r="483" spans="1:14" x14ac:dyDescent="0.3">
      <c r="A483" s="38">
        <v>46154</v>
      </c>
      <c r="B483" t="s">
        <v>493</v>
      </c>
      <c r="C483" s="95"/>
      <c r="D483" s="95">
        <v>50000</v>
      </c>
      <c r="E483" t="s">
        <v>109</v>
      </c>
      <c r="F483" s="108" t="s">
        <v>108</v>
      </c>
      <c r="L483">
        <v>3400</v>
      </c>
    </row>
    <row r="484" spans="1:14" x14ac:dyDescent="0.3">
      <c r="A484" s="38">
        <v>46154</v>
      </c>
      <c r="B484" t="s">
        <v>219</v>
      </c>
      <c r="C484" s="95">
        <v>50000</v>
      </c>
      <c r="D484" s="95"/>
      <c r="E484" t="s">
        <v>545</v>
      </c>
      <c r="F484" s="108" t="s">
        <v>108</v>
      </c>
    </row>
    <row r="485" spans="1:14" x14ac:dyDescent="0.3">
      <c r="A485" s="38">
        <v>46154</v>
      </c>
      <c r="B485" t="s">
        <v>55</v>
      </c>
      <c r="C485" s="95">
        <v>400</v>
      </c>
      <c r="D485" s="95"/>
      <c r="F485" s="108" t="s">
        <v>108</v>
      </c>
    </row>
    <row r="486" spans="1:14" x14ac:dyDescent="0.3">
      <c r="A486" s="38">
        <v>46154</v>
      </c>
      <c r="B486" t="s">
        <v>54</v>
      </c>
      <c r="C486" s="95">
        <v>17000</v>
      </c>
      <c r="D486" s="95"/>
      <c r="E486" t="s">
        <v>555</v>
      </c>
      <c r="F486" s="108" t="s">
        <v>108</v>
      </c>
    </row>
    <row r="487" spans="1:14" x14ac:dyDescent="0.3">
      <c r="A487" s="38">
        <v>46154</v>
      </c>
      <c r="B487" t="s">
        <v>55</v>
      </c>
      <c r="C487" s="11">
        <v>350</v>
      </c>
      <c r="D487" s="11"/>
      <c r="E487" t="s">
        <v>556</v>
      </c>
      <c r="F487" s="108" t="s">
        <v>108</v>
      </c>
    </row>
    <row r="488" spans="1:14" x14ac:dyDescent="0.3">
      <c r="A488" s="38">
        <v>46154</v>
      </c>
      <c r="B488" t="s">
        <v>357</v>
      </c>
      <c r="C488" s="11">
        <v>1800</v>
      </c>
      <c r="D488" s="11"/>
      <c r="F488" s="108" t="s">
        <v>108</v>
      </c>
    </row>
    <row r="489" spans="1:14" x14ac:dyDescent="0.3">
      <c r="A489" s="38">
        <v>46154</v>
      </c>
      <c r="B489" t="s">
        <v>222</v>
      </c>
      <c r="C489" s="11">
        <v>39000</v>
      </c>
      <c r="D489" s="11"/>
      <c r="E489" t="s">
        <v>240</v>
      </c>
      <c r="F489" s="108" t="s">
        <v>108</v>
      </c>
    </row>
    <row r="490" spans="1:14" x14ac:dyDescent="0.3">
      <c r="A490" s="38">
        <v>46154</v>
      </c>
      <c r="B490" t="s">
        <v>386</v>
      </c>
      <c r="C490" s="11">
        <v>6000</v>
      </c>
      <c r="D490" s="11"/>
      <c r="E490" t="s">
        <v>557</v>
      </c>
      <c r="F490" s="108" t="s">
        <v>108</v>
      </c>
    </row>
    <row r="491" spans="1:14" x14ac:dyDescent="0.3">
      <c r="A491" s="38">
        <v>46154</v>
      </c>
      <c r="B491" t="s">
        <v>219</v>
      </c>
      <c r="C491" s="11"/>
      <c r="D491" s="11">
        <v>60000</v>
      </c>
      <c r="E491" t="s">
        <v>558</v>
      </c>
      <c r="F491" s="108" t="s">
        <v>108</v>
      </c>
    </row>
    <row r="492" spans="1:14" x14ac:dyDescent="0.3">
      <c r="A492" s="38">
        <v>46154</v>
      </c>
      <c r="B492" t="s">
        <v>222</v>
      </c>
      <c r="C492" s="11">
        <v>100000</v>
      </c>
      <c r="D492" s="11"/>
      <c r="E492" t="s">
        <v>559</v>
      </c>
      <c r="F492" s="108" t="s">
        <v>108</v>
      </c>
    </row>
    <row r="493" spans="1:14" x14ac:dyDescent="0.3">
      <c r="A493" s="111">
        <v>46154</v>
      </c>
      <c r="B493" t="s">
        <v>219</v>
      </c>
      <c r="C493" s="11"/>
      <c r="D493" s="11">
        <v>135000</v>
      </c>
      <c r="E493" t="s">
        <v>560</v>
      </c>
      <c r="F493" s="108" t="s">
        <v>108</v>
      </c>
    </row>
    <row r="494" spans="1:14" x14ac:dyDescent="0.3">
      <c r="A494" s="111">
        <v>46154</v>
      </c>
      <c r="B494" t="s">
        <v>55</v>
      </c>
      <c r="C494" s="11">
        <v>3700</v>
      </c>
      <c r="D494" s="11"/>
      <c r="E494" t="s">
        <v>561</v>
      </c>
      <c r="F494" s="108" t="s">
        <v>108</v>
      </c>
    </row>
    <row r="495" spans="1:14" x14ac:dyDescent="0.3">
      <c r="A495" s="111">
        <v>46154</v>
      </c>
      <c r="B495" t="s">
        <v>219</v>
      </c>
      <c r="C495" s="11"/>
      <c r="D495" s="11">
        <v>195000</v>
      </c>
      <c r="E495" t="s">
        <v>540</v>
      </c>
      <c r="F495" s="108" t="s">
        <v>108</v>
      </c>
    </row>
    <row r="496" spans="1:14" x14ac:dyDescent="0.3">
      <c r="A496" s="111">
        <v>46154</v>
      </c>
      <c r="B496" t="s">
        <v>219</v>
      </c>
      <c r="C496" s="11"/>
      <c r="D496" s="11">
        <v>18000</v>
      </c>
      <c r="E496" t="s">
        <v>562</v>
      </c>
      <c r="F496" s="108" t="s">
        <v>108</v>
      </c>
    </row>
    <row r="497" spans="1:10" x14ac:dyDescent="0.3">
      <c r="A497" s="111">
        <v>46154</v>
      </c>
      <c r="B497" t="s">
        <v>222</v>
      </c>
      <c r="C497" s="11">
        <v>350000</v>
      </c>
      <c r="D497" s="11"/>
      <c r="E497" t="s">
        <v>563</v>
      </c>
      <c r="F497" s="108" t="s">
        <v>108</v>
      </c>
    </row>
    <row r="498" spans="1:10" x14ac:dyDescent="0.3">
      <c r="A498" s="111">
        <v>46154</v>
      </c>
      <c r="B498" t="s">
        <v>211</v>
      </c>
      <c r="C498" s="11">
        <v>500</v>
      </c>
      <c r="D498" s="11"/>
      <c r="F498" s="108" t="s">
        <v>108</v>
      </c>
    </row>
    <row r="499" spans="1:10" x14ac:dyDescent="0.3">
      <c r="A499" s="111">
        <v>46155</v>
      </c>
      <c r="B499" t="s">
        <v>219</v>
      </c>
      <c r="C499" s="11"/>
      <c r="D499" s="11">
        <v>18000</v>
      </c>
      <c r="E499" t="s">
        <v>564</v>
      </c>
      <c r="F499" s="108" t="s">
        <v>108</v>
      </c>
    </row>
    <row r="500" spans="1:10" x14ac:dyDescent="0.3">
      <c r="A500" s="111">
        <v>46155</v>
      </c>
      <c r="B500" t="s">
        <v>116</v>
      </c>
      <c r="C500" s="11">
        <v>18000</v>
      </c>
      <c r="D500" s="11"/>
      <c r="E500" t="s">
        <v>564</v>
      </c>
      <c r="F500" s="108" t="s">
        <v>108</v>
      </c>
      <c r="I500">
        <v>150000</v>
      </c>
      <c r="J500">
        <v>32800</v>
      </c>
    </row>
    <row r="501" spans="1:10" x14ac:dyDescent="0.3">
      <c r="A501" s="111">
        <v>46155</v>
      </c>
      <c r="B501" t="s">
        <v>269</v>
      </c>
      <c r="C501" s="11">
        <v>5000</v>
      </c>
      <c r="D501" s="11"/>
      <c r="E501" t="s">
        <v>406</v>
      </c>
      <c r="F501" s="108" t="s">
        <v>108</v>
      </c>
      <c r="I501">
        <v>17334</v>
      </c>
      <c r="J501">
        <v>22400</v>
      </c>
    </row>
    <row r="502" spans="1:10" x14ac:dyDescent="0.3">
      <c r="A502" s="111">
        <v>46155</v>
      </c>
      <c r="B502" t="s">
        <v>386</v>
      </c>
      <c r="C502" s="11">
        <v>3240</v>
      </c>
      <c r="D502" s="11"/>
      <c r="E502" t="s">
        <v>565</v>
      </c>
      <c r="F502" s="108" t="s">
        <v>108</v>
      </c>
      <c r="I502">
        <v>40000</v>
      </c>
      <c r="J502">
        <v>26800</v>
      </c>
    </row>
    <row r="503" spans="1:10" x14ac:dyDescent="0.3">
      <c r="A503" s="111">
        <v>46155</v>
      </c>
      <c r="B503" t="s">
        <v>191</v>
      </c>
      <c r="C503" s="11"/>
      <c r="D503" s="11">
        <v>68900</v>
      </c>
      <c r="E503" t="s">
        <v>566</v>
      </c>
      <c r="F503" s="108" t="s">
        <v>108</v>
      </c>
      <c r="I503">
        <v>55000</v>
      </c>
      <c r="J503">
        <v>24800</v>
      </c>
    </row>
    <row r="504" spans="1:10" x14ac:dyDescent="0.3">
      <c r="A504" s="111">
        <v>46155</v>
      </c>
      <c r="B504" t="s">
        <v>55</v>
      </c>
      <c r="C504" s="11">
        <v>51466</v>
      </c>
      <c r="D504" s="11"/>
      <c r="E504" t="s">
        <v>259</v>
      </c>
      <c r="F504" s="108" t="s">
        <v>108</v>
      </c>
      <c r="I504">
        <v>20000</v>
      </c>
      <c r="J504">
        <v>23600</v>
      </c>
    </row>
    <row r="505" spans="1:10" x14ac:dyDescent="0.3">
      <c r="A505" s="111">
        <v>46155</v>
      </c>
      <c r="B505" t="s">
        <v>219</v>
      </c>
      <c r="C505" s="11"/>
      <c r="D505" s="11">
        <v>45000</v>
      </c>
      <c r="E505" t="s">
        <v>320</v>
      </c>
      <c r="F505" s="108" t="s">
        <v>108</v>
      </c>
      <c r="I505">
        <v>22650</v>
      </c>
      <c r="J505">
        <v>12400</v>
      </c>
    </row>
    <row r="506" spans="1:10" x14ac:dyDescent="0.3">
      <c r="A506" s="111">
        <v>46155</v>
      </c>
      <c r="B506" t="s">
        <v>253</v>
      </c>
      <c r="C506" s="11">
        <v>50000</v>
      </c>
      <c r="D506" s="11"/>
      <c r="E506" t="s">
        <v>437</v>
      </c>
      <c r="F506" s="108" t="s">
        <v>108</v>
      </c>
      <c r="I506">
        <v>20550</v>
      </c>
      <c r="J506">
        <v>21600</v>
      </c>
    </row>
    <row r="507" spans="1:10" x14ac:dyDescent="0.3">
      <c r="A507" s="111">
        <v>46155</v>
      </c>
      <c r="B507" t="s">
        <v>211</v>
      </c>
      <c r="C507" s="11">
        <f>226+780</f>
        <v>1006</v>
      </c>
      <c r="D507" s="11"/>
      <c r="F507" s="108" t="s">
        <v>108</v>
      </c>
      <c r="I507">
        <v>4000</v>
      </c>
      <c r="J507">
        <v>80000</v>
      </c>
    </row>
    <row r="508" spans="1:10" x14ac:dyDescent="0.3">
      <c r="A508" s="111">
        <v>46155</v>
      </c>
      <c r="B508" t="s">
        <v>493</v>
      </c>
      <c r="C508" s="11"/>
      <c r="D508" s="11">
        <v>50000</v>
      </c>
      <c r="E508" t="s">
        <v>271</v>
      </c>
      <c r="F508" s="108" t="s">
        <v>108</v>
      </c>
      <c r="I508">
        <v>14000</v>
      </c>
      <c r="J508">
        <v>50000</v>
      </c>
    </row>
    <row r="509" spans="1:10" x14ac:dyDescent="0.3">
      <c r="A509" s="111">
        <v>46155</v>
      </c>
      <c r="B509" t="s">
        <v>219</v>
      </c>
      <c r="C509" s="11">
        <v>50000</v>
      </c>
      <c r="D509" s="11"/>
      <c r="E509" t="s">
        <v>529</v>
      </c>
      <c r="F509" s="108" t="s">
        <v>108</v>
      </c>
      <c r="I509">
        <v>12220</v>
      </c>
      <c r="J509">
        <v>60000</v>
      </c>
    </row>
    <row r="510" spans="1:10" x14ac:dyDescent="0.3">
      <c r="A510" s="111">
        <v>46156</v>
      </c>
      <c r="B510" t="s">
        <v>55</v>
      </c>
      <c r="C510" s="11">
        <v>1600</v>
      </c>
      <c r="D510" s="11"/>
      <c r="E510" t="s">
        <v>466</v>
      </c>
      <c r="F510" s="108" t="s">
        <v>108</v>
      </c>
      <c r="I510">
        <v>14213</v>
      </c>
      <c r="J510">
        <v>35000</v>
      </c>
    </row>
    <row r="511" spans="1:10" x14ac:dyDescent="0.3">
      <c r="A511" s="111">
        <v>46156</v>
      </c>
      <c r="B511" t="s">
        <v>269</v>
      </c>
      <c r="C511" s="11">
        <v>5000</v>
      </c>
      <c r="D511" s="11"/>
      <c r="E511" t="s">
        <v>252</v>
      </c>
      <c r="F511" s="108" t="s">
        <v>108</v>
      </c>
      <c r="I511">
        <v>17500</v>
      </c>
      <c r="J511">
        <v>19600</v>
      </c>
    </row>
    <row r="512" spans="1:10" x14ac:dyDescent="0.3">
      <c r="A512" s="111">
        <v>46156</v>
      </c>
      <c r="B512" t="s">
        <v>244</v>
      </c>
      <c r="C512" s="11">
        <v>2600</v>
      </c>
      <c r="D512" s="11"/>
      <c r="E512" t="s">
        <v>567</v>
      </c>
      <c r="F512" s="108" t="s">
        <v>108</v>
      </c>
      <c r="I512">
        <v>20800</v>
      </c>
      <c r="J512">
        <v>15600</v>
      </c>
    </row>
    <row r="513" spans="1:10" x14ac:dyDescent="0.3">
      <c r="A513" s="111">
        <v>46156</v>
      </c>
      <c r="B513" t="s">
        <v>219</v>
      </c>
      <c r="C513" s="11"/>
      <c r="D513" s="11">
        <v>150000</v>
      </c>
      <c r="E513" t="s">
        <v>285</v>
      </c>
      <c r="F513" s="108" t="s">
        <v>108</v>
      </c>
      <c r="I513">
        <v>15600</v>
      </c>
      <c r="J513">
        <v>20800</v>
      </c>
    </row>
    <row r="514" spans="1:10" x14ac:dyDescent="0.3">
      <c r="A514" s="111">
        <v>46156</v>
      </c>
      <c r="B514" t="s">
        <v>219</v>
      </c>
      <c r="C514" s="11"/>
      <c r="D514" s="11">
        <v>74125</v>
      </c>
      <c r="E514" t="s">
        <v>568</v>
      </c>
      <c r="F514" s="108" t="s">
        <v>108</v>
      </c>
      <c r="I514">
        <v>19600</v>
      </c>
      <c r="J514">
        <v>17500</v>
      </c>
    </row>
    <row r="515" spans="1:10" x14ac:dyDescent="0.3">
      <c r="A515" s="111">
        <v>46156</v>
      </c>
      <c r="B515" t="s">
        <v>175</v>
      </c>
      <c r="C515" s="11">
        <v>74125</v>
      </c>
      <c r="D515" s="11"/>
      <c r="E515" t="s">
        <v>569</v>
      </c>
      <c r="F515" s="108" t="s">
        <v>108</v>
      </c>
      <c r="I515">
        <v>35000</v>
      </c>
      <c r="J515">
        <v>14220</v>
      </c>
    </row>
    <row r="516" spans="1:10" x14ac:dyDescent="0.3">
      <c r="A516" s="111">
        <v>46157</v>
      </c>
      <c r="B516" t="s">
        <v>211</v>
      </c>
      <c r="C516" s="11">
        <f>1500+300+200+2000</f>
        <v>4000</v>
      </c>
      <c r="D516" s="11"/>
      <c r="F516" s="108" t="s">
        <v>108</v>
      </c>
      <c r="I516">
        <v>60000</v>
      </c>
      <c r="J516">
        <v>12220</v>
      </c>
    </row>
    <row r="517" spans="1:10" x14ac:dyDescent="0.3">
      <c r="A517" s="111">
        <v>46157</v>
      </c>
      <c r="B517" t="s">
        <v>269</v>
      </c>
      <c r="C517" s="11">
        <v>35000</v>
      </c>
      <c r="D517" s="11"/>
      <c r="E517" t="s">
        <v>260</v>
      </c>
      <c r="F517" s="108" t="s">
        <v>108</v>
      </c>
      <c r="I517">
        <v>50000</v>
      </c>
      <c r="J517">
        <v>14000</v>
      </c>
    </row>
    <row r="518" spans="1:10" x14ac:dyDescent="0.3">
      <c r="A518" s="111">
        <v>46157</v>
      </c>
      <c r="B518" t="s">
        <v>253</v>
      </c>
      <c r="C518" s="11">
        <v>80000</v>
      </c>
      <c r="D518" s="11"/>
      <c r="E518" t="s">
        <v>570</v>
      </c>
      <c r="F518" s="108" t="s">
        <v>108</v>
      </c>
      <c r="I518">
        <v>80000</v>
      </c>
      <c r="J518">
        <v>150000</v>
      </c>
    </row>
    <row r="519" spans="1:10" x14ac:dyDescent="0.3">
      <c r="A519" s="38">
        <v>46157</v>
      </c>
      <c r="B519" t="s">
        <v>386</v>
      </c>
      <c r="C519" s="11">
        <v>2100</v>
      </c>
      <c r="D519" s="11"/>
      <c r="E519" t="s">
        <v>571</v>
      </c>
      <c r="F519" s="108" t="s">
        <v>108</v>
      </c>
      <c r="I519">
        <v>21600</v>
      </c>
      <c r="J519">
        <v>17350</v>
      </c>
    </row>
    <row r="520" spans="1:10" x14ac:dyDescent="0.3">
      <c r="A520" s="38">
        <v>46157</v>
      </c>
      <c r="B520" t="s">
        <v>367</v>
      </c>
      <c r="C520" s="11"/>
      <c r="D520" s="11">
        <v>800000</v>
      </c>
      <c r="E520" t="s">
        <v>572</v>
      </c>
      <c r="F520" s="108" t="s">
        <v>108</v>
      </c>
      <c r="I520">
        <v>12400</v>
      </c>
      <c r="J520">
        <v>40000</v>
      </c>
    </row>
    <row r="521" spans="1:10" x14ac:dyDescent="0.3">
      <c r="A521" s="38">
        <v>46157</v>
      </c>
      <c r="B521" t="s">
        <v>219</v>
      </c>
      <c r="C521" s="11">
        <v>500000</v>
      </c>
      <c r="D521" s="11"/>
      <c r="E521" t="s">
        <v>573</v>
      </c>
      <c r="F521" s="108" t="s">
        <v>108</v>
      </c>
      <c r="I521">
        <v>23600</v>
      </c>
      <c r="J521">
        <v>55000</v>
      </c>
    </row>
    <row r="522" spans="1:10" x14ac:dyDescent="0.3">
      <c r="A522" s="38">
        <v>46157</v>
      </c>
      <c r="B522" t="s">
        <v>367</v>
      </c>
      <c r="C522" s="95"/>
      <c r="D522" s="95">
        <v>6768</v>
      </c>
      <c r="E522" t="s">
        <v>585</v>
      </c>
      <c r="F522" s="108" t="s">
        <v>108</v>
      </c>
      <c r="I522">
        <v>24800</v>
      </c>
      <c r="J522">
        <v>20000</v>
      </c>
    </row>
    <row r="523" spans="1:10" x14ac:dyDescent="0.3">
      <c r="A523" s="38">
        <v>46157</v>
      </c>
      <c r="B523" t="s">
        <v>54</v>
      </c>
      <c r="C523" s="95">
        <v>6768</v>
      </c>
      <c r="D523" s="95"/>
      <c r="F523" s="108" t="s">
        <v>108</v>
      </c>
      <c r="I523">
        <v>26800</v>
      </c>
      <c r="J523">
        <v>22650</v>
      </c>
    </row>
    <row r="524" spans="1:10" x14ac:dyDescent="0.3">
      <c r="A524" s="38">
        <v>46158</v>
      </c>
      <c r="B524" t="s">
        <v>219</v>
      </c>
      <c r="C524" s="95">
        <v>290000</v>
      </c>
      <c r="D524" s="95"/>
      <c r="E524" t="s">
        <v>575</v>
      </c>
      <c r="F524" s="108" t="s">
        <v>108</v>
      </c>
      <c r="I524">
        <v>22400</v>
      </c>
      <c r="J524">
        <v>20550</v>
      </c>
    </row>
    <row r="525" spans="1:10" x14ac:dyDescent="0.3">
      <c r="A525" s="38">
        <v>46158</v>
      </c>
      <c r="B525" t="s">
        <v>367</v>
      </c>
      <c r="C525" s="95"/>
      <c r="D525" s="95">
        <v>450000</v>
      </c>
      <c r="E525" t="s">
        <v>576</v>
      </c>
      <c r="F525" s="108" t="s">
        <v>108</v>
      </c>
      <c r="I525">
        <v>32800</v>
      </c>
      <c r="J525">
        <v>4000</v>
      </c>
    </row>
    <row r="526" spans="1:10" x14ac:dyDescent="0.3">
      <c r="A526" s="38">
        <v>46158</v>
      </c>
      <c r="B526" t="s">
        <v>219</v>
      </c>
      <c r="C526" s="95">
        <v>110000</v>
      </c>
      <c r="D526" s="95"/>
      <c r="E526" t="s">
        <v>577</v>
      </c>
      <c r="F526" s="108" t="s">
        <v>108</v>
      </c>
      <c r="I526">
        <v>8400</v>
      </c>
      <c r="J526">
        <v>8400</v>
      </c>
    </row>
    <row r="527" spans="1:10" x14ac:dyDescent="0.3">
      <c r="A527" s="38">
        <v>46158</v>
      </c>
      <c r="B527" t="s">
        <v>219</v>
      </c>
      <c r="C527" s="95"/>
      <c r="D527" s="95">
        <v>60000</v>
      </c>
      <c r="E527" t="s">
        <v>578</v>
      </c>
      <c r="F527" s="108" t="s">
        <v>108</v>
      </c>
    </row>
    <row r="528" spans="1:10" x14ac:dyDescent="0.3">
      <c r="A528" s="38">
        <v>46158</v>
      </c>
      <c r="B528" t="s">
        <v>116</v>
      </c>
      <c r="C528" s="95">
        <v>18000</v>
      </c>
      <c r="D528" s="95"/>
      <c r="E528" t="s">
        <v>163</v>
      </c>
      <c r="F528" s="108" t="s">
        <v>108</v>
      </c>
    </row>
    <row r="529" spans="1:6" x14ac:dyDescent="0.3">
      <c r="A529" s="38">
        <v>46158</v>
      </c>
      <c r="B529" t="s">
        <v>219</v>
      </c>
      <c r="C529" s="95"/>
      <c r="D529" s="95">
        <v>56000</v>
      </c>
      <c r="E529" t="s">
        <v>579</v>
      </c>
      <c r="F529" s="108" t="s">
        <v>108</v>
      </c>
    </row>
    <row r="530" spans="1:6" x14ac:dyDescent="0.3">
      <c r="A530" s="38">
        <v>46158</v>
      </c>
      <c r="B530" t="s">
        <v>298</v>
      </c>
      <c r="C530" s="95">
        <v>23000</v>
      </c>
      <c r="D530" s="95"/>
      <c r="F530" s="108" t="s">
        <v>108</v>
      </c>
    </row>
    <row r="531" spans="1:6" x14ac:dyDescent="0.3">
      <c r="A531" s="38">
        <v>46158</v>
      </c>
      <c r="B531" t="s">
        <v>493</v>
      </c>
      <c r="C531" s="95"/>
      <c r="D531" s="95">
        <v>50000</v>
      </c>
      <c r="E531" t="s">
        <v>271</v>
      </c>
      <c r="F531" s="108" t="s">
        <v>108</v>
      </c>
    </row>
    <row r="532" spans="1:6" x14ac:dyDescent="0.3">
      <c r="A532" s="38">
        <v>46158</v>
      </c>
      <c r="B532" t="s">
        <v>269</v>
      </c>
      <c r="C532" s="95">
        <v>5000</v>
      </c>
      <c r="D532" s="95"/>
      <c r="E532" t="s">
        <v>580</v>
      </c>
      <c r="F532" s="108" t="s">
        <v>108</v>
      </c>
    </row>
    <row r="533" spans="1:6" x14ac:dyDescent="0.3">
      <c r="A533" s="38">
        <v>46158</v>
      </c>
      <c r="B533" t="s">
        <v>54</v>
      </c>
      <c r="C533" s="95">
        <v>3000</v>
      </c>
      <c r="D533" s="95"/>
      <c r="E533" t="s">
        <v>463</v>
      </c>
      <c r="F533" s="108" t="s">
        <v>108</v>
      </c>
    </row>
    <row r="534" spans="1:6" x14ac:dyDescent="0.3">
      <c r="A534" s="38">
        <v>46158</v>
      </c>
      <c r="B534" t="s">
        <v>219</v>
      </c>
      <c r="C534" s="95"/>
      <c r="D534" s="95">
        <v>194000</v>
      </c>
      <c r="E534" t="s">
        <v>581</v>
      </c>
      <c r="F534" s="108" t="s">
        <v>108</v>
      </c>
    </row>
    <row r="535" spans="1:6" x14ac:dyDescent="0.3">
      <c r="A535" s="38">
        <v>46158</v>
      </c>
      <c r="B535" t="s">
        <v>219</v>
      </c>
      <c r="C535" s="95"/>
      <c r="D535" s="95">
        <v>70000</v>
      </c>
      <c r="E535" t="s">
        <v>581</v>
      </c>
      <c r="F535" s="108" t="s">
        <v>108</v>
      </c>
    </row>
    <row r="536" spans="1:6" x14ac:dyDescent="0.3">
      <c r="A536" s="38">
        <v>46158</v>
      </c>
      <c r="B536" t="s">
        <v>253</v>
      </c>
      <c r="C536" s="95">
        <v>698250</v>
      </c>
      <c r="D536" s="95"/>
      <c r="E536" t="s">
        <v>268</v>
      </c>
      <c r="F536" s="108" t="s">
        <v>108</v>
      </c>
    </row>
    <row r="537" spans="1:6" x14ac:dyDescent="0.3">
      <c r="A537" s="38">
        <v>46158</v>
      </c>
      <c r="B537" t="s">
        <v>253</v>
      </c>
      <c r="C537" s="95">
        <v>20000</v>
      </c>
      <c r="D537" s="95"/>
      <c r="E537" t="s">
        <v>288</v>
      </c>
      <c r="F537" s="108" t="s">
        <v>108</v>
      </c>
    </row>
    <row r="538" spans="1:6" x14ac:dyDescent="0.3">
      <c r="A538" s="38">
        <v>46158</v>
      </c>
      <c r="B538" t="s">
        <v>219</v>
      </c>
      <c r="C538" s="95"/>
      <c r="D538" s="95">
        <v>16000</v>
      </c>
      <c r="E538" t="s">
        <v>582</v>
      </c>
      <c r="F538" s="108" t="s">
        <v>108</v>
      </c>
    </row>
    <row r="539" spans="1:6" x14ac:dyDescent="0.3">
      <c r="A539" s="38">
        <v>46158</v>
      </c>
      <c r="B539" t="s">
        <v>253</v>
      </c>
      <c r="C539" s="95">
        <v>16000</v>
      </c>
      <c r="D539" s="95"/>
      <c r="E539" t="s">
        <v>423</v>
      </c>
      <c r="F539" s="108" t="s">
        <v>108</v>
      </c>
    </row>
    <row r="540" spans="1:6" x14ac:dyDescent="0.3">
      <c r="A540" s="111">
        <v>46158</v>
      </c>
      <c r="B540" t="s">
        <v>269</v>
      </c>
      <c r="C540" s="95">
        <v>500</v>
      </c>
      <c r="D540" s="95"/>
      <c r="E540" t="s">
        <v>586</v>
      </c>
      <c r="F540" s="108" t="s">
        <v>108</v>
      </c>
    </row>
    <row r="541" spans="1:6" x14ac:dyDescent="0.3">
      <c r="A541" s="111">
        <v>46159</v>
      </c>
      <c r="B541" t="s">
        <v>219</v>
      </c>
      <c r="C541" s="95"/>
      <c r="D541" s="95">
        <v>19500</v>
      </c>
      <c r="E541" t="s">
        <v>583</v>
      </c>
      <c r="F541" s="108" t="s">
        <v>108</v>
      </c>
    </row>
    <row r="542" spans="1:6" x14ac:dyDescent="0.3">
      <c r="A542" s="111">
        <v>46159</v>
      </c>
      <c r="B542" t="s">
        <v>116</v>
      </c>
      <c r="C542" s="95">
        <v>19500</v>
      </c>
      <c r="D542" s="95"/>
      <c r="E542" t="s">
        <v>584</v>
      </c>
      <c r="F542" s="108" t="s">
        <v>108</v>
      </c>
    </row>
    <row r="543" spans="1:6" x14ac:dyDescent="0.3">
      <c r="A543" s="111">
        <v>46160</v>
      </c>
      <c r="B543" t="s">
        <v>357</v>
      </c>
      <c r="C543" s="95">
        <v>1880</v>
      </c>
      <c r="D543" s="95"/>
      <c r="F543" s="108" t="s">
        <v>108</v>
      </c>
    </row>
    <row r="544" spans="1:6" x14ac:dyDescent="0.3">
      <c r="A544" s="38">
        <v>46160</v>
      </c>
      <c r="B544" t="s">
        <v>244</v>
      </c>
      <c r="C544" s="11">
        <v>2800</v>
      </c>
      <c r="D544" s="11"/>
      <c r="E544" t="s">
        <v>588</v>
      </c>
      <c r="F544" s="108" t="s">
        <v>108</v>
      </c>
    </row>
    <row r="545" spans="1:6" x14ac:dyDescent="0.3">
      <c r="A545" s="111">
        <v>46160</v>
      </c>
      <c r="B545" t="s">
        <v>269</v>
      </c>
      <c r="C545" s="11">
        <v>5000</v>
      </c>
      <c r="D545" s="11"/>
      <c r="E545" t="s">
        <v>580</v>
      </c>
      <c r="F545" s="108" t="s">
        <v>108</v>
      </c>
    </row>
    <row r="546" spans="1:6" x14ac:dyDescent="0.3">
      <c r="A546" s="111">
        <v>46160</v>
      </c>
      <c r="B546" t="s">
        <v>55</v>
      </c>
      <c r="C546" s="11">
        <v>1800</v>
      </c>
      <c r="D546" s="11"/>
      <c r="F546" s="108" t="s">
        <v>108</v>
      </c>
    </row>
    <row r="547" spans="1:6" x14ac:dyDescent="0.3">
      <c r="A547" s="111">
        <v>46160</v>
      </c>
      <c r="B547" t="s">
        <v>219</v>
      </c>
      <c r="C547" s="11"/>
      <c r="D547" s="11">
        <v>10000</v>
      </c>
      <c r="E547" t="s">
        <v>263</v>
      </c>
      <c r="F547" s="108" t="s">
        <v>108</v>
      </c>
    </row>
    <row r="548" spans="1:6" x14ac:dyDescent="0.3">
      <c r="A548" s="111">
        <v>46160</v>
      </c>
      <c r="B548" t="s">
        <v>219</v>
      </c>
      <c r="C548" s="11"/>
      <c r="D548" s="11">
        <v>250000</v>
      </c>
      <c r="E548" t="s">
        <v>589</v>
      </c>
      <c r="F548" s="108" t="s">
        <v>108</v>
      </c>
    </row>
    <row r="549" spans="1:6" x14ac:dyDescent="0.3">
      <c r="A549" s="111">
        <v>46160</v>
      </c>
      <c r="B549" t="s">
        <v>219</v>
      </c>
      <c r="C549" s="11"/>
      <c r="D549" s="11">
        <v>47000</v>
      </c>
      <c r="E549" t="s">
        <v>288</v>
      </c>
      <c r="F549" s="108" t="s">
        <v>108</v>
      </c>
    </row>
    <row r="550" spans="1:6" x14ac:dyDescent="0.3">
      <c r="A550" s="111">
        <v>46160</v>
      </c>
      <c r="B550" t="s">
        <v>253</v>
      </c>
      <c r="C550" s="11">
        <v>47000</v>
      </c>
      <c r="D550" s="11"/>
      <c r="E550" t="s">
        <v>288</v>
      </c>
      <c r="F550" s="108" t="s">
        <v>108</v>
      </c>
    </row>
    <row r="551" spans="1:6" x14ac:dyDescent="0.3">
      <c r="A551" s="111">
        <v>46160</v>
      </c>
      <c r="B551" t="s">
        <v>493</v>
      </c>
      <c r="C551" s="11"/>
      <c r="D551" s="11">
        <v>50000</v>
      </c>
      <c r="E551" t="s">
        <v>109</v>
      </c>
      <c r="F551" s="108" t="s">
        <v>108</v>
      </c>
    </row>
    <row r="552" spans="1:6" x14ac:dyDescent="0.3">
      <c r="A552" s="111">
        <v>46160</v>
      </c>
      <c r="B552" t="s">
        <v>539</v>
      </c>
      <c r="C552" s="11"/>
      <c r="D552" s="11">
        <v>300000</v>
      </c>
      <c r="F552" s="108" t="s">
        <v>108</v>
      </c>
    </row>
    <row r="553" spans="1:6" x14ac:dyDescent="0.3">
      <c r="A553" s="111">
        <v>46160</v>
      </c>
      <c r="B553" t="s">
        <v>219</v>
      </c>
      <c r="C553" s="11">
        <v>350000</v>
      </c>
      <c r="D553" s="11"/>
      <c r="E553" t="s">
        <v>590</v>
      </c>
      <c r="F553" s="108" t="s">
        <v>108</v>
      </c>
    </row>
    <row r="554" spans="1:6" x14ac:dyDescent="0.3">
      <c r="A554" s="111">
        <v>46160</v>
      </c>
      <c r="B554" t="s">
        <v>412</v>
      </c>
      <c r="C554" s="11">
        <v>150000</v>
      </c>
      <c r="D554" s="11"/>
      <c r="E554" t="s">
        <v>591</v>
      </c>
      <c r="F554" s="108" t="s">
        <v>108</v>
      </c>
    </row>
    <row r="555" spans="1:6" x14ac:dyDescent="0.3">
      <c r="A555" s="111">
        <v>46160</v>
      </c>
      <c r="B555" t="s">
        <v>257</v>
      </c>
      <c r="C555" s="11">
        <v>100000</v>
      </c>
      <c r="D555" s="11"/>
      <c r="E555" t="s">
        <v>592</v>
      </c>
      <c r="F555" s="108" t="s">
        <v>108</v>
      </c>
    </row>
    <row r="556" spans="1:6" x14ac:dyDescent="0.3">
      <c r="A556" s="111">
        <v>46160</v>
      </c>
      <c r="B556" t="s">
        <v>219</v>
      </c>
      <c r="C556" s="11"/>
      <c r="D556" s="11">
        <v>115000</v>
      </c>
      <c r="E556" t="s">
        <v>593</v>
      </c>
      <c r="F556" s="108" t="s">
        <v>108</v>
      </c>
    </row>
    <row r="557" spans="1:6" x14ac:dyDescent="0.3">
      <c r="A557" s="111">
        <v>46160</v>
      </c>
      <c r="B557" t="s">
        <v>221</v>
      </c>
      <c r="C557" s="11">
        <v>115000</v>
      </c>
      <c r="D557" s="11"/>
      <c r="E557" t="s">
        <v>594</v>
      </c>
      <c r="F557" s="108" t="s">
        <v>108</v>
      </c>
    </row>
    <row r="558" spans="1:6" x14ac:dyDescent="0.3">
      <c r="A558" s="111">
        <v>46160</v>
      </c>
      <c r="B558" t="s">
        <v>211</v>
      </c>
      <c r="C558" s="95">
        <v>780</v>
      </c>
      <c r="D558" s="95"/>
      <c r="F558" s="108" t="s">
        <v>108</v>
      </c>
    </row>
    <row r="559" spans="1:6" x14ac:dyDescent="0.3">
      <c r="A559" s="111">
        <v>46161</v>
      </c>
      <c r="B559" t="s">
        <v>493</v>
      </c>
      <c r="C559" s="11"/>
      <c r="D559" s="11">
        <v>50000</v>
      </c>
      <c r="E559" t="s">
        <v>271</v>
      </c>
      <c r="F559" s="108" t="s">
        <v>108</v>
      </c>
    </row>
    <row r="560" spans="1:6" x14ac:dyDescent="0.3">
      <c r="A560" s="111">
        <v>46161</v>
      </c>
      <c r="B560" t="s">
        <v>219</v>
      </c>
      <c r="C560" s="11">
        <v>50000</v>
      </c>
      <c r="D560" s="11"/>
      <c r="E560" t="s">
        <v>628</v>
      </c>
      <c r="F560" s="108" t="s">
        <v>108</v>
      </c>
    </row>
    <row r="561" spans="1:6" x14ac:dyDescent="0.3">
      <c r="A561" s="111">
        <v>46161</v>
      </c>
      <c r="B561" t="s">
        <v>55</v>
      </c>
      <c r="C561" s="11">
        <v>7020</v>
      </c>
      <c r="D561" s="11"/>
      <c r="E561" t="s">
        <v>595</v>
      </c>
      <c r="F561" s="108" t="s">
        <v>108</v>
      </c>
    </row>
    <row r="562" spans="1:6" x14ac:dyDescent="0.3">
      <c r="A562" s="38">
        <v>46161</v>
      </c>
      <c r="B562" t="s">
        <v>219</v>
      </c>
      <c r="C562" s="95"/>
      <c r="D562" s="95">
        <v>7020</v>
      </c>
      <c r="E562" t="s">
        <v>595</v>
      </c>
      <c r="F562" s="108" t="s">
        <v>108</v>
      </c>
    </row>
    <row r="563" spans="1:6" x14ac:dyDescent="0.3">
      <c r="A563" s="38">
        <v>46161</v>
      </c>
      <c r="B563" t="s">
        <v>219</v>
      </c>
      <c r="C563" s="95"/>
      <c r="D563" s="95">
        <v>10000</v>
      </c>
      <c r="E563" t="s">
        <v>318</v>
      </c>
      <c r="F563" s="108" t="s">
        <v>108</v>
      </c>
    </row>
    <row r="564" spans="1:6" x14ac:dyDescent="0.3">
      <c r="A564" s="38">
        <v>46161</v>
      </c>
      <c r="B564" t="s">
        <v>55</v>
      </c>
      <c r="C564" s="95">
        <v>1500</v>
      </c>
      <c r="D564" s="95"/>
      <c r="F564" s="108" t="s">
        <v>108</v>
      </c>
    </row>
    <row r="565" spans="1:6" x14ac:dyDescent="0.3">
      <c r="A565" s="38">
        <v>46161</v>
      </c>
      <c r="B565" t="s">
        <v>55</v>
      </c>
      <c r="C565" s="95">
        <v>600</v>
      </c>
      <c r="D565" s="95"/>
      <c r="F565" s="108" t="s">
        <v>108</v>
      </c>
    </row>
    <row r="566" spans="1:6" x14ac:dyDescent="0.3">
      <c r="A566" s="38">
        <v>46161</v>
      </c>
      <c r="B566" t="s">
        <v>386</v>
      </c>
      <c r="C566" s="95">
        <v>1650</v>
      </c>
      <c r="D566" s="95"/>
      <c r="E566" t="s">
        <v>596</v>
      </c>
      <c r="F566" s="108" t="s">
        <v>108</v>
      </c>
    </row>
    <row r="567" spans="1:6" x14ac:dyDescent="0.3">
      <c r="A567" s="38">
        <v>46161</v>
      </c>
      <c r="B567" t="s">
        <v>219</v>
      </c>
      <c r="C567" s="95"/>
      <c r="D567" s="95">
        <v>120000</v>
      </c>
      <c r="E567" t="s">
        <v>597</v>
      </c>
      <c r="F567" s="108" t="s">
        <v>108</v>
      </c>
    </row>
    <row r="568" spans="1:6" x14ac:dyDescent="0.3">
      <c r="A568" s="38">
        <v>46161</v>
      </c>
      <c r="B568" t="s">
        <v>253</v>
      </c>
      <c r="C568" s="95">
        <v>115000</v>
      </c>
      <c r="D568" s="95"/>
      <c r="E568" t="s">
        <v>262</v>
      </c>
      <c r="F568" s="108" t="s">
        <v>108</v>
      </c>
    </row>
    <row r="569" spans="1:6" x14ac:dyDescent="0.3">
      <c r="A569" s="38">
        <v>46161</v>
      </c>
      <c r="B569" t="s">
        <v>253</v>
      </c>
      <c r="C569" s="95">
        <v>25000</v>
      </c>
      <c r="D569" s="95"/>
      <c r="E569" t="s">
        <v>598</v>
      </c>
      <c r="F569" s="108" t="s">
        <v>108</v>
      </c>
    </row>
    <row r="570" spans="1:6" x14ac:dyDescent="0.3">
      <c r="A570" s="38">
        <v>46161</v>
      </c>
      <c r="B570" t="s">
        <v>211</v>
      </c>
      <c r="C570" s="95"/>
      <c r="D570" s="95">
        <v>25000</v>
      </c>
      <c r="E570" t="s">
        <v>599</v>
      </c>
      <c r="F570" s="108" t="s">
        <v>108</v>
      </c>
    </row>
    <row r="571" spans="1:6" x14ac:dyDescent="0.3">
      <c r="A571" s="38">
        <v>46161</v>
      </c>
      <c r="B571" t="s">
        <v>219</v>
      </c>
      <c r="C571" s="95"/>
      <c r="D571" s="95">
        <v>35000</v>
      </c>
      <c r="E571" t="s">
        <v>600</v>
      </c>
      <c r="F571" s="108" t="s">
        <v>108</v>
      </c>
    </row>
    <row r="572" spans="1:6" x14ac:dyDescent="0.3">
      <c r="A572" s="38">
        <v>46161</v>
      </c>
      <c r="B572" t="s">
        <v>253</v>
      </c>
      <c r="C572" s="95">
        <v>35000</v>
      </c>
      <c r="D572" s="95"/>
      <c r="E572" t="s">
        <v>252</v>
      </c>
      <c r="F572" s="108" t="s">
        <v>108</v>
      </c>
    </row>
    <row r="573" spans="1:6" x14ac:dyDescent="0.3">
      <c r="A573" s="38">
        <v>46161</v>
      </c>
      <c r="B573" t="s">
        <v>219</v>
      </c>
      <c r="C573" s="95"/>
      <c r="D573" s="95"/>
      <c r="E573" t="s">
        <v>601</v>
      </c>
      <c r="F573" s="108" t="s">
        <v>108</v>
      </c>
    </row>
    <row r="574" spans="1:6" x14ac:dyDescent="0.3">
      <c r="A574" s="38">
        <v>46161</v>
      </c>
      <c r="B574" t="s">
        <v>253</v>
      </c>
      <c r="C574" s="95"/>
      <c r="D574" s="95"/>
      <c r="E574" t="s">
        <v>602</v>
      </c>
      <c r="F574" s="108" t="s">
        <v>108</v>
      </c>
    </row>
    <row r="575" spans="1:6" x14ac:dyDescent="0.3">
      <c r="A575" s="38">
        <v>46161</v>
      </c>
      <c r="B575" t="s">
        <v>269</v>
      </c>
      <c r="C575" s="95"/>
      <c r="D575" s="95"/>
      <c r="E575" t="s">
        <v>603</v>
      </c>
      <c r="F575" s="108" t="s">
        <v>108</v>
      </c>
    </row>
    <row r="576" spans="1:6" x14ac:dyDescent="0.3">
      <c r="A576" s="38">
        <v>46161</v>
      </c>
      <c r="B576" t="s">
        <v>211</v>
      </c>
      <c r="C576" s="95">
        <v>780</v>
      </c>
      <c r="D576" s="95"/>
      <c r="F576" s="108" t="s">
        <v>108</v>
      </c>
    </row>
    <row r="577" spans="1:6" x14ac:dyDescent="0.3">
      <c r="A577" s="38">
        <v>46162</v>
      </c>
      <c r="B577" t="s">
        <v>211</v>
      </c>
      <c r="C577" s="95">
        <v>400</v>
      </c>
      <c r="D577" s="95"/>
      <c r="F577" s="108" t="s">
        <v>108</v>
      </c>
    </row>
    <row r="578" spans="1:6" x14ac:dyDescent="0.3">
      <c r="A578" s="38">
        <v>46162</v>
      </c>
      <c r="B578" t="s">
        <v>219</v>
      </c>
      <c r="C578" s="95"/>
      <c r="D578" s="95">
        <v>20000</v>
      </c>
      <c r="E578" t="s">
        <v>320</v>
      </c>
      <c r="F578" s="108" t="s">
        <v>108</v>
      </c>
    </row>
    <row r="579" spans="1:6" x14ac:dyDescent="0.3">
      <c r="A579" s="38">
        <v>46162</v>
      </c>
      <c r="B579" t="s">
        <v>116</v>
      </c>
      <c r="C579" s="95">
        <v>16000</v>
      </c>
      <c r="D579" s="95"/>
      <c r="E579" t="s">
        <v>604</v>
      </c>
      <c r="F579" s="108" t="s">
        <v>108</v>
      </c>
    </row>
    <row r="580" spans="1:6" x14ac:dyDescent="0.3">
      <c r="A580" s="38">
        <v>46162</v>
      </c>
      <c r="B580" t="s">
        <v>269</v>
      </c>
      <c r="C580" s="95">
        <v>10000</v>
      </c>
      <c r="D580" s="95"/>
      <c r="E580" t="s">
        <v>580</v>
      </c>
      <c r="F580" s="108" t="s">
        <v>108</v>
      </c>
    </row>
    <row r="581" spans="1:6" x14ac:dyDescent="0.3">
      <c r="A581" s="38">
        <v>46162</v>
      </c>
      <c r="B581" t="s">
        <v>211</v>
      </c>
      <c r="C581" s="95"/>
      <c r="D581" s="95"/>
      <c r="F581" s="108" t="s">
        <v>108</v>
      </c>
    </row>
    <row r="582" spans="1:6" x14ac:dyDescent="0.3">
      <c r="A582" s="38">
        <v>46162</v>
      </c>
      <c r="B582" t="s">
        <v>357</v>
      </c>
      <c r="C582" s="95">
        <v>4800</v>
      </c>
      <c r="D582" s="95"/>
      <c r="F582" s="108" t="s">
        <v>108</v>
      </c>
    </row>
    <row r="583" spans="1:6" x14ac:dyDescent="0.3">
      <c r="A583" s="38">
        <v>46162</v>
      </c>
      <c r="B583" t="s">
        <v>219</v>
      </c>
      <c r="C583" s="95"/>
      <c r="D583" s="95">
        <v>260000</v>
      </c>
      <c r="E583" t="s">
        <v>605</v>
      </c>
      <c r="F583" s="108" t="s">
        <v>108</v>
      </c>
    </row>
    <row r="584" spans="1:6" x14ac:dyDescent="0.3">
      <c r="A584" s="38">
        <v>46163</v>
      </c>
      <c r="B584" t="s">
        <v>219</v>
      </c>
      <c r="C584" s="95"/>
      <c r="D584" s="95">
        <v>625000</v>
      </c>
      <c r="E584" t="s">
        <v>540</v>
      </c>
      <c r="F584" s="108" t="s">
        <v>108</v>
      </c>
    </row>
    <row r="585" spans="1:6" x14ac:dyDescent="0.3">
      <c r="A585" s="38">
        <v>46163</v>
      </c>
      <c r="B585" t="s">
        <v>219</v>
      </c>
      <c r="C585" s="95"/>
      <c r="D585" s="95">
        <v>190000</v>
      </c>
      <c r="E585" t="s">
        <v>540</v>
      </c>
      <c r="F585" s="108" t="s">
        <v>108</v>
      </c>
    </row>
    <row r="586" spans="1:6" x14ac:dyDescent="0.3">
      <c r="A586" s="38">
        <v>46163</v>
      </c>
      <c r="B586" t="s">
        <v>219</v>
      </c>
      <c r="C586" s="95"/>
      <c r="D586" s="95">
        <v>100000</v>
      </c>
      <c r="E586" t="s">
        <v>616</v>
      </c>
      <c r="F586" s="108" t="s">
        <v>108</v>
      </c>
    </row>
    <row r="587" spans="1:6" x14ac:dyDescent="0.3">
      <c r="A587" s="38">
        <v>46163</v>
      </c>
      <c r="B587" t="s">
        <v>219</v>
      </c>
      <c r="C587" s="95"/>
      <c r="D587" s="95">
        <v>300000</v>
      </c>
      <c r="F587" s="108" t="s">
        <v>108</v>
      </c>
    </row>
    <row r="588" spans="1:6" x14ac:dyDescent="0.3">
      <c r="A588" s="38">
        <v>46163</v>
      </c>
      <c r="B588" t="s">
        <v>623</v>
      </c>
      <c r="C588" s="95">
        <v>1467298</v>
      </c>
      <c r="D588" s="95"/>
      <c r="E588" t="s">
        <v>624</v>
      </c>
      <c r="F588" s="108" t="s">
        <v>108</v>
      </c>
    </row>
    <row r="589" spans="1:6" x14ac:dyDescent="0.3">
      <c r="A589" s="38">
        <v>46163</v>
      </c>
      <c r="B589" t="s">
        <v>175</v>
      </c>
      <c r="C589" s="95">
        <v>35500</v>
      </c>
      <c r="D589" s="95"/>
      <c r="E589" t="s">
        <v>617</v>
      </c>
      <c r="F589" s="108" t="s">
        <v>108</v>
      </c>
    </row>
    <row r="590" spans="1:6" x14ac:dyDescent="0.3">
      <c r="A590" s="38">
        <v>46163</v>
      </c>
      <c r="B590" t="s">
        <v>219</v>
      </c>
      <c r="C590" s="95"/>
      <c r="D590" s="95">
        <v>35500</v>
      </c>
      <c r="E590" t="s">
        <v>568</v>
      </c>
      <c r="F590" s="108" t="s">
        <v>108</v>
      </c>
    </row>
    <row r="591" spans="1:6" x14ac:dyDescent="0.3">
      <c r="A591" s="38">
        <v>46163</v>
      </c>
      <c r="B591" t="s">
        <v>539</v>
      </c>
      <c r="C591" s="95"/>
      <c r="D591" s="95">
        <v>200000</v>
      </c>
      <c r="E591" t="s">
        <v>21</v>
      </c>
      <c r="F591" s="108" t="s">
        <v>108</v>
      </c>
    </row>
    <row r="592" spans="1:6" x14ac:dyDescent="0.3">
      <c r="A592" s="38">
        <v>46163</v>
      </c>
      <c r="B592" t="s">
        <v>219</v>
      </c>
      <c r="C592" s="11">
        <v>200000</v>
      </c>
      <c r="D592" s="11"/>
      <c r="E592" t="s">
        <v>627</v>
      </c>
      <c r="F592" s="108" t="s">
        <v>108</v>
      </c>
    </row>
    <row r="593" spans="1:6" x14ac:dyDescent="0.3">
      <c r="A593" s="111">
        <v>46163</v>
      </c>
      <c r="B593" t="s">
        <v>211</v>
      </c>
      <c r="C593" s="95">
        <v>1800</v>
      </c>
      <c r="D593" s="95"/>
      <c r="F593" s="108" t="s">
        <v>108</v>
      </c>
    </row>
    <row r="594" spans="1:6" x14ac:dyDescent="0.3">
      <c r="A594" s="38">
        <v>46164</v>
      </c>
      <c r="B594" t="s">
        <v>219</v>
      </c>
      <c r="C594" s="11"/>
      <c r="D594" s="11">
        <v>10000</v>
      </c>
      <c r="E594" t="s">
        <v>629</v>
      </c>
      <c r="F594" s="108" t="s">
        <v>108</v>
      </c>
    </row>
    <row r="595" spans="1:6" x14ac:dyDescent="0.3">
      <c r="A595" s="111">
        <v>46164</v>
      </c>
      <c r="B595" t="s">
        <v>269</v>
      </c>
      <c r="C595" s="11">
        <v>10000</v>
      </c>
      <c r="D595" s="11"/>
      <c r="E595" t="s">
        <v>252</v>
      </c>
      <c r="F595" s="108" t="s">
        <v>108</v>
      </c>
    </row>
    <row r="596" spans="1:6" x14ac:dyDescent="0.3">
      <c r="A596" s="111">
        <v>46164</v>
      </c>
      <c r="B596" t="s">
        <v>55</v>
      </c>
      <c r="C596" s="11">
        <v>1200</v>
      </c>
      <c r="D596" s="11"/>
      <c r="F596" s="108" t="s">
        <v>108</v>
      </c>
    </row>
    <row r="597" spans="1:6" x14ac:dyDescent="0.3">
      <c r="A597" s="111">
        <v>46165</v>
      </c>
      <c r="B597" t="s">
        <v>116</v>
      </c>
      <c r="C597" s="95">
        <v>37000</v>
      </c>
      <c r="D597" s="95"/>
      <c r="E597" t="s">
        <v>564</v>
      </c>
      <c r="F597" s="108" t="s">
        <v>108</v>
      </c>
    </row>
    <row r="598" spans="1:6" x14ac:dyDescent="0.3">
      <c r="A598" s="38">
        <v>46165</v>
      </c>
      <c r="B598" t="s">
        <v>219</v>
      </c>
      <c r="C598" s="95"/>
      <c r="D598" s="95">
        <v>37000</v>
      </c>
      <c r="E598" t="s">
        <v>163</v>
      </c>
      <c r="F598" s="108" t="s">
        <v>108</v>
      </c>
    </row>
    <row r="599" spans="1:6" x14ac:dyDescent="0.3">
      <c r="A599" s="38">
        <v>46165</v>
      </c>
      <c r="B599" t="s">
        <v>55</v>
      </c>
      <c r="C599" s="95">
        <v>30000</v>
      </c>
      <c r="D599" s="95"/>
      <c r="E599" t="s">
        <v>630</v>
      </c>
      <c r="F599" s="108" t="s">
        <v>108</v>
      </c>
    </row>
    <row r="600" spans="1:6" x14ac:dyDescent="0.3">
      <c r="A600" s="38">
        <v>46165</v>
      </c>
      <c r="B600" t="s">
        <v>219</v>
      </c>
      <c r="C600" s="95"/>
      <c r="D600" s="95">
        <v>30000</v>
      </c>
      <c r="E600" t="s">
        <v>631</v>
      </c>
      <c r="F600" s="108" t="s">
        <v>108</v>
      </c>
    </row>
    <row r="601" spans="1:6" x14ac:dyDescent="0.3">
      <c r="A601" s="38">
        <v>46165</v>
      </c>
      <c r="B601" t="s">
        <v>253</v>
      </c>
      <c r="C601" s="95">
        <v>100000</v>
      </c>
      <c r="D601" s="95"/>
      <c r="E601" t="s">
        <v>262</v>
      </c>
      <c r="F601" s="108" t="s">
        <v>108</v>
      </c>
    </row>
    <row r="602" spans="1:6" x14ac:dyDescent="0.3">
      <c r="A602" s="38">
        <v>46165</v>
      </c>
      <c r="B602" t="s">
        <v>219</v>
      </c>
      <c r="C602" s="95"/>
      <c r="D602" s="95">
        <v>100000</v>
      </c>
      <c r="E602" t="s">
        <v>632</v>
      </c>
      <c r="F602" s="108" t="s">
        <v>108</v>
      </c>
    </row>
    <row r="603" spans="1:6" x14ac:dyDescent="0.3">
      <c r="A603" s="38">
        <v>46165</v>
      </c>
      <c r="B603" t="s">
        <v>115</v>
      </c>
      <c r="C603" s="95">
        <v>200000</v>
      </c>
      <c r="D603" s="95"/>
      <c r="E603" t="s">
        <v>633</v>
      </c>
      <c r="F603" s="108" t="s">
        <v>108</v>
      </c>
    </row>
    <row r="604" spans="1:6" x14ac:dyDescent="0.3">
      <c r="A604" s="38">
        <v>46165</v>
      </c>
      <c r="B604" t="s">
        <v>219</v>
      </c>
      <c r="C604" s="95"/>
      <c r="D604" s="95">
        <v>200000</v>
      </c>
      <c r="E604" t="s">
        <v>308</v>
      </c>
      <c r="F604" s="108" t="s">
        <v>108</v>
      </c>
    </row>
    <row r="605" spans="1:6" x14ac:dyDescent="0.3">
      <c r="A605" s="38">
        <v>46165</v>
      </c>
      <c r="B605" t="s">
        <v>219</v>
      </c>
      <c r="C605" s="95"/>
      <c r="D605" s="95">
        <v>30000</v>
      </c>
      <c r="E605" t="s">
        <v>634</v>
      </c>
      <c r="F605" s="108" t="s">
        <v>108</v>
      </c>
    </row>
    <row r="606" spans="1:6" x14ac:dyDescent="0.3">
      <c r="A606" s="38">
        <v>46165</v>
      </c>
      <c r="B606" t="s">
        <v>55</v>
      </c>
      <c r="C606" s="95">
        <v>27400</v>
      </c>
      <c r="D606" s="95"/>
      <c r="E606" t="s">
        <v>259</v>
      </c>
      <c r="F606" s="108" t="s">
        <v>108</v>
      </c>
    </row>
    <row r="607" spans="1:6" x14ac:dyDescent="0.3">
      <c r="A607" s="38">
        <v>46166</v>
      </c>
      <c r="B607" t="s">
        <v>219</v>
      </c>
      <c r="C607" s="95"/>
      <c r="D607" s="95">
        <v>1560</v>
      </c>
      <c r="E607" t="s">
        <v>113</v>
      </c>
      <c r="F607" s="108" t="s">
        <v>108</v>
      </c>
    </row>
    <row r="608" spans="1:6" x14ac:dyDescent="0.3">
      <c r="A608" s="38">
        <v>46166</v>
      </c>
      <c r="B608" t="s">
        <v>357</v>
      </c>
      <c r="C608" s="95">
        <v>1560</v>
      </c>
      <c r="D608" s="95"/>
      <c r="F608" s="108" t="s">
        <v>108</v>
      </c>
    </row>
    <row r="609" spans="1:6" x14ac:dyDescent="0.3">
      <c r="A609" s="38">
        <v>46166</v>
      </c>
      <c r="B609" t="s">
        <v>253</v>
      </c>
      <c r="C609" s="95">
        <v>25000</v>
      </c>
      <c r="D609" s="95"/>
      <c r="E609" t="s">
        <v>580</v>
      </c>
      <c r="F609" s="108" t="s">
        <v>108</v>
      </c>
    </row>
    <row r="610" spans="1:6" x14ac:dyDescent="0.3">
      <c r="A610" s="38">
        <v>46166</v>
      </c>
      <c r="B610" t="s">
        <v>219</v>
      </c>
      <c r="C610" s="95"/>
      <c r="D610" s="95">
        <v>25000</v>
      </c>
      <c r="E610" t="s">
        <v>580</v>
      </c>
      <c r="F610" s="108" t="s">
        <v>108</v>
      </c>
    </row>
    <row r="611" spans="1:6" x14ac:dyDescent="0.3">
      <c r="A611" s="38">
        <v>46166</v>
      </c>
      <c r="B611" t="s">
        <v>55</v>
      </c>
      <c r="C611" s="95">
        <v>1000</v>
      </c>
      <c r="D611" s="95"/>
      <c r="F611" s="108" t="s">
        <v>108</v>
      </c>
    </row>
    <row r="612" spans="1:6" x14ac:dyDescent="0.3">
      <c r="A612" s="38">
        <v>46166</v>
      </c>
      <c r="B612" t="s">
        <v>55</v>
      </c>
      <c r="C612" s="95">
        <v>450</v>
      </c>
      <c r="D612" s="95"/>
      <c r="F612" s="108" t="s">
        <v>108</v>
      </c>
    </row>
    <row r="613" spans="1:6" x14ac:dyDescent="0.3">
      <c r="A613" s="38">
        <v>46166</v>
      </c>
      <c r="B613" t="s">
        <v>219</v>
      </c>
      <c r="C613" s="95"/>
      <c r="D613" s="95">
        <v>1450</v>
      </c>
      <c r="F613" s="108" t="s">
        <v>108</v>
      </c>
    </row>
    <row r="614" spans="1:6" x14ac:dyDescent="0.3">
      <c r="A614" s="38">
        <v>46166</v>
      </c>
      <c r="B614" t="s">
        <v>116</v>
      </c>
      <c r="C614" s="95">
        <v>39000</v>
      </c>
      <c r="D614" s="95"/>
      <c r="E614" t="s">
        <v>61</v>
      </c>
      <c r="F614" s="108" t="s">
        <v>108</v>
      </c>
    </row>
    <row r="615" spans="1:6" x14ac:dyDescent="0.3">
      <c r="A615" s="38">
        <v>46166</v>
      </c>
      <c r="B615" t="s">
        <v>219</v>
      </c>
      <c r="C615" s="95"/>
      <c r="D615" s="95">
        <v>39000</v>
      </c>
      <c r="E615" t="s">
        <v>61</v>
      </c>
      <c r="F615" s="108" t="s">
        <v>108</v>
      </c>
    </row>
    <row r="616" spans="1:6" x14ac:dyDescent="0.3">
      <c r="A616" s="38">
        <v>46167</v>
      </c>
      <c r="B616" t="s">
        <v>55</v>
      </c>
      <c r="C616" s="95">
        <v>170</v>
      </c>
      <c r="D616" s="95"/>
      <c r="F616" s="108" t="s">
        <v>108</v>
      </c>
    </row>
    <row r="617" spans="1:6" x14ac:dyDescent="0.3">
      <c r="A617" s="38">
        <v>46167</v>
      </c>
      <c r="B617" t="s">
        <v>211</v>
      </c>
      <c r="C617" s="95">
        <v>1300</v>
      </c>
      <c r="D617" s="95"/>
      <c r="F617" s="108" t="s">
        <v>108</v>
      </c>
    </row>
    <row r="618" spans="1:6" x14ac:dyDescent="0.3">
      <c r="A618" s="38">
        <v>46167</v>
      </c>
      <c r="B618" t="s">
        <v>55</v>
      </c>
      <c r="C618" s="95">
        <v>400</v>
      </c>
      <c r="D618" s="95"/>
      <c r="F618" s="108" t="s">
        <v>108</v>
      </c>
    </row>
    <row r="619" spans="1:6" x14ac:dyDescent="0.3">
      <c r="A619" s="38">
        <v>46167</v>
      </c>
      <c r="B619" t="s">
        <v>55</v>
      </c>
      <c r="C619" s="95">
        <v>600</v>
      </c>
      <c r="D619" s="95"/>
      <c r="F619" s="108" t="s">
        <v>108</v>
      </c>
    </row>
    <row r="620" spans="1:6" x14ac:dyDescent="0.3">
      <c r="A620" s="38">
        <v>46167</v>
      </c>
      <c r="B620" t="s">
        <v>211</v>
      </c>
      <c r="C620" s="95">
        <v>450</v>
      </c>
      <c r="D620" s="95"/>
      <c r="F620" s="108" t="s">
        <v>108</v>
      </c>
    </row>
    <row r="621" spans="1:6" x14ac:dyDescent="0.3">
      <c r="A621" s="111">
        <v>46167</v>
      </c>
      <c r="B621" t="s">
        <v>493</v>
      </c>
      <c r="C621" s="95"/>
      <c r="D621" s="95">
        <v>75000</v>
      </c>
      <c r="F621" s="108" t="s">
        <v>108</v>
      </c>
    </row>
    <row r="622" spans="1:6" x14ac:dyDescent="0.3">
      <c r="A622" s="111">
        <v>46167</v>
      </c>
      <c r="B622" t="s">
        <v>219</v>
      </c>
      <c r="C622" s="95">
        <v>75000</v>
      </c>
      <c r="D622" s="95"/>
      <c r="F622" s="108" t="s">
        <v>108</v>
      </c>
    </row>
    <row r="623" spans="1:6" x14ac:dyDescent="0.3">
      <c r="A623" s="38">
        <v>46167</v>
      </c>
      <c r="B623" t="s">
        <v>357</v>
      </c>
      <c r="C623" s="95">
        <v>6550</v>
      </c>
      <c r="D623" s="95"/>
      <c r="F623" s="108" t="s">
        <v>108</v>
      </c>
    </row>
    <row r="624" spans="1:6" x14ac:dyDescent="0.3">
      <c r="A624" s="38">
        <v>46167</v>
      </c>
      <c r="B624" t="s">
        <v>253</v>
      </c>
      <c r="C624" s="95">
        <v>16000</v>
      </c>
      <c r="D624" s="95"/>
      <c r="E624" t="s">
        <v>423</v>
      </c>
      <c r="F624" s="108" t="s">
        <v>108</v>
      </c>
    </row>
    <row r="625" spans="1:6" x14ac:dyDescent="0.3">
      <c r="A625" s="38">
        <v>46167</v>
      </c>
      <c r="B625" t="s">
        <v>269</v>
      </c>
      <c r="C625" s="95">
        <v>15000</v>
      </c>
      <c r="D625" s="95"/>
      <c r="E625" t="s">
        <v>635</v>
      </c>
      <c r="F625" s="108" t="s">
        <v>108</v>
      </c>
    </row>
    <row r="626" spans="1:6" x14ac:dyDescent="0.3">
      <c r="A626" s="38">
        <v>46167</v>
      </c>
      <c r="B626" t="s">
        <v>219</v>
      </c>
      <c r="C626" s="95"/>
      <c r="D626" s="95">
        <v>15000</v>
      </c>
      <c r="E626" t="s">
        <v>635</v>
      </c>
      <c r="F626" s="108" t="s">
        <v>108</v>
      </c>
    </row>
    <row r="627" spans="1:6" x14ac:dyDescent="0.3">
      <c r="A627" s="38">
        <v>46167</v>
      </c>
      <c r="B627" t="s">
        <v>636</v>
      </c>
      <c r="C627" s="95"/>
      <c r="D627" s="95">
        <v>500000</v>
      </c>
      <c r="E627" t="s">
        <v>637</v>
      </c>
      <c r="F627" s="108" t="s">
        <v>108</v>
      </c>
    </row>
    <row r="628" spans="1:6" x14ac:dyDescent="0.3">
      <c r="A628" s="38">
        <v>46167</v>
      </c>
      <c r="B628" t="s">
        <v>257</v>
      </c>
      <c r="C628" s="95">
        <v>2000</v>
      </c>
      <c r="D628" s="95"/>
      <c r="E628" t="s">
        <v>265</v>
      </c>
      <c r="F628" s="108" t="s">
        <v>108</v>
      </c>
    </row>
    <row r="629" spans="1:6" x14ac:dyDescent="0.3">
      <c r="A629" s="111">
        <v>46167</v>
      </c>
      <c r="B629" t="s">
        <v>517</v>
      </c>
      <c r="C629" s="95">
        <v>8000</v>
      </c>
      <c r="D629" s="95"/>
      <c r="E629" t="s">
        <v>265</v>
      </c>
      <c r="F629" s="108" t="s">
        <v>108</v>
      </c>
    </row>
    <row r="630" spans="1:6" x14ac:dyDescent="0.3">
      <c r="A630" s="111">
        <v>46167</v>
      </c>
      <c r="B630" t="s">
        <v>222</v>
      </c>
      <c r="C630" s="95">
        <v>6000</v>
      </c>
      <c r="D630" s="95"/>
      <c r="E630" t="s">
        <v>265</v>
      </c>
      <c r="F630" s="108" t="s">
        <v>108</v>
      </c>
    </row>
    <row r="631" spans="1:6" x14ac:dyDescent="0.3">
      <c r="A631" s="111">
        <v>46167</v>
      </c>
      <c r="B631" s="141" t="s">
        <v>476</v>
      </c>
      <c r="C631" s="142">
        <v>1000</v>
      </c>
      <c r="D631" s="142"/>
      <c r="E631" t="s">
        <v>265</v>
      </c>
      <c r="F631" s="108" t="s">
        <v>108</v>
      </c>
    </row>
    <row r="632" spans="1:6" x14ac:dyDescent="0.3">
      <c r="A632" s="38">
        <v>46167</v>
      </c>
      <c r="B632" t="s">
        <v>257</v>
      </c>
      <c r="C632" s="95">
        <v>50000</v>
      </c>
      <c r="D632" s="95"/>
      <c r="E632" t="s">
        <v>638</v>
      </c>
      <c r="F632" s="108" t="s">
        <v>108</v>
      </c>
    </row>
    <row r="633" spans="1:6" x14ac:dyDescent="0.3">
      <c r="A633" s="38">
        <v>46167</v>
      </c>
      <c r="B633" t="s">
        <v>654</v>
      </c>
      <c r="C633" s="95"/>
      <c r="D633" s="95">
        <v>100000</v>
      </c>
      <c r="E633" t="s">
        <v>109</v>
      </c>
      <c r="F633" s="108" t="s">
        <v>108</v>
      </c>
    </row>
    <row r="634" spans="1:6" x14ac:dyDescent="0.3">
      <c r="A634" s="38">
        <v>46167</v>
      </c>
      <c r="B634" t="s">
        <v>253</v>
      </c>
      <c r="C634" s="11">
        <v>80000</v>
      </c>
      <c r="D634" s="11"/>
      <c r="E634" t="s">
        <v>288</v>
      </c>
      <c r="F634" s="108" t="s">
        <v>108</v>
      </c>
    </row>
    <row r="635" spans="1:6" x14ac:dyDescent="0.3">
      <c r="A635" s="38">
        <v>46167</v>
      </c>
      <c r="B635" t="s">
        <v>298</v>
      </c>
      <c r="C635" s="11">
        <v>20000</v>
      </c>
      <c r="D635" s="11"/>
      <c r="F635" s="108" t="s">
        <v>108</v>
      </c>
    </row>
    <row r="636" spans="1:6" x14ac:dyDescent="0.3">
      <c r="A636" s="38">
        <v>46167</v>
      </c>
      <c r="B636" t="s">
        <v>219</v>
      </c>
      <c r="C636" s="11"/>
      <c r="D636" s="11">
        <v>1184000</v>
      </c>
      <c r="E636" t="s">
        <v>651</v>
      </c>
      <c r="F636" s="108" t="s">
        <v>108</v>
      </c>
    </row>
    <row r="637" spans="1:6" x14ac:dyDescent="0.3">
      <c r="A637" s="38">
        <v>46167</v>
      </c>
      <c r="B637" t="s">
        <v>253</v>
      </c>
      <c r="C637" s="95">
        <v>5000</v>
      </c>
      <c r="D637" s="95"/>
      <c r="E637" t="s">
        <v>652</v>
      </c>
      <c r="F637" s="108" t="s">
        <v>108</v>
      </c>
    </row>
    <row r="638" spans="1:6" x14ac:dyDescent="0.3">
      <c r="A638" s="38">
        <v>46167</v>
      </c>
      <c r="B638" t="s">
        <v>269</v>
      </c>
      <c r="C638" s="95">
        <v>20000</v>
      </c>
      <c r="D638" s="95"/>
      <c r="E638" t="s">
        <v>653</v>
      </c>
      <c r="F638" s="108" t="s">
        <v>108</v>
      </c>
    </row>
    <row r="639" spans="1:6" x14ac:dyDescent="0.3">
      <c r="A639" s="38">
        <v>46167</v>
      </c>
      <c r="B639" t="s">
        <v>253</v>
      </c>
      <c r="C639" s="95">
        <v>1154260</v>
      </c>
      <c r="D639" s="95"/>
      <c r="F639" s="108"/>
    </row>
    <row r="640" spans="1:6" x14ac:dyDescent="0.3">
      <c r="A640" s="38">
        <v>46168</v>
      </c>
      <c r="B640" t="s">
        <v>253</v>
      </c>
      <c r="C640" s="95">
        <v>35000</v>
      </c>
      <c r="D640" s="95"/>
      <c r="E640" t="s">
        <v>288</v>
      </c>
      <c r="F640" s="108" t="s">
        <v>108</v>
      </c>
    </row>
    <row r="641" spans="1:6" x14ac:dyDescent="0.3">
      <c r="A641" s="38">
        <v>46168</v>
      </c>
      <c r="B641" t="s">
        <v>269</v>
      </c>
      <c r="C641" s="95">
        <v>30000</v>
      </c>
      <c r="D641" s="95"/>
      <c r="E641" t="s">
        <v>406</v>
      </c>
      <c r="F641" s="108" t="s">
        <v>108</v>
      </c>
    </row>
    <row r="642" spans="1:6" x14ac:dyDescent="0.3">
      <c r="A642" s="38">
        <v>46168</v>
      </c>
      <c r="B642" t="s">
        <v>219</v>
      </c>
      <c r="C642" s="95"/>
      <c r="D642" s="95">
        <v>30000</v>
      </c>
      <c r="E642" t="s">
        <v>406</v>
      </c>
      <c r="F642" s="108" t="s">
        <v>108</v>
      </c>
    </row>
    <row r="643" spans="1:6" x14ac:dyDescent="0.3">
      <c r="A643" s="38">
        <v>46168</v>
      </c>
      <c r="B643" t="s">
        <v>55</v>
      </c>
      <c r="C643" s="95">
        <v>20000</v>
      </c>
      <c r="D643" s="95"/>
      <c r="E643" t="s">
        <v>639</v>
      </c>
      <c r="F643" s="108" t="s">
        <v>108</v>
      </c>
    </row>
    <row r="644" spans="1:6" x14ac:dyDescent="0.3">
      <c r="A644" s="38">
        <v>46168</v>
      </c>
      <c r="B644" t="s">
        <v>219</v>
      </c>
      <c r="C644" s="95"/>
      <c r="D644" s="95">
        <v>20000</v>
      </c>
      <c r="E644" t="s">
        <v>639</v>
      </c>
      <c r="F644" s="108" t="s">
        <v>108</v>
      </c>
    </row>
    <row r="645" spans="1:6" x14ac:dyDescent="0.3">
      <c r="A645" s="38">
        <v>46168</v>
      </c>
      <c r="B645" t="s">
        <v>219</v>
      </c>
      <c r="C645" s="95">
        <v>300000</v>
      </c>
      <c r="D645" s="95">
        <v>0</v>
      </c>
      <c r="E645" t="s">
        <v>640</v>
      </c>
      <c r="F645" s="108" t="s">
        <v>108</v>
      </c>
    </row>
    <row r="646" spans="1:6" x14ac:dyDescent="0.3">
      <c r="A646" s="38">
        <v>46168</v>
      </c>
      <c r="B646" t="s">
        <v>269</v>
      </c>
      <c r="C646" s="95">
        <v>7000</v>
      </c>
      <c r="D646" s="95"/>
      <c r="E646" t="s">
        <v>641</v>
      </c>
      <c r="F646" s="108" t="s">
        <v>108</v>
      </c>
    </row>
    <row r="647" spans="1:6" x14ac:dyDescent="0.3">
      <c r="A647" s="38">
        <v>46169</v>
      </c>
      <c r="B647" t="s">
        <v>244</v>
      </c>
      <c r="C647" s="95">
        <v>4500</v>
      </c>
      <c r="D647" s="95"/>
      <c r="E647" t="s">
        <v>642</v>
      </c>
      <c r="F647" s="108" t="s">
        <v>108</v>
      </c>
    </row>
    <row r="648" spans="1:6" x14ac:dyDescent="0.3">
      <c r="A648" s="38">
        <v>46169</v>
      </c>
      <c r="B648" t="s">
        <v>253</v>
      </c>
      <c r="C648" s="95">
        <v>10000</v>
      </c>
      <c r="D648" s="95"/>
      <c r="E648" t="s">
        <v>643</v>
      </c>
      <c r="F648" s="108" t="s">
        <v>108</v>
      </c>
    </row>
    <row r="649" spans="1:6" x14ac:dyDescent="0.3">
      <c r="A649" s="38">
        <v>46171</v>
      </c>
      <c r="B649" t="s">
        <v>386</v>
      </c>
      <c r="C649" s="11">
        <f>1085+1677</f>
        <v>2762</v>
      </c>
      <c r="D649" s="11"/>
      <c r="E649" t="s">
        <v>649</v>
      </c>
      <c r="F649" s="108" t="s">
        <v>108</v>
      </c>
    </row>
    <row r="650" spans="1:6" x14ac:dyDescent="0.3">
      <c r="A650" s="38">
        <v>46171</v>
      </c>
      <c r="B650" t="s">
        <v>211</v>
      </c>
      <c r="C650" s="95">
        <v>360</v>
      </c>
      <c r="D650" s="95"/>
      <c r="F650" s="108" t="s">
        <v>108</v>
      </c>
    </row>
    <row r="651" spans="1:6" x14ac:dyDescent="0.3">
      <c r="A651" s="38">
        <v>46171</v>
      </c>
      <c r="B651" t="s">
        <v>386</v>
      </c>
      <c r="C651" s="95">
        <v>15000</v>
      </c>
      <c r="D651" s="95"/>
      <c r="E651" t="s">
        <v>647</v>
      </c>
      <c r="F651" s="108" t="s">
        <v>108</v>
      </c>
    </row>
    <row r="652" spans="1:6" x14ac:dyDescent="0.3">
      <c r="A652" s="38">
        <v>46171</v>
      </c>
      <c r="B652" t="s">
        <v>386</v>
      </c>
      <c r="C652" s="95">
        <v>2900</v>
      </c>
      <c r="D652" s="95"/>
      <c r="E652" t="s">
        <v>650</v>
      </c>
      <c r="F652" s="108" t="s">
        <v>108</v>
      </c>
    </row>
    <row r="653" spans="1:6" x14ac:dyDescent="0.3">
      <c r="A653" s="38">
        <v>46172</v>
      </c>
      <c r="B653" t="s">
        <v>357</v>
      </c>
      <c r="C653" s="95">
        <v>900</v>
      </c>
      <c r="D653" s="95"/>
      <c r="F653" s="108" t="s">
        <v>108</v>
      </c>
    </row>
    <row r="654" spans="1:6" x14ac:dyDescent="0.3">
      <c r="A654" s="38">
        <v>46172</v>
      </c>
      <c r="B654" t="s">
        <v>253</v>
      </c>
      <c r="C654" s="95">
        <v>25000</v>
      </c>
      <c r="D654" s="95"/>
      <c r="E654" t="s">
        <v>602</v>
      </c>
      <c r="F654" s="108" t="s">
        <v>108</v>
      </c>
    </row>
    <row r="655" spans="1:6" x14ac:dyDescent="0.3">
      <c r="A655" s="38">
        <v>46172</v>
      </c>
      <c r="B655" t="s">
        <v>219</v>
      </c>
      <c r="C655" s="95"/>
      <c r="D655" s="95">
        <v>25000</v>
      </c>
      <c r="E655" t="s">
        <v>602</v>
      </c>
      <c r="F655" s="108" t="s">
        <v>108</v>
      </c>
    </row>
    <row r="656" spans="1:6" x14ac:dyDescent="0.3">
      <c r="A656" s="38">
        <v>46172</v>
      </c>
      <c r="B656" t="s">
        <v>269</v>
      </c>
      <c r="C656" s="95">
        <v>15000</v>
      </c>
      <c r="D656" s="95"/>
      <c r="E656" t="s">
        <v>580</v>
      </c>
      <c r="F656" s="108" t="s">
        <v>108</v>
      </c>
    </row>
    <row r="657" spans="1:14" x14ac:dyDescent="0.3">
      <c r="A657" s="38">
        <v>46172</v>
      </c>
      <c r="B657" t="s">
        <v>219</v>
      </c>
      <c r="C657" s="95"/>
      <c r="D657" s="95">
        <v>15000</v>
      </c>
      <c r="E657" t="s">
        <v>580</v>
      </c>
      <c r="F657" s="108" t="s">
        <v>108</v>
      </c>
    </row>
    <row r="658" spans="1:14" x14ac:dyDescent="0.3">
      <c r="A658" s="111">
        <v>46172</v>
      </c>
      <c r="B658" t="s">
        <v>386</v>
      </c>
      <c r="C658" s="11">
        <v>5000</v>
      </c>
      <c r="D658" s="11"/>
      <c r="E658" t="s">
        <v>647</v>
      </c>
      <c r="F658" s="108" t="s">
        <v>108</v>
      </c>
    </row>
    <row r="659" spans="1:14" x14ac:dyDescent="0.3">
      <c r="A659" s="111">
        <v>46172</v>
      </c>
      <c r="B659" t="s">
        <v>386</v>
      </c>
      <c r="C659" s="11">
        <v>4613.28</v>
      </c>
      <c r="D659" s="11"/>
      <c r="E659" t="s">
        <v>648</v>
      </c>
      <c r="F659" s="108" t="s">
        <v>108</v>
      </c>
    </row>
    <row r="660" spans="1:14" x14ac:dyDescent="0.3">
      <c r="A660" s="111">
        <v>46174</v>
      </c>
      <c r="B660" t="s">
        <v>55</v>
      </c>
      <c r="C660" s="95">
        <v>8340</v>
      </c>
      <c r="D660" s="95"/>
      <c r="F660" s="108" t="s">
        <v>108</v>
      </c>
    </row>
    <row r="661" spans="1:14" x14ac:dyDescent="0.3">
      <c r="A661" s="38">
        <v>46174</v>
      </c>
      <c r="B661" t="s">
        <v>219</v>
      </c>
      <c r="C661" s="95"/>
      <c r="D661" s="95">
        <v>25000</v>
      </c>
      <c r="E661" t="s">
        <v>644</v>
      </c>
      <c r="F661" s="108" t="s">
        <v>108</v>
      </c>
      <c r="J661">
        <v>30800</v>
      </c>
      <c r="L661">
        <v>6660</v>
      </c>
      <c r="N661">
        <v>30800</v>
      </c>
    </row>
    <row r="662" spans="1:14" x14ac:dyDescent="0.3">
      <c r="A662" s="38">
        <v>46174</v>
      </c>
      <c r="B662" t="s">
        <v>55</v>
      </c>
      <c r="C662" s="95">
        <v>14000</v>
      </c>
      <c r="D662" s="95"/>
      <c r="E662" t="s">
        <v>645</v>
      </c>
      <c r="F662" s="108" t="s">
        <v>108</v>
      </c>
      <c r="J662">
        <v>22400</v>
      </c>
      <c r="L662">
        <v>185000</v>
      </c>
      <c r="N662">
        <v>29200</v>
      </c>
    </row>
    <row r="663" spans="1:14" x14ac:dyDescent="0.3">
      <c r="A663" s="38">
        <v>46174</v>
      </c>
      <c r="B663" t="s">
        <v>55</v>
      </c>
      <c r="C663" s="95">
        <v>1900</v>
      </c>
      <c r="D663" s="95"/>
      <c r="E663" t="s">
        <v>646</v>
      </c>
      <c r="F663" s="108" t="s">
        <v>108</v>
      </c>
      <c r="J663">
        <v>29400</v>
      </c>
      <c r="L663">
        <v>115000</v>
      </c>
      <c r="N663">
        <v>32000</v>
      </c>
    </row>
    <row r="664" spans="1:14" x14ac:dyDescent="0.3">
      <c r="A664" s="38">
        <v>46174</v>
      </c>
      <c r="B664" t="s">
        <v>244</v>
      </c>
      <c r="C664" s="95">
        <v>15000</v>
      </c>
      <c r="D664" s="95"/>
      <c r="E664" t="s">
        <v>346</v>
      </c>
      <c r="F664" s="108" t="s">
        <v>108</v>
      </c>
      <c r="J664">
        <v>32000</v>
      </c>
      <c r="L664">
        <v>37150</v>
      </c>
      <c r="N664">
        <v>29400</v>
      </c>
    </row>
    <row r="665" spans="1:14" x14ac:dyDescent="0.3">
      <c r="A665" s="111">
        <v>46174</v>
      </c>
      <c r="B665" t="s">
        <v>219</v>
      </c>
      <c r="C665" s="95"/>
      <c r="D665" s="95">
        <v>15000</v>
      </c>
      <c r="E665" t="s">
        <v>346</v>
      </c>
      <c r="F665" s="108" t="s">
        <v>108</v>
      </c>
      <c r="J665">
        <v>30400</v>
      </c>
      <c r="L665">
        <v>23400</v>
      </c>
      <c r="N665">
        <v>30400</v>
      </c>
    </row>
    <row r="666" spans="1:14" x14ac:dyDescent="0.3">
      <c r="A666" s="111">
        <v>46174</v>
      </c>
      <c r="B666" t="s">
        <v>253</v>
      </c>
      <c r="C666" s="95">
        <v>40000</v>
      </c>
      <c r="D666" s="95"/>
      <c r="E666" t="s">
        <v>252</v>
      </c>
      <c r="F666" s="108" t="s">
        <v>108</v>
      </c>
      <c r="J666">
        <v>29200</v>
      </c>
      <c r="L666">
        <v>18150</v>
      </c>
      <c r="N666">
        <v>22400</v>
      </c>
    </row>
    <row r="667" spans="1:14" x14ac:dyDescent="0.3">
      <c r="A667" s="111">
        <v>46174</v>
      </c>
      <c r="B667" t="s">
        <v>219</v>
      </c>
      <c r="C667" s="95"/>
      <c r="D667" s="95">
        <v>40000</v>
      </c>
      <c r="E667" t="s">
        <v>252</v>
      </c>
      <c r="F667" s="108" t="s">
        <v>108</v>
      </c>
      <c r="J667">
        <v>17050</v>
      </c>
      <c r="L667">
        <v>55000</v>
      </c>
      <c r="N667">
        <v>50000</v>
      </c>
    </row>
    <row r="668" spans="1:14" x14ac:dyDescent="0.3">
      <c r="A668" s="38">
        <v>46174</v>
      </c>
      <c r="B668" t="s">
        <v>244</v>
      </c>
      <c r="C668" s="95">
        <v>2500</v>
      </c>
      <c r="D668" s="95"/>
      <c r="F668" s="108" t="s">
        <v>108</v>
      </c>
      <c r="J668">
        <v>16000</v>
      </c>
      <c r="L668">
        <v>20000</v>
      </c>
      <c r="N668">
        <v>80000</v>
      </c>
    </row>
    <row r="669" spans="1:14" x14ac:dyDescent="0.3">
      <c r="A669" s="38">
        <v>46174</v>
      </c>
      <c r="B669" t="s">
        <v>211</v>
      </c>
      <c r="C669" s="95">
        <f>920+780+2540+1480+1390+1000</f>
        <v>8110</v>
      </c>
      <c r="D669" s="95"/>
      <c r="F669" s="108" t="s">
        <v>108</v>
      </c>
      <c r="J669">
        <v>37150</v>
      </c>
      <c r="L669">
        <v>40000</v>
      </c>
      <c r="N669">
        <v>60000</v>
      </c>
    </row>
    <row r="670" spans="1:14" x14ac:dyDescent="0.3">
      <c r="A670" s="38">
        <v>46175</v>
      </c>
      <c r="B670" t="s">
        <v>357</v>
      </c>
      <c r="C670" s="11">
        <v>15330</v>
      </c>
      <c r="D670" s="86"/>
      <c r="E670" s="80"/>
      <c r="F670" s="87" t="s">
        <v>108</v>
      </c>
      <c r="J670">
        <v>40000</v>
      </c>
      <c r="L670">
        <v>11350</v>
      </c>
      <c r="N670">
        <v>35000</v>
      </c>
    </row>
    <row r="671" spans="1:14" x14ac:dyDescent="0.3">
      <c r="A671" s="111">
        <v>46175</v>
      </c>
      <c r="B671" t="s">
        <v>55</v>
      </c>
      <c r="C671" s="11">
        <v>1000</v>
      </c>
      <c r="D671" s="11"/>
      <c r="E671" t="s">
        <v>595</v>
      </c>
      <c r="F671" s="108" t="s">
        <v>108</v>
      </c>
      <c r="J671">
        <v>55000</v>
      </c>
      <c r="L671">
        <v>16000</v>
      </c>
      <c r="N671">
        <v>30700</v>
      </c>
    </row>
    <row r="672" spans="1:14" x14ac:dyDescent="0.3">
      <c r="A672" s="111">
        <v>46175</v>
      </c>
      <c r="B672" t="s">
        <v>357</v>
      </c>
      <c r="C672" s="11">
        <v>1730</v>
      </c>
      <c r="D672" s="11"/>
      <c r="F672" s="108" t="s">
        <v>108</v>
      </c>
      <c r="J672">
        <v>20000</v>
      </c>
      <c r="L672">
        <v>2500</v>
      </c>
      <c r="N672">
        <v>28900</v>
      </c>
    </row>
    <row r="673" spans="1:14" x14ac:dyDescent="0.3">
      <c r="A673" s="111">
        <v>46175</v>
      </c>
      <c r="B673" t="s">
        <v>257</v>
      </c>
      <c r="C673" s="11">
        <v>200000</v>
      </c>
      <c r="D673" s="11"/>
      <c r="E673" t="s">
        <v>655</v>
      </c>
      <c r="F673" s="108" t="s">
        <v>108</v>
      </c>
      <c r="J673">
        <v>23400</v>
      </c>
      <c r="L673">
        <v>2650</v>
      </c>
      <c r="N673">
        <v>2400</v>
      </c>
    </row>
    <row r="674" spans="1:14" x14ac:dyDescent="0.3">
      <c r="A674" s="38">
        <v>46175</v>
      </c>
      <c r="B674" t="s">
        <v>656</v>
      </c>
      <c r="C674" s="95"/>
      <c r="D674" s="95">
        <v>170000</v>
      </c>
      <c r="E674" t="s">
        <v>657</v>
      </c>
      <c r="F674" s="108" t="s">
        <v>108</v>
      </c>
      <c r="J674">
        <v>30700</v>
      </c>
      <c r="L674">
        <v>9850</v>
      </c>
      <c r="N674">
        <v>22800</v>
      </c>
    </row>
    <row r="675" spans="1:14" x14ac:dyDescent="0.3">
      <c r="A675" s="111">
        <v>46175</v>
      </c>
      <c r="B675" t="s">
        <v>219</v>
      </c>
      <c r="C675" s="11"/>
      <c r="D675" s="11">
        <v>30000</v>
      </c>
      <c r="E675" t="s">
        <v>257</v>
      </c>
      <c r="F675" s="108" t="s">
        <v>108</v>
      </c>
      <c r="J675">
        <v>28900</v>
      </c>
      <c r="L675">
        <v>22650</v>
      </c>
      <c r="N675">
        <v>17050</v>
      </c>
    </row>
    <row r="676" spans="1:14" x14ac:dyDescent="0.3">
      <c r="A676" s="111">
        <v>46176</v>
      </c>
      <c r="B676" t="s">
        <v>493</v>
      </c>
      <c r="C676" s="11"/>
      <c r="D676" s="11">
        <v>50000</v>
      </c>
      <c r="E676" t="s">
        <v>658</v>
      </c>
      <c r="F676" s="108" t="s">
        <v>108</v>
      </c>
      <c r="J676">
        <v>25000</v>
      </c>
      <c r="K676" t="s">
        <v>602</v>
      </c>
      <c r="L676">
        <v>3600</v>
      </c>
      <c r="N676">
        <v>25850</v>
      </c>
    </row>
    <row r="677" spans="1:14" x14ac:dyDescent="0.3">
      <c r="A677" s="38">
        <v>46176</v>
      </c>
      <c r="B677" t="s">
        <v>357</v>
      </c>
      <c r="C677" s="95">
        <v>20000</v>
      </c>
      <c r="D677" s="95"/>
      <c r="E677" t="s">
        <v>392</v>
      </c>
      <c r="F677" s="108" t="s">
        <v>108</v>
      </c>
      <c r="J677">
        <v>22800</v>
      </c>
      <c r="L677">
        <v>13000</v>
      </c>
      <c r="N677">
        <v>18400</v>
      </c>
    </row>
    <row r="678" spans="1:14" x14ac:dyDescent="0.3">
      <c r="A678" s="38">
        <v>46176</v>
      </c>
      <c r="B678" t="s">
        <v>269</v>
      </c>
      <c r="C678" s="95">
        <v>20000</v>
      </c>
      <c r="D678" s="95"/>
      <c r="E678" t="s">
        <v>659</v>
      </c>
      <c r="F678" s="108" t="s">
        <v>108</v>
      </c>
      <c r="J678">
        <v>11300</v>
      </c>
      <c r="L678">
        <v>18380</v>
      </c>
      <c r="N678">
        <v>13000</v>
      </c>
    </row>
    <row r="679" spans="1:14" x14ac:dyDescent="0.3">
      <c r="A679" s="38">
        <v>46176</v>
      </c>
      <c r="B679" t="s">
        <v>219</v>
      </c>
      <c r="C679" s="95"/>
      <c r="D679" s="95">
        <v>20000</v>
      </c>
      <c r="E679" t="s">
        <v>320</v>
      </c>
      <c r="F679" s="108" t="s">
        <v>108</v>
      </c>
      <c r="J679">
        <v>25800</v>
      </c>
      <c r="L679">
        <v>25850</v>
      </c>
      <c r="N679">
        <v>3600</v>
      </c>
    </row>
    <row r="680" spans="1:14" x14ac:dyDescent="0.3">
      <c r="A680" s="38">
        <v>46176</v>
      </c>
      <c r="B680" t="s">
        <v>253</v>
      </c>
      <c r="C680" s="95">
        <v>20000</v>
      </c>
      <c r="D680" s="95"/>
      <c r="E680" t="s">
        <v>288</v>
      </c>
      <c r="F680" s="108" t="s">
        <v>108</v>
      </c>
      <c r="J680">
        <v>9850</v>
      </c>
      <c r="L680">
        <v>17050</v>
      </c>
      <c r="N680">
        <v>22650</v>
      </c>
    </row>
    <row r="681" spans="1:14" x14ac:dyDescent="0.3">
      <c r="A681" s="38">
        <v>46177</v>
      </c>
      <c r="B681" t="s">
        <v>55</v>
      </c>
      <c r="C681" s="95">
        <v>3500</v>
      </c>
      <c r="D681" s="95"/>
      <c r="F681" s="108" t="s">
        <v>108</v>
      </c>
      <c r="J681">
        <v>2650</v>
      </c>
      <c r="L681">
        <v>22800</v>
      </c>
      <c r="N681">
        <v>9850</v>
      </c>
    </row>
    <row r="682" spans="1:14" x14ac:dyDescent="0.3">
      <c r="A682" s="38">
        <v>46177</v>
      </c>
      <c r="B682" t="s">
        <v>219</v>
      </c>
      <c r="C682" s="95"/>
      <c r="D682" s="95">
        <v>100000</v>
      </c>
      <c r="E682" t="s">
        <v>660</v>
      </c>
      <c r="F682" s="108" t="s">
        <v>108</v>
      </c>
      <c r="J682">
        <v>185000</v>
      </c>
      <c r="L682">
        <v>2400</v>
      </c>
      <c r="N682">
        <v>2650</v>
      </c>
    </row>
    <row r="683" spans="1:14" x14ac:dyDescent="0.3">
      <c r="A683" s="38">
        <v>46177</v>
      </c>
      <c r="B683" t="s">
        <v>221</v>
      </c>
      <c r="C683" s="95">
        <v>100000</v>
      </c>
      <c r="D683" s="95"/>
      <c r="E683" t="s">
        <v>661</v>
      </c>
      <c r="F683" s="108" t="s">
        <v>108</v>
      </c>
      <c r="J683">
        <v>13000</v>
      </c>
      <c r="L683">
        <v>28900</v>
      </c>
      <c r="N683">
        <v>2500</v>
      </c>
    </row>
    <row r="684" spans="1:14" x14ac:dyDescent="0.3">
      <c r="A684" s="38">
        <v>46178</v>
      </c>
      <c r="B684" t="s">
        <v>211</v>
      </c>
      <c r="C684" s="95">
        <v>830</v>
      </c>
      <c r="D684" s="95"/>
      <c r="F684" s="108" t="s">
        <v>108</v>
      </c>
      <c r="J684">
        <v>18370</v>
      </c>
      <c r="L684">
        <v>30700</v>
      </c>
      <c r="N684">
        <v>16000</v>
      </c>
    </row>
    <row r="685" spans="1:14" x14ac:dyDescent="0.3">
      <c r="A685" s="38">
        <v>46178</v>
      </c>
      <c r="B685" t="s">
        <v>55</v>
      </c>
      <c r="C685" s="95">
        <v>760</v>
      </c>
      <c r="D685" s="95"/>
      <c r="E685" t="s">
        <v>662</v>
      </c>
      <c r="F685" s="108" t="s">
        <v>108</v>
      </c>
      <c r="J685">
        <v>22650</v>
      </c>
      <c r="L685">
        <v>35000</v>
      </c>
      <c r="N685">
        <v>11350</v>
      </c>
    </row>
    <row r="686" spans="1:14" x14ac:dyDescent="0.3">
      <c r="A686" s="38">
        <v>46178</v>
      </c>
      <c r="B686" t="s">
        <v>219</v>
      </c>
      <c r="C686" s="95"/>
      <c r="D686" s="95">
        <v>760</v>
      </c>
      <c r="F686" s="108" t="s">
        <v>108</v>
      </c>
      <c r="J686">
        <v>2400</v>
      </c>
      <c r="L686">
        <v>60000</v>
      </c>
      <c r="N686">
        <v>40000</v>
      </c>
    </row>
    <row r="687" spans="1:14" x14ac:dyDescent="0.3">
      <c r="A687" s="38">
        <v>46178</v>
      </c>
      <c r="B687" t="s">
        <v>244</v>
      </c>
      <c r="C687" s="95">
        <v>2000</v>
      </c>
      <c r="D687" s="95"/>
      <c r="E687" t="s">
        <v>294</v>
      </c>
      <c r="F687" s="108" t="s">
        <v>108</v>
      </c>
      <c r="J687">
        <v>3600</v>
      </c>
      <c r="L687">
        <v>80000</v>
      </c>
      <c r="N687">
        <v>20000</v>
      </c>
    </row>
    <row r="688" spans="1:14" x14ac:dyDescent="0.3">
      <c r="A688" s="38">
        <v>46178</v>
      </c>
      <c r="B688" t="s">
        <v>493</v>
      </c>
      <c r="C688" s="95"/>
      <c r="D688" s="95">
        <v>50000</v>
      </c>
      <c r="E688" t="s">
        <v>663</v>
      </c>
      <c r="F688" s="108" t="s">
        <v>108</v>
      </c>
      <c r="J688">
        <v>6600</v>
      </c>
      <c r="L688">
        <v>50000</v>
      </c>
      <c r="N688">
        <v>55000</v>
      </c>
    </row>
    <row r="689" spans="1:14" x14ac:dyDescent="0.3">
      <c r="A689" s="38">
        <v>46178</v>
      </c>
      <c r="B689" t="s">
        <v>253</v>
      </c>
      <c r="C689" s="95">
        <v>15000</v>
      </c>
      <c r="D689" s="95"/>
      <c r="E689" t="s">
        <v>643</v>
      </c>
      <c r="F689" s="108" t="s">
        <v>108</v>
      </c>
      <c r="J689">
        <v>35000</v>
      </c>
      <c r="L689">
        <v>22400</v>
      </c>
    </row>
    <row r="690" spans="1:14" x14ac:dyDescent="0.3">
      <c r="A690" s="38">
        <v>46178</v>
      </c>
      <c r="B690" t="s">
        <v>253</v>
      </c>
      <c r="C690" s="95">
        <v>15000</v>
      </c>
      <c r="D690" s="95"/>
      <c r="E690" t="s">
        <v>664</v>
      </c>
      <c r="F690" s="108" t="s">
        <v>108</v>
      </c>
      <c r="J690">
        <v>80000</v>
      </c>
      <c r="L690">
        <v>30400</v>
      </c>
      <c r="N690">
        <v>18150</v>
      </c>
    </row>
    <row r="691" spans="1:14" x14ac:dyDescent="0.3">
      <c r="A691" s="38">
        <v>46178</v>
      </c>
      <c r="B691" t="s">
        <v>269</v>
      </c>
      <c r="C691" s="95">
        <v>10000</v>
      </c>
      <c r="D691" s="95"/>
      <c r="E691" t="s">
        <v>665</v>
      </c>
      <c r="F691" s="108" t="s">
        <v>108</v>
      </c>
      <c r="J691">
        <v>60000</v>
      </c>
      <c r="L691">
        <v>29400</v>
      </c>
      <c r="N691">
        <v>6660</v>
      </c>
    </row>
    <row r="692" spans="1:14" x14ac:dyDescent="0.3">
      <c r="A692" s="38">
        <v>46178</v>
      </c>
      <c r="B692" t="s">
        <v>654</v>
      </c>
      <c r="C692" s="95"/>
      <c r="D692" s="95">
        <v>200000</v>
      </c>
      <c r="E692" t="s">
        <v>271</v>
      </c>
      <c r="F692" s="108" t="s">
        <v>108</v>
      </c>
      <c r="J692">
        <v>115000</v>
      </c>
      <c r="L692">
        <v>32000</v>
      </c>
      <c r="N692">
        <v>185000</v>
      </c>
    </row>
    <row r="693" spans="1:14" x14ac:dyDescent="0.3">
      <c r="A693" s="38">
        <v>46178</v>
      </c>
      <c r="B693" t="s">
        <v>666</v>
      </c>
      <c r="C693" s="95"/>
      <c r="D693" s="95">
        <v>80000</v>
      </c>
      <c r="E693" t="s">
        <v>109</v>
      </c>
      <c r="F693" s="108" t="s">
        <v>108</v>
      </c>
      <c r="J693">
        <v>50000</v>
      </c>
      <c r="L693">
        <v>29200</v>
      </c>
      <c r="N693">
        <v>115000</v>
      </c>
    </row>
    <row r="694" spans="1:14" x14ac:dyDescent="0.3">
      <c r="A694" s="38">
        <v>46178</v>
      </c>
      <c r="B694" t="s">
        <v>219</v>
      </c>
      <c r="C694" s="95">
        <v>200000</v>
      </c>
      <c r="D694" s="11"/>
      <c r="E694" t="s">
        <v>654</v>
      </c>
      <c r="F694" s="108" t="s">
        <v>108</v>
      </c>
      <c r="J694">
        <v>2000</v>
      </c>
      <c r="L694">
        <v>30800</v>
      </c>
      <c r="N694">
        <v>37150</v>
      </c>
    </row>
    <row r="695" spans="1:14" x14ac:dyDescent="0.3">
      <c r="A695" s="38">
        <v>46178</v>
      </c>
      <c r="B695" t="s">
        <v>219</v>
      </c>
      <c r="C695" s="95">
        <v>80000</v>
      </c>
      <c r="D695" s="11"/>
      <c r="E695" t="s">
        <v>667</v>
      </c>
      <c r="F695" s="108" t="s">
        <v>108</v>
      </c>
      <c r="L695">
        <v>25000</v>
      </c>
      <c r="M695" t="s">
        <v>602</v>
      </c>
      <c r="N695">
        <v>23400</v>
      </c>
    </row>
    <row r="696" spans="1:14" x14ac:dyDescent="0.3">
      <c r="A696" s="38">
        <v>46178</v>
      </c>
      <c r="B696" t="s">
        <v>211</v>
      </c>
      <c r="C696" s="95">
        <v>780</v>
      </c>
      <c r="D696" s="95"/>
      <c r="F696" s="108" t="s">
        <v>108</v>
      </c>
      <c r="M696" t="s">
        <v>538</v>
      </c>
    </row>
    <row r="697" spans="1:14" x14ac:dyDescent="0.3">
      <c r="A697" s="38">
        <v>46179</v>
      </c>
      <c r="B697" t="s">
        <v>55</v>
      </c>
      <c r="C697" s="95">
        <v>1200</v>
      </c>
      <c r="D697" s="95"/>
      <c r="F697" s="108" t="s">
        <v>108</v>
      </c>
      <c r="L697">
        <v>2000</v>
      </c>
      <c r="N697">
        <v>25000</v>
      </c>
    </row>
    <row r="698" spans="1:14" x14ac:dyDescent="0.3">
      <c r="A698" s="38">
        <v>46179</v>
      </c>
      <c r="B698" t="s">
        <v>219</v>
      </c>
      <c r="C698" s="95"/>
      <c r="D698" s="95">
        <v>1600</v>
      </c>
      <c r="F698" s="108" t="s">
        <v>108</v>
      </c>
      <c r="N698">
        <v>2000</v>
      </c>
    </row>
    <row r="699" spans="1:14" x14ac:dyDescent="0.3">
      <c r="A699" s="38">
        <v>46179</v>
      </c>
      <c r="B699" t="s">
        <v>55</v>
      </c>
      <c r="C699" s="95">
        <v>400</v>
      </c>
      <c r="D699" s="95"/>
      <c r="F699" s="108" t="s">
        <v>108</v>
      </c>
    </row>
    <row r="700" spans="1:14" x14ac:dyDescent="0.3">
      <c r="A700" s="38">
        <v>46179</v>
      </c>
      <c r="B700" t="s">
        <v>219</v>
      </c>
      <c r="C700" s="95"/>
      <c r="D700" s="95">
        <v>400000</v>
      </c>
      <c r="E700" t="s">
        <v>109</v>
      </c>
      <c r="F700" s="108" t="s">
        <v>108</v>
      </c>
    </row>
    <row r="701" spans="1:14" x14ac:dyDescent="0.3">
      <c r="A701" s="38">
        <v>46179</v>
      </c>
      <c r="B701" t="s">
        <v>517</v>
      </c>
      <c r="C701" s="95">
        <v>400000</v>
      </c>
      <c r="D701" s="95"/>
      <c r="E701" t="s">
        <v>109</v>
      </c>
      <c r="F701" s="108" t="s">
        <v>108</v>
      </c>
    </row>
    <row r="702" spans="1:14" x14ac:dyDescent="0.3">
      <c r="A702" s="38">
        <v>46179</v>
      </c>
      <c r="B702" t="s">
        <v>219</v>
      </c>
      <c r="C702" s="95"/>
      <c r="D702" s="95">
        <v>32000</v>
      </c>
      <c r="E702" t="s">
        <v>271</v>
      </c>
      <c r="F702" s="108" t="s">
        <v>108</v>
      </c>
    </row>
    <row r="703" spans="1:14" x14ac:dyDescent="0.3">
      <c r="A703" s="38">
        <v>46179</v>
      </c>
      <c r="B703" t="s">
        <v>55</v>
      </c>
      <c r="C703" s="95">
        <v>26800</v>
      </c>
      <c r="D703" s="95"/>
      <c r="E703" t="s">
        <v>259</v>
      </c>
      <c r="F703" s="108" t="s">
        <v>108</v>
      </c>
    </row>
    <row r="704" spans="1:14" x14ac:dyDescent="0.3">
      <c r="A704" s="38">
        <v>46179</v>
      </c>
      <c r="B704" t="s">
        <v>666</v>
      </c>
      <c r="C704" s="11"/>
      <c r="D704" s="11">
        <v>120000</v>
      </c>
      <c r="E704" t="s">
        <v>109</v>
      </c>
      <c r="F704" s="108" t="s">
        <v>108</v>
      </c>
    </row>
    <row r="705" spans="1:11" x14ac:dyDescent="0.3">
      <c r="A705" s="38">
        <v>46179</v>
      </c>
      <c r="B705" t="s">
        <v>219</v>
      </c>
      <c r="C705" s="11">
        <v>120000</v>
      </c>
      <c r="D705" s="11"/>
      <c r="E705" t="s">
        <v>667</v>
      </c>
      <c r="F705" s="108" t="s">
        <v>108</v>
      </c>
    </row>
    <row r="706" spans="1:11" x14ac:dyDescent="0.3">
      <c r="A706" s="38">
        <v>46179</v>
      </c>
      <c r="B706" t="s">
        <v>219</v>
      </c>
      <c r="C706" s="11"/>
      <c r="D706" s="11">
        <v>200000</v>
      </c>
      <c r="E706" t="s">
        <v>668</v>
      </c>
      <c r="F706" s="108" t="s">
        <v>108</v>
      </c>
    </row>
    <row r="707" spans="1:11" x14ac:dyDescent="0.3">
      <c r="A707" s="38">
        <v>46179</v>
      </c>
      <c r="B707" t="s">
        <v>674</v>
      </c>
      <c r="C707" s="11">
        <v>200625</v>
      </c>
      <c r="D707" s="11"/>
      <c r="E707" t="s">
        <v>669</v>
      </c>
      <c r="F707" s="108" t="s">
        <v>108</v>
      </c>
    </row>
    <row r="708" spans="1:11" x14ac:dyDescent="0.3">
      <c r="A708" s="38">
        <v>46180</v>
      </c>
      <c r="B708" t="s">
        <v>55</v>
      </c>
      <c r="C708" s="11">
        <v>900</v>
      </c>
      <c r="D708" s="11"/>
      <c r="F708" s="108" t="s">
        <v>108</v>
      </c>
    </row>
    <row r="709" spans="1:11" x14ac:dyDescent="0.3">
      <c r="A709" s="38">
        <v>46180</v>
      </c>
      <c r="B709" t="s">
        <v>55</v>
      </c>
      <c r="C709" s="11">
        <v>1200</v>
      </c>
      <c r="D709" s="11"/>
      <c r="F709" s="108" t="s">
        <v>108</v>
      </c>
      <c r="I709">
        <v>30550</v>
      </c>
      <c r="K709">
        <v>30550</v>
      </c>
    </row>
    <row r="710" spans="1:11" x14ac:dyDescent="0.3">
      <c r="A710" s="38">
        <v>46180</v>
      </c>
      <c r="B710" t="s">
        <v>55</v>
      </c>
      <c r="C710" s="11">
        <v>4000</v>
      </c>
      <c r="D710" s="11"/>
      <c r="E710" t="s">
        <v>670</v>
      </c>
      <c r="F710" s="108" t="s">
        <v>108</v>
      </c>
      <c r="I710">
        <v>14000</v>
      </c>
      <c r="K710">
        <v>14000</v>
      </c>
    </row>
    <row r="711" spans="1:11" x14ac:dyDescent="0.3">
      <c r="A711" s="38">
        <v>46180</v>
      </c>
      <c r="B711" t="s">
        <v>219</v>
      </c>
      <c r="C711" s="95"/>
      <c r="D711" s="95">
        <v>4000</v>
      </c>
      <c r="E711" t="s">
        <v>670</v>
      </c>
      <c r="F711" s="108" t="s">
        <v>108</v>
      </c>
      <c r="I711">
        <v>215000</v>
      </c>
      <c r="K711">
        <v>215000</v>
      </c>
    </row>
    <row r="712" spans="1:11" x14ac:dyDescent="0.3">
      <c r="A712" s="38">
        <v>46180</v>
      </c>
      <c r="B712" t="s">
        <v>386</v>
      </c>
      <c r="C712" s="95">
        <v>3330</v>
      </c>
      <c r="D712" s="95"/>
      <c r="E712" t="s">
        <v>671</v>
      </c>
      <c r="F712" s="108" t="s">
        <v>108</v>
      </c>
      <c r="I712">
        <v>125000</v>
      </c>
      <c r="K712">
        <v>125000</v>
      </c>
    </row>
    <row r="713" spans="1:11" x14ac:dyDescent="0.3">
      <c r="A713" s="38">
        <v>46180</v>
      </c>
      <c r="B713" t="s">
        <v>656</v>
      </c>
      <c r="C713" s="95"/>
      <c r="D713" s="95">
        <v>150000</v>
      </c>
      <c r="E713" t="s">
        <v>672</v>
      </c>
      <c r="F713" s="108" t="s">
        <v>108</v>
      </c>
      <c r="I713">
        <v>12800</v>
      </c>
      <c r="K713">
        <v>12800</v>
      </c>
    </row>
    <row r="714" spans="1:11" x14ac:dyDescent="0.3">
      <c r="A714" s="38">
        <v>46180</v>
      </c>
      <c r="B714" t="s">
        <v>219</v>
      </c>
      <c r="C714" s="95">
        <v>150000</v>
      </c>
      <c r="D714" s="95"/>
      <c r="E714" t="s">
        <v>673</v>
      </c>
      <c r="F714" s="108" t="s">
        <v>108</v>
      </c>
      <c r="I714">
        <v>9650</v>
      </c>
      <c r="K714">
        <f>25650-16000</f>
        <v>9650</v>
      </c>
    </row>
    <row r="715" spans="1:11" x14ac:dyDescent="0.3">
      <c r="A715" s="38">
        <v>46181</v>
      </c>
      <c r="B715" t="s">
        <v>219</v>
      </c>
      <c r="C715" s="95"/>
      <c r="D715" s="95">
        <v>200000</v>
      </c>
      <c r="E715" t="s">
        <v>676</v>
      </c>
      <c r="F715" s="108" t="s">
        <v>108</v>
      </c>
      <c r="I715">
        <v>30000</v>
      </c>
      <c r="K715">
        <v>30000</v>
      </c>
    </row>
    <row r="716" spans="1:11" x14ac:dyDescent="0.3">
      <c r="A716" s="38">
        <v>46181</v>
      </c>
      <c r="B716" t="s">
        <v>115</v>
      </c>
      <c r="C716" s="95">
        <v>200000</v>
      </c>
      <c r="D716" s="95"/>
      <c r="E716" t="s">
        <v>676</v>
      </c>
      <c r="F716" s="108" t="s">
        <v>108</v>
      </c>
      <c r="I716">
        <v>55000</v>
      </c>
      <c r="K716">
        <v>55000</v>
      </c>
    </row>
    <row r="717" spans="1:11" x14ac:dyDescent="0.3">
      <c r="A717" s="38">
        <v>46181</v>
      </c>
      <c r="B717" t="s">
        <v>55</v>
      </c>
      <c r="C717" s="11">
        <v>6400</v>
      </c>
      <c r="D717" s="11"/>
      <c r="E717" t="s">
        <v>677</v>
      </c>
      <c r="F717" s="108" t="s">
        <v>108</v>
      </c>
      <c r="I717">
        <v>24000</v>
      </c>
      <c r="K717">
        <v>30000</v>
      </c>
    </row>
    <row r="718" spans="1:11" x14ac:dyDescent="0.3">
      <c r="A718" s="38">
        <v>46181</v>
      </c>
      <c r="B718" t="s">
        <v>219</v>
      </c>
      <c r="C718" s="11"/>
      <c r="D718" s="11">
        <v>6400</v>
      </c>
      <c r="E718" t="s">
        <v>678</v>
      </c>
      <c r="F718" s="108" t="s">
        <v>108</v>
      </c>
      <c r="I718">
        <v>24000</v>
      </c>
      <c r="K718">
        <v>26660</v>
      </c>
    </row>
    <row r="719" spans="1:11" x14ac:dyDescent="0.3">
      <c r="A719" s="38">
        <v>46181</v>
      </c>
      <c r="B719" t="s">
        <v>219</v>
      </c>
      <c r="C719" s="11"/>
      <c r="D719" s="11">
        <v>466000</v>
      </c>
      <c r="E719" t="s">
        <v>679</v>
      </c>
      <c r="F719" s="108" t="s">
        <v>108</v>
      </c>
      <c r="I719">
        <v>20000</v>
      </c>
      <c r="K719">
        <v>20000</v>
      </c>
    </row>
    <row r="720" spans="1:11" x14ac:dyDescent="0.3">
      <c r="A720" s="38">
        <v>46181</v>
      </c>
      <c r="B720" t="s">
        <v>222</v>
      </c>
      <c r="C720" s="11">
        <v>460000</v>
      </c>
      <c r="D720" s="11"/>
      <c r="E720" t="s">
        <v>680</v>
      </c>
      <c r="F720" s="108" t="s">
        <v>108</v>
      </c>
      <c r="I720">
        <v>17200</v>
      </c>
      <c r="K720">
        <v>62000</v>
      </c>
    </row>
    <row r="721" spans="1:11" x14ac:dyDescent="0.3">
      <c r="A721" s="38">
        <v>46181</v>
      </c>
      <c r="B721" t="s">
        <v>488</v>
      </c>
      <c r="C721" s="11">
        <v>3416</v>
      </c>
      <c r="D721" s="11"/>
      <c r="E721" t="s">
        <v>681</v>
      </c>
      <c r="F721" s="108" t="s">
        <v>108</v>
      </c>
      <c r="I721">
        <v>18400</v>
      </c>
    </row>
    <row r="722" spans="1:11" x14ac:dyDescent="0.3">
      <c r="A722" s="38">
        <v>46181</v>
      </c>
      <c r="B722" t="s">
        <v>493</v>
      </c>
      <c r="C722" s="11"/>
      <c r="D722" s="11">
        <v>50000</v>
      </c>
      <c r="E722" t="s">
        <v>683</v>
      </c>
      <c r="F722" s="108" t="s">
        <v>108</v>
      </c>
      <c r="I722">
        <v>18000</v>
      </c>
      <c r="K722">
        <v>1000</v>
      </c>
    </row>
    <row r="723" spans="1:11" x14ac:dyDescent="0.3">
      <c r="A723" s="38">
        <v>46181</v>
      </c>
      <c r="B723" t="s">
        <v>219</v>
      </c>
      <c r="C723" s="11">
        <v>50000</v>
      </c>
      <c r="D723" s="11"/>
      <c r="E723" t="s">
        <v>545</v>
      </c>
      <c r="F723" s="108" t="s">
        <v>108</v>
      </c>
      <c r="I723">
        <v>80000</v>
      </c>
      <c r="K723">
        <v>10600</v>
      </c>
    </row>
    <row r="724" spans="1:11" x14ac:dyDescent="0.3">
      <c r="A724" s="38">
        <v>46181</v>
      </c>
      <c r="B724" t="s">
        <v>219</v>
      </c>
      <c r="C724" s="11"/>
      <c r="D724" s="11">
        <v>25000</v>
      </c>
      <c r="E724" t="s">
        <v>684</v>
      </c>
      <c r="F724" s="108" t="s">
        <v>108</v>
      </c>
      <c r="I724">
        <v>60000</v>
      </c>
      <c r="K724">
        <v>11150</v>
      </c>
    </row>
    <row r="725" spans="1:11" x14ac:dyDescent="0.3">
      <c r="A725" s="111">
        <v>46181</v>
      </c>
      <c r="B725" t="s">
        <v>246</v>
      </c>
      <c r="C725" s="11">
        <v>7800</v>
      </c>
      <c r="D725" s="11"/>
      <c r="E725" t="s">
        <v>694</v>
      </c>
      <c r="F725" s="143" t="s">
        <v>108</v>
      </c>
      <c r="I725">
        <v>35000</v>
      </c>
      <c r="K725">
        <v>7220</v>
      </c>
    </row>
    <row r="726" spans="1:11" x14ac:dyDescent="0.3">
      <c r="A726" s="38">
        <v>46181</v>
      </c>
      <c r="B726" t="s">
        <v>253</v>
      </c>
      <c r="C726" s="95">
        <v>24600</v>
      </c>
      <c r="D726" s="95"/>
      <c r="E726" t="s">
        <v>659</v>
      </c>
      <c r="F726" s="108" t="s">
        <v>108</v>
      </c>
      <c r="I726">
        <v>15400</v>
      </c>
      <c r="K726">
        <v>11800</v>
      </c>
    </row>
    <row r="727" spans="1:11" x14ac:dyDescent="0.3">
      <c r="A727" s="38">
        <v>46181</v>
      </c>
      <c r="B727" t="s">
        <v>219</v>
      </c>
      <c r="C727" s="95"/>
      <c r="D727" s="95">
        <v>6500</v>
      </c>
      <c r="E727" t="s">
        <v>320</v>
      </c>
      <c r="F727" s="108" t="s">
        <v>108</v>
      </c>
      <c r="I727">
        <v>12700</v>
      </c>
      <c r="K727">
        <v>12600</v>
      </c>
    </row>
    <row r="728" spans="1:11" x14ac:dyDescent="0.3">
      <c r="A728" s="38">
        <v>46181</v>
      </c>
      <c r="B728" t="s">
        <v>253</v>
      </c>
      <c r="C728" s="95">
        <v>5000</v>
      </c>
      <c r="D728" s="95"/>
      <c r="E728" t="s">
        <v>602</v>
      </c>
      <c r="F728" s="108" t="s">
        <v>108</v>
      </c>
      <c r="I728">
        <v>12600</v>
      </c>
      <c r="K728">
        <v>12700</v>
      </c>
    </row>
    <row r="729" spans="1:11" x14ac:dyDescent="0.3">
      <c r="A729" s="38">
        <v>46181</v>
      </c>
      <c r="B729" t="s">
        <v>298</v>
      </c>
      <c r="C729" s="95">
        <v>5000</v>
      </c>
      <c r="D729" s="95"/>
      <c r="E729" t="s">
        <v>693</v>
      </c>
      <c r="F729" s="108" t="s">
        <v>108</v>
      </c>
      <c r="I729">
        <v>11800</v>
      </c>
      <c r="K729">
        <v>15400</v>
      </c>
    </row>
    <row r="730" spans="1:11" x14ac:dyDescent="0.3">
      <c r="A730" s="38">
        <v>46182</v>
      </c>
      <c r="B730" t="s">
        <v>55</v>
      </c>
      <c r="C730" s="95">
        <v>1500</v>
      </c>
      <c r="D730" s="95"/>
      <c r="F730" s="108" t="s">
        <v>108</v>
      </c>
      <c r="I730">
        <v>7250</v>
      </c>
      <c r="K730">
        <v>35000</v>
      </c>
    </row>
    <row r="731" spans="1:11" x14ac:dyDescent="0.3">
      <c r="A731" s="38">
        <v>46182</v>
      </c>
      <c r="B731" t="s">
        <v>55</v>
      </c>
      <c r="C731" s="95">
        <v>2000</v>
      </c>
      <c r="D731" s="95"/>
      <c r="E731" t="s">
        <v>685</v>
      </c>
      <c r="F731" s="108" t="s">
        <v>108</v>
      </c>
      <c r="I731">
        <v>11150</v>
      </c>
      <c r="K731">
        <v>60000</v>
      </c>
    </row>
    <row r="732" spans="1:11" x14ac:dyDescent="0.3">
      <c r="A732" s="38">
        <v>46182</v>
      </c>
      <c r="B732" t="s">
        <v>211</v>
      </c>
      <c r="C732" s="95"/>
      <c r="D732" s="95">
        <v>2000</v>
      </c>
      <c r="E732" t="s">
        <v>685</v>
      </c>
      <c r="F732" s="108" t="s">
        <v>108</v>
      </c>
      <c r="I732">
        <v>10600</v>
      </c>
      <c r="K732">
        <v>80000</v>
      </c>
    </row>
    <row r="733" spans="1:11" x14ac:dyDescent="0.3">
      <c r="A733" s="38">
        <v>46182</v>
      </c>
      <c r="B733" t="s">
        <v>219</v>
      </c>
      <c r="C733" s="95"/>
      <c r="D733" s="95">
        <v>110000</v>
      </c>
      <c r="E733" t="s">
        <v>568</v>
      </c>
      <c r="F733" s="108" t="s">
        <v>108</v>
      </c>
      <c r="I733">
        <v>1000</v>
      </c>
      <c r="K733">
        <v>18000</v>
      </c>
    </row>
    <row r="734" spans="1:11" x14ac:dyDescent="0.3">
      <c r="A734" s="38">
        <v>46182</v>
      </c>
      <c r="B734" t="s">
        <v>175</v>
      </c>
      <c r="C734" s="95">
        <v>110000</v>
      </c>
      <c r="D734" s="95"/>
      <c r="E734" t="s">
        <v>686</v>
      </c>
      <c r="F734" s="108" t="s">
        <v>108</v>
      </c>
      <c r="I734">
        <v>62000</v>
      </c>
      <c r="K734">
        <v>18400</v>
      </c>
    </row>
    <row r="735" spans="1:11" x14ac:dyDescent="0.3">
      <c r="A735" s="38">
        <v>46182</v>
      </c>
      <c r="B735" t="s">
        <v>55</v>
      </c>
      <c r="C735" s="95">
        <v>700</v>
      </c>
      <c r="D735" s="95"/>
      <c r="E735" t="s">
        <v>466</v>
      </c>
      <c r="F735" s="108" t="s">
        <v>108</v>
      </c>
      <c r="I735">
        <v>26660</v>
      </c>
      <c r="K735">
        <v>17200</v>
      </c>
    </row>
    <row r="736" spans="1:11" x14ac:dyDescent="0.3">
      <c r="A736" s="38">
        <v>46182</v>
      </c>
      <c r="B736" t="s">
        <v>219</v>
      </c>
      <c r="C736" s="95"/>
      <c r="D736" s="95">
        <v>50000</v>
      </c>
      <c r="E736" t="s">
        <v>687</v>
      </c>
      <c r="F736" s="108" t="s">
        <v>108</v>
      </c>
      <c r="I736">
        <v>30000</v>
      </c>
      <c r="K736">
        <v>20000</v>
      </c>
    </row>
    <row r="737" spans="1:11" x14ac:dyDescent="0.3">
      <c r="A737" s="38">
        <v>46182</v>
      </c>
      <c r="B737" t="s">
        <v>55</v>
      </c>
      <c r="C737" s="95">
        <v>1300</v>
      </c>
      <c r="D737" s="95"/>
      <c r="F737" s="108" t="s">
        <v>108</v>
      </c>
      <c r="I737">
        <v>9900</v>
      </c>
      <c r="K737">
        <v>24000</v>
      </c>
    </row>
    <row r="738" spans="1:11" x14ac:dyDescent="0.3">
      <c r="A738" s="38">
        <v>46182</v>
      </c>
      <c r="B738" t="s">
        <v>116</v>
      </c>
      <c r="C738" s="95">
        <v>19500</v>
      </c>
      <c r="D738" s="95"/>
      <c r="E738" t="s">
        <v>61</v>
      </c>
      <c r="F738" s="108" t="s">
        <v>108</v>
      </c>
      <c r="I738">
        <v>20000</v>
      </c>
      <c r="K738">
        <v>24000</v>
      </c>
    </row>
    <row r="739" spans="1:11" x14ac:dyDescent="0.3">
      <c r="A739" s="38">
        <v>46182</v>
      </c>
      <c r="B739" t="s">
        <v>244</v>
      </c>
      <c r="C739" s="95">
        <v>1110</v>
      </c>
      <c r="D739" s="95"/>
      <c r="E739" t="s">
        <v>366</v>
      </c>
      <c r="F739" s="108" t="s">
        <v>108</v>
      </c>
      <c r="K739">
        <v>9900</v>
      </c>
    </row>
    <row r="740" spans="1:11" x14ac:dyDescent="0.3">
      <c r="A740" s="38">
        <v>46182</v>
      </c>
      <c r="B740" t="s">
        <v>246</v>
      </c>
      <c r="C740" s="95">
        <v>7600</v>
      </c>
      <c r="D740" s="95"/>
      <c r="E740" t="s">
        <v>688</v>
      </c>
      <c r="F740" s="108" t="s">
        <v>108</v>
      </c>
    </row>
    <row r="741" spans="1:11" x14ac:dyDescent="0.3">
      <c r="A741" s="38">
        <v>46182</v>
      </c>
      <c r="B741" t="s">
        <v>55</v>
      </c>
      <c r="C741" s="95">
        <v>4250</v>
      </c>
      <c r="D741" s="95"/>
      <c r="F741" s="108" t="s">
        <v>108</v>
      </c>
    </row>
    <row r="742" spans="1:11" x14ac:dyDescent="0.3">
      <c r="A742" s="38">
        <v>46182</v>
      </c>
      <c r="B742" t="s">
        <v>55</v>
      </c>
      <c r="C742" s="95">
        <v>600</v>
      </c>
      <c r="D742" s="95"/>
      <c r="F742" s="108" t="s">
        <v>108</v>
      </c>
    </row>
    <row r="743" spans="1:11" x14ac:dyDescent="0.3">
      <c r="A743" s="38">
        <v>46182</v>
      </c>
      <c r="B743" t="s">
        <v>244</v>
      </c>
      <c r="C743" s="95">
        <v>6090</v>
      </c>
      <c r="D743" s="95"/>
      <c r="E743" t="s">
        <v>689</v>
      </c>
      <c r="F743" s="108" t="s">
        <v>108</v>
      </c>
    </row>
    <row r="744" spans="1:11" x14ac:dyDescent="0.3">
      <c r="A744" s="38">
        <v>46182</v>
      </c>
      <c r="B744" t="s">
        <v>488</v>
      </c>
      <c r="C744" s="95">
        <v>700</v>
      </c>
      <c r="D744" s="95"/>
      <c r="F744" s="108" t="s">
        <v>108</v>
      </c>
    </row>
    <row r="745" spans="1:11" x14ac:dyDescent="0.3">
      <c r="A745" s="38">
        <v>46182</v>
      </c>
      <c r="B745" t="s">
        <v>692</v>
      </c>
      <c r="C745" s="95">
        <v>3000</v>
      </c>
      <c r="D745" s="95"/>
      <c r="E745" t="s">
        <v>690</v>
      </c>
      <c r="F745" s="108" t="s">
        <v>108</v>
      </c>
    </row>
    <row r="746" spans="1:11" x14ac:dyDescent="0.3">
      <c r="A746" s="38">
        <v>46182</v>
      </c>
      <c r="B746" t="s">
        <v>219</v>
      </c>
      <c r="C746" s="95"/>
      <c r="D746" s="95">
        <v>5000</v>
      </c>
      <c r="E746" t="s">
        <v>320</v>
      </c>
      <c r="F746" s="108" t="s">
        <v>108</v>
      </c>
    </row>
    <row r="747" spans="1:11" x14ac:dyDescent="0.3">
      <c r="A747" s="38">
        <v>46182</v>
      </c>
      <c r="B747" t="s">
        <v>253</v>
      </c>
      <c r="C747" s="95">
        <v>5000</v>
      </c>
      <c r="D747" s="95"/>
      <c r="E747" t="s">
        <v>602</v>
      </c>
      <c r="F747" s="108" t="s">
        <v>108</v>
      </c>
    </row>
    <row r="748" spans="1:11" x14ac:dyDescent="0.3">
      <c r="A748" s="38">
        <v>46182</v>
      </c>
      <c r="B748" t="s">
        <v>488</v>
      </c>
      <c r="C748" s="95">
        <v>5000</v>
      </c>
      <c r="D748" s="95"/>
      <c r="E748" t="s">
        <v>648</v>
      </c>
      <c r="F748" s="108" t="s">
        <v>108</v>
      </c>
    </row>
    <row r="749" spans="1:11" x14ac:dyDescent="0.3">
      <c r="A749" s="38">
        <v>46182</v>
      </c>
      <c r="B749" t="s">
        <v>211</v>
      </c>
      <c r="C749" s="95">
        <v>800</v>
      </c>
      <c r="D749" s="95"/>
      <c r="F749" s="108" t="s">
        <v>108</v>
      </c>
    </row>
    <row r="750" spans="1:11" x14ac:dyDescent="0.3">
      <c r="A750" s="38">
        <v>46183</v>
      </c>
      <c r="B750" t="s">
        <v>219</v>
      </c>
      <c r="C750" s="95"/>
      <c r="D750" s="95">
        <v>22000</v>
      </c>
      <c r="E750" t="s">
        <v>320</v>
      </c>
      <c r="F750" s="108" t="s">
        <v>108</v>
      </c>
    </row>
    <row r="751" spans="1:11" x14ac:dyDescent="0.3">
      <c r="A751" s="111">
        <v>46183</v>
      </c>
      <c r="B751" t="s">
        <v>357</v>
      </c>
      <c r="C751" s="11">
        <v>1990</v>
      </c>
      <c r="D751" s="11"/>
      <c r="F751" s="108" t="s">
        <v>108</v>
      </c>
    </row>
    <row r="752" spans="1:11" x14ac:dyDescent="0.3">
      <c r="A752" s="111">
        <v>46183</v>
      </c>
      <c r="B752" t="s">
        <v>488</v>
      </c>
      <c r="C752" s="11">
        <v>710</v>
      </c>
      <c r="D752" s="11"/>
      <c r="E752" t="s">
        <v>541</v>
      </c>
      <c r="F752" s="108" t="s">
        <v>108</v>
      </c>
    </row>
    <row r="753" spans="1:6" x14ac:dyDescent="0.3">
      <c r="A753" s="111">
        <v>46183</v>
      </c>
      <c r="B753" t="s">
        <v>55</v>
      </c>
      <c r="C753" s="11">
        <v>1040</v>
      </c>
      <c r="D753" s="11"/>
      <c r="F753" s="108" t="s">
        <v>108</v>
      </c>
    </row>
    <row r="754" spans="1:6" x14ac:dyDescent="0.3">
      <c r="A754" s="111">
        <v>46183</v>
      </c>
      <c r="B754" t="s">
        <v>219</v>
      </c>
      <c r="C754" s="11"/>
      <c r="D754" s="11">
        <v>30000</v>
      </c>
      <c r="E754" t="s">
        <v>695</v>
      </c>
      <c r="F754" s="108" t="s">
        <v>108</v>
      </c>
    </row>
    <row r="755" spans="1:6" x14ac:dyDescent="0.3">
      <c r="A755" s="111">
        <v>46183</v>
      </c>
      <c r="B755" t="s">
        <v>116</v>
      </c>
      <c r="C755" s="11">
        <v>19500</v>
      </c>
      <c r="D755" s="11"/>
      <c r="E755" t="s">
        <v>61</v>
      </c>
      <c r="F755" s="108" t="s">
        <v>108</v>
      </c>
    </row>
    <row r="756" spans="1:6" x14ac:dyDescent="0.3">
      <c r="A756" s="111">
        <v>46183</v>
      </c>
      <c r="B756" t="s">
        <v>298</v>
      </c>
      <c r="C756" s="11">
        <v>10000</v>
      </c>
      <c r="D756" s="11"/>
      <c r="E756" t="s">
        <v>693</v>
      </c>
      <c r="F756" s="108" t="s">
        <v>108</v>
      </c>
    </row>
    <row r="757" spans="1:6" x14ac:dyDescent="0.3">
      <c r="A757" s="111">
        <v>46183</v>
      </c>
      <c r="B757" t="s">
        <v>488</v>
      </c>
      <c r="C757" s="11">
        <v>5000</v>
      </c>
      <c r="D757" s="11"/>
      <c r="F757" s="108" t="s">
        <v>108</v>
      </c>
    </row>
    <row r="758" spans="1:6" x14ac:dyDescent="0.3">
      <c r="A758" s="111">
        <v>46183</v>
      </c>
      <c r="B758" t="s">
        <v>211</v>
      </c>
      <c r="C758" s="11">
        <v>800</v>
      </c>
      <c r="D758" s="11"/>
      <c r="F758" s="108" t="s">
        <v>108</v>
      </c>
    </row>
    <row r="759" spans="1:6" x14ac:dyDescent="0.3">
      <c r="A759" s="111">
        <v>46183</v>
      </c>
      <c r="B759" t="s">
        <v>493</v>
      </c>
      <c r="C759" s="11"/>
      <c r="D759" s="11">
        <v>66650</v>
      </c>
      <c r="F759" s="108" t="s">
        <v>108</v>
      </c>
    </row>
    <row r="760" spans="1:6" x14ac:dyDescent="0.3">
      <c r="A760" s="111">
        <v>46183</v>
      </c>
      <c r="B760" t="s">
        <v>269</v>
      </c>
      <c r="C760" s="11">
        <v>2000</v>
      </c>
      <c r="D760" s="11"/>
      <c r="E760" t="s">
        <v>696</v>
      </c>
      <c r="F760" s="108" t="s">
        <v>108</v>
      </c>
    </row>
    <row r="761" spans="1:6" x14ac:dyDescent="0.3">
      <c r="A761" s="111">
        <v>46183</v>
      </c>
      <c r="B761" t="s">
        <v>219</v>
      </c>
      <c r="C761" s="11">
        <v>66650</v>
      </c>
      <c r="D761" s="11"/>
      <c r="E761" t="s">
        <v>529</v>
      </c>
      <c r="F761" s="108" t="s">
        <v>108</v>
      </c>
    </row>
    <row r="762" spans="1:6" x14ac:dyDescent="0.3">
      <c r="A762" s="111">
        <v>46183</v>
      </c>
      <c r="B762" t="s">
        <v>219</v>
      </c>
      <c r="C762" s="11"/>
      <c r="D762" s="11">
        <v>70000</v>
      </c>
      <c r="E762" t="s">
        <v>697</v>
      </c>
      <c r="F762" s="108" t="s">
        <v>108</v>
      </c>
    </row>
    <row r="763" spans="1:6" x14ac:dyDescent="0.3">
      <c r="A763" s="111">
        <v>46183</v>
      </c>
      <c r="B763" t="s">
        <v>674</v>
      </c>
      <c r="C763" s="11">
        <v>70000</v>
      </c>
      <c r="D763" s="11"/>
      <c r="E763" t="s">
        <v>240</v>
      </c>
      <c r="F763" s="108" t="s">
        <v>108</v>
      </c>
    </row>
    <row r="764" spans="1:6" x14ac:dyDescent="0.3">
      <c r="A764" s="111">
        <v>46183</v>
      </c>
      <c r="B764" t="s">
        <v>488</v>
      </c>
      <c r="C764" s="11">
        <v>600</v>
      </c>
      <c r="D764" s="11"/>
      <c r="F764" s="108" t="s">
        <v>108</v>
      </c>
    </row>
    <row r="765" spans="1:6" x14ac:dyDescent="0.3">
      <c r="A765" s="111">
        <v>46184</v>
      </c>
      <c r="B765" t="s">
        <v>219</v>
      </c>
      <c r="C765" s="11"/>
      <c r="D765" s="11">
        <v>25000</v>
      </c>
      <c r="F765" s="108" t="s">
        <v>108</v>
      </c>
    </row>
    <row r="766" spans="1:6" x14ac:dyDescent="0.3">
      <c r="A766" s="111">
        <v>46184</v>
      </c>
      <c r="B766" t="s">
        <v>386</v>
      </c>
      <c r="C766" s="11">
        <v>4482</v>
      </c>
      <c r="D766" s="11"/>
      <c r="E766" t="s">
        <v>283</v>
      </c>
      <c r="F766" s="108" t="s">
        <v>108</v>
      </c>
    </row>
    <row r="767" spans="1:6" x14ac:dyDescent="0.3">
      <c r="A767" s="111">
        <v>46184</v>
      </c>
      <c r="B767" t="s">
        <v>367</v>
      </c>
      <c r="C767" s="11"/>
      <c r="D767" s="11">
        <v>575000</v>
      </c>
      <c r="E767" t="s">
        <v>698</v>
      </c>
      <c r="F767" s="108" t="s">
        <v>108</v>
      </c>
    </row>
    <row r="768" spans="1:6" x14ac:dyDescent="0.3">
      <c r="A768" s="111">
        <v>46184</v>
      </c>
      <c r="B768" t="s">
        <v>269</v>
      </c>
      <c r="C768" s="11">
        <v>2000</v>
      </c>
      <c r="D768" s="11"/>
      <c r="E768" t="s">
        <v>699</v>
      </c>
      <c r="F768" s="108" t="s">
        <v>108</v>
      </c>
    </row>
    <row r="769" spans="1:6" x14ac:dyDescent="0.3">
      <c r="A769" s="111">
        <v>46184</v>
      </c>
      <c r="B769" t="s">
        <v>269</v>
      </c>
      <c r="C769" s="11">
        <v>5000</v>
      </c>
      <c r="D769" s="11"/>
      <c r="E769" t="s">
        <v>700</v>
      </c>
      <c r="F769" s="108" t="s">
        <v>108</v>
      </c>
    </row>
    <row r="770" spans="1:6" x14ac:dyDescent="0.3">
      <c r="A770" s="111">
        <v>46184</v>
      </c>
      <c r="B770" t="s">
        <v>269</v>
      </c>
      <c r="C770" s="11">
        <v>5000</v>
      </c>
      <c r="D770" s="11"/>
      <c r="E770" t="s">
        <v>288</v>
      </c>
      <c r="F770" s="108" t="s">
        <v>108</v>
      </c>
    </row>
    <row r="771" spans="1:6" x14ac:dyDescent="0.3">
      <c r="A771" s="111">
        <v>46184</v>
      </c>
      <c r="B771" t="s">
        <v>211</v>
      </c>
      <c r="C771" s="11">
        <v>500</v>
      </c>
      <c r="D771" s="11"/>
      <c r="F771" s="108" t="s">
        <v>108</v>
      </c>
    </row>
    <row r="772" spans="1:6" x14ac:dyDescent="0.3">
      <c r="A772" s="111">
        <v>46184</v>
      </c>
      <c r="B772" t="s">
        <v>488</v>
      </c>
      <c r="C772" s="11">
        <v>5000</v>
      </c>
      <c r="D772" s="11"/>
      <c r="E772" t="s">
        <v>712</v>
      </c>
      <c r="F772" s="108" t="s">
        <v>108</v>
      </c>
    </row>
    <row r="773" spans="1:6" x14ac:dyDescent="0.3">
      <c r="A773" s="111">
        <v>46184</v>
      </c>
      <c r="B773" t="s">
        <v>246</v>
      </c>
      <c r="C773" s="11">
        <v>10000</v>
      </c>
      <c r="D773" s="11"/>
      <c r="E773" t="s">
        <v>282</v>
      </c>
      <c r="F773" s="108" t="s">
        <v>108</v>
      </c>
    </row>
    <row r="774" spans="1:6" x14ac:dyDescent="0.3">
      <c r="A774" s="111">
        <v>46184</v>
      </c>
      <c r="B774" t="s">
        <v>211</v>
      </c>
      <c r="C774" s="11">
        <v>1700</v>
      </c>
      <c r="D774" s="11"/>
      <c r="F774" s="108" t="s">
        <v>108</v>
      </c>
    </row>
    <row r="775" spans="1:6" x14ac:dyDescent="0.3">
      <c r="A775" s="111">
        <v>46184</v>
      </c>
      <c r="B775" t="s">
        <v>253</v>
      </c>
      <c r="C775" s="11">
        <v>100000</v>
      </c>
      <c r="D775" s="11"/>
      <c r="E775" t="s">
        <v>701</v>
      </c>
      <c r="F775" s="108" t="s">
        <v>108</v>
      </c>
    </row>
    <row r="776" spans="1:6" x14ac:dyDescent="0.3">
      <c r="A776" s="111">
        <v>46184</v>
      </c>
      <c r="B776" t="s">
        <v>246</v>
      </c>
      <c r="C776" s="11">
        <v>10000</v>
      </c>
      <c r="D776" s="11"/>
      <c r="E776" t="s">
        <v>282</v>
      </c>
      <c r="F776" s="108" t="s">
        <v>108</v>
      </c>
    </row>
    <row r="777" spans="1:6" x14ac:dyDescent="0.3">
      <c r="A777" s="111">
        <v>46185</v>
      </c>
      <c r="B777" t="s">
        <v>367</v>
      </c>
      <c r="C777" s="95"/>
      <c r="D777" s="95">
        <v>5434</v>
      </c>
      <c r="E777" t="s">
        <v>861</v>
      </c>
      <c r="F777" s="108" t="s">
        <v>108</v>
      </c>
    </row>
    <row r="778" spans="1:6" x14ac:dyDescent="0.3">
      <c r="A778" s="111">
        <v>46185</v>
      </c>
      <c r="B778" t="s">
        <v>488</v>
      </c>
      <c r="C778" s="95">
        <v>5434</v>
      </c>
      <c r="D778" s="11"/>
      <c r="E778" t="s">
        <v>250</v>
      </c>
      <c r="F778" s="108" t="s">
        <v>108</v>
      </c>
    </row>
    <row r="779" spans="1:6" x14ac:dyDescent="0.3">
      <c r="A779" s="111">
        <v>46186</v>
      </c>
      <c r="B779" t="s">
        <v>246</v>
      </c>
      <c r="C779" s="11">
        <v>100000</v>
      </c>
      <c r="D779" s="11"/>
      <c r="E779" t="s">
        <v>702</v>
      </c>
      <c r="F779" s="108" t="s">
        <v>108</v>
      </c>
    </row>
    <row r="780" spans="1:6" x14ac:dyDescent="0.3">
      <c r="A780" s="111">
        <v>46186</v>
      </c>
      <c r="B780" t="s">
        <v>425</v>
      </c>
      <c r="C780" s="11">
        <v>100000</v>
      </c>
      <c r="D780" s="11"/>
      <c r="E780" t="s">
        <v>703</v>
      </c>
      <c r="F780" s="108" t="s">
        <v>108</v>
      </c>
    </row>
    <row r="781" spans="1:6" x14ac:dyDescent="0.3">
      <c r="A781" s="111">
        <v>46186</v>
      </c>
      <c r="B781" t="s">
        <v>257</v>
      </c>
      <c r="C781" s="11">
        <v>147520</v>
      </c>
      <c r="D781" s="11"/>
      <c r="E781" t="s">
        <v>704</v>
      </c>
      <c r="F781" s="108" t="s">
        <v>108</v>
      </c>
    </row>
    <row r="782" spans="1:6" x14ac:dyDescent="0.3">
      <c r="A782" s="111">
        <v>46186</v>
      </c>
      <c r="B782" t="s">
        <v>219</v>
      </c>
      <c r="C782" s="11"/>
      <c r="D782" s="11">
        <v>147520</v>
      </c>
      <c r="E782" t="s">
        <v>257</v>
      </c>
      <c r="F782" s="108" t="s">
        <v>108</v>
      </c>
    </row>
    <row r="783" spans="1:6" x14ac:dyDescent="0.3">
      <c r="A783" s="111">
        <v>46186</v>
      </c>
      <c r="B783" t="s">
        <v>298</v>
      </c>
      <c r="C783" s="11">
        <v>30000</v>
      </c>
      <c r="D783" s="11"/>
      <c r="E783" t="s">
        <v>693</v>
      </c>
      <c r="F783" s="108" t="s">
        <v>108</v>
      </c>
    </row>
    <row r="784" spans="1:6" x14ac:dyDescent="0.3">
      <c r="A784" s="111">
        <v>46186</v>
      </c>
      <c r="B784" t="s">
        <v>367</v>
      </c>
      <c r="C784" s="11"/>
      <c r="D784" s="11">
        <v>56000</v>
      </c>
      <c r="E784" t="s">
        <v>706</v>
      </c>
      <c r="F784" s="108" t="s">
        <v>108</v>
      </c>
    </row>
    <row r="785" spans="1:6" x14ac:dyDescent="0.3">
      <c r="A785" s="111">
        <v>46186</v>
      </c>
      <c r="B785" t="s">
        <v>246</v>
      </c>
      <c r="C785" s="11">
        <v>13500</v>
      </c>
      <c r="D785" s="11"/>
      <c r="E785" t="s">
        <v>707</v>
      </c>
      <c r="F785" s="108" t="s">
        <v>108</v>
      </c>
    </row>
    <row r="786" spans="1:6" x14ac:dyDescent="0.3">
      <c r="A786" s="111">
        <v>46187</v>
      </c>
      <c r="B786" t="s">
        <v>488</v>
      </c>
      <c r="C786" s="11">
        <v>2000</v>
      </c>
      <c r="D786" s="11"/>
      <c r="F786" s="108" t="s">
        <v>108</v>
      </c>
    </row>
    <row r="787" spans="1:6" x14ac:dyDescent="0.3">
      <c r="A787" s="111">
        <v>46187</v>
      </c>
      <c r="B787" t="s">
        <v>246</v>
      </c>
      <c r="C787" s="95">
        <v>3500</v>
      </c>
      <c r="D787" s="95"/>
      <c r="F787" s="108" t="s">
        <v>108</v>
      </c>
    </row>
    <row r="788" spans="1:6" x14ac:dyDescent="0.3">
      <c r="A788" s="111">
        <v>46187</v>
      </c>
      <c r="B788" t="s">
        <v>298</v>
      </c>
      <c r="C788" s="11">
        <v>20000</v>
      </c>
      <c r="D788" s="11"/>
      <c r="E788" t="s">
        <v>693</v>
      </c>
      <c r="F788" s="108" t="s">
        <v>108</v>
      </c>
    </row>
    <row r="789" spans="1:6" x14ac:dyDescent="0.3">
      <c r="A789" s="111">
        <v>46187</v>
      </c>
      <c r="B789" t="s">
        <v>357</v>
      </c>
      <c r="C789" s="11">
        <v>17790</v>
      </c>
      <c r="D789" s="11"/>
      <c r="F789" s="108" t="s">
        <v>108</v>
      </c>
    </row>
    <row r="790" spans="1:6" x14ac:dyDescent="0.3">
      <c r="A790" s="111">
        <v>46188</v>
      </c>
      <c r="B790" t="s">
        <v>357</v>
      </c>
      <c r="C790" s="11">
        <v>2580</v>
      </c>
      <c r="D790" s="11"/>
      <c r="F790" s="108" t="s">
        <v>108</v>
      </c>
    </row>
    <row r="791" spans="1:6" x14ac:dyDescent="0.3">
      <c r="A791" s="111">
        <v>46188</v>
      </c>
      <c r="B791" t="s">
        <v>269</v>
      </c>
      <c r="C791" s="11">
        <v>5000</v>
      </c>
      <c r="D791" s="11"/>
      <c r="E791" t="s">
        <v>708</v>
      </c>
      <c r="F791" s="108" t="s">
        <v>108</v>
      </c>
    </row>
    <row r="792" spans="1:6" x14ac:dyDescent="0.3">
      <c r="A792" s="111">
        <v>46188</v>
      </c>
      <c r="B792" t="s">
        <v>219</v>
      </c>
      <c r="C792" s="11"/>
      <c r="D792" s="11">
        <v>5000</v>
      </c>
      <c r="E792" t="s">
        <v>709</v>
      </c>
      <c r="F792" s="108" t="s">
        <v>108</v>
      </c>
    </row>
    <row r="793" spans="1:6" x14ac:dyDescent="0.3">
      <c r="A793" s="111">
        <v>46188</v>
      </c>
      <c r="B793" t="s">
        <v>269</v>
      </c>
      <c r="C793" s="11">
        <v>5000</v>
      </c>
      <c r="D793" s="11"/>
      <c r="E793" t="s">
        <v>288</v>
      </c>
      <c r="F793" s="108" t="s">
        <v>108</v>
      </c>
    </row>
    <row r="794" spans="1:6" x14ac:dyDescent="0.3">
      <c r="A794" s="111">
        <v>46188</v>
      </c>
      <c r="B794" t="s">
        <v>654</v>
      </c>
      <c r="C794" s="11"/>
      <c r="D794" s="11">
        <v>400000</v>
      </c>
      <c r="E794" t="s">
        <v>710</v>
      </c>
      <c r="F794" s="108" t="s">
        <v>108</v>
      </c>
    </row>
    <row r="795" spans="1:6" x14ac:dyDescent="0.3">
      <c r="A795" s="111">
        <v>46188</v>
      </c>
      <c r="B795" t="s">
        <v>219</v>
      </c>
      <c r="C795" s="11">
        <v>400000</v>
      </c>
      <c r="D795" s="11"/>
      <c r="E795" t="s">
        <v>654</v>
      </c>
      <c r="F795" s="108" t="s">
        <v>108</v>
      </c>
    </row>
    <row r="796" spans="1:6" x14ac:dyDescent="0.3">
      <c r="A796" s="111">
        <v>46188</v>
      </c>
      <c r="B796" t="s">
        <v>219</v>
      </c>
      <c r="C796" s="11">
        <v>200000</v>
      </c>
      <c r="D796" s="11"/>
      <c r="E796" t="s">
        <v>711</v>
      </c>
      <c r="F796" s="108" t="s">
        <v>108</v>
      </c>
    </row>
    <row r="797" spans="1:6" x14ac:dyDescent="0.3">
      <c r="A797" s="111">
        <v>46188</v>
      </c>
      <c r="B797" t="s">
        <v>488</v>
      </c>
      <c r="C797" s="11">
        <v>8164</v>
      </c>
      <c r="D797" s="11"/>
      <c r="E797" t="s">
        <v>254</v>
      </c>
      <c r="F797" s="108" t="s">
        <v>108</v>
      </c>
    </row>
    <row r="798" spans="1:6" x14ac:dyDescent="0.3">
      <c r="A798" s="111">
        <v>46188</v>
      </c>
      <c r="B798" t="s">
        <v>211</v>
      </c>
      <c r="C798" s="11">
        <v>1280</v>
      </c>
      <c r="D798" s="11"/>
      <c r="F798" s="108" t="s">
        <v>108</v>
      </c>
    </row>
    <row r="799" spans="1:6" x14ac:dyDescent="0.3">
      <c r="A799" s="111">
        <v>46188</v>
      </c>
      <c r="B799" t="s">
        <v>246</v>
      </c>
      <c r="C799" s="11">
        <v>12000</v>
      </c>
      <c r="D799" s="11"/>
      <c r="E799" t="s">
        <v>282</v>
      </c>
      <c r="F799" s="108" t="s">
        <v>108</v>
      </c>
    </row>
    <row r="800" spans="1:6" x14ac:dyDescent="0.3">
      <c r="A800" s="111">
        <v>46188</v>
      </c>
      <c r="B800" t="s">
        <v>636</v>
      </c>
      <c r="C800" s="11"/>
      <c r="D800" s="11">
        <v>918328</v>
      </c>
      <c r="E800" t="s">
        <v>729</v>
      </c>
      <c r="F800" s="108" t="s">
        <v>108</v>
      </c>
    </row>
    <row r="801" spans="1:13" x14ac:dyDescent="0.3">
      <c r="A801" s="111">
        <v>46188</v>
      </c>
      <c r="B801" t="s">
        <v>219</v>
      </c>
      <c r="C801" s="11">
        <v>918328</v>
      </c>
      <c r="D801" s="11"/>
      <c r="E801" t="s">
        <v>730</v>
      </c>
      <c r="F801" s="108" t="s">
        <v>108</v>
      </c>
    </row>
    <row r="802" spans="1:13" x14ac:dyDescent="0.3">
      <c r="A802" s="111">
        <v>46189</v>
      </c>
      <c r="B802" t="s">
        <v>219</v>
      </c>
      <c r="C802" s="11"/>
      <c r="D802" s="11">
        <v>280000</v>
      </c>
      <c r="E802" t="s">
        <v>713</v>
      </c>
      <c r="F802" s="108" t="s">
        <v>108</v>
      </c>
    </row>
    <row r="803" spans="1:13" x14ac:dyDescent="0.3">
      <c r="A803" s="111">
        <v>46189</v>
      </c>
      <c r="B803" t="s">
        <v>175</v>
      </c>
      <c r="C803" s="11">
        <v>94500</v>
      </c>
      <c r="D803" s="11"/>
      <c r="E803" t="s">
        <v>715</v>
      </c>
      <c r="F803" s="108" t="s">
        <v>108</v>
      </c>
    </row>
    <row r="804" spans="1:13" x14ac:dyDescent="0.3">
      <c r="A804" s="111">
        <v>46189</v>
      </c>
      <c r="B804" t="s">
        <v>357</v>
      </c>
      <c r="C804" s="11">
        <v>6600</v>
      </c>
      <c r="D804" s="11"/>
      <c r="E804" t="s">
        <v>716</v>
      </c>
      <c r="F804" s="108" t="s">
        <v>108</v>
      </c>
    </row>
    <row r="805" spans="1:13" x14ac:dyDescent="0.3">
      <c r="A805" s="111">
        <v>46189</v>
      </c>
      <c r="B805" t="s">
        <v>219</v>
      </c>
      <c r="C805" s="11"/>
      <c r="D805" s="11">
        <v>84000</v>
      </c>
      <c r="E805" t="s">
        <v>717</v>
      </c>
      <c r="F805" s="108" t="s">
        <v>108</v>
      </c>
    </row>
    <row r="806" spans="1:13" x14ac:dyDescent="0.3">
      <c r="A806" s="111">
        <v>46189</v>
      </c>
      <c r="B806" t="s">
        <v>219</v>
      </c>
      <c r="C806" s="11"/>
      <c r="D806" s="11">
        <v>340000</v>
      </c>
      <c r="E806" t="s">
        <v>109</v>
      </c>
      <c r="F806" s="108" t="s">
        <v>108</v>
      </c>
    </row>
    <row r="807" spans="1:13" x14ac:dyDescent="0.3">
      <c r="A807" s="111">
        <v>46189</v>
      </c>
      <c r="B807" t="s">
        <v>488</v>
      </c>
      <c r="C807" s="11">
        <v>5000</v>
      </c>
      <c r="D807" s="11"/>
      <c r="E807" t="s">
        <v>712</v>
      </c>
      <c r="F807" s="108" t="s">
        <v>108</v>
      </c>
      <c r="I807">
        <f>515000+365000</f>
        <v>880000</v>
      </c>
    </row>
    <row r="808" spans="1:13" x14ac:dyDescent="0.3">
      <c r="A808" s="111">
        <v>46189</v>
      </c>
      <c r="B808" t="s">
        <v>253</v>
      </c>
      <c r="C808" s="11">
        <v>17000</v>
      </c>
      <c r="D808" s="11"/>
      <c r="E808" t="s">
        <v>423</v>
      </c>
      <c r="F808" s="108" t="s">
        <v>108</v>
      </c>
    </row>
    <row r="809" spans="1:13" x14ac:dyDescent="0.3">
      <c r="A809" s="111">
        <v>46189</v>
      </c>
      <c r="B809" t="s">
        <v>636</v>
      </c>
      <c r="C809" s="11"/>
      <c r="D809" s="11">
        <v>500000</v>
      </c>
      <c r="E809" t="s">
        <v>718</v>
      </c>
      <c r="F809" s="108" t="s">
        <v>108</v>
      </c>
      <c r="J809">
        <v>80000</v>
      </c>
      <c r="L809">
        <v>5000</v>
      </c>
      <c r="M809" t="s">
        <v>648</v>
      </c>
    </row>
    <row r="810" spans="1:13" x14ac:dyDescent="0.3">
      <c r="A810" s="111">
        <v>46190</v>
      </c>
      <c r="B810" t="s">
        <v>517</v>
      </c>
      <c r="C810" s="11">
        <v>400000</v>
      </c>
      <c r="D810" s="11"/>
      <c r="E810" t="s">
        <v>719</v>
      </c>
      <c r="F810" s="108" t="s">
        <v>108</v>
      </c>
      <c r="I810">
        <v>24000</v>
      </c>
      <c r="J810">
        <v>10650</v>
      </c>
      <c r="L810">
        <v>5000</v>
      </c>
      <c r="M810" t="s">
        <v>648</v>
      </c>
    </row>
    <row r="811" spans="1:13" x14ac:dyDescent="0.3">
      <c r="A811" s="111">
        <v>46190</v>
      </c>
      <c r="B811" t="s">
        <v>357</v>
      </c>
      <c r="C811" s="11">
        <v>2670</v>
      </c>
      <c r="D811" s="11"/>
      <c r="F811" s="108" t="s">
        <v>108</v>
      </c>
      <c r="I811">
        <v>17200</v>
      </c>
      <c r="J811">
        <v>14800</v>
      </c>
      <c r="L811">
        <v>24000</v>
      </c>
    </row>
    <row r="812" spans="1:13" x14ac:dyDescent="0.3">
      <c r="A812" s="111">
        <v>46190</v>
      </c>
      <c r="B812" t="s">
        <v>55</v>
      </c>
      <c r="C812" s="11">
        <v>250</v>
      </c>
      <c r="D812" s="11"/>
      <c r="F812" s="108" t="s">
        <v>108</v>
      </c>
      <c r="I812">
        <v>20400</v>
      </c>
      <c r="J812">
        <v>16800</v>
      </c>
      <c r="L812">
        <v>17200</v>
      </c>
    </row>
    <row r="813" spans="1:13" x14ac:dyDescent="0.3">
      <c r="A813" s="111">
        <v>46190</v>
      </c>
      <c r="B813" t="s">
        <v>55</v>
      </c>
      <c r="C813" s="11">
        <v>34428</v>
      </c>
      <c r="D813" s="11"/>
      <c r="E813" t="s">
        <v>259</v>
      </c>
      <c r="F813" s="108" t="s">
        <v>108</v>
      </c>
      <c r="I813">
        <v>17200</v>
      </c>
      <c r="J813">
        <v>35000</v>
      </c>
      <c r="L813">
        <v>20400</v>
      </c>
    </row>
    <row r="814" spans="1:13" x14ac:dyDescent="0.3">
      <c r="A814" s="111">
        <v>46190</v>
      </c>
      <c r="B814" t="s">
        <v>219</v>
      </c>
      <c r="C814" s="11"/>
      <c r="D814" s="11">
        <v>250000</v>
      </c>
      <c r="E814" t="s">
        <v>720</v>
      </c>
      <c r="F814" s="108" t="s">
        <v>108</v>
      </c>
      <c r="I814">
        <v>23200</v>
      </c>
      <c r="J814">
        <v>9350</v>
      </c>
      <c r="L814">
        <v>17200</v>
      </c>
    </row>
    <row r="815" spans="1:13" x14ac:dyDescent="0.3">
      <c r="A815" s="111">
        <v>46190</v>
      </c>
      <c r="B815" t="s">
        <v>211</v>
      </c>
      <c r="C815" s="11"/>
      <c r="D815" s="11">
        <v>740</v>
      </c>
      <c r="F815" s="108" t="s">
        <v>108</v>
      </c>
      <c r="I815">
        <v>80000</v>
      </c>
      <c r="J815">
        <v>24000</v>
      </c>
      <c r="L815">
        <v>23200</v>
      </c>
    </row>
    <row r="816" spans="1:13" x14ac:dyDescent="0.3">
      <c r="A816" s="111">
        <v>46190</v>
      </c>
      <c r="B816" t="s">
        <v>488</v>
      </c>
      <c r="C816" s="11">
        <v>740</v>
      </c>
      <c r="D816" s="11"/>
      <c r="E816" t="s">
        <v>541</v>
      </c>
      <c r="F816" s="108" t="s">
        <v>108</v>
      </c>
      <c r="I816">
        <v>35000</v>
      </c>
      <c r="J816">
        <v>14000</v>
      </c>
      <c r="L816">
        <v>80000</v>
      </c>
    </row>
    <row r="817" spans="1:13" x14ac:dyDescent="0.3">
      <c r="A817" s="111">
        <v>46190</v>
      </c>
      <c r="B817" t="s">
        <v>269</v>
      </c>
      <c r="C817" s="11"/>
      <c r="D817" s="11"/>
      <c r="E817" t="s">
        <v>721</v>
      </c>
      <c r="F817" s="108" t="s">
        <v>108</v>
      </c>
      <c r="I817">
        <v>25000</v>
      </c>
      <c r="J817">
        <v>12800</v>
      </c>
      <c r="L817">
        <v>60000</v>
      </c>
      <c r="M817" t="s">
        <v>724</v>
      </c>
    </row>
    <row r="818" spans="1:13" x14ac:dyDescent="0.3">
      <c r="A818" s="111">
        <v>46190</v>
      </c>
      <c r="B818" t="s">
        <v>269</v>
      </c>
      <c r="C818" s="11">
        <v>2000</v>
      </c>
      <c r="D818" s="11"/>
      <c r="E818" t="s">
        <v>538</v>
      </c>
      <c r="F818" s="108" t="s">
        <v>108</v>
      </c>
      <c r="I818">
        <v>14800</v>
      </c>
      <c r="J818">
        <v>14400</v>
      </c>
      <c r="L818">
        <v>35000</v>
      </c>
    </row>
    <row r="819" spans="1:13" x14ac:dyDescent="0.3">
      <c r="A819" s="111">
        <v>46190</v>
      </c>
      <c r="B819" t="s">
        <v>211</v>
      </c>
      <c r="C819" s="11">
        <v>10000</v>
      </c>
      <c r="D819" s="11"/>
      <c r="F819" s="108" t="s">
        <v>108</v>
      </c>
      <c r="I819">
        <v>10400</v>
      </c>
      <c r="J819">
        <v>20400</v>
      </c>
      <c r="L819">
        <v>25000</v>
      </c>
      <c r="M819" t="s">
        <v>725</v>
      </c>
    </row>
    <row r="820" spans="1:13" x14ac:dyDescent="0.3">
      <c r="A820" s="111">
        <v>46190</v>
      </c>
      <c r="B820" t="s">
        <v>488</v>
      </c>
      <c r="C820" s="11">
        <v>5000</v>
      </c>
      <c r="D820" s="11"/>
      <c r="F820" s="108" t="s">
        <v>108</v>
      </c>
      <c r="I820">
        <v>12800</v>
      </c>
      <c r="J820">
        <v>17200</v>
      </c>
      <c r="L820">
        <v>14800</v>
      </c>
    </row>
    <row r="821" spans="1:13" x14ac:dyDescent="0.3">
      <c r="A821" s="111">
        <v>46190</v>
      </c>
      <c r="B821" t="s">
        <v>298</v>
      </c>
      <c r="C821" s="11">
        <v>5000</v>
      </c>
      <c r="D821" s="11"/>
      <c r="E821" t="s">
        <v>693</v>
      </c>
      <c r="F821" s="108" t="s">
        <v>108</v>
      </c>
      <c r="I821">
        <v>16800</v>
      </c>
      <c r="J821">
        <v>11330</v>
      </c>
      <c r="L821">
        <v>10400</v>
      </c>
    </row>
    <row r="822" spans="1:13" x14ac:dyDescent="0.3">
      <c r="A822" s="111">
        <v>46190</v>
      </c>
      <c r="B822" t="s">
        <v>244</v>
      </c>
      <c r="C822" s="11">
        <v>2000</v>
      </c>
      <c r="D822" s="11"/>
      <c r="E822" t="s">
        <v>689</v>
      </c>
      <c r="F822" s="108" t="s">
        <v>108</v>
      </c>
      <c r="I822">
        <v>9350</v>
      </c>
      <c r="J822">
        <v>55000</v>
      </c>
      <c r="L822">
        <v>12800</v>
      </c>
    </row>
    <row r="823" spans="1:13" x14ac:dyDescent="0.3">
      <c r="A823" s="111">
        <v>46190</v>
      </c>
      <c r="B823" t="s">
        <v>269</v>
      </c>
      <c r="C823" s="11">
        <v>13333</v>
      </c>
      <c r="D823" s="11"/>
      <c r="E823" t="s">
        <v>788</v>
      </c>
      <c r="F823" s="108" t="s">
        <v>108</v>
      </c>
      <c r="I823">
        <v>10650</v>
      </c>
      <c r="J823">
        <v>30000</v>
      </c>
      <c r="L823">
        <v>16800</v>
      </c>
    </row>
    <row r="824" spans="1:13" x14ac:dyDescent="0.3">
      <c r="A824" s="111">
        <v>46190</v>
      </c>
      <c r="B824" t="s">
        <v>253</v>
      </c>
      <c r="C824" s="11">
        <f>848360-13333</f>
        <v>835027</v>
      </c>
      <c r="D824" s="11"/>
      <c r="F824" s="108" t="s">
        <v>108</v>
      </c>
      <c r="I824">
        <v>14000</v>
      </c>
      <c r="J824">
        <v>10400</v>
      </c>
      <c r="L824">
        <v>9350</v>
      </c>
    </row>
    <row r="825" spans="1:13" x14ac:dyDescent="0.3">
      <c r="A825" s="111">
        <v>46190</v>
      </c>
      <c r="B825" t="s">
        <v>211</v>
      </c>
      <c r="C825" s="11">
        <v>1000</v>
      </c>
      <c r="D825" s="11"/>
      <c r="F825" s="108" t="s">
        <v>108</v>
      </c>
      <c r="I825">
        <v>14400</v>
      </c>
      <c r="J825">
        <v>8000</v>
      </c>
      <c r="K825" t="s">
        <v>722</v>
      </c>
      <c r="L825">
        <v>10650</v>
      </c>
    </row>
    <row r="826" spans="1:13" x14ac:dyDescent="0.3">
      <c r="A826" s="111">
        <v>46190</v>
      </c>
      <c r="B826" t="s">
        <v>244</v>
      </c>
      <c r="C826" s="11"/>
      <c r="D826" s="11"/>
      <c r="F826" s="108" t="s">
        <v>108</v>
      </c>
      <c r="I826">
        <v>25000</v>
      </c>
      <c r="J826">
        <v>13300</v>
      </c>
      <c r="L826">
        <v>14000</v>
      </c>
    </row>
    <row r="827" spans="1:13" x14ac:dyDescent="0.3">
      <c r="A827" s="111">
        <v>46192</v>
      </c>
      <c r="B827" t="s">
        <v>211</v>
      </c>
      <c r="C827" s="11">
        <v>1000</v>
      </c>
      <c r="D827" s="11"/>
      <c r="F827" s="108" t="s">
        <v>108</v>
      </c>
      <c r="I827">
        <v>16660</v>
      </c>
      <c r="J827">
        <v>23200</v>
      </c>
      <c r="L827">
        <v>14400</v>
      </c>
    </row>
    <row r="828" spans="1:13" x14ac:dyDescent="0.3">
      <c r="A828" s="111">
        <v>46192</v>
      </c>
      <c r="B828" t="s">
        <v>219</v>
      </c>
      <c r="C828" s="11"/>
      <c r="D828" s="11">
        <v>70250</v>
      </c>
      <c r="E828" t="s">
        <v>568</v>
      </c>
      <c r="F828" s="108" t="s">
        <v>108</v>
      </c>
      <c r="I828">
        <v>16660</v>
      </c>
      <c r="J828">
        <v>17200</v>
      </c>
      <c r="L828">
        <v>25000</v>
      </c>
    </row>
    <row r="829" spans="1:13" x14ac:dyDescent="0.3">
      <c r="A829" s="111">
        <v>46192</v>
      </c>
      <c r="B829" t="s">
        <v>175</v>
      </c>
      <c r="C829" s="11">
        <v>70250</v>
      </c>
      <c r="D829" s="11"/>
      <c r="E829" t="s">
        <v>753</v>
      </c>
      <c r="F829" s="108" t="s">
        <v>108</v>
      </c>
      <c r="I829">
        <v>16660</v>
      </c>
      <c r="J829">
        <v>50000</v>
      </c>
      <c r="L829">
        <v>16660</v>
      </c>
    </row>
    <row r="830" spans="1:13" x14ac:dyDescent="0.3">
      <c r="A830" s="111">
        <v>46192</v>
      </c>
      <c r="B830" t="s">
        <v>357</v>
      </c>
      <c r="C830" s="11">
        <v>6600</v>
      </c>
      <c r="D830" s="11"/>
      <c r="E830" t="s">
        <v>754</v>
      </c>
      <c r="F830" s="108" t="s">
        <v>108</v>
      </c>
      <c r="I830">
        <v>11330</v>
      </c>
      <c r="J830">
        <v>10000</v>
      </c>
      <c r="L830">
        <v>16660</v>
      </c>
    </row>
    <row r="831" spans="1:13" x14ac:dyDescent="0.3">
      <c r="A831" s="111">
        <v>46192</v>
      </c>
      <c r="B831" t="s">
        <v>219</v>
      </c>
      <c r="C831" s="11"/>
      <c r="D831" s="11">
        <v>150000</v>
      </c>
      <c r="E831" t="s">
        <v>109</v>
      </c>
      <c r="F831" s="108" t="s">
        <v>108</v>
      </c>
      <c r="I831">
        <v>6350</v>
      </c>
      <c r="J831">
        <v>5000</v>
      </c>
      <c r="K831" t="s">
        <v>723</v>
      </c>
      <c r="L831">
        <v>11330</v>
      </c>
    </row>
    <row r="832" spans="1:13" x14ac:dyDescent="0.3">
      <c r="A832" s="111">
        <v>46192</v>
      </c>
      <c r="B832" t="s">
        <v>253</v>
      </c>
      <c r="C832" s="11">
        <v>10000</v>
      </c>
      <c r="D832" s="11"/>
      <c r="E832" t="s">
        <v>755</v>
      </c>
      <c r="F832" s="108" t="s">
        <v>108</v>
      </c>
      <c r="I832">
        <v>21350</v>
      </c>
      <c r="L832">
        <v>16660</v>
      </c>
    </row>
    <row r="833" spans="1:13" x14ac:dyDescent="0.3">
      <c r="A833" s="111">
        <v>46192</v>
      </c>
      <c r="B833" t="s">
        <v>253</v>
      </c>
      <c r="C833" s="11">
        <v>60000</v>
      </c>
      <c r="D833" s="11"/>
      <c r="E833" t="s">
        <v>756</v>
      </c>
      <c r="F833" s="108" t="s">
        <v>108</v>
      </c>
      <c r="I833">
        <v>25000</v>
      </c>
      <c r="L833">
        <v>6350</v>
      </c>
    </row>
    <row r="834" spans="1:13" x14ac:dyDescent="0.3">
      <c r="A834" s="111">
        <v>46192</v>
      </c>
      <c r="B834" t="s">
        <v>253</v>
      </c>
      <c r="C834" s="11">
        <v>50000</v>
      </c>
      <c r="D834" s="11"/>
      <c r="E834" t="s">
        <v>757</v>
      </c>
      <c r="F834" s="108" t="s">
        <v>108</v>
      </c>
      <c r="I834">
        <v>55000</v>
      </c>
      <c r="L834">
        <v>21350</v>
      </c>
    </row>
    <row r="835" spans="1:13" x14ac:dyDescent="0.3">
      <c r="A835" s="111">
        <v>46192</v>
      </c>
      <c r="B835" t="s">
        <v>253</v>
      </c>
      <c r="C835" s="11">
        <v>50000</v>
      </c>
      <c r="D835" s="11"/>
      <c r="E835" t="s">
        <v>288</v>
      </c>
      <c r="F835" s="108" t="s">
        <v>108</v>
      </c>
      <c r="I835">
        <v>30000</v>
      </c>
      <c r="L835">
        <v>25000</v>
      </c>
    </row>
    <row r="836" spans="1:13" x14ac:dyDescent="0.3">
      <c r="A836" s="38">
        <v>46192</v>
      </c>
      <c r="B836" t="s">
        <v>211</v>
      </c>
      <c r="C836" s="11"/>
      <c r="D836" s="11">
        <v>10000</v>
      </c>
      <c r="E836" t="s">
        <v>271</v>
      </c>
      <c r="F836" s="108" t="s">
        <v>108</v>
      </c>
      <c r="I836">
        <v>13350</v>
      </c>
      <c r="L836">
        <v>55000</v>
      </c>
    </row>
    <row r="837" spans="1:13" x14ac:dyDescent="0.3">
      <c r="A837" s="38">
        <v>46192</v>
      </c>
      <c r="B837" t="s">
        <v>55</v>
      </c>
      <c r="C837" s="11">
        <v>3300</v>
      </c>
      <c r="D837" s="11"/>
      <c r="F837" s="108" t="s">
        <v>108</v>
      </c>
      <c r="I837">
        <v>26650</v>
      </c>
      <c r="L837">
        <v>30000</v>
      </c>
    </row>
    <row r="838" spans="1:13" x14ac:dyDescent="0.3">
      <c r="A838" s="38">
        <v>46192</v>
      </c>
      <c r="B838" t="s">
        <v>219</v>
      </c>
      <c r="C838" s="95"/>
      <c r="D838" s="95">
        <v>3900</v>
      </c>
      <c r="E838" t="s">
        <v>758</v>
      </c>
      <c r="F838" s="108" t="s">
        <v>108</v>
      </c>
      <c r="I838">
        <v>9000</v>
      </c>
      <c r="L838">
        <v>13350</v>
      </c>
    </row>
    <row r="839" spans="1:13" x14ac:dyDescent="0.3">
      <c r="A839" s="38">
        <v>46192</v>
      </c>
      <c r="B839" t="s">
        <v>244</v>
      </c>
      <c r="C839" s="95">
        <v>2400</v>
      </c>
      <c r="D839" s="95"/>
      <c r="E839" t="s">
        <v>759</v>
      </c>
      <c r="F839" s="108" t="s">
        <v>108</v>
      </c>
      <c r="I839">
        <v>9000</v>
      </c>
      <c r="L839">
        <v>26700</v>
      </c>
    </row>
    <row r="840" spans="1:13" x14ac:dyDescent="0.3">
      <c r="A840" s="38">
        <v>46192</v>
      </c>
      <c r="B840" t="s">
        <v>776</v>
      </c>
      <c r="C840" s="95"/>
      <c r="D840" s="95">
        <v>495000</v>
      </c>
      <c r="E840" t="s">
        <v>109</v>
      </c>
      <c r="F840" s="108" t="s">
        <v>108</v>
      </c>
      <c r="I840">
        <f>50000+75500</f>
        <v>125500</v>
      </c>
      <c r="L840">
        <v>9000</v>
      </c>
    </row>
    <row r="841" spans="1:13" x14ac:dyDescent="0.3">
      <c r="A841" s="38">
        <v>46192</v>
      </c>
      <c r="B841" t="s">
        <v>219</v>
      </c>
      <c r="C841" s="95">
        <v>495000</v>
      </c>
      <c r="D841" s="95"/>
      <c r="E841" t="s">
        <v>776</v>
      </c>
      <c r="F841" s="108" t="s">
        <v>108</v>
      </c>
      <c r="L841">
        <v>9000</v>
      </c>
    </row>
    <row r="842" spans="1:13" x14ac:dyDescent="0.3">
      <c r="A842" s="38">
        <v>46193</v>
      </c>
      <c r="B842" t="s">
        <v>219</v>
      </c>
      <c r="C842" s="95"/>
      <c r="D842" s="95">
        <v>50000</v>
      </c>
      <c r="E842" t="s">
        <v>760</v>
      </c>
      <c r="F842" s="108" t="s">
        <v>108</v>
      </c>
      <c r="L842">
        <v>125500</v>
      </c>
    </row>
    <row r="843" spans="1:13" x14ac:dyDescent="0.3">
      <c r="A843" s="38">
        <v>46193</v>
      </c>
      <c r="B843" t="s">
        <v>116</v>
      </c>
      <c r="C843" s="95">
        <v>18500</v>
      </c>
      <c r="D843" s="95"/>
      <c r="E843" t="s">
        <v>163</v>
      </c>
      <c r="F843" s="108" t="s">
        <v>108</v>
      </c>
      <c r="L843">
        <v>8000</v>
      </c>
      <c r="M843" t="s">
        <v>602</v>
      </c>
    </row>
    <row r="844" spans="1:13" x14ac:dyDescent="0.3">
      <c r="A844" s="38">
        <v>46193</v>
      </c>
      <c r="B844" t="s">
        <v>55</v>
      </c>
      <c r="C844" s="95">
        <v>12500</v>
      </c>
      <c r="D844" s="95"/>
      <c r="E844" t="s">
        <v>761</v>
      </c>
      <c r="F844" s="108" t="s">
        <v>108</v>
      </c>
      <c r="L844">
        <v>25600</v>
      </c>
      <c r="M844" t="s">
        <v>723</v>
      </c>
    </row>
    <row r="845" spans="1:13" x14ac:dyDescent="0.3">
      <c r="A845" s="38">
        <v>46193</v>
      </c>
      <c r="B845" t="s">
        <v>55</v>
      </c>
      <c r="C845" s="95">
        <v>1200</v>
      </c>
      <c r="D845" s="95"/>
      <c r="E845" t="s">
        <v>762</v>
      </c>
      <c r="F845" s="108" t="s">
        <v>108</v>
      </c>
      <c r="L845">
        <v>2000</v>
      </c>
      <c r="M845" t="s">
        <v>244</v>
      </c>
    </row>
    <row r="846" spans="1:13" x14ac:dyDescent="0.3">
      <c r="A846" s="38">
        <v>46193</v>
      </c>
      <c r="B846" t="s">
        <v>244</v>
      </c>
      <c r="C846" s="95">
        <v>5000</v>
      </c>
      <c r="D846" s="95"/>
      <c r="E846" t="s">
        <v>763</v>
      </c>
      <c r="F846" s="108" t="s">
        <v>108</v>
      </c>
      <c r="L846">
        <v>1000</v>
      </c>
      <c r="M846" t="s">
        <v>211</v>
      </c>
    </row>
    <row r="847" spans="1:13" x14ac:dyDescent="0.3">
      <c r="A847" s="38">
        <v>46193</v>
      </c>
      <c r="B847" t="s">
        <v>55</v>
      </c>
      <c r="C847" s="95">
        <v>750</v>
      </c>
      <c r="D847" s="95"/>
      <c r="F847" s="108" t="s">
        <v>108</v>
      </c>
      <c r="L847">
        <v>5000</v>
      </c>
      <c r="M847" t="s">
        <v>237</v>
      </c>
    </row>
    <row r="848" spans="1:13" x14ac:dyDescent="0.3">
      <c r="A848" s="38">
        <v>46193</v>
      </c>
      <c r="B848" t="s">
        <v>219</v>
      </c>
      <c r="C848" s="95"/>
      <c r="D848" s="95">
        <v>100000</v>
      </c>
      <c r="E848" t="s">
        <v>764</v>
      </c>
      <c r="F848" s="108" t="s">
        <v>108</v>
      </c>
    </row>
    <row r="849" spans="1:6" x14ac:dyDescent="0.3">
      <c r="A849" s="38">
        <v>46193</v>
      </c>
      <c r="B849" t="s">
        <v>331</v>
      </c>
      <c r="C849" s="95">
        <v>50000</v>
      </c>
      <c r="D849" s="95"/>
      <c r="E849" t="s">
        <v>765</v>
      </c>
      <c r="F849" s="108" t="s">
        <v>108</v>
      </c>
    </row>
    <row r="850" spans="1:6" x14ac:dyDescent="0.3">
      <c r="A850" s="38">
        <v>46193</v>
      </c>
      <c r="B850" t="s">
        <v>766</v>
      </c>
      <c r="C850" s="11">
        <v>50000</v>
      </c>
      <c r="D850" s="11"/>
      <c r="E850" t="s">
        <v>767</v>
      </c>
      <c r="F850" s="108" t="s">
        <v>108</v>
      </c>
    </row>
    <row r="851" spans="1:6" x14ac:dyDescent="0.3">
      <c r="A851" s="38">
        <v>46193</v>
      </c>
      <c r="B851" t="s">
        <v>488</v>
      </c>
      <c r="C851" s="95">
        <v>5000</v>
      </c>
      <c r="D851" s="95"/>
      <c r="E851" t="s">
        <v>254</v>
      </c>
      <c r="F851" s="108" t="s">
        <v>108</v>
      </c>
    </row>
    <row r="852" spans="1:6" x14ac:dyDescent="0.3">
      <c r="A852" s="38">
        <v>46193</v>
      </c>
      <c r="B852" t="s">
        <v>219</v>
      </c>
      <c r="C852" s="95"/>
      <c r="D852" s="95">
        <v>15000</v>
      </c>
      <c r="E852" t="s">
        <v>768</v>
      </c>
      <c r="F852" s="108" t="s">
        <v>108</v>
      </c>
    </row>
    <row r="853" spans="1:6" x14ac:dyDescent="0.3">
      <c r="A853" s="38">
        <v>46193</v>
      </c>
      <c r="B853" t="s">
        <v>253</v>
      </c>
      <c r="C853" s="95">
        <v>15000</v>
      </c>
      <c r="D853" s="95"/>
      <c r="E853" t="s">
        <v>288</v>
      </c>
      <c r="F853" s="108" t="s">
        <v>108</v>
      </c>
    </row>
    <row r="854" spans="1:6" x14ac:dyDescent="0.3">
      <c r="A854" s="38">
        <v>46193</v>
      </c>
      <c r="B854" t="s">
        <v>219</v>
      </c>
      <c r="C854" s="95"/>
      <c r="D854" s="95">
        <v>100000</v>
      </c>
      <c r="E854" t="s">
        <v>769</v>
      </c>
      <c r="F854" s="108" t="s">
        <v>108</v>
      </c>
    </row>
    <row r="855" spans="1:6" x14ac:dyDescent="0.3">
      <c r="A855" s="38">
        <v>46193</v>
      </c>
      <c r="B855" t="s">
        <v>253</v>
      </c>
      <c r="C855" s="95">
        <v>100000</v>
      </c>
      <c r="D855" s="95"/>
      <c r="E855" t="s">
        <v>770</v>
      </c>
      <c r="F855" s="108" t="s">
        <v>108</v>
      </c>
    </row>
    <row r="856" spans="1:6" x14ac:dyDescent="0.3">
      <c r="A856" s="38">
        <v>46194</v>
      </c>
      <c r="B856" t="s">
        <v>219</v>
      </c>
      <c r="C856" s="95"/>
      <c r="D856" s="95">
        <v>15000</v>
      </c>
      <c r="E856" t="s">
        <v>771</v>
      </c>
      <c r="F856" s="108" t="s">
        <v>108</v>
      </c>
    </row>
    <row r="857" spans="1:6" x14ac:dyDescent="0.3">
      <c r="A857" s="38">
        <v>46194</v>
      </c>
      <c r="B857" t="s">
        <v>211</v>
      </c>
      <c r="C857" s="95">
        <f>1152+2081+660</f>
        <v>3893</v>
      </c>
      <c r="D857" s="95"/>
      <c r="F857" s="108" t="s">
        <v>108</v>
      </c>
    </row>
    <row r="858" spans="1:6" x14ac:dyDescent="0.3">
      <c r="A858" s="38">
        <v>46194</v>
      </c>
      <c r="B858" t="s">
        <v>55</v>
      </c>
      <c r="C858" s="95">
        <v>9396</v>
      </c>
      <c r="D858" s="95"/>
      <c r="E858" t="s">
        <v>259</v>
      </c>
      <c r="F858" s="108" t="s">
        <v>108</v>
      </c>
    </row>
    <row r="859" spans="1:6" x14ac:dyDescent="0.3">
      <c r="A859" s="38">
        <v>46194</v>
      </c>
      <c r="B859" t="s">
        <v>219</v>
      </c>
      <c r="C859" s="95"/>
      <c r="D859" s="95">
        <v>9396</v>
      </c>
      <c r="E859" t="s">
        <v>259</v>
      </c>
      <c r="F859" s="108" t="s">
        <v>108</v>
      </c>
    </row>
    <row r="860" spans="1:6" x14ac:dyDescent="0.3">
      <c r="A860" s="38">
        <v>46195</v>
      </c>
      <c r="B860" t="s">
        <v>55</v>
      </c>
      <c r="C860" s="95">
        <v>3910</v>
      </c>
      <c r="D860" s="95"/>
      <c r="E860" t="s">
        <v>772</v>
      </c>
      <c r="F860" s="108" t="s">
        <v>108</v>
      </c>
    </row>
    <row r="861" spans="1:6" x14ac:dyDescent="0.3">
      <c r="A861" s="38">
        <v>46195</v>
      </c>
      <c r="B861" t="s">
        <v>219</v>
      </c>
      <c r="C861" s="95"/>
      <c r="D861" s="95">
        <v>3910</v>
      </c>
      <c r="E861" t="s">
        <v>272</v>
      </c>
      <c r="F861" s="108" t="s">
        <v>108</v>
      </c>
    </row>
    <row r="862" spans="1:6" x14ac:dyDescent="0.3">
      <c r="A862" s="38">
        <v>46195</v>
      </c>
      <c r="B862" t="s">
        <v>55</v>
      </c>
      <c r="C862" s="95">
        <v>250</v>
      </c>
      <c r="D862" s="95"/>
      <c r="F862" s="108" t="s">
        <v>108</v>
      </c>
    </row>
    <row r="863" spans="1:6" x14ac:dyDescent="0.3">
      <c r="A863" s="38">
        <v>46195</v>
      </c>
      <c r="B863" t="s">
        <v>488</v>
      </c>
      <c r="C863" s="95">
        <v>4804</v>
      </c>
      <c r="D863" s="95"/>
      <c r="E863" t="s">
        <v>773</v>
      </c>
      <c r="F863" s="108" t="s">
        <v>108</v>
      </c>
    </row>
    <row r="864" spans="1:6" x14ac:dyDescent="0.3">
      <c r="A864" s="38">
        <v>46195</v>
      </c>
      <c r="B864" t="s">
        <v>55</v>
      </c>
      <c r="C864" s="95">
        <v>1000</v>
      </c>
      <c r="D864" s="95"/>
      <c r="F864" s="108" t="s">
        <v>108</v>
      </c>
    </row>
    <row r="865" spans="1:6" x14ac:dyDescent="0.3">
      <c r="A865" s="38">
        <v>46195</v>
      </c>
      <c r="B865" t="s">
        <v>219</v>
      </c>
      <c r="C865" s="95"/>
      <c r="D865" s="95">
        <v>248500</v>
      </c>
      <c r="E865" t="s">
        <v>774</v>
      </c>
      <c r="F865" s="108" t="s">
        <v>108</v>
      </c>
    </row>
    <row r="866" spans="1:6" x14ac:dyDescent="0.3">
      <c r="A866" s="38">
        <v>46195</v>
      </c>
      <c r="B866" t="s">
        <v>219</v>
      </c>
      <c r="C866" s="95"/>
      <c r="D866" s="95">
        <v>275000</v>
      </c>
      <c r="E866" t="s">
        <v>775</v>
      </c>
      <c r="F866" s="108" t="s">
        <v>108</v>
      </c>
    </row>
    <row r="867" spans="1:6" x14ac:dyDescent="0.3">
      <c r="A867" s="38">
        <v>46195</v>
      </c>
      <c r="B867" t="s">
        <v>776</v>
      </c>
      <c r="C867" s="95"/>
      <c r="D867" s="95">
        <v>500000</v>
      </c>
      <c r="E867" t="s">
        <v>109</v>
      </c>
      <c r="F867" s="108" t="s">
        <v>108</v>
      </c>
    </row>
    <row r="868" spans="1:6" x14ac:dyDescent="0.3">
      <c r="A868" s="38">
        <v>46195</v>
      </c>
      <c r="B868" t="s">
        <v>219</v>
      </c>
      <c r="C868" s="95"/>
      <c r="D868" s="95">
        <v>545000</v>
      </c>
      <c r="E868" t="s">
        <v>109</v>
      </c>
      <c r="F868" s="108" t="s">
        <v>108</v>
      </c>
    </row>
    <row r="869" spans="1:6" x14ac:dyDescent="0.3">
      <c r="A869" s="38">
        <v>46195</v>
      </c>
      <c r="B869" t="s">
        <v>51</v>
      </c>
      <c r="C869" s="95">
        <v>1440059</v>
      </c>
      <c r="D869" s="95"/>
      <c r="E869" t="s">
        <v>777</v>
      </c>
      <c r="F869" s="108" t="s">
        <v>108</v>
      </c>
    </row>
    <row r="870" spans="1:6" x14ac:dyDescent="0.3">
      <c r="A870" s="38">
        <v>46195</v>
      </c>
      <c r="B870" t="s">
        <v>55</v>
      </c>
      <c r="C870" s="95">
        <v>800</v>
      </c>
      <c r="D870" s="95"/>
      <c r="E870" t="s">
        <v>778</v>
      </c>
      <c r="F870" s="108" t="s">
        <v>108</v>
      </c>
    </row>
    <row r="871" spans="1:6" x14ac:dyDescent="0.3">
      <c r="A871" s="38">
        <v>46195</v>
      </c>
      <c r="B871" t="s">
        <v>298</v>
      </c>
      <c r="C871" s="95">
        <v>15000</v>
      </c>
      <c r="D871" s="95"/>
      <c r="E871" t="s">
        <v>693</v>
      </c>
      <c r="F871" s="108" t="s">
        <v>108</v>
      </c>
    </row>
    <row r="872" spans="1:6" x14ac:dyDescent="0.3">
      <c r="A872" s="38">
        <v>46195</v>
      </c>
      <c r="B872" t="s">
        <v>357</v>
      </c>
      <c r="C872" s="95">
        <v>2400</v>
      </c>
      <c r="D872" s="95"/>
      <c r="E872" t="s">
        <v>535</v>
      </c>
      <c r="F872" s="108" t="s">
        <v>108</v>
      </c>
    </row>
    <row r="873" spans="1:6" x14ac:dyDescent="0.3">
      <c r="A873" s="38">
        <v>46195</v>
      </c>
      <c r="B873" t="s">
        <v>488</v>
      </c>
      <c r="C873" s="95">
        <v>5000</v>
      </c>
      <c r="D873" s="95"/>
      <c r="E873" t="s">
        <v>712</v>
      </c>
      <c r="F873" s="108" t="s">
        <v>108</v>
      </c>
    </row>
    <row r="874" spans="1:6" x14ac:dyDescent="0.3">
      <c r="A874" s="38">
        <v>46195</v>
      </c>
      <c r="B874" t="s">
        <v>253</v>
      </c>
      <c r="C874" s="95">
        <v>86333</v>
      </c>
      <c r="D874" s="95"/>
      <c r="E874" t="s">
        <v>770</v>
      </c>
      <c r="F874" s="108" t="s">
        <v>108</v>
      </c>
    </row>
    <row r="875" spans="1:6" x14ac:dyDescent="0.3">
      <c r="A875" s="38">
        <v>46195</v>
      </c>
      <c r="B875" t="s">
        <v>246</v>
      </c>
      <c r="C875" s="95">
        <f>5000+2200</f>
        <v>7200</v>
      </c>
      <c r="D875" s="95"/>
      <c r="E875" t="s">
        <v>779</v>
      </c>
      <c r="F875" s="108" t="s">
        <v>108</v>
      </c>
    </row>
    <row r="876" spans="1:6" x14ac:dyDescent="0.3">
      <c r="A876" s="38">
        <v>46195</v>
      </c>
      <c r="B876" t="s">
        <v>244</v>
      </c>
      <c r="C876" s="95">
        <v>2000</v>
      </c>
      <c r="D876" s="95"/>
      <c r="E876" t="s">
        <v>780</v>
      </c>
      <c r="F876" s="108" t="s">
        <v>108</v>
      </c>
    </row>
    <row r="877" spans="1:6" x14ac:dyDescent="0.3">
      <c r="A877" s="38">
        <v>46195</v>
      </c>
      <c r="B877" t="s">
        <v>500</v>
      </c>
      <c r="C877" s="95"/>
      <c r="D877" s="95">
        <v>300000</v>
      </c>
      <c r="E877" t="s">
        <v>109</v>
      </c>
      <c r="F877" s="108" t="s">
        <v>108</v>
      </c>
    </row>
    <row r="878" spans="1:6" x14ac:dyDescent="0.3">
      <c r="A878" s="38">
        <v>46195</v>
      </c>
      <c r="B878" t="s">
        <v>666</v>
      </c>
      <c r="C878" s="95"/>
      <c r="D878" s="95">
        <v>100000</v>
      </c>
      <c r="E878" t="s">
        <v>109</v>
      </c>
      <c r="F878" s="108" t="s">
        <v>108</v>
      </c>
    </row>
    <row r="879" spans="1:6" x14ac:dyDescent="0.3">
      <c r="A879" s="38">
        <v>46195</v>
      </c>
      <c r="B879" t="s">
        <v>219</v>
      </c>
      <c r="C879" s="95">
        <v>300000</v>
      </c>
      <c r="D879" s="11"/>
      <c r="E879" t="s">
        <v>500</v>
      </c>
      <c r="F879" s="108" t="s">
        <v>108</v>
      </c>
    </row>
    <row r="880" spans="1:6" x14ac:dyDescent="0.3">
      <c r="A880" s="38">
        <v>46195</v>
      </c>
      <c r="B880" t="s">
        <v>219</v>
      </c>
      <c r="C880" s="95">
        <v>100000</v>
      </c>
      <c r="D880" s="11"/>
      <c r="E880" t="s">
        <v>666</v>
      </c>
      <c r="F880" s="108" t="s">
        <v>108</v>
      </c>
    </row>
    <row r="881" spans="1:11" x14ac:dyDescent="0.3">
      <c r="A881" s="38">
        <v>46195</v>
      </c>
      <c r="B881" t="s">
        <v>219</v>
      </c>
      <c r="C881" s="95"/>
      <c r="D881" s="95">
        <v>200000</v>
      </c>
      <c r="E881" t="s">
        <v>781</v>
      </c>
      <c r="F881" s="108" t="s">
        <v>108</v>
      </c>
    </row>
    <row r="882" spans="1:11" x14ac:dyDescent="0.3">
      <c r="A882" s="38">
        <v>46195</v>
      </c>
      <c r="B882" t="s">
        <v>115</v>
      </c>
      <c r="C882" s="95">
        <v>200000</v>
      </c>
      <c r="D882" s="95"/>
      <c r="E882" t="s">
        <v>782</v>
      </c>
      <c r="F882" s="108" t="s">
        <v>108</v>
      </c>
    </row>
    <row r="883" spans="1:11" x14ac:dyDescent="0.3">
      <c r="A883" s="111">
        <v>46195</v>
      </c>
      <c r="B883" t="s">
        <v>55</v>
      </c>
      <c r="C883" s="95">
        <v>500</v>
      </c>
      <c r="D883" s="95"/>
      <c r="F883" s="108" t="s">
        <v>108</v>
      </c>
    </row>
    <row r="884" spans="1:11" x14ac:dyDescent="0.3">
      <c r="A884" s="111">
        <v>46196</v>
      </c>
      <c r="B884" t="s">
        <v>116</v>
      </c>
      <c r="C884" s="11">
        <v>18500</v>
      </c>
      <c r="D884" s="11"/>
      <c r="E884" t="s">
        <v>163</v>
      </c>
      <c r="F884" s="108" t="s">
        <v>108</v>
      </c>
    </row>
    <row r="885" spans="1:11" x14ac:dyDescent="0.3">
      <c r="A885" s="111">
        <v>46196</v>
      </c>
      <c r="B885" t="s">
        <v>219</v>
      </c>
      <c r="C885" s="11"/>
      <c r="D885" s="11">
        <v>18500</v>
      </c>
      <c r="E885" t="s">
        <v>163</v>
      </c>
      <c r="F885" s="108" t="s">
        <v>108</v>
      </c>
    </row>
    <row r="886" spans="1:11" x14ac:dyDescent="0.3">
      <c r="A886" s="111">
        <v>46196</v>
      </c>
      <c r="B886" t="s">
        <v>244</v>
      </c>
      <c r="C886" s="11">
        <v>5640</v>
      </c>
      <c r="D886" s="11"/>
      <c r="E886" t="s">
        <v>789</v>
      </c>
      <c r="F886" s="108" t="s">
        <v>108</v>
      </c>
    </row>
    <row r="887" spans="1:11" x14ac:dyDescent="0.3">
      <c r="A887" s="111">
        <v>46196</v>
      </c>
      <c r="B887" t="s">
        <v>175</v>
      </c>
      <c r="C887" s="11">
        <v>27000</v>
      </c>
      <c r="D887" s="11"/>
      <c r="E887" t="s">
        <v>790</v>
      </c>
      <c r="F887" s="108" t="s">
        <v>108</v>
      </c>
    </row>
    <row r="888" spans="1:11" x14ac:dyDescent="0.3">
      <c r="A888" s="111">
        <v>46196</v>
      </c>
      <c r="B888" t="s">
        <v>219</v>
      </c>
      <c r="C888" s="11"/>
      <c r="D888" s="11">
        <v>27000</v>
      </c>
      <c r="E888" t="s">
        <v>568</v>
      </c>
      <c r="F888" s="108" t="s">
        <v>108</v>
      </c>
    </row>
    <row r="889" spans="1:11" x14ac:dyDescent="0.3">
      <c r="A889" s="111">
        <v>46196</v>
      </c>
      <c r="B889" t="s">
        <v>357</v>
      </c>
      <c r="C889" s="11">
        <v>6600</v>
      </c>
      <c r="D889" s="11"/>
      <c r="E889" t="s">
        <v>535</v>
      </c>
      <c r="F889" s="108" t="s">
        <v>108</v>
      </c>
    </row>
    <row r="890" spans="1:11" x14ac:dyDescent="0.3">
      <c r="A890" s="111">
        <v>46196</v>
      </c>
      <c r="B890" t="s">
        <v>792</v>
      </c>
      <c r="C890" s="11"/>
      <c r="D890" s="11">
        <v>50000</v>
      </c>
      <c r="E890" t="s">
        <v>791</v>
      </c>
      <c r="F890" s="108" t="s">
        <v>108</v>
      </c>
    </row>
    <row r="891" spans="1:11" x14ac:dyDescent="0.3">
      <c r="A891" s="111">
        <v>46196</v>
      </c>
      <c r="B891" t="s">
        <v>269</v>
      </c>
      <c r="C891" s="11">
        <v>15000</v>
      </c>
      <c r="D891" s="11"/>
      <c r="E891" t="s">
        <v>700</v>
      </c>
      <c r="F891" s="108" t="s">
        <v>108</v>
      </c>
    </row>
    <row r="892" spans="1:11" x14ac:dyDescent="0.3">
      <c r="A892" s="111">
        <v>46196</v>
      </c>
      <c r="B892" t="s">
        <v>269</v>
      </c>
      <c r="C892" s="11">
        <v>35000</v>
      </c>
      <c r="D892" s="11"/>
      <c r="E892" t="s">
        <v>793</v>
      </c>
      <c r="F892" s="108" t="s">
        <v>108</v>
      </c>
    </row>
    <row r="893" spans="1:11" x14ac:dyDescent="0.3">
      <c r="A893" s="111">
        <v>46196</v>
      </c>
      <c r="B893" t="s">
        <v>674</v>
      </c>
      <c r="C893" s="11">
        <v>150000</v>
      </c>
      <c r="D893" s="11"/>
      <c r="E893" t="s">
        <v>794</v>
      </c>
      <c r="F893" s="108" t="s">
        <v>108</v>
      </c>
    </row>
    <row r="894" spans="1:11" x14ac:dyDescent="0.3">
      <c r="A894" s="111">
        <v>46196</v>
      </c>
      <c r="B894" t="s">
        <v>269</v>
      </c>
      <c r="C894" s="11">
        <v>10000</v>
      </c>
      <c r="D894" s="11"/>
      <c r="E894" t="s">
        <v>288</v>
      </c>
      <c r="F894" s="108" t="s">
        <v>108</v>
      </c>
    </row>
    <row r="895" spans="1:11" x14ac:dyDescent="0.3">
      <c r="A895" s="111">
        <v>46196</v>
      </c>
      <c r="B895" t="s">
        <v>219</v>
      </c>
      <c r="C895" s="11"/>
      <c r="D895" s="11">
        <v>153000</v>
      </c>
      <c r="E895" t="s">
        <v>795</v>
      </c>
      <c r="F895" s="108" t="s">
        <v>108</v>
      </c>
    </row>
    <row r="896" spans="1:11" x14ac:dyDescent="0.3">
      <c r="A896" s="111">
        <v>46196</v>
      </c>
      <c r="B896" t="s">
        <v>367</v>
      </c>
      <c r="C896" s="11"/>
      <c r="D896" s="11">
        <v>4806</v>
      </c>
      <c r="E896" t="s">
        <v>861</v>
      </c>
      <c r="F896" s="108" t="s">
        <v>108</v>
      </c>
      <c r="I896">
        <v>330000</v>
      </c>
      <c r="J896">
        <v>25600</v>
      </c>
      <c r="K896">
        <v>155000</v>
      </c>
    </row>
    <row r="897" spans="1:11" x14ac:dyDescent="0.3">
      <c r="A897" s="111">
        <v>46196</v>
      </c>
      <c r="B897" t="s">
        <v>488</v>
      </c>
      <c r="C897" s="11">
        <v>4806</v>
      </c>
      <c r="D897" s="11"/>
      <c r="E897" t="s">
        <v>250</v>
      </c>
      <c r="F897" s="108" t="s">
        <v>108</v>
      </c>
      <c r="I897">
        <v>80000</v>
      </c>
      <c r="J897">
        <v>36800</v>
      </c>
      <c r="K897">
        <v>5350</v>
      </c>
    </row>
    <row r="898" spans="1:11" x14ac:dyDescent="0.3">
      <c r="A898" s="111">
        <v>46197</v>
      </c>
      <c r="B898" t="s">
        <v>776</v>
      </c>
      <c r="C898" s="95"/>
      <c r="D898" s="95">
        <v>170000</v>
      </c>
      <c r="F898" s="108" t="s">
        <v>108</v>
      </c>
      <c r="J898">
        <v>22800</v>
      </c>
      <c r="K898">
        <v>20000</v>
      </c>
    </row>
    <row r="899" spans="1:11" x14ac:dyDescent="0.3">
      <c r="A899" s="111">
        <v>46197</v>
      </c>
      <c r="B899" t="s">
        <v>219</v>
      </c>
      <c r="C899" s="11">
        <v>170000</v>
      </c>
      <c r="D899" s="11"/>
      <c r="E899" t="s">
        <v>776</v>
      </c>
      <c r="F899" s="108" t="s">
        <v>108</v>
      </c>
      <c r="I899">
        <v>70000</v>
      </c>
      <c r="J899">
        <v>31400</v>
      </c>
      <c r="K899">
        <v>30000</v>
      </c>
    </row>
    <row r="900" spans="1:11" x14ac:dyDescent="0.3">
      <c r="A900" s="111">
        <v>46197</v>
      </c>
      <c r="B900" t="s">
        <v>357</v>
      </c>
      <c r="C900" s="11">
        <v>1670</v>
      </c>
      <c r="D900" s="11"/>
      <c r="F900" s="108" t="s">
        <v>108</v>
      </c>
      <c r="I900">
        <v>50000</v>
      </c>
      <c r="J900">
        <v>35600</v>
      </c>
      <c r="K900">
        <v>22000</v>
      </c>
    </row>
    <row r="901" spans="1:11" x14ac:dyDescent="0.3">
      <c r="A901" s="111">
        <v>46197</v>
      </c>
      <c r="B901" t="s">
        <v>219</v>
      </c>
      <c r="C901" s="11"/>
      <c r="D901" s="11">
        <v>87000</v>
      </c>
      <c r="E901" t="s">
        <v>540</v>
      </c>
      <c r="F901" s="108" t="s">
        <v>108</v>
      </c>
      <c r="I901">
        <v>194000</v>
      </c>
      <c r="J901">
        <v>30000</v>
      </c>
      <c r="K901">
        <v>22400</v>
      </c>
    </row>
    <row r="902" spans="1:11" x14ac:dyDescent="0.3">
      <c r="A902" s="38">
        <v>46197</v>
      </c>
      <c r="B902" t="s">
        <v>55</v>
      </c>
      <c r="C902" s="11">
        <v>39300</v>
      </c>
      <c r="D902" s="11"/>
      <c r="E902" t="s">
        <v>796</v>
      </c>
      <c r="F902" s="108" t="s">
        <v>108</v>
      </c>
      <c r="J902">
        <v>30000</v>
      </c>
      <c r="K902">
        <v>4650</v>
      </c>
    </row>
    <row r="903" spans="1:11" x14ac:dyDescent="0.3">
      <c r="A903" s="38">
        <v>46197</v>
      </c>
      <c r="B903" t="s">
        <v>55</v>
      </c>
      <c r="C903" s="11">
        <v>850</v>
      </c>
      <c r="D903" s="11"/>
      <c r="F903" s="108" t="s">
        <v>108</v>
      </c>
      <c r="J903">
        <v>24600</v>
      </c>
      <c r="K903">
        <v>22650</v>
      </c>
    </row>
    <row r="904" spans="1:11" x14ac:dyDescent="0.3">
      <c r="A904" s="38">
        <v>46197</v>
      </c>
      <c r="B904" t="s">
        <v>246</v>
      </c>
      <c r="C904" s="11">
        <v>5200</v>
      </c>
      <c r="D904" s="11"/>
      <c r="E904" t="s">
        <v>282</v>
      </c>
      <c r="F904" s="108" t="s">
        <v>108</v>
      </c>
      <c r="J904">
        <v>25800</v>
      </c>
      <c r="K904">
        <v>18300</v>
      </c>
    </row>
    <row r="905" spans="1:11" x14ac:dyDescent="0.3">
      <c r="A905" s="38">
        <v>46197</v>
      </c>
      <c r="B905" t="s">
        <v>219</v>
      </c>
      <c r="C905" s="11"/>
      <c r="D905" s="11">
        <v>50000</v>
      </c>
      <c r="E905" t="s">
        <v>797</v>
      </c>
      <c r="F905" s="108" t="s">
        <v>108</v>
      </c>
      <c r="J905">
        <v>24600</v>
      </c>
      <c r="K905">
        <v>20450</v>
      </c>
    </row>
    <row r="906" spans="1:11" x14ac:dyDescent="0.3">
      <c r="A906" s="38">
        <v>46197</v>
      </c>
      <c r="B906" t="s">
        <v>425</v>
      </c>
      <c r="C906" s="95">
        <v>50000</v>
      </c>
      <c r="D906" s="95"/>
      <c r="E906" t="s">
        <v>798</v>
      </c>
      <c r="F906" s="108" t="s">
        <v>108</v>
      </c>
      <c r="J906">
        <v>20000</v>
      </c>
      <c r="K906">
        <v>21450</v>
      </c>
    </row>
    <row r="907" spans="1:11" x14ac:dyDescent="0.3">
      <c r="A907" s="38">
        <v>46197</v>
      </c>
      <c r="B907" t="s">
        <v>219</v>
      </c>
      <c r="C907" s="95"/>
      <c r="D907" s="95">
        <v>36000</v>
      </c>
      <c r="E907" t="s">
        <v>799</v>
      </c>
      <c r="F907" s="108" t="s">
        <v>108</v>
      </c>
      <c r="J907">
        <v>28350</v>
      </c>
      <c r="K907">
        <v>20450</v>
      </c>
    </row>
    <row r="908" spans="1:11" x14ac:dyDescent="0.3">
      <c r="A908" s="111">
        <v>46197</v>
      </c>
      <c r="B908" t="s">
        <v>244</v>
      </c>
      <c r="C908" s="95">
        <v>40000</v>
      </c>
      <c r="D908" s="95"/>
      <c r="E908" t="s">
        <v>800</v>
      </c>
      <c r="F908" s="108" t="s">
        <v>108</v>
      </c>
      <c r="J908">
        <v>20450</v>
      </c>
      <c r="K908">
        <v>28350</v>
      </c>
    </row>
    <row r="909" spans="1:11" x14ac:dyDescent="0.3">
      <c r="A909" s="38">
        <v>46197</v>
      </c>
      <c r="B909" t="s">
        <v>211</v>
      </c>
      <c r="C909" s="95">
        <v>1450</v>
      </c>
      <c r="D909" s="95"/>
      <c r="F909" s="108" t="s">
        <v>108</v>
      </c>
      <c r="J909">
        <v>21450</v>
      </c>
      <c r="K909">
        <v>20000</v>
      </c>
    </row>
    <row r="910" spans="1:11" x14ac:dyDescent="0.3">
      <c r="A910" s="38">
        <v>46198</v>
      </c>
      <c r="B910" t="s">
        <v>219</v>
      </c>
      <c r="C910" s="95"/>
      <c r="D910" s="95">
        <v>50000</v>
      </c>
      <c r="E910" t="s">
        <v>801</v>
      </c>
      <c r="F910" s="108" t="s">
        <v>108</v>
      </c>
      <c r="J910">
        <v>20450</v>
      </c>
      <c r="K910">
        <v>24600</v>
      </c>
    </row>
    <row r="911" spans="1:11" x14ac:dyDescent="0.3">
      <c r="A911" s="38">
        <v>46198</v>
      </c>
      <c r="B911" t="s">
        <v>253</v>
      </c>
      <c r="C911" s="95">
        <v>60000</v>
      </c>
      <c r="D911" s="95"/>
      <c r="E911" t="s">
        <v>802</v>
      </c>
      <c r="F911" s="108" t="s">
        <v>108</v>
      </c>
      <c r="J911">
        <v>18300</v>
      </c>
      <c r="K911">
        <v>25800</v>
      </c>
    </row>
    <row r="912" spans="1:11" x14ac:dyDescent="0.3">
      <c r="A912" s="38">
        <v>46198</v>
      </c>
      <c r="B912" t="s">
        <v>246</v>
      </c>
      <c r="C912" s="95">
        <v>5200</v>
      </c>
      <c r="D912" s="95"/>
      <c r="E912" t="s">
        <v>282</v>
      </c>
      <c r="F912" s="108" t="s">
        <v>108</v>
      </c>
      <c r="J912">
        <v>22650</v>
      </c>
      <c r="K912">
        <v>24600</v>
      </c>
    </row>
    <row r="913" spans="1:11" x14ac:dyDescent="0.3">
      <c r="A913" s="38">
        <v>46198</v>
      </c>
      <c r="B913" t="s">
        <v>488</v>
      </c>
      <c r="C913" s="95">
        <v>4111</v>
      </c>
      <c r="D913" s="95"/>
      <c r="E913" t="s">
        <v>259</v>
      </c>
      <c r="F913" s="108" t="s">
        <v>108</v>
      </c>
      <c r="J913">
        <v>4650</v>
      </c>
      <c r="K913">
        <v>30000</v>
      </c>
    </row>
    <row r="914" spans="1:11" x14ac:dyDescent="0.3">
      <c r="A914" s="38">
        <v>46198</v>
      </c>
      <c r="B914" t="s">
        <v>55</v>
      </c>
      <c r="C914" s="95">
        <v>2000</v>
      </c>
      <c r="D914" s="95"/>
      <c r="F914" s="108" t="s">
        <v>108</v>
      </c>
      <c r="J914">
        <v>22400</v>
      </c>
      <c r="K914">
        <v>30000</v>
      </c>
    </row>
    <row r="915" spans="1:11" x14ac:dyDescent="0.3">
      <c r="A915" s="38">
        <v>46198</v>
      </c>
      <c r="B915" t="s">
        <v>386</v>
      </c>
      <c r="C915" s="95">
        <v>1500</v>
      </c>
      <c r="D915" s="95"/>
      <c r="E915" t="s">
        <v>803</v>
      </c>
      <c r="F915" s="108" t="s">
        <v>108</v>
      </c>
      <c r="J915">
        <v>22000</v>
      </c>
      <c r="K915">
        <v>35600</v>
      </c>
    </row>
    <row r="916" spans="1:11" x14ac:dyDescent="0.3">
      <c r="A916" s="38">
        <v>46198</v>
      </c>
      <c r="B916" t="s">
        <v>253</v>
      </c>
      <c r="C916" s="95">
        <v>9650</v>
      </c>
      <c r="D916" s="95"/>
      <c r="E916" t="s">
        <v>804</v>
      </c>
      <c r="F916" s="108" t="s">
        <v>108</v>
      </c>
      <c r="J916">
        <v>30000</v>
      </c>
      <c r="K916">
        <v>31400</v>
      </c>
    </row>
    <row r="917" spans="1:11" x14ac:dyDescent="0.3">
      <c r="A917" s="38">
        <v>46198</v>
      </c>
      <c r="B917" t="s">
        <v>386</v>
      </c>
      <c r="C917" s="95">
        <v>4000</v>
      </c>
      <c r="D917" s="95"/>
      <c r="E917" t="s">
        <v>809</v>
      </c>
      <c r="F917" s="108" t="s">
        <v>108</v>
      </c>
      <c r="J917">
        <v>20000</v>
      </c>
      <c r="K917">
        <v>22800</v>
      </c>
    </row>
    <row r="918" spans="1:11" x14ac:dyDescent="0.3">
      <c r="A918" s="38">
        <v>46200</v>
      </c>
      <c r="B918" t="s">
        <v>211</v>
      </c>
      <c r="C918" s="95">
        <v>1800</v>
      </c>
      <c r="D918" s="95"/>
      <c r="F918" s="108" t="s">
        <v>108</v>
      </c>
      <c r="J918">
        <v>5350</v>
      </c>
      <c r="K918">
        <v>36800</v>
      </c>
    </row>
    <row r="919" spans="1:11" x14ac:dyDescent="0.3">
      <c r="A919" s="38">
        <v>46200</v>
      </c>
      <c r="B919" t="s">
        <v>219</v>
      </c>
      <c r="C919" s="95"/>
      <c r="D919" s="95">
        <v>10000</v>
      </c>
      <c r="E919" t="s">
        <v>320</v>
      </c>
      <c r="F919" s="108" t="s">
        <v>108</v>
      </c>
      <c r="J919">
        <v>155000</v>
      </c>
      <c r="K919">
        <v>25600</v>
      </c>
    </row>
    <row r="920" spans="1:11" x14ac:dyDescent="0.3">
      <c r="A920" s="38">
        <v>46200</v>
      </c>
      <c r="B920" t="s">
        <v>269</v>
      </c>
      <c r="C920" s="95">
        <v>10000</v>
      </c>
      <c r="D920" s="95"/>
      <c r="E920" t="s">
        <v>665</v>
      </c>
      <c r="F920" s="108" t="s">
        <v>108</v>
      </c>
    </row>
    <row r="921" spans="1:11" x14ac:dyDescent="0.3">
      <c r="A921" s="38">
        <v>46201</v>
      </c>
      <c r="B921" t="s">
        <v>219</v>
      </c>
      <c r="C921" s="95"/>
      <c r="D921" s="95">
        <v>10000</v>
      </c>
      <c r="E921" t="s">
        <v>805</v>
      </c>
      <c r="F921" s="108" t="s">
        <v>108</v>
      </c>
    </row>
    <row r="922" spans="1:11" x14ac:dyDescent="0.3">
      <c r="A922" s="38">
        <v>46201</v>
      </c>
      <c r="B922" t="s">
        <v>357</v>
      </c>
      <c r="C922" s="95">
        <v>10110</v>
      </c>
      <c r="D922" s="95"/>
      <c r="F922" s="108" t="s">
        <v>108</v>
      </c>
    </row>
    <row r="923" spans="1:11" x14ac:dyDescent="0.3">
      <c r="A923" s="38">
        <v>46202</v>
      </c>
      <c r="B923" t="s">
        <v>367</v>
      </c>
      <c r="C923" s="95"/>
      <c r="D923" s="95">
        <v>420000</v>
      </c>
      <c r="E923" t="s">
        <v>806</v>
      </c>
      <c r="F923" s="108" t="s">
        <v>108</v>
      </c>
    </row>
    <row r="924" spans="1:11" x14ac:dyDescent="0.3">
      <c r="A924" s="111">
        <v>46202</v>
      </c>
      <c r="B924" t="s">
        <v>222</v>
      </c>
      <c r="C924" s="95">
        <v>300000</v>
      </c>
      <c r="D924" s="95"/>
      <c r="E924" t="s">
        <v>807</v>
      </c>
      <c r="F924" s="108" t="s">
        <v>108</v>
      </c>
    </row>
    <row r="925" spans="1:11" x14ac:dyDescent="0.3">
      <c r="A925" s="111">
        <v>46202</v>
      </c>
      <c r="B925" t="s">
        <v>269</v>
      </c>
      <c r="C925" s="95">
        <v>15000</v>
      </c>
      <c r="D925" s="95"/>
      <c r="E925" t="s">
        <v>808</v>
      </c>
      <c r="F925" s="108" t="s">
        <v>108</v>
      </c>
    </row>
    <row r="926" spans="1:11" x14ac:dyDescent="0.3">
      <c r="A926" s="111">
        <v>46202</v>
      </c>
      <c r="B926" t="s">
        <v>386</v>
      </c>
      <c r="C926" s="95">
        <v>420</v>
      </c>
      <c r="D926" s="95"/>
      <c r="F926" s="108" t="s">
        <v>108</v>
      </c>
    </row>
    <row r="927" spans="1:11" x14ac:dyDescent="0.3">
      <c r="A927" s="111">
        <v>46202</v>
      </c>
      <c r="B927" t="s">
        <v>500</v>
      </c>
      <c r="C927" s="95"/>
      <c r="D927" s="95">
        <v>350000</v>
      </c>
      <c r="E927" t="s">
        <v>21</v>
      </c>
      <c r="F927" s="108" t="s">
        <v>108</v>
      </c>
    </row>
    <row r="928" spans="1:11" x14ac:dyDescent="0.3">
      <c r="A928" s="111">
        <v>46202</v>
      </c>
      <c r="B928" t="s">
        <v>219</v>
      </c>
      <c r="C928" s="95">
        <v>350000</v>
      </c>
      <c r="D928" s="95"/>
      <c r="E928" t="s">
        <v>500</v>
      </c>
      <c r="F928" s="108" t="s">
        <v>108</v>
      </c>
    </row>
    <row r="929" spans="1:6" x14ac:dyDescent="0.3">
      <c r="A929" s="111">
        <v>46203</v>
      </c>
      <c r="B929" t="s">
        <v>357</v>
      </c>
      <c r="C929" s="95">
        <v>6600</v>
      </c>
      <c r="D929" s="95"/>
      <c r="F929" s="108" t="s">
        <v>108</v>
      </c>
    </row>
    <row r="930" spans="1:6" x14ac:dyDescent="0.3">
      <c r="A930" s="111">
        <v>46203</v>
      </c>
      <c r="B930" t="s">
        <v>55</v>
      </c>
      <c r="C930" s="11">
        <v>10000</v>
      </c>
      <c r="D930" s="11"/>
      <c r="E930" t="s">
        <v>810</v>
      </c>
      <c r="F930" s="108" t="s">
        <v>108</v>
      </c>
    </row>
    <row r="931" spans="1:6" x14ac:dyDescent="0.3">
      <c r="A931" s="111">
        <v>46203</v>
      </c>
      <c r="B931" t="s">
        <v>253</v>
      </c>
      <c r="C931" s="11">
        <v>20000</v>
      </c>
      <c r="D931" s="11"/>
      <c r="E931" t="s">
        <v>260</v>
      </c>
      <c r="F931" s="108" t="s">
        <v>108</v>
      </c>
    </row>
    <row r="932" spans="1:6" x14ac:dyDescent="0.3">
      <c r="A932" s="111">
        <v>46203</v>
      </c>
      <c r="B932" t="s">
        <v>219</v>
      </c>
      <c r="C932" s="11"/>
      <c r="D932" s="11">
        <v>5000</v>
      </c>
      <c r="F932" s="108" t="s">
        <v>108</v>
      </c>
    </row>
    <row r="933" spans="1:6" x14ac:dyDescent="0.3">
      <c r="A933" s="111">
        <v>46203</v>
      </c>
      <c r="B933" t="s">
        <v>55</v>
      </c>
      <c r="C933" s="11">
        <v>5000</v>
      </c>
      <c r="D933" s="11"/>
      <c r="F933" s="108" t="s">
        <v>108</v>
      </c>
    </row>
    <row r="934" spans="1:6" x14ac:dyDescent="0.3">
      <c r="A934" s="111">
        <v>46204</v>
      </c>
      <c r="B934" t="s">
        <v>219</v>
      </c>
      <c r="C934" s="11"/>
      <c r="D934" s="11">
        <v>23750</v>
      </c>
      <c r="E934" t="s">
        <v>568</v>
      </c>
      <c r="F934" s="108" t="s">
        <v>108</v>
      </c>
    </row>
    <row r="935" spans="1:6" x14ac:dyDescent="0.3">
      <c r="A935" s="111">
        <v>46204</v>
      </c>
      <c r="B935" t="s">
        <v>175</v>
      </c>
      <c r="C935" s="11">
        <v>23750</v>
      </c>
      <c r="D935" s="11"/>
      <c r="E935" t="s">
        <v>116</v>
      </c>
      <c r="F935" s="108" t="s">
        <v>108</v>
      </c>
    </row>
    <row r="936" spans="1:6" x14ac:dyDescent="0.3">
      <c r="A936" s="111">
        <v>46204</v>
      </c>
      <c r="B936" t="s">
        <v>394</v>
      </c>
      <c r="C936" s="11">
        <v>24000</v>
      </c>
      <c r="D936" s="11"/>
      <c r="E936" t="s">
        <v>811</v>
      </c>
      <c r="F936" s="108" t="s">
        <v>108</v>
      </c>
    </row>
    <row r="937" spans="1:6" x14ac:dyDescent="0.3">
      <c r="A937" s="111">
        <v>46204</v>
      </c>
      <c r="B937" t="s">
        <v>219</v>
      </c>
      <c r="C937" s="11"/>
      <c r="D937" s="11">
        <v>24000</v>
      </c>
      <c r="E937" t="s">
        <v>394</v>
      </c>
      <c r="F937" s="108" t="s">
        <v>108</v>
      </c>
    </row>
    <row r="938" spans="1:6" x14ac:dyDescent="0.3">
      <c r="A938" s="111">
        <v>46204</v>
      </c>
      <c r="B938" t="s">
        <v>55</v>
      </c>
      <c r="C938" s="11">
        <v>7000</v>
      </c>
      <c r="D938" s="11"/>
      <c r="F938" s="108" t="s">
        <v>108</v>
      </c>
    </row>
    <row r="939" spans="1:6" x14ac:dyDescent="0.3">
      <c r="A939" s="38">
        <v>46204</v>
      </c>
      <c r="B939" t="s">
        <v>253</v>
      </c>
      <c r="C939" s="11">
        <v>15000</v>
      </c>
      <c r="D939" s="11"/>
      <c r="E939" t="s">
        <v>812</v>
      </c>
      <c r="F939" s="108" t="s">
        <v>108</v>
      </c>
    </row>
    <row r="940" spans="1:6" x14ac:dyDescent="0.3">
      <c r="A940" s="38">
        <v>46204</v>
      </c>
      <c r="B940" t="s">
        <v>219</v>
      </c>
      <c r="C940" s="11"/>
      <c r="D940" s="11">
        <v>175000</v>
      </c>
      <c r="E940" t="s">
        <v>813</v>
      </c>
      <c r="F940" s="108" t="s">
        <v>108</v>
      </c>
    </row>
    <row r="941" spans="1:6" x14ac:dyDescent="0.3">
      <c r="A941" s="38">
        <v>46204</v>
      </c>
      <c r="B941" t="s">
        <v>674</v>
      </c>
      <c r="C941" s="11">
        <v>200000</v>
      </c>
      <c r="D941" s="11"/>
      <c r="E941" t="s">
        <v>814</v>
      </c>
      <c r="F941" s="108" t="s">
        <v>108</v>
      </c>
    </row>
    <row r="942" spans="1:6" x14ac:dyDescent="0.3">
      <c r="A942" s="38">
        <v>46204</v>
      </c>
      <c r="B942" t="s">
        <v>244</v>
      </c>
      <c r="C942" s="11">
        <v>15000</v>
      </c>
      <c r="D942" s="11"/>
      <c r="E942" t="s">
        <v>815</v>
      </c>
      <c r="F942" s="108" t="s">
        <v>108</v>
      </c>
    </row>
    <row r="943" spans="1:6" x14ac:dyDescent="0.3">
      <c r="A943" s="38">
        <v>46204</v>
      </c>
      <c r="B943" t="s">
        <v>55</v>
      </c>
      <c r="C943" s="11">
        <v>7000</v>
      </c>
      <c r="D943" s="11"/>
      <c r="E943" t="s">
        <v>810</v>
      </c>
      <c r="F943" s="108" t="s">
        <v>108</v>
      </c>
    </row>
    <row r="944" spans="1:6" x14ac:dyDescent="0.3">
      <c r="A944" s="38">
        <v>46204</v>
      </c>
      <c r="B944" t="s">
        <v>219</v>
      </c>
      <c r="C944" s="11"/>
      <c r="D944" s="11">
        <v>7000</v>
      </c>
      <c r="E944" t="s">
        <v>816</v>
      </c>
      <c r="F944" s="108" t="s">
        <v>108</v>
      </c>
    </row>
    <row r="945" spans="1:9" x14ac:dyDescent="0.3">
      <c r="A945" s="38">
        <v>46205</v>
      </c>
      <c r="B945" t="s">
        <v>219</v>
      </c>
      <c r="C945" s="95"/>
      <c r="D945" s="95">
        <v>400000</v>
      </c>
      <c r="E945" t="s">
        <v>817</v>
      </c>
      <c r="F945" s="108" t="s">
        <v>108</v>
      </c>
    </row>
    <row r="946" spans="1:9" x14ac:dyDescent="0.3">
      <c r="A946" s="38">
        <v>46205</v>
      </c>
      <c r="B946" t="s">
        <v>517</v>
      </c>
      <c r="C946" s="95">
        <v>400000</v>
      </c>
      <c r="D946" s="95"/>
      <c r="E946" t="s">
        <v>818</v>
      </c>
      <c r="F946" s="108" t="s">
        <v>108</v>
      </c>
      <c r="I946">
        <v>5500</v>
      </c>
    </row>
    <row r="947" spans="1:9" x14ac:dyDescent="0.3">
      <c r="A947" s="38">
        <v>46205</v>
      </c>
      <c r="B947" t="s">
        <v>819</v>
      </c>
      <c r="C947" s="95">
        <v>53500</v>
      </c>
      <c r="D947" s="95"/>
      <c r="E947" t="s">
        <v>820</v>
      </c>
      <c r="F947" s="108" t="s">
        <v>108</v>
      </c>
      <c r="I947">
        <v>11000</v>
      </c>
    </row>
    <row r="948" spans="1:9" x14ac:dyDescent="0.3">
      <c r="A948" s="38">
        <v>46205</v>
      </c>
      <c r="B948" t="s">
        <v>219</v>
      </c>
      <c r="C948" s="95"/>
      <c r="D948" s="95">
        <v>53500</v>
      </c>
      <c r="E948" t="s">
        <v>820</v>
      </c>
      <c r="F948" s="108" t="s">
        <v>108</v>
      </c>
      <c r="I948">
        <v>10200</v>
      </c>
    </row>
    <row r="949" spans="1:9" x14ac:dyDescent="0.3">
      <c r="A949" s="38">
        <v>46205</v>
      </c>
      <c r="B949" t="s">
        <v>246</v>
      </c>
      <c r="C949" s="95">
        <v>52000</v>
      </c>
      <c r="D949" s="95"/>
      <c r="E949" t="s">
        <v>821</v>
      </c>
      <c r="F949" s="108" t="s">
        <v>108</v>
      </c>
      <c r="I949">
        <v>7800</v>
      </c>
    </row>
    <row r="950" spans="1:9" x14ac:dyDescent="0.3">
      <c r="A950" s="38">
        <v>46205</v>
      </c>
      <c r="B950" t="s">
        <v>219</v>
      </c>
      <c r="C950" s="95"/>
      <c r="D950" s="95">
        <v>52000</v>
      </c>
      <c r="E950" t="s">
        <v>821</v>
      </c>
      <c r="F950" s="108" t="s">
        <v>108</v>
      </c>
      <c r="I950">
        <v>80000</v>
      </c>
    </row>
    <row r="951" spans="1:9" x14ac:dyDescent="0.3">
      <c r="A951" s="38">
        <v>46205</v>
      </c>
      <c r="B951" t="s">
        <v>219</v>
      </c>
      <c r="C951" s="95"/>
      <c r="D951" s="95">
        <v>25000</v>
      </c>
      <c r="E951" t="s">
        <v>822</v>
      </c>
      <c r="F951" s="108" t="s">
        <v>108</v>
      </c>
      <c r="I951">
        <v>35000</v>
      </c>
    </row>
    <row r="952" spans="1:9" x14ac:dyDescent="0.3">
      <c r="A952" s="38">
        <v>46205</v>
      </c>
      <c r="B952" t="s">
        <v>244</v>
      </c>
      <c r="C952" s="95">
        <v>15000</v>
      </c>
      <c r="D952" s="95"/>
      <c r="E952" t="s">
        <v>823</v>
      </c>
      <c r="F952" s="108" t="s">
        <v>108</v>
      </c>
      <c r="I952">
        <v>9600</v>
      </c>
    </row>
    <row r="953" spans="1:9" x14ac:dyDescent="0.3">
      <c r="A953" s="38">
        <v>46205</v>
      </c>
      <c r="B953" t="s">
        <v>386</v>
      </c>
      <c r="C953" s="95">
        <v>5700</v>
      </c>
      <c r="D953" s="95"/>
      <c r="E953" t="s">
        <v>824</v>
      </c>
      <c r="F953" s="108" t="s">
        <v>108</v>
      </c>
      <c r="I953">
        <v>7600</v>
      </c>
    </row>
    <row r="954" spans="1:9" x14ac:dyDescent="0.3">
      <c r="A954" s="38">
        <v>46205</v>
      </c>
      <c r="B954" t="s">
        <v>219</v>
      </c>
      <c r="C954" s="95"/>
      <c r="D954" s="95">
        <v>7001</v>
      </c>
      <c r="E954" t="s">
        <v>825</v>
      </c>
      <c r="F954" s="108" t="s">
        <v>108</v>
      </c>
      <c r="I954">
        <v>7200</v>
      </c>
    </row>
    <row r="955" spans="1:9" x14ac:dyDescent="0.3">
      <c r="A955" s="38">
        <v>46205</v>
      </c>
      <c r="B955" t="s">
        <v>826</v>
      </c>
      <c r="C955" s="95">
        <v>7001</v>
      </c>
      <c r="D955" s="95"/>
      <c r="F955" s="108" t="s">
        <v>108</v>
      </c>
      <c r="I955">
        <v>8400</v>
      </c>
    </row>
    <row r="956" spans="1:9" x14ac:dyDescent="0.3">
      <c r="A956" s="38">
        <v>46205</v>
      </c>
      <c r="B956" t="s">
        <v>298</v>
      </c>
      <c r="C956" s="95">
        <v>7000</v>
      </c>
      <c r="D956" s="95"/>
      <c r="E956" t="s">
        <v>693</v>
      </c>
      <c r="F956" s="108" t="s">
        <v>108</v>
      </c>
      <c r="I956">
        <v>7000</v>
      </c>
    </row>
    <row r="957" spans="1:9" x14ac:dyDescent="0.3">
      <c r="A957" s="38">
        <v>46205</v>
      </c>
      <c r="B957" t="s">
        <v>219</v>
      </c>
      <c r="C957" s="95"/>
      <c r="D957" s="95">
        <v>100000</v>
      </c>
      <c r="E957" t="s">
        <v>827</v>
      </c>
      <c r="F957" s="108" t="s">
        <v>108</v>
      </c>
      <c r="I957">
        <v>6150</v>
      </c>
    </row>
    <row r="958" spans="1:9" x14ac:dyDescent="0.3">
      <c r="A958" s="38">
        <v>46205</v>
      </c>
      <c r="B958" t="s">
        <v>211</v>
      </c>
      <c r="C958" s="95">
        <v>540</v>
      </c>
      <c r="D958" s="95"/>
      <c r="F958" s="108" t="s">
        <v>108</v>
      </c>
      <c r="I958">
        <v>7500</v>
      </c>
    </row>
    <row r="959" spans="1:9" x14ac:dyDescent="0.3">
      <c r="A959" s="38">
        <v>46205</v>
      </c>
      <c r="B959" t="s">
        <v>500</v>
      </c>
      <c r="C959" s="95"/>
      <c r="D959" s="95">
        <v>400000</v>
      </c>
      <c r="E959" t="s">
        <v>21</v>
      </c>
      <c r="F959" s="108" t="s">
        <v>108</v>
      </c>
      <c r="I959">
        <v>8400</v>
      </c>
    </row>
    <row r="960" spans="1:9" x14ac:dyDescent="0.3">
      <c r="A960" s="38">
        <v>46205</v>
      </c>
      <c r="B960" t="s">
        <v>219</v>
      </c>
      <c r="C960" s="11">
        <v>400000</v>
      </c>
      <c r="D960" s="11"/>
      <c r="E960" t="s">
        <v>500</v>
      </c>
      <c r="F960" s="108" t="s">
        <v>108</v>
      </c>
      <c r="I960">
        <v>17350</v>
      </c>
    </row>
    <row r="961" spans="1:9" x14ac:dyDescent="0.3">
      <c r="A961" s="38">
        <v>46205</v>
      </c>
      <c r="B961" t="s">
        <v>244</v>
      </c>
      <c r="C961" s="95">
        <v>1150</v>
      </c>
      <c r="D961" s="95"/>
      <c r="E961" t="s">
        <v>847</v>
      </c>
      <c r="F961" s="108" t="s">
        <v>108</v>
      </c>
      <c r="I961">
        <v>30000</v>
      </c>
    </row>
    <row r="962" spans="1:9" x14ac:dyDescent="0.3">
      <c r="A962" s="38">
        <v>46205</v>
      </c>
      <c r="B962" t="s">
        <v>211</v>
      </c>
      <c r="C962" s="95">
        <v>1250</v>
      </c>
      <c r="D962" s="95"/>
      <c r="F962" s="108" t="s">
        <v>108</v>
      </c>
      <c r="I962">
        <v>11750</v>
      </c>
    </row>
    <row r="963" spans="1:9" x14ac:dyDescent="0.3">
      <c r="A963" s="38">
        <v>46205</v>
      </c>
      <c r="B963" t="s">
        <v>776</v>
      </c>
      <c r="C963" s="95"/>
      <c r="D963" s="95">
        <v>140000</v>
      </c>
      <c r="E963" t="s">
        <v>21</v>
      </c>
      <c r="F963" s="108" t="s">
        <v>108</v>
      </c>
      <c r="I963">
        <v>25650</v>
      </c>
    </row>
    <row r="964" spans="1:9" x14ac:dyDescent="0.3">
      <c r="A964" s="38">
        <v>46205</v>
      </c>
      <c r="B964" t="s">
        <v>219</v>
      </c>
      <c r="C964" s="95">
        <v>140000</v>
      </c>
      <c r="D964" s="95"/>
      <c r="E964" t="s">
        <v>776</v>
      </c>
      <c r="F964" s="108" t="s">
        <v>108</v>
      </c>
      <c r="I964">
        <v>13333</v>
      </c>
    </row>
    <row r="965" spans="1:9" x14ac:dyDescent="0.3">
      <c r="A965" s="38">
        <v>46205</v>
      </c>
      <c r="B965" t="s">
        <v>656</v>
      </c>
      <c r="C965" s="95"/>
      <c r="D965" s="95">
        <v>119000</v>
      </c>
      <c r="E965" t="s">
        <v>848</v>
      </c>
      <c r="F965" s="108" t="s">
        <v>108</v>
      </c>
      <c r="I965">
        <v>13333</v>
      </c>
    </row>
    <row r="966" spans="1:9" x14ac:dyDescent="0.3">
      <c r="A966" s="38">
        <v>46205</v>
      </c>
      <c r="B966" t="s">
        <v>219</v>
      </c>
      <c r="C966" s="95">
        <v>119000</v>
      </c>
      <c r="D966" s="95"/>
      <c r="E966" t="s">
        <v>673</v>
      </c>
      <c r="F966" s="108" t="s">
        <v>108</v>
      </c>
      <c r="I966">
        <v>13333</v>
      </c>
    </row>
    <row r="967" spans="1:9" x14ac:dyDescent="0.3">
      <c r="A967" s="38">
        <v>46205</v>
      </c>
      <c r="B967" t="s">
        <v>656</v>
      </c>
      <c r="C967" s="95"/>
      <c r="D967" s="95">
        <v>189000</v>
      </c>
      <c r="E967" t="s">
        <v>849</v>
      </c>
      <c r="F967" s="108" t="s">
        <v>108</v>
      </c>
      <c r="I967">
        <v>10670</v>
      </c>
    </row>
    <row r="968" spans="1:9" x14ac:dyDescent="0.3">
      <c r="A968" s="38">
        <v>46205</v>
      </c>
      <c r="B968" t="s">
        <v>219</v>
      </c>
      <c r="C968" s="95">
        <v>189000</v>
      </c>
      <c r="D968" s="95"/>
      <c r="E968" t="s">
        <v>850</v>
      </c>
      <c r="F968" s="108" t="s">
        <v>108</v>
      </c>
      <c r="I968">
        <v>18860</v>
      </c>
    </row>
    <row r="969" spans="1:9" x14ac:dyDescent="0.3">
      <c r="A969" s="38">
        <v>46206</v>
      </c>
      <c r="B969" t="s">
        <v>219</v>
      </c>
      <c r="C969" s="95"/>
      <c r="D969" s="95">
        <v>300000</v>
      </c>
      <c r="E969" t="s">
        <v>828</v>
      </c>
      <c r="F969" s="108" t="s">
        <v>108</v>
      </c>
      <c r="I969">
        <v>22670</v>
      </c>
    </row>
    <row r="970" spans="1:9" x14ac:dyDescent="0.3">
      <c r="A970" s="38">
        <v>46206</v>
      </c>
      <c r="B970" t="s">
        <v>219</v>
      </c>
      <c r="C970" s="95"/>
      <c r="D970" s="95">
        <v>250000</v>
      </c>
      <c r="E970" t="s">
        <v>829</v>
      </c>
      <c r="F970" s="108" t="s">
        <v>108</v>
      </c>
      <c r="I970">
        <v>35000</v>
      </c>
    </row>
    <row r="971" spans="1:9" x14ac:dyDescent="0.3">
      <c r="A971" s="38">
        <v>46206</v>
      </c>
      <c r="B971" t="s">
        <v>488</v>
      </c>
      <c r="C971" s="95">
        <v>290</v>
      </c>
      <c r="D971" s="95"/>
      <c r="E971" t="s">
        <v>390</v>
      </c>
      <c r="F971" s="108" t="s">
        <v>108</v>
      </c>
      <c r="I971">
        <v>10000</v>
      </c>
    </row>
    <row r="972" spans="1:9" x14ac:dyDescent="0.3">
      <c r="A972" s="38">
        <v>46206</v>
      </c>
      <c r="B972" t="s">
        <v>253</v>
      </c>
      <c r="C972" s="95">
        <v>40000</v>
      </c>
      <c r="D972" s="95"/>
      <c r="E972" t="s">
        <v>288</v>
      </c>
      <c r="F972" s="108" t="s">
        <v>108</v>
      </c>
      <c r="I972">
        <v>96000</v>
      </c>
    </row>
    <row r="973" spans="1:9" x14ac:dyDescent="0.3">
      <c r="A973" s="38">
        <v>46206</v>
      </c>
      <c r="B973" t="s">
        <v>219</v>
      </c>
      <c r="C973" s="95"/>
      <c r="D973" s="95">
        <v>25000</v>
      </c>
      <c r="E973" t="s">
        <v>109</v>
      </c>
      <c r="F973" s="108" t="s">
        <v>108</v>
      </c>
    </row>
    <row r="974" spans="1:9" x14ac:dyDescent="0.3">
      <c r="A974" s="38">
        <v>46206</v>
      </c>
      <c r="B974" t="s">
        <v>674</v>
      </c>
      <c r="C974" s="95">
        <v>6000</v>
      </c>
      <c r="D974" s="95"/>
      <c r="E974" t="s">
        <v>265</v>
      </c>
      <c r="F974" s="108" t="s">
        <v>108</v>
      </c>
      <c r="I974">
        <v>7000</v>
      </c>
    </row>
    <row r="975" spans="1:9" x14ac:dyDescent="0.3">
      <c r="A975" s="38">
        <v>46206</v>
      </c>
      <c r="B975" t="s">
        <v>517</v>
      </c>
      <c r="C975" s="95">
        <v>6000</v>
      </c>
      <c r="D975" s="95"/>
      <c r="E975" t="s">
        <v>265</v>
      </c>
      <c r="F975" s="108" t="s">
        <v>108</v>
      </c>
      <c r="I975">
        <v>18800</v>
      </c>
    </row>
    <row r="976" spans="1:9" x14ac:dyDescent="0.3">
      <c r="A976" s="38">
        <v>46206</v>
      </c>
      <c r="B976" t="s">
        <v>488</v>
      </c>
      <c r="C976" s="95">
        <v>5000</v>
      </c>
      <c r="D976" s="95"/>
      <c r="E976" t="s">
        <v>648</v>
      </c>
      <c r="F976" s="108" t="s">
        <v>108</v>
      </c>
      <c r="I976">
        <v>8650</v>
      </c>
    </row>
    <row r="977" spans="1:10" x14ac:dyDescent="0.3">
      <c r="A977" s="38">
        <v>46206</v>
      </c>
      <c r="B977" t="s">
        <v>386</v>
      </c>
      <c r="C977" s="95">
        <v>3000</v>
      </c>
      <c r="D977" s="95"/>
      <c r="E977" t="s">
        <v>830</v>
      </c>
      <c r="F977" s="108" t="s">
        <v>108</v>
      </c>
      <c r="J977" t="s">
        <v>648</v>
      </c>
    </row>
    <row r="978" spans="1:10" x14ac:dyDescent="0.3">
      <c r="A978" s="38">
        <v>46206</v>
      </c>
      <c r="B978" t="s">
        <v>269</v>
      </c>
      <c r="C978" s="95"/>
      <c r="D978" s="95"/>
      <c r="E978" t="s">
        <v>831</v>
      </c>
      <c r="F978" s="108" t="s">
        <v>108</v>
      </c>
      <c r="I978">
        <v>40000</v>
      </c>
    </row>
    <row r="979" spans="1:10" x14ac:dyDescent="0.3">
      <c r="A979" s="38">
        <v>46206</v>
      </c>
      <c r="B979" t="s">
        <v>269</v>
      </c>
      <c r="C979" s="95">
        <v>3000</v>
      </c>
      <c r="D979" s="95"/>
      <c r="E979" t="s">
        <v>832</v>
      </c>
      <c r="F979" s="108" t="s">
        <v>108</v>
      </c>
    </row>
    <row r="980" spans="1:10" x14ac:dyDescent="0.3">
      <c r="A980" s="38">
        <v>46206</v>
      </c>
      <c r="B980" t="s">
        <v>253</v>
      </c>
      <c r="C980" s="95">
        <v>563750</v>
      </c>
      <c r="D980" s="95"/>
      <c r="E980" t="s">
        <v>268</v>
      </c>
      <c r="F980" s="108" t="s">
        <v>108</v>
      </c>
      <c r="I980">
        <v>6000</v>
      </c>
    </row>
    <row r="981" spans="1:10" x14ac:dyDescent="0.3">
      <c r="A981" s="38">
        <v>46206</v>
      </c>
      <c r="B981" t="s">
        <v>211</v>
      </c>
      <c r="C981" s="95">
        <v>20000</v>
      </c>
      <c r="D981" s="95"/>
      <c r="E981" t="s">
        <v>833</v>
      </c>
      <c r="F981" s="108" t="s">
        <v>108</v>
      </c>
      <c r="I981">
        <v>6000</v>
      </c>
    </row>
    <row r="982" spans="1:10" x14ac:dyDescent="0.3">
      <c r="A982" s="38">
        <v>46206</v>
      </c>
      <c r="B982" t="s">
        <v>211</v>
      </c>
      <c r="C982" s="95">
        <v>1000</v>
      </c>
      <c r="D982" s="95"/>
      <c r="F982" s="108" t="s">
        <v>108</v>
      </c>
      <c r="I982">
        <v>5000</v>
      </c>
    </row>
    <row r="983" spans="1:10" x14ac:dyDescent="0.3">
      <c r="A983" s="38">
        <v>46206</v>
      </c>
      <c r="B983" t="s">
        <v>500</v>
      </c>
      <c r="C983" s="95"/>
      <c r="D983" s="95">
        <v>97000</v>
      </c>
      <c r="E983" t="s">
        <v>215</v>
      </c>
      <c r="F983" s="108" t="s">
        <v>108</v>
      </c>
      <c r="I983">
        <v>3000</v>
      </c>
    </row>
    <row r="984" spans="1:10" x14ac:dyDescent="0.3">
      <c r="A984" s="38">
        <v>46206</v>
      </c>
      <c r="B984" t="s">
        <v>219</v>
      </c>
      <c r="C984" s="95">
        <v>97000</v>
      </c>
      <c r="D984" s="95"/>
      <c r="E984" t="s">
        <v>500</v>
      </c>
      <c r="F984" s="108" t="s">
        <v>108</v>
      </c>
      <c r="I984">
        <v>3000</v>
      </c>
    </row>
    <row r="985" spans="1:10" x14ac:dyDescent="0.3">
      <c r="A985" s="38">
        <v>46207</v>
      </c>
      <c r="B985" t="s">
        <v>219</v>
      </c>
      <c r="C985" s="95"/>
      <c r="D985" s="95">
        <v>100000</v>
      </c>
      <c r="E985" t="s">
        <v>834</v>
      </c>
      <c r="F985" s="108" t="s">
        <v>108</v>
      </c>
    </row>
    <row r="986" spans="1:10" x14ac:dyDescent="0.3">
      <c r="A986" s="38">
        <v>46207</v>
      </c>
      <c r="B986" t="s">
        <v>425</v>
      </c>
      <c r="C986" s="95">
        <v>100000</v>
      </c>
      <c r="D986" s="95"/>
      <c r="E986" t="s">
        <v>835</v>
      </c>
      <c r="F986" s="108" t="s">
        <v>108</v>
      </c>
    </row>
    <row r="987" spans="1:10" x14ac:dyDescent="0.3">
      <c r="A987" s="38">
        <v>46207</v>
      </c>
      <c r="B987" t="s">
        <v>357</v>
      </c>
      <c r="C987" s="95">
        <v>2500</v>
      </c>
      <c r="D987" s="95"/>
      <c r="E987" t="s">
        <v>426</v>
      </c>
      <c r="F987" s="108" t="s">
        <v>108</v>
      </c>
    </row>
    <row r="988" spans="1:10" x14ac:dyDescent="0.3">
      <c r="A988" s="38">
        <v>46207</v>
      </c>
      <c r="B988" t="s">
        <v>55</v>
      </c>
      <c r="C988" s="95">
        <v>1600</v>
      </c>
      <c r="D988" s="95"/>
      <c r="E988" t="s">
        <v>836</v>
      </c>
      <c r="F988" s="108" t="s">
        <v>108</v>
      </c>
    </row>
    <row r="989" spans="1:10" x14ac:dyDescent="0.3">
      <c r="A989" s="38">
        <v>46207</v>
      </c>
      <c r="B989" t="s">
        <v>55</v>
      </c>
      <c r="C989" s="95">
        <v>700</v>
      </c>
      <c r="D989" s="95"/>
      <c r="E989" t="s">
        <v>837</v>
      </c>
      <c r="F989" s="108" t="s">
        <v>108</v>
      </c>
    </row>
    <row r="990" spans="1:10" x14ac:dyDescent="0.3">
      <c r="A990" s="38">
        <v>46207</v>
      </c>
      <c r="B990" t="s">
        <v>244</v>
      </c>
      <c r="C990" s="95">
        <v>440</v>
      </c>
      <c r="D990" s="95"/>
      <c r="E990" t="s">
        <v>366</v>
      </c>
      <c r="F990" s="108" t="s">
        <v>108</v>
      </c>
    </row>
    <row r="991" spans="1:10" x14ac:dyDescent="0.3">
      <c r="A991" s="38">
        <v>46207</v>
      </c>
      <c r="B991" t="s">
        <v>488</v>
      </c>
      <c r="C991" s="95">
        <v>800</v>
      </c>
      <c r="D991" s="95"/>
      <c r="E991" t="s">
        <v>462</v>
      </c>
      <c r="F991" s="108" t="s">
        <v>108</v>
      </c>
    </row>
    <row r="992" spans="1:10" x14ac:dyDescent="0.3">
      <c r="A992" s="38">
        <v>46207</v>
      </c>
      <c r="B992" t="s">
        <v>219</v>
      </c>
      <c r="C992" s="95"/>
      <c r="D992" s="95">
        <v>800</v>
      </c>
      <c r="E992" t="s">
        <v>462</v>
      </c>
      <c r="F992" s="108" t="s">
        <v>108</v>
      </c>
    </row>
    <row r="993" spans="1:6" x14ac:dyDescent="0.3">
      <c r="A993" s="38">
        <v>46207</v>
      </c>
      <c r="B993" t="s">
        <v>219</v>
      </c>
      <c r="C993" s="95"/>
      <c r="D993" s="95">
        <v>25000</v>
      </c>
      <c r="E993" t="s">
        <v>839</v>
      </c>
      <c r="F993" s="108" t="s">
        <v>108</v>
      </c>
    </row>
    <row r="994" spans="1:6" x14ac:dyDescent="0.3">
      <c r="A994" s="38">
        <v>46207</v>
      </c>
      <c r="B994" t="s">
        <v>269</v>
      </c>
      <c r="C994" s="95">
        <v>5000</v>
      </c>
      <c r="D994" s="95"/>
      <c r="E994" t="s">
        <v>840</v>
      </c>
      <c r="F994" s="108" t="s">
        <v>108</v>
      </c>
    </row>
    <row r="995" spans="1:6" x14ac:dyDescent="0.3">
      <c r="A995" s="38">
        <v>46207</v>
      </c>
      <c r="B995" t="s">
        <v>357</v>
      </c>
      <c r="C995" s="95">
        <v>6600</v>
      </c>
      <c r="D995" s="95"/>
      <c r="E995" t="s">
        <v>392</v>
      </c>
      <c r="F995" s="108" t="s">
        <v>108</v>
      </c>
    </row>
    <row r="996" spans="1:6" x14ac:dyDescent="0.3">
      <c r="A996" s="38">
        <v>46207</v>
      </c>
      <c r="B996" t="s">
        <v>55</v>
      </c>
      <c r="C996" s="95">
        <v>25000</v>
      </c>
      <c r="D996" s="95"/>
      <c r="E996" t="s">
        <v>841</v>
      </c>
      <c r="F996" s="108" t="s">
        <v>108</v>
      </c>
    </row>
    <row r="997" spans="1:6" x14ac:dyDescent="0.3">
      <c r="A997" s="38">
        <v>46207</v>
      </c>
      <c r="B997" t="s">
        <v>219</v>
      </c>
      <c r="C997" s="95"/>
      <c r="D997" s="95">
        <v>25000</v>
      </c>
      <c r="E997" t="s">
        <v>841</v>
      </c>
      <c r="F997" s="108" t="s">
        <v>108</v>
      </c>
    </row>
    <row r="998" spans="1:6" x14ac:dyDescent="0.3">
      <c r="A998" s="38">
        <v>46207</v>
      </c>
      <c r="B998" t="s">
        <v>55</v>
      </c>
      <c r="C998" s="95">
        <v>12500</v>
      </c>
      <c r="D998" s="95"/>
      <c r="E998" t="s">
        <v>842</v>
      </c>
      <c r="F998" s="108" t="s">
        <v>108</v>
      </c>
    </row>
    <row r="999" spans="1:6" x14ac:dyDescent="0.3">
      <c r="A999" s="38">
        <v>46207</v>
      </c>
      <c r="B999" t="s">
        <v>219</v>
      </c>
      <c r="C999" s="95"/>
      <c r="D999" s="95">
        <v>12500</v>
      </c>
      <c r="E999" t="s">
        <v>843</v>
      </c>
      <c r="F999" s="108" t="s">
        <v>108</v>
      </c>
    </row>
    <row r="1000" spans="1:6" x14ac:dyDescent="0.3">
      <c r="A1000" s="38">
        <v>46207</v>
      </c>
      <c r="B1000" t="s">
        <v>55</v>
      </c>
      <c r="C1000" s="95">
        <v>460</v>
      </c>
      <c r="D1000" s="95"/>
      <c r="F1000" s="108" t="s">
        <v>108</v>
      </c>
    </row>
    <row r="1001" spans="1:6" x14ac:dyDescent="0.3">
      <c r="A1001" s="38">
        <v>46208</v>
      </c>
      <c r="B1001" t="s">
        <v>211</v>
      </c>
      <c r="C1001" s="95">
        <v>2300</v>
      </c>
      <c r="D1001" s="95"/>
      <c r="F1001" s="108" t="s">
        <v>108</v>
      </c>
    </row>
    <row r="1002" spans="1:6" x14ac:dyDescent="0.3">
      <c r="A1002" s="38">
        <v>46208</v>
      </c>
      <c r="B1002" t="s">
        <v>219</v>
      </c>
      <c r="C1002" s="95"/>
      <c r="D1002" s="95">
        <v>129000</v>
      </c>
      <c r="E1002" t="s">
        <v>844</v>
      </c>
      <c r="F1002" s="108" t="s">
        <v>108</v>
      </c>
    </row>
    <row r="1003" spans="1:6" x14ac:dyDescent="0.3">
      <c r="A1003" s="111">
        <v>46208</v>
      </c>
      <c r="B1003" t="s">
        <v>253</v>
      </c>
      <c r="C1003" s="95">
        <v>129000</v>
      </c>
      <c r="D1003" s="95"/>
      <c r="E1003" t="s">
        <v>845</v>
      </c>
      <c r="F1003" s="108" t="s">
        <v>108</v>
      </c>
    </row>
    <row r="1004" spans="1:6" x14ac:dyDescent="0.3">
      <c r="A1004" s="38">
        <v>46208</v>
      </c>
      <c r="B1004" t="s">
        <v>244</v>
      </c>
      <c r="C1004" s="95">
        <v>2000</v>
      </c>
      <c r="D1004" s="95"/>
      <c r="E1004" t="s">
        <v>846</v>
      </c>
      <c r="F1004" s="108" t="s">
        <v>108</v>
      </c>
    </row>
    <row r="1005" spans="1:6" x14ac:dyDescent="0.3">
      <c r="A1005" s="111">
        <v>46208</v>
      </c>
      <c r="B1005" t="s">
        <v>244</v>
      </c>
      <c r="C1005" s="95">
        <v>420</v>
      </c>
      <c r="D1005" s="95"/>
      <c r="E1005" t="s">
        <v>837</v>
      </c>
      <c r="F1005" s="108" t="s">
        <v>108</v>
      </c>
    </row>
    <row r="1006" spans="1:6" x14ac:dyDescent="0.3">
      <c r="A1006" s="38">
        <v>46206</v>
      </c>
      <c r="B1006" t="s">
        <v>792</v>
      </c>
      <c r="C1006" s="95"/>
      <c r="D1006" s="95">
        <v>100000</v>
      </c>
      <c r="E1006" t="s">
        <v>862</v>
      </c>
      <c r="F1006" s="108" t="s">
        <v>108</v>
      </c>
    </row>
    <row r="1007" spans="1:6" x14ac:dyDescent="0.3">
      <c r="A1007" s="38">
        <v>46206</v>
      </c>
      <c r="B1007" t="s">
        <v>219</v>
      </c>
      <c r="C1007" s="95">
        <v>100000</v>
      </c>
      <c r="D1007" s="95"/>
      <c r="E1007" t="s">
        <v>280</v>
      </c>
      <c r="F1007" s="108" t="s">
        <v>108</v>
      </c>
    </row>
    <row r="1008" spans="1:6" x14ac:dyDescent="0.3">
      <c r="A1008" s="111">
        <v>46209</v>
      </c>
      <c r="B1008" t="s">
        <v>219</v>
      </c>
      <c r="C1008" s="95"/>
      <c r="D1008" s="95">
        <v>15000</v>
      </c>
      <c r="E1008" t="s">
        <v>867</v>
      </c>
      <c r="F1008" s="108" t="s">
        <v>108</v>
      </c>
    </row>
    <row r="1009" spans="1:6" x14ac:dyDescent="0.3">
      <c r="A1009" s="38">
        <v>46209</v>
      </c>
      <c r="B1009" t="s">
        <v>55</v>
      </c>
      <c r="C1009" s="95">
        <v>1000</v>
      </c>
      <c r="D1009" s="95"/>
      <c r="E1009" t="s">
        <v>868</v>
      </c>
      <c r="F1009" s="108" t="s">
        <v>108</v>
      </c>
    </row>
    <row r="1010" spans="1:6" x14ac:dyDescent="0.3">
      <c r="A1010" s="111">
        <v>46209</v>
      </c>
      <c r="B1010" t="s">
        <v>244</v>
      </c>
      <c r="C1010" s="95">
        <v>400</v>
      </c>
      <c r="D1010" s="95"/>
      <c r="E1010" t="s">
        <v>449</v>
      </c>
      <c r="F1010" s="108" t="s">
        <v>108</v>
      </c>
    </row>
    <row r="1011" spans="1:6" x14ac:dyDescent="0.3">
      <c r="A1011" s="38">
        <v>46209</v>
      </c>
      <c r="B1011" t="s">
        <v>357</v>
      </c>
      <c r="C1011" s="95">
        <v>10210</v>
      </c>
      <c r="D1011" s="95"/>
      <c r="F1011" s="108" t="s">
        <v>108</v>
      </c>
    </row>
    <row r="1012" spans="1:6" x14ac:dyDescent="0.3">
      <c r="A1012" s="111">
        <v>46209</v>
      </c>
      <c r="B1012" t="s">
        <v>488</v>
      </c>
      <c r="C1012" s="95">
        <v>710</v>
      </c>
      <c r="D1012" s="95"/>
      <c r="E1012" t="s">
        <v>390</v>
      </c>
      <c r="F1012" s="108" t="s">
        <v>108</v>
      </c>
    </row>
    <row r="1013" spans="1:6" x14ac:dyDescent="0.3">
      <c r="A1013" s="38">
        <v>46209</v>
      </c>
      <c r="B1013" t="s">
        <v>298</v>
      </c>
      <c r="C1013" s="95">
        <v>4000</v>
      </c>
      <c r="D1013" s="95"/>
      <c r="E1013" t="s">
        <v>869</v>
      </c>
      <c r="F1013" s="108" t="s">
        <v>108</v>
      </c>
    </row>
    <row r="1014" spans="1:6" x14ac:dyDescent="0.3">
      <c r="A1014" s="111">
        <v>46209</v>
      </c>
      <c r="B1014" t="s">
        <v>55</v>
      </c>
      <c r="C1014" s="95">
        <v>1200</v>
      </c>
      <c r="D1014" s="95"/>
      <c r="E1014" t="s">
        <v>870</v>
      </c>
      <c r="F1014" s="108" t="s">
        <v>108</v>
      </c>
    </row>
    <row r="1015" spans="1:6" x14ac:dyDescent="0.3">
      <c r="A1015" s="38">
        <v>46209</v>
      </c>
      <c r="B1015" t="s">
        <v>55</v>
      </c>
      <c r="C1015" s="95">
        <v>23500</v>
      </c>
      <c r="D1015" s="95"/>
      <c r="E1015" t="s">
        <v>871</v>
      </c>
      <c r="F1015" s="108" t="s">
        <v>108</v>
      </c>
    </row>
    <row r="1016" spans="1:6" x14ac:dyDescent="0.3">
      <c r="A1016" s="111">
        <v>46209</v>
      </c>
      <c r="B1016" t="s">
        <v>488</v>
      </c>
      <c r="C1016" s="95">
        <v>5000</v>
      </c>
      <c r="D1016" s="95"/>
      <c r="E1016" t="s">
        <v>872</v>
      </c>
      <c r="F1016" s="108" t="s">
        <v>108</v>
      </c>
    </row>
    <row r="1017" spans="1:6" x14ac:dyDescent="0.3">
      <c r="A1017" s="38">
        <v>46209</v>
      </c>
      <c r="B1017" t="s">
        <v>219</v>
      </c>
      <c r="C1017" s="95"/>
      <c r="D1017" s="95">
        <v>90000</v>
      </c>
      <c r="E1017" t="s">
        <v>109</v>
      </c>
      <c r="F1017" s="108" t="s">
        <v>108</v>
      </c>
    </row>
    <row r="1018" spans="1:6" x14ac:dyDescent="0.3">
      <c r="A1018" s="111">
        <v>46209</v>
      </c>
      <c r="B1018" t="s">
        <v>253</v>
      </c>
      <c r="C1018" s="11">
        <v>50000</v>
      </c>
      <c r="D1018" s="11"/>
      <c r="E1018" t="s">
        <v>437</v>
      </c>
      <c r="F1018" s="108" t="s">
        <v>108</v>
      </c>
    </row>
    <row r="1019" spans="1:6" x14ac:dyDescent="0.3">
      <c r="A1019" s="38">
        <v>46209</v>
      </c>
      <c r="B1019" t="s">
        <v>253</v>
      </c>
      <c r="C1019" s="11">
        <v>60000</v>
      </c>
      <c r="D1019" s="11"/>
      <c r="E1019" t="s">
        <v>863</v>
      </c>
      <c r="F1019" s="108" t="s">
        <v>108</v>
      </c>
    </row>
    <row r="1020" spans="1:6" x14ac:dyDescent="0.3">
      <c r="A1020" s="111">
        <v>46209</v>
      </c>
      <c r="B1020" t="s">
        <v>269</v>
      </c>
      <c r="C1020" s="11">
        <v>5000</v>
      </c>
      <c r="D1020" s="11"/>
      <c r="E1020" t="s">
        <v>864</v>
      </c>
      <c r="F1020" s="108" t="s">
        <v>108</v>
      </c>
    </row>
    <row r="1021" spans="1:6" x14ac:dyDescent="0.3">
      <c r="A1021" s="38">
        <v>46209</v>
      </c>
      <c r="B1021" t="s">
        <v>654</v>
      </c>
      <c r="C1021" s="11"/>
      <c r="D1021" s="11">
        <v>355000</v>
      </c>
      <c r="E1021" t="s">
        <v>271</v>
      </c>
      <c r="F1021" s="108" t="s">
        <v>108</v>
      </c>
    </row>
    <row r="1022" spans="1:6" x14ac:dyDescent="0.3">
      <c r="A1022" s="111">
        <v>46209</v>
      </c>
      <c r="B1022" t="s">
        <v>776</v>
      </c>
      <c r="C1022" s="11"/>
      <c r="D1022" s="11">
        <v>155000</v>
      </c>
      <c r="E1022" t="s">
        <v>109</v>
      </c>
      <c r="F1022" s="108" t="s">
        <v>108</v>
      </c>
    </row>
    <row r="1023" spans="1:6" x14ac:dyDescent="0.3">
      <c r="A1023" s="38">
        <v>46209</v>
      </c>
      <c r="B1023" t="s">
        <v>386</v>
      </c>
      <c r="C1023" s="11">
        <v>1000</v>
      </c>
      <c r="D1023" s="11"/>
      <c r="E1023" t="s">
        <v>865</v>
      </c>
      <c r="F1023" s="108" t="s">
        <v>108</v>
      </c>
    </row>
    <row r="1024" spans="1:6" x14ac:dyDescent="0.3">
      <c r="A1024" s="111">
        <v>46209</v>
      </c>
      <c r="B1024" t="s">
        <v>269</v>
      </c>
      <c r="C1024" s="11">
        <v>20000</v>
      </c>
      <c r="D1024" s="11"/>
      <c r="E1024" t="s">
        <v>866</v>
      </c>
      <c r="F1024" s="108" t="s">
        <v>108</v>
      </c>
    </row>
    <row r="1025" spans="1:6" x14ac:dyDescent="0.3">
      <c r="A1025" s="38">
        <v>46209</v>
      </c>
      <c r="B1025" t="s">
        <v>476</v>
      </c>
      <c r="C1025" s="95">
        <v>100000</v>
      </c>
      <c r="D1025" s="95"/>
      <c r="E1025" t="s">
        <v>873</v>
      </c>
      <c r="F1025" s="108" t="s">
        <v>108</v>
      </c>
    </row>
    <row r="1026" spans="1:6" x14ac:dyDescent="0.3">
      <c r="A1026" s="111">
        <v>46209</v>
      </c>
      <c r="B1026" t="s">
        <v>674</v>
      </c>
      <c r="C1026" s="11">
        <v>150000</v>
      </c>
      <c r="D1026" s="11"/>
      <c r="E1026" t="s">
        <v>874</v>
      </c>
      <c r="F1026" s="108" t="s">
        <v>108</v>
      </c>
    </row>
    <row r="1027" spans="1:6" x14ac:dyDescent="0.3">
      <c r="A1027" s="38">
        <v>46209</v>
      </c>
      <c r="B1027" t="s">
        <v>211</v>
      </c>
      <c r="C1027" s="11">
        <v>100000</v>
      </c>
      <c r="D1027" s="11"/>
      <c r="E1027" t="s">
        <v>875</v>
      </c>
      <c r="F1027" s="108" t="s">
        <v>108</v>
      </c>
    </row>
    <row r="1028" spans="1:6" x14ac:dyDescent="0.3">
      <c r="A1028" s="111">
        <v>46209</v>
      </c>
      <c r="B1028" t="s">
        <v>826</v>
      </c>
      <c r="C1028" s="11"/>
      <c r="D1028" s="11"/>
      <c r="E1028" t="s">
        <v>876</v>
      </c>
      <c r="F1028" s="108" t="s">
        <v>108</v>
      </c>
    </row>
    <row r="1029" spans="1:6" x14ac:dyDescent="0.3">
      <c r="A1029" s="38">
        <v>46209</v>
      </c>
      <c r="B1029" t="s">
        <v>488</v>
      </c>
      <c r="C1029" s="11">
        <v>1500</v>
      </c>
      <c r="D1029" s="11"/>
      <c r="E1029" t="s">
        <v>877</v>
      </c>
      <c r="F1029" s="108" t="s">
        <v>108</v>
      </c>
    </row>
    <row r="1030" spans="1:6" x14ac:dyDescent="0.3">
      <c r="A1030" s="111">
        <v>46210</v>
      </c>
      <c r="B1030" t="s">
        <v>654</v>
      </c>
      <c r="C1030" s="11"/>
      <c r="D1030" s="11">
        <v>180000</v>
      </c>
      <c r="E1030" t="s">
        <v>894</v>
      </c>
      <c r="F1030" s="108" t="s">
        <v>108</v>
      </c>
    </row>
    <row r="1031" spans="1:6" x14ac:dyDescent="0.3">
      <c r="A1031" s="111">
        <v>46210</v>
      </c>
      <c r="B1031" t="s">
        <v>654</v>
      </c>
      <c r="C1031" s="11"/>
      <c r="D1031" s="11">
        <v>190000</v>
      </c>
      <c r="E1031" t="s">
        <v>894</v>
      </c>
      <c r="F1031" s="108" t="s">
        <v>108</v>
      </c>
    </row>
    <row r="1032" spans="1:6" x14ac:dyDescent="0.3">
      <c r="A1032" s="111">
        <v>46210</v>
      </c>
      <c r="B1032" s="117" t="s">
        <v>219</v>
      </c>
      <c r="C1032" s="11">
        <v>180000</v>
      </c>
      <c r="D1032" s="11"/>
      <c r="E1032" t="s">
        <v>895</v>
      </c>
      <c r="F1032" s="108" t="s">
        <v>108</v>
      </c>
    </row>
    <row r="1033" spans="1:6" x14ac:dyDescent="0.3">
      <c r="A1033" s="111">
        <v>46210</v>
      </c>
      <c r="B1033" t="s">
        <v>219</v>
      </c>
      <c r="C1033" s="11">
        <v>190000</v>
      </c>
      <c r="D1033" s="11"/>
      <c r="E1033" t="s">
        <v>895</v>
      </c>
      <c r="F1033" s="108" t="s">
        <v>108</v>
      </c>
    </row>
    <row r="1034" spans="1:6" x14ac:dyDescent="0.3">
      <c r="A1034" s="111">
        <v>46210</v>
      </c>
      <c r="B1034" t="s">
        <v>269</v>
      </c>
      <c r="C1034" s="11">
        <v>25000</v>
      </c>
      <c r="D1034" s="11"/>
      <c r="E1034" t="s">
        <v>252</v>
      </c>
      <c r="F1034" s="108" t="s">
        <v>108</v>
      </c>
    </row>
    <row r="1035" spans="1:6" x14ac:dyDescent="0.3">
      <c r="A1035" s="38">
        <v>46210</v>
      </c>
      <c r="B1035" t="s">
        <v>367</v>
      </c>
      <c r="C1035" s="11"/>
      <c r="D1035" s="11">
        <v>200000</v>
      </c>
      <c r="E1035" t="s">
        <v>878</v>
      </c>
      <c r="F1035" s="108" t="s">
        <v>108</v>
      </c>
    </row>
    <row r="1036" spans="1:6" x14ac:dyDescent="0.3">
      <c r="A1036" s="111">
        <v>46210</v>
      </c>
      <c r="B1036" t="s">
        <v>776</v>
      </c>
      <c r="C1036" s="11"/>
      <c r="D1036" s="11">
        <v>65000</v>
      </c>
      <c r="E1036" t="s">
        <v>879</v>
      </c>
      <c r="F1036" s="108" t="s">
        <v>108</v>
      </c>
    </row>
    <row r="1037" spans="1:6" x14ac:dyDescent="0.3">
      <c r="A1037" s="38">
        <v>46210</v>
      </c>
      <c r="B1037" t="s">
        <v>222</v>
      </c>
      <c r="C1037" s="11">
        <v>250000</v>
      </c>
      <c r="D1037" s="11"/>
      <c r="E1037" t="s">
        <v>880</v>
      </c>
      <c r="F1037" s="108" t="s">
        <v>108</v>
      </c>
    </row>
    <row r="1038" spans="1:6" x14ac:dyDescent="0.3">
      <c r="A1038" s="111">
        <v>46210</v>
      </c>
      <c r="B1038" t="s">
        <v>55</v>
      </c>
      <c r="C1038" s="11">
        <v>350</v>
      </c>
      <c r="D1038" s="11"/>
      <c r="E1038" t="s">
        <v>881</v>
      </c>
      <c r="F1038" s="108" t="s">
        <v>108</v>
      </c>
    </row>
    <row r="1039" spans="1:6" x14ac:dyDescent="0.3">
      <c r="A1039" s="38">
        <v>46210</v>
      </c>
      <c r="B1039" t="s">
        <v>116</v>
      </c>
      <c r="C1039" s="11">
        <v>18500</v>
      </c>
      <c r="D1039" s="11"/>
      <c r="E1039" t="s">
        <v>163</v>
      </c>
      <c r="F1039" s="108" t="s">
        <v>108</v>
      </c>
    </row>
    <row r="1040" spans="1:6" x14ac:dyDescent="0.3">
      <c r="A1040" s="111">
        <v>46210</v>
      </c>
      <c r="B1040" t="s">
        <v>331</v>
      </c>
      <c r="C1040" s="11">
        <v>25000</v>
      </c>
      <c r="D1040" s="11"/>
      <c r="E1040" t="s">
        <v>882</v>
      </c>
      <c r="F1040" s="108" t="s">
        <v>108</v>
      </c>
    </row>
    <row r="1041" spans="1:6" x14ac:dyDescent="0.3">
      <c r="A1041" s="38">
        <v>46210</v>
      </c>
      <c r="B1041" t="s">
        <v>357</v>
      </c>
      <c r="C1041" s="11">
        <v>2600</v>
      </c>
      <c r="D1041" s="11"/>
      <c r="E1041" t="s">
        <v>883</v>
      </c>
      <c r="F1041" s="108" t="s">
        <v>108</v>
      </c>
    </row>
    <row r="1042" spans="1:6" x14ac:dyDescent="0.3">
      <c r="A1042" s="111">
        <v>46210</v>
      </c>
      <c r="B1042" t="s">
        <v>55</v>
      </c>
      <c r="C1042" s="11">
        <v>2500</v>
      </c>
      <c r="D1042" s="11"/>
      <c r="E1042" t="s">
        <v>884</v>
      </c>
      <c r="F1042" s="108" t="s">
        <v>108</v>
      </c>
    </row>
    <row r="1043" spans="1:6" x14ac:dyDescent="0.3">
      <c r="A1043" s="38">
        <v>46210</v>
      </c>
      <c r="B1043" t="s">
        <v>488</v>
      </c>
      <c r="C1043" s="11">
        <v>200</v>
      </c>
      <c r="D1043" s="11"/>
      <c r="E1043" t="s">
        <v>885</v>
      </c>
      <c r="F1043" s="108" t="s">
        <v>108</v>
      </c>
    </row>
    <row r="1044" spans="1:6" x14ac:dyDescent="0.3">
      <c r="A1044" s="111">
        <v>46210</v>
      </c>
      <c r="B1044" t="s">
        <v>269</v>
      </c>
      <c r="C1044" s="11">
        <v>5000</v>
      </c>
      <c r="D1044" s="11"/>
      <c r="E1044" t="s">
        <v>665</v>
      </c>
      <c r="F1044" s="108" t="s">
        <v>108</v>
      </c>
    </row>
    <row r="1045" spans="1:6" x14ac:dyDescent="0.3">
      <c r="A1045" s="38">
        <v>46210</v>
      </c>
      <c r="B1045" t="s">
        <v>253</v>
      </c>
      <c r="C1045" s="11">
        <v>6000</v>
      </c>
      <c r="D1045" s="11"/>
      <c r="E1045" t="s">
        <v>886</v>
      </c>
      <c r="F1045" s="108" t="s">
        <v>108</v>
      </c>
    </row>
    <row r="1046" spans="1:6" x14ac:dyDescent="0.3">
      <c r="A1046" s="111">
        <v>46210</v>
      </c>
      <c r="B1046" t="s">
        <v>211</v>
      </c>
      <c r="C1046" s="11"/>
      <c r="D1046" s="11">
        <v>13000</v>
      </c>
      <c r="E1046" t="s">
        <v>833</v>
      </c>
      <c r="F1046" s="108" t="s">
        <v>108</v>
      </c>
    </row>
    <row r="1047" spans="1:6" x14ac:dyDescent="0.3">
      <c r="A1047" s="38">
        <v>46210</v>
      </c>
      <c r="B1047" t="s">
        <v>298</v>
      </c>
      <c r="C1047" s="11">
        <v>10000</v>
      </c>
      <c r="D1047" s="11"/>
      <c r="E1047" t="s">
        <v>693</v>
      </c>
      <c r="F1047" s="108" t="s">
        <v>108</v>
      </c>
    </row>
    <row r="1048" spans="1:6" x14ac:dyDescent="0.3">
      <c r="A1048" s="111">
        <v>46210</v>
      </c>
      <c r="B1048" t="s">
        <v>887</v>
      </c>
      <c r="C1048" s="11"/>
      <c r="D1048" s="11">
        <v>75000</v>
      </c>
      <c r="E1048" t="s">
        <v>234</v>
      </c>
      <c r="F1048" s="108" t="s">
        <v>108</v>
      </c>
    </row>
    <row r="1049" spans="1:6" x14ac:dyDescent="0.3">
      <c r="A1049" s="38">
        <v>46210</v>
      </c>
      <c r="B1049" t="s">
        <v>394</v>
      </c>
      <c r="C1049" s="95">
        <v>117810</v>
      </c>
      <c r="D1049" s="95"/>
      <c r="E1049" t="s">
        <v>888</v>
      </c>
      <c r="F1049" s="108" t="s">
        <v>108</v>
      </c>
    </row>
    <row r="1050" spans="1:6" x14ac:dyDescent="0.3">
      <c r="A1050" s="38">
        <v>46211</v>
      </c>
      <c r="B1050" t="s">
        <v>269</v>
      </c>
      <c r="C1050" s="95">
        <v>5000</v>
      </c>
      <c r="D1050" s="95"/>
      <c r="E1050" t="s">
        <v>700</v>
      </c>
      <c r="F1050" s="108" t="s">
        <v>108</v>
      </c>
    </row>
    <row r="1051" spans="1:6" x14ac:dyDescent="0.3">
      <c r="A1051" s="111">
        <v>46211</v>
      </c>
      <c r="B1051" t="s">
        <v>211</v>
      </c>
      <c r="C1051" s="11"/>
      <c r="D1051" s="11">
        <v>5000</v>
      </c>
      <c r="E1051" t="s">
        <v>833</v>
      </c>
      <c r="F1051" s="108" t="s">
        <v>108</v>
      </c>
    </row>
    <row r="1052" spans="1:6" x14ac:dyDescent="0.3">
      <c r="A1052" s="111">
        <v>46211</v>
      </c>
      <c r="B1052" t="s">
        <v>488</v>
      </c>
      <c r="C1052" s="11">
        <v>500</v>
      </c>
      <c r="D1052" s="11"/>
      <c r="E1052" t="s">
        <v>896</v>
      </c>
      <c r="F1052" s="108" t="s">
        <v>108</v>
      </c>
    </row>
    <row r="1053" spans="1:6" x14ac:dyDescent="0.3">
      <c r="A1053" s="111">
        <v>46211</v>
      </c>
      <c r="B1053" t="s">
        <v>244</v>
      </c>
      <c r="C1053" s="11">
        <f>280+2300</f>
        <v>2580</v>
      </c>
      <c r="D1053" s="11"/>
      <c r="E1053" t="s">
        <v>897</v>
      </c>
      <c r="F1053" s="108" t="s">
        <v>108</v>
      </c>
    </row>
    <row r="1054" spans="1:6" x14ac:dyDescent="0.3">
      <c r="A1054" s="111">
        <v>46211</v>
      </c>
      <c r="B1054" t="s">
        <v>55</v>
      </c>
      <c r="C1054" s="11">
        <v>800</v>
      </c>
      <c r="D1054" s="11"/>
      <c r="E1054" t="s">
        <v>898</v>
      </c>
      <c r="F1054" s="108" t="s">
        <v>108</v>
      </c>
    </row>
    <row r="1055" spans="1:6" x14ac:dyDescent="0.3">
      <c r="A1055" s="111">
        <v>46211</v>
      </c>
      <c r="B1055" t="s">
        <v>246</v>
      </c>
      <c r="C1055" s="11">
        <v>1800</v>
      </c>
      <c r="D1055" s="11"/>
      <c r="E1055" t="s">
        <v>899</v>
      </c>
      <c r="F1055" s="108" t="s">
        <v>108</v>
      </c>
    </row>
    <row r="1056" spans="1:6" x14ac:dyDescent="0.3">
      <c r="A1056" s="111">
        <v>46211</v>
      </c>
      <c r="B1056" t="s">
        <v>357</v>
      </c>
      <c r="C1056" s="11">
        <v>12000</v>
      </c>
      <c r="D1056" s="11"/>
      <c r="E1056" t="s">
        <v>900</v>
      </c>
      <c r="F1056" s="108" t="s">
        <v>108</v>
      </c>
    </row>
    <row r="1057" spans="1:6" x14ac:dyDescent="0.3">
      <c r="A1057" s="111">
        <v>46211</v>
      </c>
      <c r="B1057" t="s">
        <v>776</v>
      </c>
      <c r="C1057" s="11"/>
      <c r="D1057" s="11">
        <v>85000</v>
      </c>
      <c r="E1057" t="s">
        <v>267</v>
      </c>
      <c r="F1057" s="108" t="s">
        <v>108</v>
      </c>
    </row>
    <row r="1058" spans="1:6" x14ac:dyDescent="0.3">
      <c r="A1058" s="111">
        <v>46211</v>
      </c>
      <c r="B1058" t="s">
        <v>253</v>
      </c>
      <c r="C1058" s="11">
        <f>31500+3500</f>
        <v>35000</v>
      </c>
      <c r="D1058" s="11"/>
      <c r="E1058" t="s">
        <v>904</v>
      </c>
      <c r="F1058" s="108" t="s">
        <v>108</v>
      </c>
    </row>
    <row r="1059" spans="1:6" x14ac:dyDescent="0.3">
      <c r="A1059" s="111">
        <v>46211</v>
      </c>
      <c r="B1059" t="s">
        <v>901</v>
      </c>
      <c r="C1059" s="11"/>
      <c r="D1059" s="11">
        <v>94900</v>
      </c>
      <c r="E1059" t="s">
        <v>215</v>
      </c>
      <c r="F1059" s="108" t="s">
        <v>108</v>
      </c>
    </row>
    <row r="1060" spans="1:6" x14ac:dyDescent="0.3">
      <c r="A1060" s="38">
        <v>46211</v>
      </c>
      <c r="B1060" t="s">
        <v>253</v>
      </c>
      <c r="C1060" s="95">
        <v>10200</v>
      </c>
      <c r="D1060" s="95"/>
      <c r="E1060" t="s">
        <v>902</v>
      </c>
      <c r="F1060" s="108" t="s">
        <v>108</v>
      </c>
    </row>
    <row r="1061" spans="1:6" x14ac:dyDescent="0.3">
      <c r="A1061" s="38">
        <v>46211</v>
      </c>
      <c r="B1061" t="s">
        <v>253</v>
      </c>
      <c r="C1061" s="95">
        <v>5000</v>
      </c>
      <c r="D1061" s="95"/>
      <c r="E1061" t="s">
        <v>903</v>
      </c>
      <c r="F1061" s="108" t="s">
        <v>108</v>
      </c>
    </row>
    <row r="1062" spans="1:6" x14ac:dyDescent="0.3">
      <c r="A1062" s="38">
        <v>46211</v>
      </c>
      <c r="B1062" t="s">
        <v>269</v>
      </c>
      <c r="C1062" s="95">
        <v>7000</v>
      </c>
      <c r="D1062" s="95"/>
      <c r="E1062" t="s">
        <v>288</v>
      </c>
      <c r="F1062" s="108" t="s">
        <v>108</v>
      </c>
    </row>
    <row r="1063" spans="1:6" x14ac:dyDescent="0.3">
      <c r="A1063" s="38">
        <v>46211</v>
      </c>
      <c r="B1063" t="s">
        <v>211</v>
      </c>
      <c r="C1063" s="95">
        <f>1350+1000</f>
        <v>2350</v>
      </c>
      <c r="D1063" s="11"/>
      <c r="F1063" s="108" t="s">
        <v>108</v>
      </c>
    </row>
    <row r="1064" spans="1:6" x14ac:dyDescent="0.3">
      <c r="A1064" s="38">
        <v>46212</v>
      </c>
      <c r="B1064" t="s">
        <v>222</v>
      </c>
      <c r="C1064" s="95">
        <v>80000</v>
      </c>
      <c r="D1064" s="95"/>
      <c r="E1064" t="s">
        <v>908</v>
      </c>
      <c r="F1064" s="108" t="s">
        <v>108</v>
      </c>
    </row>
    <row r="1065" spans="1:6" x14ac:dyDescent="0.3">
      <c r="A1065" s="111">
        <v>46212</v>
      </c>
      <c r="B1065" t="s">
        <v>819</v>
      </c>
      <c r="C1065" s="11">
        <v>185350</v>
      </c>
      <c r="D1065" s="11"/>
      <c r="E1065" t="s">
        <v>909</v>
      </c>
      <c r="F1065" s="108" t="s">
        <v>108</v>
      </c>
    </row>
    <row r="1066" spans="1:6" x14ac:dyDescent="0.3">
      <c r="A1066" s="111">
        <v>46212</v>
      </c>
      <c r="B1066" t="s">
        <v>887</v>
      </c>
      <c r="C1066" s="11"/>
      <c r="D1066" s="11">
        <v>185350</v>
      </c>
      <c r="E1066" t="s">
        <v>918</v>
      </c>
      <c r="F1066" s="143" t="s">
        <v>108</v>
      </c>
    </row>
    <row r="1067" spans="1:6" x14ac:dyDescent="0.3">
      <c r="A1067" s="111">
        <v>46212</v>
      </c>
      <c r="B1067" t="s">
        <v>488</v>
      </c>
      <c r="C1067" s="11">
        <v>5000</v>
      </c>
      <c r="D1067" s="11"/>
      <c r="E1067" t="s">
        <v>872</v>
      </c>
      <c r="F1067" s="143" t="s">
        <v>108</v>
      </c>
    </row>
    <row r="1068" spans="1:6" x14ac:dyDescent="0.3">
      <c r="A1068" s="38">
        <v>46212</v>
      </c>
      <c r="B1068" t="s">
        <v>488</v>
      </c>
      <c r="C1068" s="11">
        <v>500</v>
      </c>
      <c r="D1068" s="11"/>
      <c r="E1068" t="s">
        <v>910</v>
      </c>
      <c r="F1068" s="108" t="s">
        <v>108</v>
      </c>
    </row>
    <row r="1069" spans="1:6" x14ac:dyDescent="0.3">
      <c r="A1069" s="111">
        <v>46212</v>
      </c>
      <c r="B1069" t="s">
        <v>55</v>
      </c>
      <c r="C1069" s="11">
        <v>1250</v>
      </c>
      <c r="D1069" s="11"/>
      <c r="E1069" t="s">
        <v>911</v>
      </c>
      <c r="F1069" s="108" t="s">
        <v>108</v>
      </c>
    </row>
    <row r="1070" spans="1:6" x14ac:dyDescent="0.3">
      <c r="A1070" s="38">
        <v>46212</v>
      </c>
      <c r="B1070" t="s">
        <v>55</v>
      </c>
      <c r="C1070" s="11">
        <v>1800</v>
      </c>
      <c r="D1070" s="11"/>
      <c r="E1070" t="s">
        <v>912</v>
      </c>
      <c r="F1070" s="108" t="s">
        <v>108</v>
      </c>
    </row>
    <row r="1071" spans="1:6" x14ac:dyDescent="0.3">
      <c r="A1071" s="111">
        <v>46212</v>
      </c>
      <c r="B1071" t="s">
        <v>55</v>
      </c>
      <c r="C1071" s="11">
        <v>1100</v>
      </c>
      <c r="D1071" s="11"/>
      <c r="E1071" t="s">
        <v>913</v>
      </c>
      <c r="F1071" s="108" t="s">
        <v>108</v>
      </c>
    </row>
    <row r="1072" spans="1:6" x14ac:dyDescent="0.3">
      <c r="A1072" s="38">
        <v>46212</v>
      </c>
      <c r="B1072" t="s">
        <v>55</v>
      </c>
      <c r="C1072" s="11">
        <v>3560</v>
      </c>
      <c r="D1072" s="11"/>
      <c r="E1072" t="s">
        <v>914</v>
      </c>
      <c r="F1072" s="108" t="s">
        <v>108</v>
      </c>
    </row>
    <row r="1073" spans="1:6" x14ac:dyDescent="0.3">
      <c r="A1073" s="111">
        <v>46212</v>
      </c>
      <c r="B1073" t="s">
        <v>488</v>
      </c>
      <c r="C1073" s="11">
        <v>800</v>
      </c>
      <c r="D1073" s="11"/>
      <c r="E1073" t="s">
        <v>462</v>
      </c>
      <c r="F1073" s="108" t="s">
        <v>108</v>
      </c>
    </row>
    <row r="1074" spans="1:6" x14ac:dyDescent="0.3">
      <c r="A1074" s="38">
        <v>46212</v>
      </c>
      <c r="B1074" t="s">
        <v>915</v>
      </c>
      <c r="C1074" s="11"/>
      <c r="D1074" s="11">
        <v>85000</v>
      </c>
      <c r="E1074" t="s">
        <v>916</v>
      </c>
      <c r="F1074" s="108" t="s">
        <v>108</v>
      </c>
    </row>
    <row r="1075" spans="1:6" x14ac:dyDescent="0.3">
      <c r="A1075" s="111">
        <v>46212</v>
      </c>
      <c r="B1075" t="s">
        <v>915</v>
      </c>
      <c r="C1075" s="11"/>
      <c r="D1075" s="11">
        <v>6000</v>
      </c>
      <c r="E1075" t="s">
        <v>320</v>
      </c>
      <c r="F1075" s="108" t="s">
        <v>108</v>
      </c>
    </row>
    <row r="1076" spans="1:6" x14ac:dyDescent="0.3">
      <c r="A1076" s="38">
        <v>46212</v>
      </c>
      <c r="B1076" t="s">
        <v>55</v>
      </c>
      <c r="C1076" s="11">
        <v>1200</v>
      </c>
      <c r="D1076" s="11"/>
      <c r="E1076" t="s">
        <v>917</v>
      </c>
      <c r="F1076" s="108" t="s">
        <v>108</v>
      </c>
    </row>
    <row r="1077" spans="1:6" x14ac:dyDescent="0.3">
      <c r="A1077" s="111">
        <v>46212</v>
      </c>
      <c r="B1077" t="s">
        <v>55</v>
      </c>
      <c r="C1077" s="95">
        <v>1350</v>
      </c>
      <c r="D1077" s="95"/>
      <c r="E1077" t="s">
        <v>919</v>
      </c>
      <c r="F1077" s="108" t="s">
        <v>108</v>
      </c>
    </row>
    <row r="1078" spans="1:6" x14ac:dyDescent="0.3">
      <c r="A1078" s="38">
        <v>46212</v>
      </c>
      <c r="B1078" t="s">
        <v>222</v>
      </c>
      <c r="C1078" s="11">
        <v>46850</v>
      </c>
      <c r="D1078" s="11"/>
      <c r="E1078" t="s">
        <v>908</v>
      </c>
      <c r="F1078" s="108" t="s">
        <v>108</v>
      </c>
    </row>
    <row r="1079" spans="1:6" x14ac:dyDescent="0.3">
      <c r="A1079" s="111">
        <v>46212</v>
      </c>
      <c r="B1079" t="s">
        <v>244</v>
      </c>
      <c r="C1079" s="11">
        <v>2450</v>
      </c>
      <c r="D1079" s="11"/>
      <c r="E1079" t="s">
        <v>920</v>
      </c>
      <c r="F1079" s="108" t="s">
        <v>108</v>
      </c>
    </row>
    <row r="1080" spans="1:6" x14ac:dyDescent="0.3">
      <c r="A1080" s="38">
        <v>46212</v>
      </c>
      <c r="B1080" t="s">
        <v>766</v>
      </c>
      <c r="C1080" s="11">
        <v>15000</v>
      </c>
      <c r="D1080" s="11"/>
      <c r="E1080" t="s">
        <v>921</v>
      </c>
      <c r="F1080" s="108" t="s">
        <v>108</v>
      </c>
    </row>
    <row r="1081" spans="1:6" x14ac:dyDescent="0.3">
      <c r="A1081" s="111">
        <v>46212</v>
      </c>
      <c r="B1081" t="s">
        <v>246</v>
      </c>
      <c r="C1081" s="11">
        <v>10000</v>
      </c>
      <c r="D1081" s="11"/>
      <c r="E1081" t="s">
        <v>922</v>
      </c>
      <c r="F1081" s="108" t="s">
        <v>108</v>
      </c>
    </row>
    <row r="1082" spans="1:6" x14ac:dyDescent="0.3">
      <c r="A1082" s="38">
        <v>46212</v>
      </c>
      <c r="B1082" t="s">
        <v>488</v>
      </c>
      <c r="C1082" s="95">
        <v>2000</v>
      </c>
      <c r="D1082" s="95"/>
      <c r="E1082" t="s">
        <v>923</v>
      </c>
      <c r="F1082" s="108" t="s">
        <v>108</v>
      </c>
    </row>
    <row r="1083" spans="1:6" x14ac:dyDescent="0.3">
      <c r="A1083" s="38">
        <v>46212</v>
      </c>
      <c r="B1083" t="s">
        <v>517</v>
      </c>
      <c r="C1083" s="95">
        <v>400000</v>
      </c>
      <c r="D1083" s="95"/>
      <c r="E1083" t="s">
        <v>924</v>
      </c>
      <c r="F1083" s="108" t="s">
        <v>108</v>
      </c>
    </row>
    <row r="1084" spans="1:6" x14ac:dyDescent="0.3">
      <c r="A1084" s="38">
        <v>46212</v>
      </c>
      <c r="B1084" t="s">
        <v>887</v>
      </c>
      <c r="C1084" s="95"/>
      <c r="D1084" s="95">
        <v>400000</v>
      </c>
      <c r="E1084" t="s">
        <v>517</v>
      </c>
      <c r="F1084" s="108" t="s">
        <v>108</v>
      </c>
    </row>
    <row r="1085" spans="1:6" x14ac:dyDescent="0.3">
      <c r="A1085" s="38">
        <v>46212</v>
      </c>
      <c r="B1085" t="s">
        <v>219</v>
      </c>
      <c r="C1085" s="95"/>
      <c r="D1085" s="95">
        <v>170000</v>
      </c>
      <c r="E1085" t="s">
        <v>925</v>
      </c>
      <c r="F1085" s="108" t="s">
        <v>108</v>
      </c>
    </row>
    <row r="1086" spans="1:6" x14ac:dyDescent="0.3">
      <c r="A1086" s="38">
        <v>46212</v>
      </c>
      <c r="B1086" t="s">
        <v>674</v>
      </c>
      <c r="C1086" s="95">
        <v>200000</v>
      </c>
      <c r="D1086" s="95"/>
      <c r="E1086" t="s">
        <v>926</v>
      </c>
      <c r="F1086" s="108" t="s">
        <v>108</v>
      </c>
    </row>
    <row r="1087" spans="1:6" x14ac:dyDescent="0.3">
      <c r="A1087" s="38">
        <v>46213</v>
      </c>
      <c r="B1087" t="s">
        <v>887</v>
      </c>
      <c r="C1087" s="95"/>
      <c r="D1087" s="95">
        <v>36000</v>
      </c>
      <c r="E1087" t="s">
        <v>927</v>
      </c>
      <c r="F1087" s="108" t="s">
        <v>108</v>
      </c>
    </row>
    <row r="1088" spans="1:6" x14ac:dyDescent="0.3">
      <c r="A1088" s="38">
        <v>46213</v>
      </c>
      <c r="B1088" t="s">
        <v>222</v>
      </c>
      <c r="C1088" s="95">
        <v>36000</v>
      </c>
      <c r="D1088" s="95"/>
      <c r="E1088" t="s">
        <v>908</v>
      </c>
      <c r="F1088" s="108" t="s">
        <v>108</v>
      </c>
    </row>
    <row r="1089" spans="1:6" x14ac:dyDescent="0.3">
      <c r="A1089" s="38">
        <v>46213</v>
      </c>
      <c r="B1089" t="s">
        <v>887</v>
      </c>
      <c r="C1089" s="95"/>
      <c r="D1089" s="95">
        <v>80000</v>
      </c>
      <c r="E1089" t="s">
        <v>930</v>
      </c>
      <c r="F1089" s="108" t="s">
        <v>108</v>
      </c>
    </row>
    <row r="1090" spans="1:6" x14ac:dyDescent="0.3">
      <c r="A1090" s="111">
        <v>46213</v>
      </c>
      <c r="B1090" t="s">
        <v>253</v>
      </c>
      <c r="C1090" s="11">
        <v>80000</v>
      </c>
      <c r="D1090" s="11"/>
      <c r="E1090" t="s">
        <v>931</v>
      </c>
      <c r="F1090" s="108" t="s">
        <v>932</v>
      </c>
    </row>
    <row r="1091" spans="1:6" x14ac:dyDescent="0.3">
      <c r="A1091" s="111">
        <v>46213</v>
      </c>
      <c r="B1091" t="s">
        <v>219</v>
      </c>
      <c r="C1091" s="11"/>
      <c r="D1091" s="11">
        <v>280000</v>
      </c>
      <c r="E1091" t="s">
        <v>933</v>
      </c>
      <c r="F1091" s="108" t="s">
        <v>108</v>
      </c>
    </row>
    <row r="1092" spans="1:6" x14ac:dyDescent="0.3">
      <c r="A1092" s="111">
        <v>46213</v>
      </c>
      <c r="B1092" t="s">
        <v>222</v>
      </c>
      <c r="C1092" s="11">
        <v>300000</v>
      </c>
      <c r="D1092" s="11"/>
      <c r="E1092" t="s">
        <v>934</v>
      </c>
      <c r="F1092" s="108" t="s">
        <v>108</v>
      </c>
    </row>
    <row r="1093" spans="1:6" x14ac:dyDescent="0.3">
      <c r="A1093" s="111">
        <v>46213</v>
      </c>
      <c r="B1093" t="s">
        <v>887</v>
      </c>
      <c r="C1093" s="11"/>
      <c r="D1093" s="11">
        <v>24000</v>
      </c>
      <c r="F1093" s="108" t="s">
        <v>108</v>
      </c>
    </row>
    <row r="1094" spans="1:6" x14ac:dyDescent="0.3">
      <c r="A1094" s="111">
        <v>46213</v>
      </c>
      <c r="B1094" t="s">
        <v>386</v>
      </c>
      <c r="C1094" s="11">
        <v>4480</v>
      </c>
      <c r="D1094" s="11"/>
      <c r="E1094" t="s">
        <v>935</v>
      </c>
      <c r="F1094" s="108" t="s">
        <v>108</v>
      </c>
    </row>
    <row r="1095" spans="1:6" x14ac:dyDescent="0.3">
      <c r="A1095" s="111">
        <v>46214</v>
      </c>
      <c r="B1095" t="s">
        <v>928</v>
      </c>
      <c r="C1095" s="11"/>
      <c r="D1095" s="11">
        <v>488600</v>
      </c>
      <c r="F1095" s="108" t="s">
        <v>108</v>
      </c>
    </row>
    <row r="1096" spans="1:6" x14ac:dyDescent="0.3">
      <c r="A1096" s="111">
        <v>46214</v>
      </c>
      <c r="B1096" t="s">
        <v>219</v>
      </c>
      <c r="C1096" s="11">
        <v>488600</v>
      </c>
      <c r="D1096" s="11"/>
      <c r="E1096" t="s">
        <v>936</v>
      </c>
      <c r="F1096" s="108" t="s">
        <v>108</v>
      </c>
    </row>
    <row r="1097" spans="1:6" x14ac:dyDescent="0.3">
      <c r="A1097" s="111">
        <v>46213</v>
      </c>
      <c r="B1097" t="s">
        <v>792</v>
      </c>
      <c r="C1097" s="95"/>
      <c r="D1097" s="95">
        <v>100000</v>
      </c>
      <c r="F1097" s="108" t="s">
        <v>108</v>
      </c>
    </row>
    <row r="1098" spans="1:6" x14ac:dyDescent="0.3">
      <c r="A1098" s="111">
        <v>46214</v>
      </c>
      <c r="B1098" t="s">
        <v>219</v>
      </c>
      <c r="C1098" s="11">
        <v>100000</v>
      </c>
      <c r="D1098" s="11"/>
      <c r="E1098" t="s">
        <v>280</v>
      </c>
      <c r="F1098" s="108" t="s">
        <v>108</v>
      </c>
    </row>
    <row r="1099" spans="1:6" x14ac:dyDescent="0.3">
      <c r="A1099" s="111">
        <v>46204</v>
      </c>
      <c r="B1099" t="s">
        <v>776</v>
      </c>
      <c r="C1099" s="11"/>
      <c r="D1099" s="11">
        <v>132500</v>
      </c>
      <c r="F1099" s="108" t="s">
        <v>108</v>
      </c>
    </row>
    <row r="1100" spans="1:6" x14ac:dyDescent="0.3">
      <c r="A1100" s="111">
        <v>46204</v>
      </c>
      <c r="B1100" t="s">
        <v>219</v>
      </c>
      <c r="C1100" s="11">
        <v>132500</v>
      </c>
      <c r="D1100" s="11"/>
      <c r="E1100" t="s">
        <v>776</v>
      </c>
      <c r="F1100" s="108" t="s">
        <v>108</v>
      </c>
    </row>
    <row r="1101" spans="1:6" x14ac:dyDescent="0.3">
      <c r="A1101" s="111">
        <v>46214</v>
      </c>
      <c r="B1101" t="s">
        <v>488</v>
      </c>
      <c r="C1101" s="11">
        <v>500</v>
      </c>
      <c r="D1101" s="11"/>
      <c r="E1101" t="s">
        <v>937</v>
      </c>
      <c r="F1101" s="108" t="s">
        <v>108</v>
      </c>
    </row>
    <row r="1102" spans="1:6" x14ac:dyDescent="0.3">
      <c r="A1102" s="111">
        <v>46214</v>
      </c>
      <c r="B1102" t="s">
        <v>269</v>
      </c>
      <c r="C1102" s="11">
        <v>5000</v>
      </c>
      <c r="D1102" s="11"/>
      <c r="E1102" t="s">
        <v>864</v>
      </c>
      <c r="F1102" s="108" t="s">
        <v>108</v>
      </c>
    </row>
    <row r="1103" spans="1:6" x14ac:dyDescent="0.3">
      <c r="A1103" s="111">
        <v>46214</v>
      </c>
      <c r="B1103" t="s">
        <v>55</v>
      </c>
      <c r="C1103" s="11">
        <v>460</v>
      </c>
      <c r="D1103" s="11"/>
      <c r="E1103" t="s">
        <v>938</v>
      </c>
      <c r="F1103" s="108" t="s">
        <v>108</v>
      </c>
    </row>
    <row r="1104" spans="1:6" x14ac:dyDescent="0.3">
      <c r="A1104" s="111">
        <v>46214</v>
      </c>
      <c r="B1104" t="s">
        <v>55</v>
      </c>
      <c r="C1104" s="11">
        <v>3500</v>
      </c>
      <c r="D1104" s="11"/>
      <c r="E1104" t="s">
        <v>939</v>
      </c>
      <c r="F1104" s="108" t="s">
        <v>108</v>
      </c>
    </row>
    <row r="1105" spans="1:6" x14ac:dyDescent="0.3">
      <c r="A1105" s="111">
        <v>46214</v>
      </c>
      <c r="B1105" t="s">
        <v>298</v>
      </c>
      <c r="C1105" s="95">
        <v>49410</v>
      </c>
      <c r="D1105" s="95"/>
      <c r="E1105" t="s">
        <v>940</v>
      </c>
      <c r="F1105" s="108" t="s">
        <v>108</v>
      </c>
    </row>
    <row r="1106" spans="1:6" x14ac:dyDescent="0.3">
      <c r="A1106" s="111">
        <v>46214</v>
      </c>
      <c r="B1106" t="s">
        <v>892</v>
      </c>
      <c r="C1106" s="11"/>
      <c r="D1106" s="11">
        <v>100000</v>
      </c>
      <c r="F1106" s="108" t="s">
        <v>108</v>
      </c>
    </row>
    <row r="1107" spans="1:6" x14ac:dyDescent="0.3">
      <c r="A1107" s="111">
        <v>46214</v>
      </c>
      <c r="B1107" t="s">
        <v>55</v>
      </c>
      <c r="C1107" s="11">
        <v>3400</v>
      </c>
      <c r="D1107" s="11"/>
      <c r="E1107" t="s">
        <v>941</v>
      </c>
      <c r="F1107" s="108" t="s">
        <v>108</v>
      </c>
    </row>
    <row r="1108" spans="1:6" x14ac:dyDescent="0.3">
      <c r="A1108" s="111">
        <v>46214</v>
      </c>
      <c r="B1108" t="s">
        <v>488</v>
      </c>
      <c r="C1108" s="11">
        <v>5000</v>
      </c>
      <c r="D1108" s="11"/>
      <c r="E1108" t="s">
        <v>872</v>
      </c>
      <c r="F1108" s="108" t="s">
        <v>108</v>
      </c>
    </row>
    <row r="1109" spans="1:6" x14ac:dyDescent="0.3">
      <c r="A1109" s="111">
        <v>46214</v>
      </c>
      <c r="B1109" t="s">
        <v>269</v>
      </c>
      <c r="C1109" s="11">
        <v>5000</v>
      </c>
      <c r="D1109" s="11"/>
      <c r="E1109" t="s">
        <v>288</v>
      </c>
      <c r="F1109" s="108" t="s">
        <v>108</v>
      </c>
    </row>
    <row r="1110" spans="1:6" x14ac:dyDescent="0.3">
      <c r="A1110" s="111">
        <v>46215</v>
      </c>
      <c r="B1110" t="s">
        <v>654</v>
      </c>
      <c r="C1110" s="11"/>
      <c r="D1110" s="11">
        <v>200000</v>
      </c>
      <c r="E1110" t="s">
        <v>944</v>
      </c>
      <c r="F1110" s="108" t="s">
        <v>108</v>
      </c>
    </row>
    <row r="1111" spans="1:6" x14ac:dyDescent="0.3">
      <c r="A1111" s="38">
        <v>46215</v>
      </c>
      <c r="B1111" t="s">
        <v>654</v>
      </c>
      <c r="C1111" s="95"/>
      <c r="D1111" s="95">
        <v>200000</v>
      </c>
      <c r="E1111" t="s">
        <v>945</v>
      </c>
      <c r="F1111" s="108" t="s">
        <v>108</v>
      </c>
    </row>
    <row r="1112" spans="1:6" x14ac:dyDescent="0.3">
      <c r="A1112" s="38">
        <v>46215</v>
      </c>
      <c r="B1112" t="s">
        <v>654</v>
      </c>
      <c r="C1112" s="95"/>
      <c r="D1112" s="95">
        <v>200000</v>
      </c>
      <c r="E1112" t="s">
        <v>946</v>
      </c>
      <c r="F1112" s="108" t="s">
        <v>108</v>
      </c>
    </row>
    <row r="1113" spans="1:6" x14ac:dyDescent="0.3">
      <c r="A1113" s="38">
        <v>46215</v>
      </c>
      <c r="B1113" t="s">
        <v>219</v>
      </c>
      <c r="C1113" s="95">
        <v>600000</v>
      </c>
      <c r="D1113" s="95"/>
      <c r="E1113" t="s">
        <v>947</v>
      </c>
      <c r="F1113" s="108" t="s">
        <v>108</v>
      </c>
    </row>
    <row r="1114" spans="1:6" x14ac:dyDescent="0.3">
      <c r="A1114" s="38">
        <v>46215</v>
      </c>
      <c r="B1114" t="s">
        <v>357</v>
      </c>
      <c r="C1114" s="95">
        <v>2860</v>
      </c>
      <c r="D1114" s="95"/>
      <c r="F1114" s="108" t="s">
        <v>108</v>
      </c>
    </row>
    <row r="1115" spans="1:6" x14ac:dyDescent="0.3">
      <c r="A1115" s="38">
        <v>46216</v>
      </c>
      <c r="B1115" t="s">
        <v>269</v>
      </c>
      <c r="C1115" s="95">
        <v>3500</v>
      </c>
      <c r="D1115" s="95"/>
      <c r="E1115" t="s">
        <v>538</v>
      </c>
      <c r="F1115" s="108" t="s">
        <v>108</v>
      </c>
    </row>
    <row r="1116" spans="1:6" x14ac:dyDescent="0.3">
      <c r="A1116" s="176">
        <v>46216</v>
      </c>
      <c r="B1116" t="s">
        <v>244</v>
      </c>
      <c r="C1116" s="95">
        <v>1000</v>
      </c>
      <c r="D1116" s="95"/>
      <c r="E1116" t="s">
        <v>958</v>
      </c>
      <c r="F1116" s="108"/>
    </row>
    <row r="1117" spans="1:6" x14ac:dyDescent="0.3">
      <c r="A1117" s="38">
        <v>46216</v>
      </c>
      <c r="B1117" t="s">
        <v>55</v>
      </c>
      <c r="C1117" s="95">
        <v>160</v>
      </c>
      <c r="D1117" s="95"/>
      <c r="E1117" t="s">
        <v>948</v>
      </c>
      <c r="F1117" s="108" t="s">
        <v>108</v>
      </c>
    </row>
    <row r="1118" spans="1:6" x14ac:dyDescent="0.3">
      <c r="A1118" s="38">
        <v>46216</v>
      </c>
      <c r="B1118" t="s">
        <v>269</v>
      </c>
      <c r="C1118" s="95">
        <v>5000</v>
      </c>
      <c r="D1118" s="95"/>
      <c r="E1118" t="s">
        <v>949</v>
      </c>
      <c r="F1118" s="108" t="s">
        <v>108</v>
      </c>
    </row>
    <row r="1119" spans="1:6" x14ac:dyDescent="0.3">
      <c r="A1119" s="38">
        <v>46216</v>
      </c>
      <c r="B1119" t="s">
        <v>55</v>
      </c>
      <c r="C1119" s="95">
        <v>1250</v>
      </c>
      <c r="D1119" s="95"/>
      <c r="E1119" t="s">
        <v>950</v>
      </c>
      <c r="F1119" s="108" t="s">
        <v>108</v>
      </c>
    </row>
    <row r="1120" spans="1:6" x14ac:dyDescent="0.3">
      <c r="A1120" s="38">
        <v>46216</v>
      </c>
      <c r="B1120" t="s">
        <v>357</v>
      </c>
      <c r="C1120" s="95">
        <v>12000</v>
      </c>
      <c r="D1120" s="95"/>
      <c r="E1120" t="s">
        <v>392</v>
      </c>
      <c r="F1120" s="108" t="s">
        <v>108</v>
      </c>
    </row>
    <row r="1121" spans="1:6" x14ac:dyDescent="0.3">
      <c r="A1121" s="38">
        <v>46217</v>
      </c>
      <c r="B1121" t="s">
        <v>488</v>
      </c>
      <c r="C1121" s="95">
        <v>920</v>
      </c>
      <c r="D1121" s="95"/>
      <c r="E1121" t="s">
        <v>541</v>
      </c>
      <c r="F1121" s="108" t="s">
        <v>108</v>
      </c>
    </row>
    <row r="1122" spans="1:6" x14ac:dyDescent="0.3">
      <c r="A1122" s="38">
        <v>46217</v>
      </c>
      <c r="B1122" t="s">
        <v>211</v>
      </c>
      <c r="C1122" s="95"/>
      <c r="D1122" s="95">
        <v>15000</v>
      </c>
      <c r="E1122" t="s">
        <v>903</v>
      </c>
      <c r="F1122" s="108" t="s">
        <v>108</v>
      </c>
    </row>
    <row r="1123" spans="1:6" x14ac:dyDescent="0.3">
      <c r="A1123" s="38">
        <v>46217</v>
      </c>
      <c r="B1123" t="s">
        <v>253</v>
      </c>
      <c r="C1123" s="95">
        <v>15000</v>
      </c>
      <c r="D1123" s="95"/>
      <c r="E1123" t="s">
        <v>903</v>
      </c>
      <c r="F1123" s="108" t="s">
        <v>108</v>
      </c>
    </row>
    <row r="1124" spans="1:6" x14ac:dyDescent="0.3">
      <c r="A1124" s="38">
        <v>46217</v>
      </c>
      <c r="B1124" t="s">
        <v>219</v>
      </c>
      <c r="C1124" s="95"/>
      <c r="D1124" s="95">
        <v>63000</v>
      </c>
      <c r="E1124" t="s">
        <v>951</v>
      </c>
      <c r="F1124" s="108" t="s">
        <v>108</v>
      </c>
    </row>
    <row r="1125" spans="1:6" x14ac:dyDescent="0.3">
      <c r="A1125" s="38">
        <v>46217</v>
      </c>
      <c r="B1125" t="s">
        <v>269</v>
      </c>
      <c r="C1125" s="95">
        <v>50000</v>
      </c>
      <c r="D1125" s="95"/>
      <c r="E1125" t="s">
        <v>700</v>
      </c>
      <c r="F1125" s="108" t="s">
        <v>108</v>
      </c>
    </row>
    <row r="1126" spans="1:6" x14ac:dyDescent="0.3">
      <c r="A1126" s="38">
        <v>46217</v>
      </c>
      <c r="B1126" t="s">
        <v>269</v>
      </c>
      <c r="C1126" s="95">
        <v>8000</v>
      </c>
      <c r="D1126" s="95"/>
      <c r="E1126" t="s">
        <v>260</v>
      </c>
      <c r="F1126" s="108" t="s">
        <v>108</v>
      </c>
    </row>
    <row r="1127" spans="1:6" x14ac:dyDescent="0.3">
      <c r="A1127" s="111">
        <v>46217</v>
      </c>
      <c r="B1127" t="s">
        <v>211</v>
      </c>
      <c r="C1127" s="95"/>
      <c r="D1127" s="95">
        <v>1000</v>
      </c>
      <c r="E1127" t="s">
        <v>109</v>
      </c>
      <c r="F1127" s="108" t="s">
        <v>108</v>
      </c>
    </row>
    <row r="1128" spans="1:6" x14ac:dyDescent="0.3">
      <c r="A1128" s="38">
        <v>46217</v>
      </c>
      <c r="B1128" t="s">
        <v>488</v>
      </c>
      <c r="C1128" s="95">
        <v>500</v>
      </c>
      <c r="D1128" s="95"/>
      <c r="E1128" t="s">
        <v>952</v>
      </c>
      <c r="F1128" s="108" t="s">
        <v>108</v>
      </c>
    </row>
    <row r="1129" spans="1:6" x14ac:dyDescent="0.3">
      <c r="A1129" s="38">
        <v>46217</v>
      </c>
      <c r="B1129" t="s">
        <v>246</v>
      </c>
      <c r="C1129" s="95">
        <v>12000</v>
      </c>
      <c r="D1129" s="95"/>
      <c r="E1129" t="s">
        <v>953</v>
      </c>
      <c r="F1129" s="108" t="s">
        <v>108</v>
      </c>
    </row>
    <row r="1130" spans="1:6" x14ac:dyDescent="0.3">
      <c r="A1130" s="38">
        <v>46217</v>
      </c>
      <c r="B1130" t="s">
        <v>219</v>
      </c>
      <c r="C1130" s="95"/>
      <c r="D1130" s="95">
        <v>12000</v>
      </c>
      <c r="E1130" t="s">
        <v>953</v>
      </c>
      <c r="F1130" s="108" t="s">
        <v>108</v>
      </c>
    </row>
    <row r="1131" spans="1:6" x14ac:dyDescent="0.3">
      <c r="A1131" s="38">
        <v>46218</v>
      </c>
      <c r="B1131" t="s">
        <v>55</v>
      </c>
      <c r="C1131" s="95">
        <v>3560</v>
      </c>
      <c r="D1131" s="95"/>
      <c r="F1131" s="108" t="s">
        <v>108</v>
      </c>
    </row>
    <row r="1132" spans="1:6" x14ac:dyDescent="0.3">
      <c r="A1132" s="38">
        <v>46218</v>
      </c>
      <c r="B1132" t="s">
        <v>386</v>
      </c>
      <c r="C1132" s="95">
        <v>1540</v>
      </c>
      <c r="D1132" s="95"/>
      <c r="E1132" t="s">
        <v>954</v>
      </c>
      <c r="F1132" s="108" t="s">
        <v>108</v>
      </c>
    </row>
    <row r="1133" spans="1:6" x14ac:dyDescent="0.3">
      <c r="A1133" s="38">
        <v>46218</v>
      </c>
      <c r="B1133" t="s">
        <v>211</v>
      </c>
      <c r="C1133" s="95"/>
      <c r="D1133" s="95">
        <v>3050</v>
      </c>
      <c r="E1133" t="s">
        <v>955</v>
      </c>
      <c r="F1133" s="108" t="s">
        <v>108</v>
      </c>
    </row>
    <row r="1134" spans="1:6" x14ac:dyDescent="0.3">
      <c r="A1134" s="38">
        <v>46218</v>
      </c>
      <c r="B1134" t="s">
        <v>386</v>
      </c>
      <c r="C1134" s="95">
        <v>3050</v>
      </c>
      <c r="D1134" s="95"/>
      <c r="E1134" t="s">
        <v>955</v>
      </c>
      <c r="F1134" s="108" t="s">
        <v>108</v>
      </c>
    </row>
    <row r="1135" spans="1:6" x14ac:dyDescent="0.3">
      <c r="A1135" s="38">
        <v>46217</v>
      </c>
      <c r="B1135" t="s">
        <v>488</v>
      </c>
      <c r="C1135" s="95">
        <v>5000</v>
      </c>
      <c r="D1135" s="95"/>
      <c r="E1135" t="s">
        <v>872</v>
      </c>
      <c r="F1135" s="108" t="s">
        <v>108</v>
      </c>
    </row>
    <row r="1136" spans="1:6" x14ac:dyDescent="0.3">
      <c r="A1136" s="38">
        <v>46218</v>
      </c>
      <c r="B1136" t="s">
        <v>219</v>
      </c>
      <c r="C1136" s="95"/>
      <c r="D1136" s="95">
        <v>146950</v>
      </c>
      <c r="E1136" t="s">
        <v>956</v>
      </c>
      <c r="F1136" s="108" t="s">
        <v>108</v>
      </c>
    </row>
    <row r="1137" spans="1:6" x14ac:dyDescent="0.3">
      <c r="A1137" s="38">
        <v>46218</v>
      </c>
      <c r="B1137" t="s">
        <v>211</v>
      </c>
      <c r="C1137" s="95"/>
      <c r="D1137" s="95">
        <v>2500</v>
      </c>
      <c r="F1137" s="108" t="s">
        <v>108</v>
      </c>
    </row>
    <row r="1138" spans="1:6" x14ac:dyDescent="0.3">
      <c r="A1138" s="38">
        <v>46218</v>
      </c>
      <c r="B1138" t="s">
        <v>674</v>
      </c>
      <c r="C1138" s="95">
        <v>150000</v>
      </c>
      <c r="D1138" s="95"/>
      <c r="E1138" t="s">
        <v>957</v>
      </c>
      <c r="F1138" s="108" t="s">
        <v>108</v>
      </c>
    </row>
    <row r="1139" spans="1:6" x14ac:dyDescent="0.3">
      <c r="A1139" s="176">
        <v>46219</v>
      </c>
      <c r="B1139" t="s">
        <v>488</v>
      </c>
      <c r="C1139" s="11">
        <v>800</v>
      </c>
      <c r="D1139" s="11"/>
      <c r="E1139" t="s">
        <v>462</v>
      </c>
      <c r="F1139" s="108" t="s">
        <v>108</v>
      </c>
    </row>
    <row r="1140" spans="1:6" x14ac:dyDescent="0.3">
      <c r="A1140" s="176">
        <v>46219</v>
      </c>
      <c r="B1140" t="s">
        <v>246</v>
      </c>
      <c r="C1140" s="11">
        <v>2000</v>
      </c>
      <c r="D1140" s="11"/>
      <c r="E1140" t="s">
        <v>282</v>
      </c>
      <c r="F1140" s="108" t="s">
        <v>108</v>
      </c>
    </row>
    <row r="1141" spans="1:6" x14ac:dyDescent="0.3">
      <c r="A1141" s="176">
        <v>46219</v>
      </c>
      <c r="B1141" t="s">
        <v>222</v>
      </c>
      <c r="C1141" s="11">
        <v>200000</v>
      </c>
      <c r="D1141" s="11"/>
      <c r="E1141" t="s">
        <v>959</v>
      </c>
      <c r="F1141" s="108" t="s">
        <v>108</v>
      </c>
    </row>
    <row r="1142" spans="1:6" x14ac:dyDescent="0.3">
      <c r="A1142" s="176">
        <v>46219</v>
      </c>
      <c r="B1142" t="s">
        <v>905</v>
      </c>
      <c r="C1142" s="11">
        <v>255750</v>
      </c>
      <c r="D1142" s="11"/>
      <c r="E1142" t="s">
        <v>960</v>
      </c>
      <c r="F1142" s="108" t="s">
        <v>108</v>
      </c>
    </row>
    <row r="1143" spans="1:6" x14ac:dyDescent="0.3">
      <c r="A1143" s="176">
        <v>46219</v>
      </c>
      <c r="B1143" t="s">
        <v>219</v>
      </c>
      <c r="C1143" s="11"/>
      <c r="D1143" s="11">
        <v>425000</v>
      </c>
      <c r="E1143" t="s">
        <v>961</v>
      </c>
      <c r="F1143" s="108" t="s">
        <v>108</v>
      </c>
    </row>
    <row r="1144" spans="1:6" x14ac:dyDescent="0.3">
      <c r="A1144" s="176">
        <v>46219</v>
      </c>
      <c r="B1144" t="s">
        <v>219</v>
      </c>
      <c r="C1144" s="11"/>
      <c r="D1144" s="11">
        <v>34800</v>
      </c>
      <c r="E1144" t="s">
        <v>962</v>
      </c>
      <c r="F1144" s="108" t="s">
        <v>108</v>
      </c>
    </row>
    <row r="1145" spans="1:6" x14ac:dyDescent="0.3">
      <c r="A1145" s="176">
        <v>46219</v>
      </c>
      <c r="B1145" t="s">
        <v>488</v>
      </c>
      <c r="C1145" s="11">
        <v>1500</v>
      </c>
      <c r="D1145" s="11"/>
      <c r="E1145" t="s">
        <v>963</v>
      </c>
      <c r="F1145" s="108" t="s">
        <v>108</v>
      </c>
    </row>
    <row r="1146" spans="1:6" x14ac:dyDescent="0.3">
      <c r="A1146" s="176">
        <v>46219</v>
      </c>
      <c r="B1146" t="s">
        <v>357</v>
      </c>
      <c r="C1146" s="11">
        <v>14080</v>
      </c>
      <c r="D1146" s="11"/>
      <c r="F1146" s="108" t="s">
        <v>108</v>
      </c>
    </row>
    <row r="1147" spans="1:6" x14ac:dyDescent="0.3">
      <c r="A1147" s="176">
        <v>46219</v>
      </c>
      <c r="B1147" t="s">
        <v>116</v>
      </c>
      <c r="C1147" s="11">
        <v>15500</v>
      </c>
      <c r="D1147" s="11"/>
      <c r="E1147" t="s">
        <v>163</v>
      </c>
      <c r="F1147" s="108" t="s">
        <v>108</v>
      </c>
    </row>
    <row r="1148" spans="1:6" x14ac:dyDescent="0.3">
      <c r="A1148" s="176">
        <v>46219</v>
      </c>
      <c r="B1148" t="s">
        <v>219</v>
      </c>
      <c r="C1148" s="11"/>
      <c r="D1148" s="11">
        <v>20000</v>
      </c>
      <c r="E1148" t="s">
        <v>970</v>
      </c>
      <c r="F1148" s="108" t="s">
        <v>108</v>
      </c>
    </row>
    <row r="1149" spans="1:6" x14ac:dyDescent="0.3">
      <c r="A1149" s="176">
        <v>46219</v>
      </c>
      <c r="B1149" t="s">
        <v>219</v>
      </c>
      <c r="C1149" s="11"/>
      <c r="D1149" s="11">
        <v>15500</v>
      </c>
      <c r="E1149" t="s">
        <v>163</v>
      </c>
      <c r="F1149" s="108" t="s">
        <v>108</v>
      </c>
    </row>
    <row r="1150" spans="1:6" x14ac:dyDescent="0.3">
      <c r="A1150" s="176">
        <v>46219</v>
      </c>
      <c r="B1150" t="s">
        <v>488</v>
      </c>
      <c r="C1150" s="11">
        <v>5000</v>
      </c>
      <c r="D1150" s="11"/>
      <c r="E1150" t="s">
        <v>872</v>
      </c>
      <c r="F1150" s="108" t="s">
        <v>108</v>
      </c>
    </row>
    <row r="1151" spans="1:6" x14ac:dyDescent="0.3">
      <c r="A1151" s="176">
        <v>46220</v>
      </c>
      <c r="B1151" t="s">
        <v>269</v>
      </c>
      <c r="C1151" s="11">
        <v>5000</v>
      </c>
      <c r="D1151" s="11"/>
      <c r="E1151" t="s">
        <v>665</v>
      </c>
      <c r="F1151" s="108" t="s">
        <v>108</v>
      </c>
    </row>
    <row r="1152" spans="1:6" x14ac:dyDescent="0.3">
      <c r="A1152" s="176">
        <v>46220</v>
      </c>
      <c r="B1152" t="s">
        <v>211</v>
      </c>
      <c r="C1152" s="11"/>
      <c r="D1152" s="11">
        <v>5000</v>
      </c>
      <c r="E1152" t="s">
        <v>665</v>
      </c>
      <c r="F1152" s="108" t="s">
        <v>108</v>
      </c>
    </row>
    <row r="1153" spans="1:7" x14ac:dyDescent="0.3">
      <c r="A1153" s="176">
        <v>46220</v>
      </c>
      <c r="B1153" t="s">
        <v>357</v>
      </c>
      <c r="C1153" s="11">
        <v>370</v>
      </c>
      <c r="D1153" s="11"/>
      <c r="F1153" s="108" t="s">
        <v>108</v>
      </c>
    </row>
    <row r="1154" spans="1:7" x14ac:dyDescent="0.3">
      <c r="A1154" s="176">
        <v>46221</v>
      </c>
      <c r="B1154" t="s">
        <v>219</v>
      </c>
      <c r="C1154" s="11"/>
      <c r="D1154" s="11">
        <v>40000</v>
      </c>
      <c r="E1154" t="s">
        <v>965</v>
      </c>
      <c r="F1154" s="108" t="s">
        <v>108</v>
      </c>
    </row>
    <row r="1155" spans="1:7" x14ac:dyDescent="0.3">
      <c r="A1155" s="176">
        <v>46221</v>
      </c>
      <c r="B1155" t="s">
        <v>246</v>
      </c>
      <c r="C1155" s="11">
        <v>39700</v>
      </c>
      <c r="D1155" s="11"/>
      <c r="E1155" t="s">
        <v>966</v>
      </c>
      <c r="F1155" s="108" t="s">
        <v>108</v>
      </c>
    </row>
    <row r="1156" spans="1:7" x14ac:dyDescent="0.3">
      <c r="A1156" s="176">
        <v>46221</v>
      </c>
      <c r="B1156" t="s">
        <v>246</v>
      </c>
      <c r="C1156" s="11">
        <v>3700</v>
      </c>
      <c r="D1156" s="11"/>
      <c r="E1156" t="s">
        <v>282</v>
      </c>
      <c r="F1156" s="108" t="s">
        <v>108</v>
      </c>
    </row>
    <row r="1157" spans="1:7" x14ac:dyDescent="0.3">
      <c r="A1157" s="176">
        <v>46221</v>
      </c>
      <c r="B1157" t="s">
        <v>488</v>
      </c>
      <c r="C1157" s="11">
        <v>2500</v>
      </c>
      <c r="D1157" s="11"/>
      <c r="E1157" t="s">
        <v>967</v>
      </c>
      <c r="F1157" s="108" t="s">
        <v>108</v>
      </c>
    </row>
    <row r="1158" spans="1:7" x14ac:dyDescent="0.3">
      <c r="A1158" s="176">
        <v>46221</v>
      </c>
      <c r="B1158" t="s">
        <v>211</v>
      </c>
      <c r="C1158" s="11"/>
      <c r="D1158" s="11">
        <v>6200</v>
      </c>
      <c r="E1158" t="s">
        <v>968</v>
      </c>
      <c r="F1158" s="108" t="s">
        <v>108</v>
      </c>
    </row>
    <row r="1159" spans="1:7" x14ac:dyDescent="0.3">
      <c r="A1159" s="176">
        <v>46221</v>
      </c>
      <c r="B1159" t="s">
        <v>55</v>
      </c>
      <c r="C1159" s="11">
        <v>1800</v>
      </c>
      <c r="D1159" s="11"/>
      <c r="F1159" s="108" t="s">
        <v>108</v>
      </c>
    </row>
    <row r="1160" spans="1:7" x14ac:dyDescent="0.3">
      <c r="A1160" s="177">
        <v>46221</v>
      </c>
      <c r="B1160" s="178" t="s">
        <v>269</v>
      </c>
      <c r="C1160" s="95">
        <v>3000</v>
      </c>
      <c r="D1160" s="95"/>
      <c r="E1160" s="178" t="s">
        <v>252</v>
      </c>
      <c r="F1160" s="179" t="s">
        <v>108</v>
      </c>
      <c r="G1160" s="178"/>
    </row>
    <row r="1161" spans="1:7" x14ac:dyDescent="0.3">
      <c r="A1161" s="177">
        <v>46221</v>
      </c>
      <c r="B1161" s="178" t="s">
        <v>211</v>
      </c>
      <c r="C1161" s="95"/>
      <c r="D1161" s="95">
        <v>3000</v>
      </c>
      <c r="E1161" s="178" t="s">
        <v>252</v>
      </c>
      <c r="F1161" s="179" t="s">
        <v>108</v>
      </c>
      <c r="G1161" s="178"/>
    </row>
    <row r="1162" spans="1:7" x14ac:dyDescent="0.3">
      <c r="A1162" s="177">
        <v>46221</v>
      </c>
      <c r="B1162" s="178" t="s">
        <v>269</v>
      </c>
      <c r="C1162" s="95">
        <v>5000</v>
      </c>
      <c r="D1162" s="95"/>
      <c r="E1162" s="178" t="s">
        <v>969</v>
      </c>
      <c r="F1162" s="179" t="s">
        <v>108</v>
      </c>
      <c r="G1162" s="178"/>
    </row>
    <row r="1163" spans="1:7" x14ac:dyDescent="0.3">
      <c r="A1163" s="177">
        <v>46221</v>
      </c>
      <c r="B1163" s="178" t="s">
        <v>211</v>
      </c>
      <c r="C1163" s="95"/>
      <c r="D1163" s="95">
        <v>5000</v>
      </c>
      <c r="E1163" s="178" t="s">
        <v>969</v>
      </c>
      <c r="F1163" s="179" t="s">
        <v>108</v>
      </c>
      <c r="G1163" s="178"/>
    </row>
    <row r="1164" spans="1:7" x14ac:dyDescent="0.3">
      <c r="A1164" s="177">
        <v>46221</v>
      </c>
      <c r="B1164" s="178" t="s">
        <v>298</v>
      </c>
      <c r="C1164" s="95">
        <v>5000</v>
      </c>
      <c r="D1164" s="95"/>
      <c r="E1164" s="178" t="s">
        <v>693</v>
      </c>
      <c r="F1164" s="179" t="s">
        <v>108</v>
      </c>
      <c r="G1164" s="178"/>
    </row>
    <row r="1165" spans="1:7" x14ac:dyDescent="0.3">
      <c r="A1165" s="177">
        <v>46221</v>
      </c>
      <c r="B1165" s="178" t="s">
        <v>219</v>
      </c>
      <c r="C1165" s="95"/>
      <c r="D1165" s="95">
        <v>5000</v>
      </c>
      <c r="E1165" s="178" t="s">
        <v>693</v>
      </c>
      <c r="F1165" s="179" t="s">
        <v>108</v>
      </c>
      <c r="G1165" s="178"/>
    </row>
    <row r="1166" spans="1:7" x14ac:dyDescent="0.3">
      <c r="A1166" s="177">
        <v>46221</v>
      </c>
      <c r="B1166" s="178" t="s">
        <v>219</v>
      </c>
      <c r="C1166" s="95"/>
      <c r="D1166" s="95">
        <v>57000</v>
      </c>
      <c r="E1166" s="178" t="s">
        <v>971</v>
      </c>
      <c r="F1166" s="179" t="s">
        <v>108</v>
      </c>
      <c r="G1166" s="178"/>
    </row>
    <row r="1167" spans="1:7" x14ac:dyDescent="0.3">
      <c r="A1167" s="177">
        <v>46221</v>
      </c>
      <c r="B1167" s="178" t="s">
        <v>219</v>
      </c>
      <c r="C1167" s="95"/>
      <c r="D1167" s="95">
        <v>40800</v>
      </c>
      <c r="E1167" s="178" t="s">
        <v>320</v>
      </c>
      <c r="F1167" s="179" t="s">
        <v>108</v>
      </c>
      <c r="G1167" s="178"/>
    </row>
    <row r="1168" spans="1:7" x14ac:dyDescent="0.3">
      <c r="A1168" s="177">
        <v>46221</v>
      </c>
      <c r="B1168" s="178" t="s">
        <v>219</v>
      </c>
      <c r="C1168" s="95"/>
      <c r="D1168" s="95">
        <v>10000</v>
      </c>
      <c r="E1168" s="178" t="s">
        <v>972</v>
      </c>
      <c r="F1168" s="179" t="s">
        <v>108</v>
      </c>
      <c r="G1168" s="178"/>
    </row>
    <row r="1169" spans="1:7" x14ac:dyDescent="0.3">
      <c r="A1169" s="177">
        <v>46221</v>
      </c>
      <c r="B1169" s="178" t="s">
        <v>219</v>
      </c>
      <c r="C1169" s="95">
        <v>103000</v>
      </c>
      <c r="D1169" s="95"/>
      <c r="E1169" s="178" t="s">
        <v>973</v>
      </c>
      <c r="F1169" s="179" t="s">
        <v>108</v>
      </c>
      <c r="G1169" s="178"/>
    </row>
    <row r="1170" spans="1:7" x14ac:dyDescent="0.3">
      <c r="A1170" s="177">
        <v>46221</v>
      </c>
      <c r="B1170" s="178" t="s">
        <v>915</v>
      </c>
      <c r="C1170" s="95"/>
      <c r="D1170" s="95">
        <v>103000</v>
      </c>
      <c r="E1170" s="178"/>
      <c r="F1170" s="179" t="s">
        <v>108</v>
      </c>
      <c r="G1170" s="178"/>
    </row>
    <row r="1171" spans="1:7" x14ac:dyDescent="0.3">
      <c r="A1171" s="177">
        <v>46221</v>
      </c>
      <c r="B1171" s="178" t="s">
        <v>674</v>
      </c>
      <c r="C1171" s="95">
        <v>100000</v>
      </c>
      <c r="D1171" s="95"/>
      <c r="E1171" s="178" t="s">
        <v>974</v>
      </c>
      <c r="F1171" s="179" t="s">
        <v>108</v>
      </c>
      <c r="G1171" s="178"/>
    </row>
    <row r="1172" spans="1:7" x14ac:dyDescent="0.3">
      <c r="A1172" s="177">
        <v>46222</v>
      </c>
      <c r="B1172" s="178" t="s">
        <v>246</v>
      </c>
      <c r="C1172" s="95">
        <v>5400</v>
      </c>
      <c r="D1172" s="95"/>
      <c r="E1172" s="178" t="s">
        <v>282</v>
      </c>
      <c r="F1172" s="179" t="s">
        <v>108</v>
      </c>
      <c r="G1172" s="178"/>
    </row>
    <row r="1173" spans="1:7" x14ac:dyDescent="0.3">
      <c r="A1173" s="177">
        <v>46222</v>
      </c>
      <c r="B1173" s="178" t="s">
        <v>211</v>
      </c>
      <c r="C1173" s="95"/>
      <c r="D1173" s="95">
        <v>2600</v>
      </c>
      <c r="E1173" s="178" t="s">
        <v>535</v>
      </c>
      <c r="F1173" s="179" t="s">
        <v>108</v>
      </c>
      <c r="G1173" s="178"/>
    </row>
    <row r="1174" spans="1:7" x14ac:dyDescent="0.3">
      <c r="A1174" s="177">
        <v>46222</v>
      </c>
      <c r="B1174" s="178" t="s">
        <v>357</v>
      </c>
      <c r="C1174" s="95">
        <v>2600</v>
      </c>
      <c r="D1174" s="95"/>
      <c r="E1174" s="178" t="s">
        <v>535</v>
      </c>
      <c r="F1174" s="179" t="s">
        <v>108</v>
      </c>
      <c r="G1174" s="178"/>
    </row>
    <row r="1175" spans="1:7" x14ac:dyDescent="0.3">
      <c r="A1175" s="177">
        <v>46222</v>
      </c>
      <c r="B1175" s="178" t="s">
        <v>269</v>
      </c>
      <c r="C1175" s="95">
        <v>10000</v>
      </c>
      <c r="D1175" s="95"/>
      <c r="E1175" s="178" t="s">
        <v>580</v>
      </c>
      <c r="F1175" s="179" t="s">
        <v>108</v>
      </c>
      <c r="G1175" s="178"/>
    </row>
    <row r="1176" spans="1:7" x14ac:dyDescent="0.3">
      <c r="A1176" s="177">
        <v>46222</v>
      </c>
      <c r="B1176" s="178" t="s">
        <v>211</v>
      </c>
      <c r="C1176" s="95"/>
      <c r="D1176" s="95">
        <v>10000</v>
      </c>
      <c r="E1176" s="178" t="s">
        <v>975</v>
      </c>
      <c r="F1176" s="179" t="s">
        <v>108</v>
      </c>
      <c r="G1176" s="178"/>
    </row>
    <row r="1177" spans="1:7" x14ac:dyDescent="0.3">
      <c r="A1177" s="177"/>
      <c r="B1177" s="178"/>
      <c r="C1177" s="95"/>
      <c r="D1177" s="95"/>
      <c r="E1177" s="178"/>
      <c r="F1177" s="179"/>
      <c r="G1177" s="178"/>
    </row>
    <row r="1178" spans="1:7" x14ac:dyDescent="0.3">
      <c r="A1178" s="38"/>
      <c r="C1178" s="14">
        <f>SUBTOTAL(109,Table14[Debit])</f>
        <v>43244445.68</v>
      </c>
      <c r="D1178" s="14">
        <f>SUBTOTAL(109,Table14[Credit])</f>
        <v>43246038.229517192</v>
      </c>
      <c r="F1178" s="54">
        <f>(Table14[[#Totals],[Credit]]-Table14[[#Totals],[Debit]])</f>
        <v>1592.5495171919465</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26" zoomScale="107" zoomScaleNormal="210" workbookViewId="0">
      <selection activeCell="I42" sqref="I4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4" t="s">
        <v>28</v>
      </c>
      <c r="M12">
        <v>401875</v>
      </c>
    </row>
    <row r="13" spans="1:14" x14ac:dyDescent="0.3">
      <c r="A13" s="117">
        <v>46120</v>
      </c>
      <c r="B13" t="s">
        <v>609</v>
      </c>
      <c r="C13">
        <v>10</v>
      </c>
      <c r="E13" s="130">
        <f>290000-(50*75)</f>
        <v>286250</v>
      </c>
      <c r="F13" t="s">
        <v>115</v>
      </c>
      <c r="G13">
        <f>SUMIFS(Table14[Debit], Table14[Date], Table8[[#This Row],[Date]], Table14[Party], Table8[[#This Row],[Party]])</f>
        <v>0</v>
      </c>
      <c r="H13">
        <f>Table8[[#This Row],[Price]]-Table8[[#This Row],[Paid]]</f>
        <v>286250</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30">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0">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30">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893</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838</v>
      </c>
      <c r="C39">
        <v>8</v>
      </c>
      <c r="E39">
        <v>255750</v>
      </c>
      <c r="F39" t="s">
        <v>905</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905</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905</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964</v>
      </c>
      <c r="D42" s="180"/>
      <c r="F42" t="s">
        <v>905</v>
      </c>
      <c r="G42" s="180">
        <f>SUMIFS(Table14[Debit], Table14[Date], Table8[[#This Row],[Date]], Table14[Party], Table8[[#This Row],[Party]])</f>
        <v>255750</v>
      </c>
      <c r="H42" s="180">
        <f>Table8[[#This Row],[Price]]-Table8[[#This Row],[Paid]]</f>
        <v>-255750</v>
      </c>
      <c r="L42" t="s">
        <v>124</v>
      </c>
      <c r="M42">
        <v>1</v>
      </c>
      <c r="O42">
        <v>1130</v>
      </c>
      <c r="P42">
        <f>Table23[[#This Row],[boxes]]*Table23[[#This Row],[kgs]]*Table23[[#This Row],[Rate]]</f>
        <v>0</v>
      </c>
    </row>
    <row r="43" spans="1:16" x14ac:dyDescent="0.3">
      <c r="D43" s="180"/>
      <c r="G43" s="180">
        <f>SUMIFS(Table14[Debit], Table14[Date], Table8[[#This Row],[Date]], Table14[Party], Table8[[#This Row],[Party]])</f>
        <v>0</v>
      </c>
      <c r="H43" s="180">
        <f>Table8[[#This Row],[Price]]-Table8[[#This Row],[Paid]]</f>
        <v>0</v>
      </c>
      <c r="L43" t="s">
        <v>145</v>
      </c>
      <c r="M43">
        <v>1</v>
      </c>
      <c r="N43">
        <v>10</v>
      </c>
      <c r="O43">
        <v>1300</v>
      </c>
      <c r="P43">
        <f>Table23[[#This Row],[boxes]]*Table23[[#This Row],[kgs]]*Table23[[#This Row],[Rate]]</f>
        <v>13000</v>
      </c>
    </row>
    <row r="44" spans="1:16" x14ac:dyDescent="0.3">
      <c r="E44">
        <f>SUBTOTAL(109,Table8[Price])</f>
        <v>3265205</v>
      </c>
      <c r="G44">
        <f>SUBTOTAL(109,Table8[Paid])</f>
        <v>2578880</v>
      </c>
      <c r="H44">
        <f>SUBTOTAL(109,Table8[Balance])</f>
        <v>1752450</v>
      </c>
      <c r="L44" t="s">
        <v>132</v>
      </c>
      <c r="M44">
        <v>1</v>
      </c>
      <c r="N44">
        <v>4</v>
      </c>
      <c r="O44">
        <v>1650</v>
      </c>
      <c r="P44">
        <f>Table23[[#This Row],[boxes]]*Table23[[#This Row],[kgs]]*Table23[[#This Row],[Rate]]</f>
        <v>6600</v>
      </c>
    </row>
    <row r="45" spans="1:16" x14ac:dyDescent="0.3">
      <c r="L45" t="s">
        <v>128</v>
      </c>
      <c r="M45">
        <v>1</v>
      </c>
      <c r="O45">
        <v>1340</v>
      </c>
      <c r="P45">
        <f>Table23[[#This Row],[boxes]]*Table23[[#This Row],[kgs]]*Table23[[#This Row],[Rate]]</f>
        <v>0</v>
      </c>
    </row>
    <row r="46" spans="1:16" x14ac:dyDescent="0.3">
      <c r="L46" t="s">
        <v>131</v>
      </c>
      <c r="M46">
        <v>1</v>
      </c>
      <c r="O46">
        <v>1450</v>
      </c>
      <c r="P46">
        <f>Table23[[#This Row],[boxes]]*Table23[[#This Row],[kgs]]*Table23[[#This Row],[Rate]]</f>
        <v>0</v>
      </c>
    </row>
    <row r="47" spans="1:16" x14ac:dyDescent="0.3">
      <c r="L47" t="s">
        <v>130</v>
      </c>
      <c r="M47">
        <v>1</v>
      </c>
      <c r="O47">
        <v>1400</v>
      </c>
      <c r="P47">
        <f>Table23[[#This Row],[boxes]]*Table23[[#This Row],[kgs]]*Table23[[#This Row],[Rate]]</f>
        <v>0</v>
      </c>
    </row>
    <row r="48" spans="1:16" x14ac:dyDescent="0.3">
      <c r="L48" t="s">
        <v>159</v>
      </c>
      <c r="M48">
        <v>1</v>
      </c>
      <c r="O48">
        <v>1000</v>
      </c>
      <c r="P48">
        <f>Table23[[#This Row],[boxes]]*Table23[[#This Row],[kgs]]*Table23[[#This Row],[Rate]]</f>
        <v>0</v>
      </c>
    </row>
    <row r="49" spans="12:16" x14ac:dyDescent="0.3">
      <c r="L49" t="s">
        <v>129</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152</v>
      </c>
      <c r="M51">
        <v>1</v>
      </c>
      <c r="O51">
        <v>3100</v>
      </c>
      <c r="P51">
        <f>Table23[[#This Row],[boxes]]*Table23[[#This Row],[kgs]]*Table23[[#This Row],[Rate]]</f>
        <v>0</v>
      </c>
    </row>
    <row r="52" spans="12:16" x14ac:dyDescent="0.3">
      <c r="L52" t="s">
        <v>125</v>
      </c>
      <c r="M52">
        <v>1</v>
      </c>
      <c r="O52">
        <v>1140</v>
      </c>
      <c r="P52">
        <f>Table23[[#This Row],[boxes]]*Table23[[#This Row],[kgs]]*Table23[[#This Row],[Rate]]</f>
        <v>0</v>
      </c>
    </row>
    <row r="53" spans="12:16" x14ac:dyDescent="0.3">
      <c r="L53" t="s">
        <v>146</v>
      </c>
      <c r="M53">
        <v>1</v>
      </c>
      <c r="N53">
        <v>10</v>
      </c>
      <c r="O53">
        <v>1140</v>
      </c>
      <c r="P53">
        <f>Table23[[#This Row],[boxes]]*Table23[[#This Row],[kgs]]*Table23[[#This Row],[Rate]]</f>
        <v>11400</v>
      </c>
    </row>
    <row r="54" spans="12:16" x14ac:dyDescent="0.3">
      <c r="L54" t="s">
        <v>160</v>
      </c>
      <c r="M54">
        <v>1</v>
      </c>
      <c r="N54">
        <v>10</v>
      </c>
      <c r="O54">
        <v>1000</v>
      </c>
      <c r="P54">
        <f>Table23[[#This Row],[boxes]]*Table23[[#This Row],[kgs]]*Table23[[#This Row],[Rate]]</f>
        <v>10000</v>
      </c>
    </row>
    <row r="55" spans="12:16" x14ac:dyDescent="0.3">
      <c r="L55" t="s">
        <v>161</v>
      </c>
      <c r="M55">
        <v>1</v>
      </c>
      <c r="N55">
        <v>5</v>
      </c>
      <c r="O55">
        <v>1000</v>
      </c>
      <c r="P55">
        <f>Table23[[#This Row],[boxes]]*Table23[[#This Row],[kgs]]*Table23[[#This Row],[Rate]]</f>
        <v>5000</v>
      </c>
    </row>
    <row r="56" spans="12: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0"/>
  <sheetViews>
    <sheetView topLeftCell="A31" zoomScale="104" workbookViewId="0">
      <selection activeCell="A49" sqref="A4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v>700600</v>
      </c>
      <c r="L6">
        <v>700600</v>
      </c>
      <c r="M6">
        <v>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v>0</v>
      </c>
      <c r="L7">
        <v>55000</v>
      </c>
      <c r="M7">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v>0</v>
      </c>
      <c r="L8">
        <v>312000</v>
      </c>
      <c r="M8">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v>230700</v>
      </c>
      <c r="L9">
        <v>230700</v>
      </c>
      <c r="M9">
        <v>0</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v>0</v>
      </c>
      <c r="L10">
        <v>54000</v>
      </c>
      <c r="M10">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v>170500</v>
      </c>
      <c r="L12">
        <v>3000</v>
      </c>
      <c r="M12">
        <v>167500</v>
      </c>
    </row>
    <row r="13" spans="1:13" x14ac:dyDescent="0.3">
      <c r="A13" s="1">
        <v>46125</v>
      </c>
      <c r="B13" s="1" t="s">
        <v>194</v>
      </c>
      <c r="F13">
        <v>98950</v>
      </c>
      <c r="G13">
        <f>SUMIFS(Table14[Debit], Table14[Date], Table2[[#This Row],[Date]], Table14[Party], Table2[[#This Row],[Party Name]])</f>
        <v>98950</v>
      </c>
      <c r="H13">
        <f>Table2[[#This Row],[Price]]-Table2[[#This Row],[Paid]]</f>
        <v>0</v>
      </c>
      <c r="J13" s="4" t="s">
        <v>28</v>
      </c>
      <c r="K13">
        <v>1136800</v>
      </c>
      <c r="L13">
        <v>1390300</v>
      </c>
      <c r="M13">
        <v>167500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c r="B49" s="1"/>
      <c r="F49">
        <f>Table2[[#This Row],[Quantity]]*200*Table2[[#This Row],[Boxes]]</f>
        <v>0</v>
      </c>
      <c r="G49">
        <f>SUMIFS(Table14[Debit], Table14[Date], Table2[[#This Row],[Date]], Table14[Party], Table2[[#This Row],[Party Name]])</f>
        <v>0</v>
      </c>
      <c r="H49">
        <f>Table2[[#This Row],[Price]]-Table2[[#This Row],[Paid]]</f>
        <v>0</v>
      </c>
    </row>
    <row r="50" spans="1:8" x14ac:dyDescent="0.3">
      <c r="A50" s="1"/>
      <c r="F50">
        <f>SUBTOTAL(109,Table2[Price])</f>
        <v>1152300</v>
      </c>
      <c r="G50">
        <f>SUBTOTAL(109,Table2[Paid])</f>
        <v>1405800</v>
      </c>
      <c r="H50">
        <f>SUBTOTAL(109,Table2[Balance])</f>
        <v>167500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s="14">
        <f>SUM(E3:E4)</f>
        <v>2907357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tabSelected="1"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2">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2">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2">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2">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2">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49"/>
  <sheetViews>
    <sheetView topLeftCell="A88" zoomScale="90" workbookViewId="0">
      <selection activeCell="D118" sqref="D118:I127"/>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3433169</v>
      </c>
      <c r="C2" s="32">
        <f>GETPIVOTDATA("Sum of Tiyaar/gaz",$A$3)</f>
        <v>3337537</v>
      </c>
      <c r="D2" s="31">
        <f>((B2*48)+((C2/1.0936)*10))/C2</f>
        <v>58.519477517918979</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1756</v>
      </c>
      <c r="D75" s="28">
        <f t="shared" si="31"/>
        <v>9.1441111923920992</v>
      </c>
      <c r="E75" s="11">
        <f t="shared" si="32"/>
        <v>0</v>
      </c>
      <c r="F75" s="11">
        <f t="shared" si="33"/>
        <v>1756</v>
      </c>
      <c r="G75" s="78" t="e">
        <f t="shared" si="34"/>
        <v>#DIV/0!</v>
      </c>
      <c r="H75" s="28">
        <f t="shared" si="35"/>
        <v>1605.7059253840528</v>
      </c>
      <c r="I75" s="28">
        <f t="shared" si="36"/>
        <v>9.1441111923920992</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787</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852</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890</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891</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906</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907</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929</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t="s">
        <v>28</v>
      </c>
      <c r="B139" s="30">
        <v>107006</v>
      </c>
      <c r="C139" s="30">
        <v>3337537</v>
      </c>
      <c r="D139" s="28">
        <f t="shared" si="55"/>
        <v>10.683056828050972</v>
      </c>
      <c r="E139" s="11">
        <f t="shared" si="56"/>
        <v>117021.76159999998</v>
      </c>
      <c r="F139" s="11">
        <f t="shared" si="57"/>
        <v>3337537</v>
      </c>
      <c r="G139" s="78">
        <f t="shared" si="58"/>
        <v>-2752.0652521094848</v>
      </c>
      <c r="H139" s="28">
        <f t="shared" si="59"/>
        <v>3051880.9436722752</v>
      </c>
      <c r="I139" s="28">
        <f t="shared" si="60"/>
        <v>10.683056828050972</v>
      </c>
    </row>
    <row r="140" spans="1:9" x14ac:dyDescent="0.3">
      <c r="D140" s="28" t="e">
        <f t="shared" si="55"/>
        <v>#DIV/0!</v>
      </c>
      <c r="E140" s="11">
        <f t="shared" si="56"/>
        <v>0</v>
      </c>
      <c r="F140" s="11">
        <f t="shared" si="57"/>
        <v>0</v>
      </c>
      <c r="G140" s="78" t="e">
        <f t="shared" si="58"/>
        <v>#DIV/0!</v>
      </c>
      <c r="H140" s="28">
        <f t="shared" si="59"/>
        <v>0</v>
      </c>
      <c r="I140" s="28" t="e">
        <f t="shared" si="60"/>
        <v>#DIV/0!</v>
      </c>
    </row>
    <row r="141" spans="1:9" x14ac:dyDescent="0.3">
      <c r="D141" s="28" t="e">
        <f t="shared" si="55"/>
        <v>#DIV/0!</v>
      </c>
      <c r="E141" s="11">
        <f t="shared" si="56"/>
        <v>0</v>
      </c>
      <c r="F141" s="11">
        <f t="shared" si="57"/>
        <v>0</v>
      </c>
      <c r="G141" s="78" t="e">
        <f t="shared" si="58"/>
        <v>#DIV/0!</v>
      </c>
      <c r="H141" s="28">
        <f t="shared" si="59"/>
        <v>0</v>
      </c>
      <c r="I141" s="28" t="e">
        <f t="shared" si="60"/>
        <v>#DIV/0!</v>
      </c>
    </row>
    <row r="142" spans="1:9" x14ac:dyDescent="0.3">
      <c r="D142" s="28" t="e">
        <f t="shared" si="55"/>
        <v>#DIV/0!</v>
      </c>
      <c r="E142" s="11">
        <f t="shared" si="56"/>
        <v>0</v>
      </c>
      <c r="F142" s="11">
        <f t="shared" si="57"/>
        <v>0</v>
      </c>
      <c r="G142" s="78" t="e">
        <f t="shared" si="58"/>
        <v>#DIV/0!</v>
      </c>
      <c r="H142" s="28">
        <f t="shared" si="59"/>
        <v>0</v>
      </c>
      <c r="I142" s="28" t="e">
        <f t="shared" si="60"/>
        <v>#DIV/0!</v>
      </c>
    </row>
    <row r="143" spans="1:9" x14ac:dyDescent="0.3">
      <c r="D143" s="28" t="e">
        <f t="shared" si="55"/>
        <v>#DIV/0!</v>
      </c>
      <c r="E143" s="11">
        <f t="shared" si="56"/>
        <v>0</v>
      </c>
      <c r="F143" s="11">
        <f t="shared" si="57"/>
        <v>0</v>
      </c>
      <c r="G143" s="78" t="e">
        <f t="shared" si="58"/>
        <v>#DIV/0!</v>
      </c>
      <c r="H143" s="28">
        <f t="shared" si="59"/>
        <v>0</v>
      </c>
      <c r="I143" s="28" t="e">
        <f t="shared" si="60"/>
        <v>#DIV/0!</v>
      </c>
    </row>
    <row r="144" spans="1:9" x14ac:dyDescent="0.3">
      <c r="D144" s="28" t="e">
        <f t="shared" si="55"/>
        <v>#DIV/0!</v>
      </c>
      <c r="E144" s="11">
        <f t="shared" si="56"/>
        <v>0</v>
      </c>
      <c r="F144" s="11">
        <f t="shared" si="57"/>
        <v>0</v>
      </c>
      <c r="G144" s="78" t="e">
        <f t="shared" si="58"/>
        <v>#DIV/0!</v>
      </c>
      <c r="H144" s="28">
        <f t="shared" si="59"/>
        <v>0</v>
      </c>
      <c r="I144" s="28" t="e">
        <f t="shared" si="60"/>
        <v>#DIV/0!</v>
      </c>
    </row>
    <row r="145" spans="4:9" x14ac:dyDescent="0.3">
      <c r="D145" s="28" t="e">
        <f t="shared" si="55"/>
        <v>#DIV/0!</v>
      </c>
      <c r="E145" s="11">
        <f t="shared" si="56"/>
        <v>0</v>
      </c>
      <c r="F145" s="11">
        <f t="shared" si="57"/>
        <v>0</v>
      </c>
      <c r="G145" s="78" t="e">
        <f t="shared" si="58"/>
        <v>#DIV/0!</v>
      </c>
      <c r="H145" s="28">
        <f t="shared" si="59"/>
        <v>0</v>
      </c>
      <c r="I145" s="28" t="e">
        <f t="shared" si="60"/>
        <v>#DIV/0!</v>
      </c>
    </row>
    <row r="146" spans="4:9" x14ac:dyDescent="0.3">
      <c r="D146" s="28" t="e">
        <f t="shared" si="55"/>
        <v>#DIV/0!</v>
      </c>
      <c r="E146" s="11">
        <f t="shared" si="56"/>
        <v>0</v>
      </c>
      <c r="F146" s="11">
        <f t="shared" si="57"/>
        <v>0</v>
      </c>
      <c r="G146" s="78" t="e">
        <f t="shared" si="58"/>
        <v>#DIV/0!</v>
      </c>
      <c r="H146" s="28">
        <f t="shared" si="59"/>
        <v>0</v>
      </c>
      <c r="I146" s="28" t="e">
        <f t="shared" si="60"/>
        <v>#DIV/0!</v>
      </c>
    </row>
    <row r="147" spans="4:9" x14ac:dyDescent="0.3">
      <c r="D147" s="28" t="e">
        <f t="shared" si="55"/>
        <v>#DIV/0!</v>
      </c>
      <c r="E147" s="11">
        <f t="shared" si="56"/>
        <v>0</v>
      </c>
      <c r="F147" s="11">
        <f t="shared" si="57"/>
        <v>0</v>
      </c>
      <c r="G147" s="78" t="e">
        <f t="shared" si="58"/>
        <v>#DIV/0!</v>
      </c>
      <c r="H147" s="28">
        <f t="shared" si="59"/>
        <v>0</v>
      </c>
      <c r="I147" s="28" t="e">
        <f t="shared" si="60"/>
        <v>#DIV/0!</v>
      </c>
    </row>
    <row r="148" spans="4:9" x14ac:dyDescent="0.3">
      <c r="D148" s="28" t="e">
        <f t="shared" si="55"/>
        <v>#DIV/0!</v>
      </c>
      <c r="E148" s="11">
        <f t="shared" si="56"/>
        <v>0</v>
      </c>
      <c r="F148" s="11">
        <f t="shared" si="57"/>
        <v>0</v>
      </c>
      <c r="G148" s="78" t="e">
        <f t="shared" si="58"/>
        <v>#DIV/0!</v>
      </c>
      <c r="H148" s="28">
        <f t="shared" si="59"/>
        <v>0</v>
      </c>
      <c r="I148" s="28" t="e">
        <f t="shared" si="60"/>
        <v>#DIV/0!</v>
      </c>
    </row>
    <row r="149" spans="4:9" x14ac:dyDescent="0.3">
      <c r="D149" s="28" t="e">
        <f t="shared" si="55"/>
        <v>#DIV/0!</v>
      </c>
      <c r="E149" s="11">
        <f t="shared" si="56"/>
        <v>0</v>
      </c>
      <c r="F149" s="11">
        <f t="shared" si="57"/>
        <v>0</v>
      </c>
      <c r="G149" s="78" t="e">
        <f t="shared" si="58"/>
        <v>#DIV/0!</v>
      </c>
      <c r="H149" s="28">
        <f t="shared" si="59"/>
        <v>0</v>
      </c>
      <c r="I149" s="28" t="e">
        <f t="shared" si="60"/>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148"/>
  <sheetViews>
    <sheetView topLeftCell="A124" workbookViewId="0">
      <selection activeCell="D117" sqref="D117:D147"/>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c r="D148">
        <f>SUM(Table5[Amount])</f>
        <v>351325</v>
      </c>
      <c r="H148" s="1"/>
      <c r="J148">
        <f>SUM(Table15[Amount])</f>
        <v>978493</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32312854.902706668</v>
      </c>
    </row>
    <row r="3" spans="1:3" ht="21" x14ac:dyDescent="0.4">
      <c r="A3" s="101" t="str">
        <f>Billing!R38</f>
        <v>Rauf Khan</v>
      </c>
      <c r="B3" s="104">
        <f>Billing!AF38</f>
        <v>1918328</v>
      </c>
      <c r="C3" s="102">
        <f>Billing!AG38</f>
        <v>3114719.0007315297</v>
      </c>
    </row>
    <row r="4" spans="1:3" ht="21" x14ac:dyDescent="0.4">
      <c r="A4" s="101" t="str">
        <f>Billing!R15</f>
        <v>Hafiz Qureshi</v>
      </c>
      <c r="B4" s="104">
        <f>Billing!AF15</f>
        <v>6125853</v>
      </c>
      <c r="C4" s="102">
        <f>Billing!AG15</f>
        <v>1497918.0314557431</v>
      </c>
    </row>
    <row r="5" spans="1:3" ht="21" x14ac:dyDescent="0.4">
      <c r="A5" s="101" t="str">
        <f>Billing!R11</f>
        <v>Raaz Fabrics</v>
      </c>
      <c r="B5" s="104">
        <f>Billing!AF11</f>
        <v>1976321</v>
      </c>
      <c r="C5" s="103">
        <f>Billing!AG11</f>
        <v>617808.48061448475</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4417830</v>
      </c>
      <c r="C8" s="102">
        <f>Billing!AG23</f>
        <v>451112.02633504104</v>
      </c>
    </row>
    <row r="9" spans="1:3" ht="21" x14ac:dyDescent="0.4">
      <c r="A9" s="101" t="str">
        <f>Billing!R22</f>
        <v>Shafique Ansari</v>
      </c>
      <c r="B9" s="104">
        <f>Billing!AF22</f>
        <v>2860660</v>
      </c>
      <c r="C9" s="103">
        <f>Billing!AG22</f>
        <v>412091.46305779088</v>
      </c>
    </row>
    <row r="10" spans="1:3" ht="21" x14ac:dyDescent="0.4">
      <c r="A10" s="101" t="str">
        <f>Billing!R42</f>
        <v>Moeez badshah</v>
      </c>
      <c r="B10" s="104">
        <f>Billing!AF42</f>
        <v>1742500</v>
      </c>
      <c r="C10" s="102">
        <f>Billing!AG42</f>
        <v>-13302.852962692035</v>
      </c>
    </row>
    <row r="11" spans="1:3" ht="21" x14ac:dyDescent="0.4">
      <c r="A11" s="101" t="str">
        <f>Billing!R14</f>
        <v>Ashraf Zia</v>
      </c>
      <c r="B11" s="104">
        <f>Billing!AF14</f>
        <v>130000</v>
      </c>
      <c r="C11" s="102">
        <f>Billing!AG14</f>
        <v>125724.21360643749</v>
      </c>
    </row>
    <row r="12" spans="1:3" ht="21" x14ac:dyDescent="0.4">
      <c r="A12" s="101" t="str">
        <f>Billing!R16</f>
        <v>Badshah Fabrics</v>
      </c>
      <c r="B12" s="104">
        <f>Billing!AF16</f>
        <v>6545761</v>
      </c>
      <c r="C12" s="102">
        <f>Billing!AG16</f>
        <v>91938.341623995453</v>
      </c>
    </row>
    <row r="13" spans="1:3" ht="21" x14ac:dyDescent="0.4">
      <c r="A13" s="101" t="str">
        <f>Billing!R32</f>
        <v>Rehman Ali</v>
      </c>
      <c r="B13" s="104">
        <f>Billing!AF32</f>
        <v>550000</v>
      </c>
      <c r="C13" s="102">
        <f>Billing!AG32</f>
        <v>45924.46964155091</v>
      </c>
    </row>
    <row r="14" spans="1:3" ht="21" x14ac:dyDescent="0.4">
      <c r="A14" s="101" t="str">
        <f>Billing!R21</f>
        <v>Faizan</v>
      </c>
      <c r="B14" s="104">
        <f>Billing!AF21</f>
        <v>6728187</v>
      </c>
      <c r="C14" s="103">
        <f>Billing!AG21</f>
        <v>25885.787125092931</v>
      </c>
    </row>
    <row r="15" spans="1:3" ht="21" x14ac:dyDescent="0.4">
      <c r="A15" s="101" t="str">
        <f>Billing!R30</f>
        <v>Ahmad Javaid</v>
      </c>
      <c r="B15" s="104">
        <f>Billing!AF30</f>
        <v>130000</v>
      </c>
      <c r="C15" s="102">
        <f>Billing!AG30</f>
        <v>21504.206291148497</v>
      </c>
    </row>
    <row r="16" spans="1:3" ht="21" x14ac:dyDescent="0.4">
      <c r="A16" s="101" t="str">
        <f>Billing!R25</f>
        <v>Shahid Qasayi</v>
      </c>
      <c r="B16" s="104">
        <f>Billing!AF25</f>
        <v>4752127</v>
      </c>
      <c r="C16" s="102">
        <f>Billing!AG25</f>
        <v>15621.719824433327</v>
      </c>
    </row>
    <row r="17" spans="1:3" ht="21" x14ac:dyDescent="0.4">
      <c r="A17" s="101" t="str">
        <f>Billing!R36</f>
        <v>Faizan Kamoki</v>
      </c>
      <c r="B17" s="104">
        <f>Billing!AF36</f>
        <v>7763331.4930504756</v>
      </c>
      <c r="C17" s="102">
        <f>Billing!AG36</f>
        <v>4511.4111192403361</v>
      </c>
    </row>
    <row r="18" spans="1:3" ht="21" x14ac:dyDescent="0.4">
      <c r="A18" s="101" t="str">
        <f>Billing!R18</f>
        <v>Amjad 7up</v>
      </c>
      <c r="B18" s="104">
        <f>Billing!AF18</f>
        <v>480000</v>
      </c>
      <c r="C18" s="103">
        <f>Billing!AG18</f>
        <v>3851.4996342355735</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Billing!R40</f>
        <v>Farhaan ali</v>
      </c>
      <c r="B25" s="104">
        <f>Billing!AF40</f>
        <v>2147000</v>
      </c>
      <c r="C25" s="102">
        <f>Billing!AG40</f>
        <v>326.26188734453171</v>
      </c>
    </row>
    <row r="26" spans="1:3" ht="21" x14ac:dyDescent="0.4">
      <c r="A26" s="101" t="str">
        <f>Billing!R41</f>
        <v>ACM salman zaffar</v>
      </c>
      <c r="B26" s="104">
        <f>Billing!AF41</f>
        <v>628000</v>
      </c>
      <c r="C26" s="102">
        <f>Billing!AG41</f>
        <v>322.97000731539447</v>
      </c>
    </row>
    <row r="27" spans="1:3" ht="21" x14ac:dyDescent="0.4">
      <c r="A27" s="101" t="str">
        <f>Billing!R10</f>
        <v>Sajad Khan</v>
      </c>
      <c r="B27" s="104">
        <f>Billing!AF10</f>
        <v>10448871</v>
      </c>
      <c r="C27" s="102">
        <f>Billing!AG10</f>
        <v>144.17922458052635</v>
      </c>
    </row>
    <row r="28" spans="1:3" ht="21" x14ac:dyDescent="0.4">
      <c r="A28" s="101" t="str">
        <f>Billing!R29</f>
        <v>ZA</v>
      </c>
      <c r="B28" s="104">
        <f>Billing!AF29</f>
        <v>385000</v>
      </c>
      <c r="C28" s="102">
        <f>Billing!AG29</f>
        <v>138.07607900514267</v>
      </c>
    </row>
    <row r="29" spans="1:3" ht="21" x14ac:dyDescent="0.4">
      <c r="A29" s="101" t="str">
        <f>Billing!R7</f>
        <v>Arshad</v>
      </c>
      <c r="B29" s="104">
        <f>Billing!AF7</f>
        <v>9812586</v>
      </c>
      <c r="C29" s="103">
        <f>Billing!AG7</f>
        <v>21.90051206946373</v>
      </c>
    </row>
    <row r="30" spans="1:3" ht="21" x14ac:dyDescent="0.4">
      <c r="A30" s="101" t="str">
        <f>Billing!R28</f>
        <v>Zia-ullah karachi</v>
      </c>
      <c r="B30" s="104">
        <f>Billing!AF28</f>
        <v>124560</v>
      </c>
      <c r="C30" s="102">
        <f>Billing!AG28</f>
        <v>1.0826627651840681</v>
      </c>
    </row>
    <row r="31" spans="1:3" ht="21" x14ac:dyDescent="0.4">
      <c r="A31" s="101" t="str">
        <f>Billing!R17</f>
        <v>Gauhar Kashif</v>
      </c>
      <c r="B31" s="104">
        <f>Billing!AF17</f>
        <v>1214045</v>
      </c>
      <c r="C31" s="102">
        <f>Billing!AG17</f>
        <v>0.35479151434265077</v>
      </c>
    </row>
    <row r="32" spans="1:3" ht="21" x14ac:dyDescent="0.4">
      <c r="A32" s="101" t="str">
        <f>Billing!R26</f>
        <v>Hameed corporation</v>
      </c>
      <c r="B32" s="104">
        <f>Billing!AF26</f>
        <v>424323</v>
      </c>
      <c r="C32" s="102">
        <f>Billing!AG26</f>
        <v>0.33577176299877465</v>
      </c>
    </row>
    <row r="33" spans="1:3" ht="21" x14ac:dyDescent="0.4">
      <c r="A33" s="101" t="str">
        <f>Billing!R9</f>
        <v>Sufi Nawaz Sahab</v>
      </c>
      <c r="B33" s="104">
        <f>Billing!AF9</f>
        <v>11478764</v>
      </c>
      <c r="C33" s="102">
        <f>Billing!AG9</f>
        <v>0.23847842030227184</v>
      </c>
    </row>
    <row r="34" spans="1:3" ht="21" x14ac:dyDescent="0.4">
      <c r="A34" s="101">
        <f>Billing!R39</f>
        <v>0</v>
      </c>
      <c r="B34" s="104">
        <f>Billing!AF39</f>
        <v>0</v>
      </c>
      <c r="C34" s="102">
        <f>Billing!AG39</f>
        <v>0</v>
      </c>
    </row>
    <row r="35" spans="1:3" ht="21" x14ac:dyDescent="0.4">
      <c r="A35" s="101" t="str">
        <f>Billing!R43</f>
        <v>Bablu</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65104.297732260544</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2"/>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2">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f t="shared" si="0"/>
        <v>0</v>
      </c>
      <c r="B36" s="10" t="e">
        <f>_xlfn.XLOOKUP($A36,[1]Billing!$R$5:$R$40,[1]Billing!$AF$5:$AF$40)</f>
        <v>#N/A</v>
      </c>
      <c r="G36">
        <v>0</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Rehan Butt</v>
      </c>
      <c r="B42" s="10" t="e">
        <f>_xlfn.XLOOKUP($A42,[1]Billing!$R$5:$R$40,[1]Billing!$AD$5:$AD$40)</f>
        <v>#N/A</v>
      </c>
      <c r="G42" t="str">
        <v>Rehan Butt</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2026-07-19T23:38:19Z</dcterms:modified>
  <cp:category/>
  <cp:contentStatus/>
</cp:coreProperties>
</file>