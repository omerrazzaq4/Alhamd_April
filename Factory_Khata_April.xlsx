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010" documentId="8_{7831D67F-D179-4A48-BF3D-D20C81F1E395}" xr6:coauthVersionLast="47" xr6:coauthVersionMax="47" xr10:uidLastSave="{8901775B-2F81-4057-8A9E-7B5EB5A86719}"/>
  <bookViews>
    <workbookView xWindow="-108" yWindow="-108" windowWidth="23256" windowHeight="12456" tabRatio="597" firstSheet="3"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4" i="7" l="1"/>
  <c r="H44" i="7" s="1"/>
  <c r="G45" i="7"/>
  <c r="H45" i="7" s="1"/>
  <c r="G46" i="7"/>
  <c r="H46" i="7" s="1"/>
  <c r="I295" i="1"/>
  <c r="E6" i="13"/>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K312" i="1"/>
  <c r="J316" i="1"/>
  <c r="J295" i="1" a="1"/>
  <c r="J295" i="1" s="1"/>
  <c r="I296" i="1"/>
  <c r="J296" i="1" a="1"/>
  <c r="J296" i="1" s="1"/>
  <c r="I297" i="1"/>
  <c r="J297" i="1" a="1"/>
  <c r="J297" i="1" s="1"/>
  <c r="I298" i="1"/>
  <c r="J298" i="1" a="1"/>
  <c r="J298" i="1" s="1"/>
  <c r="I299" i="1"/>
  <c r="J299" i="1" a="1"/>
  <c r="J299" i="1" s="1"/>
  <c r="I300" i="1"/>
  <c r="J300" i="1" a="1"/>
  <c r="J300" i="1" s="1"/>
  <c r="I301" i="1"/>
  <c r="J301" i="1" a="1"/>
  <c r="J301" i="1" s="1"/>
  <c r="I302" i="1"/>
  <c r="J302" i="1" a="1"/>
  <c r="J302" i="1" s="1"/>
  <c r="I303" i="1"/>
  <c r="J303" i="1" a="1"/>
  <c r="J303" i="1" s="1"/>
  <c r="I304" i="1"/>
  <c r="J304" i="1" a="1"/>
  <c r="J304" i="1" s="1"/>
  <c r="I305" i="1"/>
  <c r="J305" i="1" a="1"/>
  <c r="J305" i="1"/>
  <c r="I306" i="1"/>
  <c r="J306" i="1" a="1"/>
  <c r="J306" i="1" s="1"/>
  <c r="I307" i="1"/>
  <c r="J307" i="1" a="1"/>
  <c r="J307" i="1" s="1"/>
  <c r="I308" i="1"/>
  <c r="J308" i="1" a="1"/>
  <c r="J308" i="1" s="1"/>
  <c r="I309" i="1"/>
  <c r="J309" i="1" a="1"/>
  <c r="J309" i="1" s="1"/>
  <c r="I310" i="1"/>
  <c r="J310" i="1" a="1"/>
  <c r="J310" i="1" s="1"/>
  <c r="I311" i="1"/>
  <c r="J311" i="1" a="1"/>
  <c r="J311" i="1" s="1"/>
  <c r="I312" i="1"/>
  <c r="J312" i="1" a="1"/>
  <c r="J312" i="1" s="1"/>
  <c r="I313" i="1"/>
  <c r="J313" i="1" a="1"/>
  <c r="J313" i="1" s="1"/>
  <c r="I314" i="1"/>
  <c r="J314" i="1" a="1"/>
  <c r="J314" i="1" s="1"/>
  <c r="I315" i="1"/>
  <c r="J315" i="1" a="1"/>
  <c r="J315" i="1" s="1"/>
  <c r="I316" i="1"/>
  <c r="I5" i="2"/>
  <c r="E150" i="2"/>
  <c r="F150" i="2"/>
  <c r="G150" i="2"/>
  <c r="H150" i="2"/>
  <c r="I150" i="2"/>
  <c r="D150" i="2" s="1"/>
  <c r="E151" i="2"/>
  <c r="F151" i="2"/>
  <c r="G151" i="2" s="1"/>
  <c r="H307" i="1" s="1"/>
  <c r="H151" i="2"/>
  <c r="I151" i="2" s="1"/>
  <c r="D151" i="2" s="1"/>
  <c r="E152" i="2"/>
  <c r="F152" i="2"/>
  <c r="G152" i="2"/>
  <c r="H152" i="2"/>
  <c r="I152" i="2"/>
  <c r="D152" i="2" s="1"/>
  <c r="E153" i="2"/>
  <c r="F153" i="2"/>
  <c r="G153" i="2" s="1"/>
  <c r="H153" i="2"/>
  <c r="I153" i="2"/>
  <c r="D153" i="2" s="1"/>
  <c r="E154" i="2"/>
  <c r="F154" i="2"/>
  <c r="G154" i="2"/>
  <c r="H154" i="2"/>
  <c r="I154" i="2"/>
  <c r="D154" i="2" s="1"/>
  <c r="E155" i="2"/>
  <c r="F155" i="2"/>
  <c r="G155" i="2" s="1"/>
  <c r="H155" i="2"/>
  <c r="I155" i="2"/>
  <c r="D155" i="2" s="1"/>
  <c r="E156" i="2"/>
  <c r="F156" i="2"/>
  <c r="G156" i="2"/>
  <c r="H156" i="2"/>
  <c r="I156" i="2"/>
  <c r="D156" i="2" s="1"/>
  <c r="E157" i="2"/>
  <c r="F157" i="2"/>
  <c r="G157" i="2" s="1"/>
  <c r="H157" i="2"/>
  <c r="I157" i="2"/>
  <c r="D157" i="2" s="1"/>
  <c r="E158" i="2"/>
  <c r="F158" i="2"/>
  <c r="G158" i="2"/>
  <c r="H158" i="2"/>
  <c r="I158" i="2"/>
  <c r="D158" i="2" s="1"/>
  <c r="E159" i="2"/>
  <c r="F159" i="2"/>
  <c r="G159" i="2" s="1"/>
  <c r="H159" i="2"/>
  <c r="I159" i="2"/>
  <c r="D159" i="2" s="1"/>
  <c r="E160" i="2"/>
  <c r="F160" i="2"/>
  <c r="G160" i="2"/>
  <c r="H160" i="2"/>
  <c r="I160" i="2"/>
  <c r="D160" i="2" s="1"/>
  <c r="E161" i="2"/>
  <c r="F161" i="2"/>
  <c r="G161" i="2" s="1"/>
  <c r="H161" i="2"/>
  <c r="I161" i="2"/>
  <c r="D161" i="2" s="1"/>
  <c r="E162" i="2"/>
  <c r="F162" i="2"/>
  <c r="G162" i="2"/>
  <c r="H162" i="2"/>
  <c r="I162" i="2"/>
  <c r="D162" i="2" s="1"/>
  <c r="E163" i="2"/>
  <c r="F163" i="2"/>
  <c r="G163" i="2" s="1"/>
  <c r="H163" i="2"/>
  <c r="I163" i="2"/>
  <c r="D163" i="2" s="1"/>
  <c r="E164" i="2"/>
  <c r="F164" i="2"/>
  <c r="G164" i="2"/>
  <c r="H164" i="2"/>
  <c r="I164" i="2"/>
  <c r="D164" i="2" s="1"/>
  <c r="E165" i="2"/>
  <c r="F165" i="2"/>
  <c r="G165" i="2" s="1"/>
  <c r="H165" i="2"/>
  <c r="I165" i="2"/>
  <c r="D165" i="2" s="1"/>
  <c r="E166" i="2"/>
  <c r="F166" i="2"/>
  <c r="G166" i="2"/>
  <c r="H166" i="2"/>
  <c r="I166" i="2"/>
  <c r="D166" i="2" s="1"/>
  <c r="E167" i="2"/>
  <c r="F167" i="2"/>
  <c r="G167" i="2" s="1"/>
  <c r="H167" i="2"/>
  <c r="I167" i="2"/>
  <c r="D167" i="2" s="1"/>
  <c r="E168" i="2"/>
  <c r="F168" i="2"/>
  <c r="G168" i="2"/>
  <c r="H168" i="2"/>
  <c r="I168" i="2"/>
  <c r="D168" i="2" s="1"/>
  <c r="E169" i="2"/>
  <c r="F169" i="2"/>
  <c r="G169" i="2" s="1"/>
  <c r="H169" i="2"/>
  <c r="I169" i="2"/>
  <c r="D169" i="2" s="1"/>
  <c r="E170" i="2"/>
  <c r="F170" i="2"/>
  <c r="G170" i="2"/>
  <c r="H170" i="2"/>
  <c r="I170" i="2"/>
  <c r="D170" i="2" s="1"/>
  <c r="E171" i="2"/>
  <c r="F171" i="2"/>
  <c r="G171" i="2" s="1"/>
  <c r="H171" i="2"/>
  <c r="I171" i="2"/>
  <c r="D171" i="2" s="1"/>
  <c r="E172" i="2"/>
  <c r="F172" i="2"/>
  <c r="G172" i="2"/>
  <c r="H172" i="2"/>
  <c r="I172" i="2"/>
  <c r="D172" i="2" s="1"/>
  <c r="E173" i="2"/>
  <c r="F173" i="2"/>
  <c r="G173" i="2" s="1"/>
  <c r="H173" i="2"/>
  <c r="I173" i="2"/>
  <c r="D173" i="2" s="1"/>
  <c r="E174" i="2"/>
  <c r="F174" i="2"/>
  <c r="G174" i="2"/>
  <c r="H174" i="2"/>
  <c r="I174" i="2"/>
  <c r="D174" i="2" s="1"/>
  <c r="E175" i="2"/>
  <c r="F175" i="2"/>
  <c r="G175" i="2" s="1"/>
  <c r="H175" i="2"/>
  <c r="I175" i="2"/>
  <c r="D175" i="2" s="1"/>
  <c r="E176" i="2"/>
  <c r="F176" i="2"/>
  <c r="G176" i="2"/>
  <c r="H176" i="2"/>
  <c r="I176" i="2"/>
  <c r="D176" i="2" s="1"/>
  <c r="E177" i="2"/>
  <c r="F177" i="2"/>
  <c r="G177" i="2" s="1"/>
  <c r="H177" i="2"/>
  <c r="I177" i="2"/>
  <c r="D177" i="2" s="1"/>
  <c r="E178" i="2"/>
  <c r="F178" i="2"/>
  <c r="G178" i="2"/>
  <c r="H178" i="2"/>
  <c r="I178" i="2"/>
  <c r="D178" i="2" s="1"/>
  <c r="E179" i="2"/>
  <c r="F179" i="2"/>
  <c r="G179" i="2" s="1"/>
  <c r="H179" i="2"/>
  <c r="I179" i="2"/>
  <c r="D179" i="2" s="1"/>
  <c r="E180" i="2"/>
  <c r="F180" i="2"/>
  <c r="G180" i="2"/>
  <c r="H180" i="2"/>
  <c r="I180" i="2"/>
  <c r="D180" i="2" s="1"/>
  <c r="E181" i="2"/>
  <c r="F181" i="2"/>
  <c r="G181" i="2" s="1"/>
  <c r="H181" i="2"/>
  <c r="I181" i="2"/>
  <c r="D181" i="2" s="1"/>
  <c r="E182" i="2"/>
  <c r="F182" i="2"/>
  <c r="G182" i="2"/>
  <c r="H182" i="2"/>
  <c r="I182" i="2"/>
  <c r="D182" i="2" s="1"/>
  <c r="E183" i="2"/>
  <c r="F183" i="2"/>
  <c r="G183" i="2" s="1"/>
  <c r="H183" i="2"/>
  <c r="I183" i="2"/>
  <c r="D183" i="2" s="1"/>
  <c r="E184" i="2"/>
  <c r="F184" i="2"/>
  <c r="G184" i="2"/>
  <c r="H184" i="2"/>
  <c r="I184" i="2"/>
  <c r="D184" i="2" s="1"/>
  <c r="E185" i="2"/>
  <c r="F185" i="2"/>
  <c r="G185" i="2" s="1"/>
  <c r="H185" i="2"/>
  <c r="I185" i="2"/>
  <c r="D185" i="2" s="1"/>
  <c r="E186" i="2"/>
  <c r="F186" i="2"/>
  <c r="G186" i="2"/>
  <c r="H186" i="2"/>
  <c r="I186" i="2"/>
  <c r="D186" i="2" s="1"/>
  <c r="E187" i="2"/>
  <c r="F187" i="2"/>
  <c r="G187" i="2" s="1"/>
  <c r="H187" i="2"/>
  <c r="I187" i="2"/>
  <c r="D187" i="2" s="1"/>
  <c r="E188" i="2"/>
  <c r="F188" i="2"/>
  <c r="G188" i="2"/>
  <c r="H188" i="2"/>
  <c r="I188" i="2"/>
  <c r="D188" i="2" s="1"/>
  <c r="E189" i="2"/>
  <c r="F189" i="2"/>
  <c r="G189" i="2" s="1"/>
  <c r="H189" i="2"/>
  <c r="I189" i="2"/>
  <c r="D189" i="2" s="1"/>
  <c r="E190" i="2"/>
  <c r="F190" i="2"/>
  <c r="G190" i="2"/>
  <c r="H190" i="2"/>
  <c r="I190" i="2"/>
  <c r="D190" i="2" s="1"/>
  <c r="E191" i="2"/>
  <c r="F191" i="2"/>
  <c r="G191" i="2" s="1"/>
  <c r="H191" i="2"/>
  <c r="I191" i="2"/>
  <c r="D191" i="2" s="1"/>
  <c r="G42" i="7"/>
  <c r="H42" i="7" s="1"/>
  <c r="G43" i="7"/>
  <c r="H43" i="7" s="1"/>
  <c r="J22" i="22"/>
  <c r="H22" i="22"/>
  <c r="K4" i="22"/>
  <c r="L4" i="22" s="1"/>
  <c r="K5" i="22"/>
  <c r="L5" i="22" s="1"/>
  <c r="K6" i="22"/>
  <c r="L6" i="22" s="1"/>
  <c r="K7" i="22"/>
  <c r="L7" i="22" s="1"/>
  <c r="K8" i="22"/>
  <c r="L8" i="22" s="1"/>
  <c r="K9" i="22"/>
  <c r="L9" i="22" s="1"/>
  <c r="K10" i="22"/>
  <c r="L10" i="22" s="1"/>
  <c r="K11" i="22"/>
  <c r="L11" i="22" s="1"/>
  <c r="K12" i="22"/>
  <c r="L12" i="22" s="1"/>
  <c r="K13" i="22"/>
  <c r="L13" i="22" s="1"/>
  <c r="K14" i="22"/>
  <c r="L14" i="22" s="1"/>
  <c r="K15" i="22"/>
  <c r="L15" i="22" s="1"/>
  <c r="K16" i="22"/>
  <c r="L16" i="22" s="1"/>
  <c r="K17" i="22"/>
  <c r="L17" i="22" s="1"/>
  <c r="K18" i="22"/>
  <c r="L18" i="22" s="1"/>
  <c r="K19" i="22"/>
  <c r="L19" i="22" s="1"/>
  <c r="K20" i="22"/>
  <c r="L20" i="22" s="1"/>
  <c r="K21" i="22"/>
  <c r="L21" i="22" s="1"/>
  <c r="K3" i="22"/>
  <c r="L3" i="22" s="1"/>
  <c r="G36" i="7"/>
  <c r="H36" i="7" s="1"/>
  <c r="L2" i="22"/>
  <c r="J2" i="22"/>
  <c r="J3" i="22"/>
  <c r="J4" i="22"/>
  <c r="J5" i="22"/>
  <c r="J6" i="22"/>
  <c r="J7" i="22"/>
  <c r="J8" i="22"/>
  <c r="J9" i="22"/>
  <c r="J10" i="22"/>
  <c r="J11" i="22"/>
  <c r="J12" i="22"/>
  <c r="J13" i="22"/>
  <c r="J14" i="22"/>
  <c r="J15" i="22"/>
  <c r="J16" i="22"/>
  <c r="J17" i="22"/>
  <c r="J18" i="22"/>
  <c r="J19" i="22"/>
  <c r="J20" i="22"/>
  <c r="J21" i="22"/>
  <c r="I292" i="1"/>
  <c r="J292" i="1" s="1" a="1"/>
  <c r="J292" i="1" s="1"/>
  <c r="I293" i="1"/>
  <c r="J293" i="1" s="1" a="1"/>
  <c r="J293" i="1" s="1"/>
  <c r="I291" i="1"/>
  <c r="J291" i="1" s="1"/>
  <c r="I290" i="1"/>
  <c r="J290" i="1"/>
  <c r="I283" i="1"/>
  <c r="J283" i="1" a="1"/>
  <c r="J283" i="1" s="1"/>
  <c r="I281" i="1"/>
  <c r="J281" i="1" s="1" a="1"/>
  <c r="J281" i="1" s="1"/>
  <c r="I282" i="1"/>
  <c r="J282" i="1" s="1" a="1"/>
  <c r="J282" i="1" s="1"/>
  <c r="I284" i="1"/>
  <c r="J284" i="1" a="1"/>
  <c r="J284" i="1" s="1"/>
  <c r="I285" i="1"/>
  <c r="J285" i="1" a="1"/>
  <c r="J285" i="1" s="1"/>
  <c r="I286" i="1"/>
  <c r="J286" i="1" s="1" a="1"/>
  <c r="J286" i="1" s="1"/>
  <c r="I287" i="1"/>
  <c r="J287" i="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s="1"/>
  <c r="I279" i="1"/>
  <c r="J279" i="1" s="1" a="1"/>
  <c r="J279" i="1" s="1"/>
  <c r="I278" i="1"/>
  <c r="J278" i="1" s="1"/>
  <c r="I271" i="1"/>
  <c r="J271" i="1" s="1" a="1"/>
  <c r="J271" i="1" s="1"/>
  <c r="I272" i="1"/>
  <c r="J272" i="1" a="1"/>
  <c r="J272" i="1" s="1"/>
  <c r="I273" i="1"/>
  <c r="J273" i="1" a="1"/>
  <c r="J273" i="1" s="1"/>
  <c r="I274" i="1"/>
  <c r="J274" i="1" a="1"/>
  <c r="J274" i="1" s="1"/>
  <c r="I275" i="1"/>
  <c r="J275" i="1" a="1"/>
  <c r="J275" i="1" s="1"/>
  <c r="I276" i="1"/>
  <c r="J276" i="1" s="1" a="1"/>
  <c r="J276" i="1" s="1"/>
  <c r="I277" i="1"/>
  <c r="J277" i="1" s="1" a="1"/>
  <c r="J277" i="1" s="1"/>
  <c r="C1063" i="17"/>
  <c r="C1058" i="17"/>
  <c r="C1053" i="17"/>
  <c r="I263" i="1"/>
  <c r="J263" i="1" s="1" a="1"/>
  <c r="J263" i="1" s="1"/>
  <c r="I264" i="1"/>
  <c r="J264" i="1" s="1" a="1"/>
  <c r="J264" i="1" s="1"/>
  <c r="I265" i="1"/>
  <c r="J265" i="1" s="1" a="1"/>
  <c r="J265" i="1" s="1"/>
  <c r="I266" i="1"/>
  <c r="J266" i="1" s="1" a="1"/>
  <c r="J266" i="1" s="1"/>
  <c r="I267" i="1"/>
  <c r="J267" i="1" s="1" a="1"/>
  <c r="J267" i="1" s="1"/>
  <c r="I268" i="1"/>
  <c r="J268" i="1" s="1" a="1"/>
  <c r="J268" i="1" s="1"/>
  <c r="I269" i="1"/>
  <c r="J269" i="1" s="1" a="1"/>
  <c r="J269" i="1" s="1"/>
  <c r="I270" i="1"/>
  <c r="J270" i="1" s="1" a="1"/>
  <c r="J270" i="1" s="1"/>
  <c r="G215" i="1"/>
  <c r="H288" i="1"/>
  <c r="H306" i="1"/>
  <c r="E119" i="2"/>
  <c r="F119" i="2"/>
  <c r="E120" i="2"/>
  <c r="F120" i="2"/>
  <c r="H120" i="2" s="1"/>
  <c r="I120" i="2" s="1"/>
  <c r="D120" i="2" s="1"/>
  <c r="E121" i="2"/>
  <c r="F121" i="2"/>
  <c r="E122" i="2"/>
  <c r="F122" i="2"/>
  <c r="H122" i="2"/>
  <c r="I122" i="2" s="1"/>
  <c r="D122" i="2" s="1"/>
  <c r="E123" i="2"/>
  <c r="F123" i="2"/>
  <c r="E124" i="2"/>
  <c r="F124" i="2"/>
  <c r="H124" i="2" s="1"/>
  <c r="I124" i="2" s="1"/>
  <c r="D124" i="2" s="1"/>
  <c r="E125" i="2"/>
  <c r="F125" i="2"/>
  <c r="E126" i="2"/>
  <c r="F126" i="2"/>
  <c r="G126" i="2" s="1"/>
  <c r="E127" i="2"/>
  <c r="F127" i="2"/>
  <c r="I258" i="1"/>
  <c r="J258" i="1" s="1" a="1"/>
  <c r="J258" i="1" s="1"/>
  <c r="I259" i="1"/>
  <c r="J259" i="1" a="1"/>
  <c r="J259" i="1" s="1"/>
  <c r="I260" i="1"/>
  <c r="J260" i="1" a="1"/>
  <c r="J260" i="1" s="1"/>
  <c r="I261" i="1"/>
  <c r="J261" i="1" s="1" a="1"/>
  <c r="J261" i="1" s="1"/>
  <c r="I262" i="1"/>
  <c r="J262" i="1" s="1" a="1"/>
  <c r="J262" i="1" s="1"/>
  <c r="G38" i="7"/>
  <c r="H38" i="7" s="1"/>
  <c r="G39" i="7"/>
  <c r="H39" i="7" s="1"/>
  <c r="G40" i="7"/>
  <c r="H40" i="7" s="1"/>
  <c r="G41" i="7"/>
  <c r="H41" i="7" s="1"/>
  <c r="F49" i="15"/>
  <c r="G46" i="15"/>
  <c r="H46" i="15" s="1"/>
  <c r="G47" i="15"/>
  <c r="H47" i="15" s="1"/>
  <c r="G48" i="15"/>
  <c r="H48" i="15" s="1"/>
  <c r="G49" i="15"/>
  <c r="H49" i="15" s="1"/>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s="1" a="1"/>
  <c r="J257" i="1" s="1"/>
  <c r="I253" i="1"/>
  <c r="J253" i="1" a="1"/>
  <c r="J253" i="1" s="1"/>
  <c r="I254" i="1"/>
  <c r="J254" i="1" a="1"/>
  <c r="J254" i="1" s="1"/>
  <c r="I255" i="1"/>
  <c r="J255" i="1" s="1" a="1"/>
  <c r="J255" i="1" s="1"/>
  <c r="I256" i="1"/>
  <c r="J256" i="1" a="1"/>
  <c r="J256" i="1" s="1"/>
  <c r="I243" i="1"/>
  <c r="J243" i="1" s="1" a="1"/>
  <c r="J243" i="1" s="1"/>
  <c r="I244" i="1"/>
  <c r="J244" i="1" s="1" a="1"/>
  <c r="J244" i="1" s="1"/>
  <c r="I245" i="1"/>
  <c r="J245" i="1" s="1" a="1"/>
  <c r="J245" i="1" s="1"/>
  <c r="I246" i="1"/>
  <c r="J246" i="1"/>
  <c r="I247" i="1"/>
  <c r="J247" i="1" s="1" a="1"/>
  <c r="J247" i="1" s="1"/>
  <c r="I248" i="1"/>
  <c r="J248" i="1" s="1" a="1"/>
  <c r="J248" i="1" s="1"/>
  <c r="I249" i="1"/>
  <c r="J249" i="1" s="1" a="1"/>
  <c r="J249" i="1" s="1"/>
  <c r="I250" i="1"/>
  <c r="J250" i="1" s="1" a="1"/>
  <c r="J250" i="1" s="1"/>
  <c r="I251" i="1"/>
  <c r="J251" i="1" s="1" a="1"/>
  <c r="J251" i="1" s="1"/>
  <c r="I252" i="1"/>
  <c r="J252" i="1" s="1" a="1"/>
  <c r="J252" i="1" s="1"/>
  <c r="C875" i="17"/>
  <c r="C857" i="17"/>
  <c r="G35" i="7"/>
  <c r="H35" i="7" s="1"/>
  <c r="G37" i="7"/>
  <c r="H37" i="7" s="1"/>
  <c r="I239" i="1"/>
  <c r="J239" i="1" s="1" a="1"/>
  <c r="J239" i="1" s="1"/>
  <c r="I240" i="1"/>
  <c r="J240" i="1" a="1"/>
  <c r="J240" i="1" s="1"/>
  <c r="I241" i="1"/>
  <c r="J241" i="1" a="1"/>
  <c r="J241" i="1" s="1"/>
  <c r="I242" i="1"/>
  <c r="J242" i="1" a="1"/>
  <c r="J242" i="1" s="1"/>
  <c r="I232" i="1"/>
  <c r="J232" i="1" s="1" a="1"/>
  <c r="J232" i="1" s="1"/>
  <c r="I233" i="1"/>
  <c r="J233" i="1" a="1"/>
  <c r="J233" i="1" s="1"/>
  <c r="I234" i="1"/>
  <c r="J234" i="1" s="1"/>
  <c r="I235" i="1"/>
  <c r="J235" i="1" s="1"/>
  <c r="I236" i="1"/>
  <c r="J236" i="1" a="1"/>
  <c r="J236" i="1" s="1"/>
  <c r="I237" i="1"/>
  <c r="J237" i="1" a="1"/>
  <c r="J237" i="1" s="1"/>
  <c r="I238" i="1"/>
  <c r="J238" i="1" s="1" a="1"/>
  <c r="J238" i="1" s="1"/>
  <c r="I226" i="1"/>
  <c r="J226" i="1" s="1" a="1"/>
  <c r="J226" i="1" s="1"/>
  <c r="I227" i="1"/>
  <c r="J227" i="1" s="1" a="1"/>
  <c r="J227" i="1" s="1"/>
  <c r="I228" i="1"/>
  <c r="J228" i="1" s="1" a="1"/>
  <c r="J228" i="1" s="1"/>
  <c r="I229" i="1"/>
  <c r="J229" i="1" s="1" a="1"/>
  <c r="J229" i="1" s="1"/>
  <c r="I230" i="1"/>
  <c r="J230" i="1" a="1"/>
  <c r="J230" i="1" s="1"/>
  <c r="I231" i="1"/>
  <c r="J231" i="1" s="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c r="I225" i="1"/>
  <c r="J225" i="1"/>
  <c r="I221" i="1"/>
  <c r="J221" i="1" s="1"/>
  <c r="I222" i="1"/>
  <c r="J222" i="1" s="1"/>
  <c r="I223" i="1"/>
  <c r="J223" i="1"/>
  <c r="I215" i="1"/>
  <c r="J215" i="1" a="1"/>
  <c r="J215" i="1" s="1"/>
  <c r="I216" i="1"/>
  <c r="J216" i="1" s="1" a="1"/>
  <c r="J216" i="1" s="1"/>
  <c r="I219" i="1"/>
  <c r="J219" i="1" a="1"/>
  <c r="J219" i="1" s="1"/>
  <c r="I220" i="1"/>
  <c r="J220" i="1" s="1" a="1"/>
  <c r="J220" i="1" s="1"/>
  <c r="I211" i="1"/>
  <c r="J211" i="1" s="1"/>
  <c r="I212" i="1"/>
  <c r="J212" i="1" s="1"/>
  <c r="I208" i="1"/>
  <c r="J208" i="1" a="1"/>
  <c r="J208" i="1" s="1"/>
  <c r="I209" i="1"/>
  <c r="J209" i="1" s="1" a="1"/>
  <c r="J209" i="1" s="1"/>
  <c r="I210" i="1"/>
  <c r="J210" i="1" s="1" a="1"/>
  <c r="J210" i="1" s="1"/>
  <c r="I213" i="1"/>
  <c r="J213" i="1" s="1" a="1"/>
  <c r="J213" i="1" s="1"/>
  <c r="I214" i="1"/>
  <c r="J214" i="1" s="1" a="1"/>
  <c r="J214" i="1" s="1"/>
  <c r="C669" i="17"/>
  <c r="C649" i="17"/>
  <c r="G38" i="15"/>
  <c r="H38" i="15" s="1"/>
  <c r="G39" i="15"/>
  <c r="H39" i="15" s="1"/>
  <c r="G40" i="15"/>
  <c r="H40" i="15" s="1"/>
  <c r="G41" i="15"/>
  <c r="H41" i="15" s="1"/>
  <c r="G42" i="15"/>
  <c r="H42" i="15" s="1"/>
  <c r="B49" i="9" a="1"/>
  <c r="M100" i="9" s="1"/>
  <c r="I97" i="1"/>
  <c r="J97" i="1" s="1" a="1"/>
  <c r="J97" i="1" s="1"/>
  <c r="I105" i="1"/>
  <c r="J105" i="1" a="1"/>
  <c r="J105" i="1" s="1"/>
  <c r="I111" i="1"/>
  <c r="J111" i="1" a="1"/>
  <c r="J111" i="1" s="1"/>
  <c r="I112" i="1"/>
  <c r="J112" i="1" a="1"/>
  <c r="J112" i="1" s="1"/>
  <c r="I113" i="1"/>
  <c r="J113" i="1" s="1" a="1"/>
  <c r="J113" i="1" s="1"/>
  <c r="I120" i="1"/>
  <c r="J120" i="1" a="1"/>
  <c r="J120" i="1" s="1"/>
  <c r="I121" i="1"/>
  <c r="J121" i="1" s="1" a="1"/>
  <c r="J121" i="1" s="1"/>
  <c r="I132" i="1"/>
  <c r="J132" i="1" s="1" a="1"/>
  <c r="J132" i="1" s="1"/>
  <c r="I133" i="1"/>
  <c r="J133" i="1" a="1"/>
  <c r="J133" i="1" s="1"/>
  <c r="I143" i="1"/>
  <c r="J143" i="1" a="1"/>
  <c r="J143" i="1" s="1"/>
  <c r="I145" i="1"/>
  <c r="J145" i="1" s="1" a="1"/>
  <c r="J145" i="1" s="1"/>
  <c r="I154" i="1"/>
  <c r="J154" i="1" s="1" a="1"/>
  <c r="J154" i="1" s="1"/>
  <c r="I155" i="1"/>
  <c r="J155" i="1" s="1" a="1"/>
  <c r="J155" i="1" s="1"/>
  <c r="I156" i="1"/>
  <c r="J156" i="1" s="1" a="1"/>
  <c r="J156" i="1" s="1"/>
  <c r="I157" i="1"/>
  <c r="J157" i="1" s="1" a="1"/>
  <c r="J157" i="1" s="1"/>
  <c r="I158" i="1"/>
  <c r="J158" i="1" a="1"/>
  <c r="J158" i="1" s="1"/>
  <c r="I160" i="1"/>
  <c r="J160" i="1" s="1" a="1"/>
  <c r="J160" i="1" s="1"/>
  <c r="I161" i="1"/>
  <c r="J161" i="1" s="1" a="1"/>
  <c r="J161" i="1" s="1"/>
  <c r="I162" i="1"/>
  <c r="J162" i="1" s="1" a="1"/>
  <c r="J162" i="1" s="1"/>
  <c r="I163" i="1"/>
  <c r="J163" i="1" a="1"/>
  <c r="J163" i="1" s="1"/>
  <c r="I164" i="1"/>
  <c r="J164" i="1" s="1" a="1"/>
  <c r="J164" i="1" s="1"/>
  <c r="I165" i="1"/>
  <c r="J165" i="1" s="1" a="1"/>
  <c r="J165" i="1" s="1"/>
  <c r="I166" i="1"/>
  <c r="J166" i="1" s="1" a="1"/>
  <c r="J166" i="1" s="1"/>
  <c r="I167" i="1"/>
  <c r="J167" i="1" s="1" a="1"/>
  <c r="J167" i="1" s="1"/>
  <c r="I168" i="1"/>
  <c r="J168" i="1" s="1" a="1"/>
  <c r="J168" i="1" s="1"/>
  <c r="I170" i="1"/>
  <c r="J170" i="1" a="1"/>
  <c r="J170" i="1" s="1"/>
  <c r="I169" i="1"/>
  <c r="J169" i="1" a="1"/>
  <c r="J169" i="1" s="1"/>
  <c r="I172" i="1"/>
  <c r="J172" i="1" s="1" a="1"/>
  <c r="J172" i="1" s="1"/>
  <c r="I185" i="1"/>
  <c r="J185" i="1" s="1" a="1"/>
  <c r="J185" i="1" s="1"/>
  <c r="I186" i="1"/>
  <c r="J186" i="1" a="1"/>
  <c r="J186" i="1" s="1"/>
  <c r="I187" i="1"/>
  <c r="J187" i="1" s="1" a="1"/>
  <c r="J187" i="1" s="1"/>
  <c r="I189" i="1"/>
  <c r="J189" i="1" a="1"/>
  <c r="J189" i="1" s="1"/>
  <c r="I203" i="1"/>
  <c r="J203" i="1" a="1"/>
  <c r="J203" i="1" s="1"/>
  <c r="I188" i="1"/>
  <c r="J188" i="1" a="1"/>
  <c r="J188" i="1" s="1"/>
  <c r="I190" i="1"/>
  <c r="J190" i="1" s="1" a="1"/>
  <c r="J190" i="1" s="1"/>
  <c r="I191" i="1"/>
  <c r="J191" i="1" a="1"/>
  <c r="J191" i="1" s="1"/>
  <c r="I192" i="1"/>
  <c r="J192" i="1" s="1" a="1"/>
  <c r="J192" i="1" s="1"/>
  <c r="I193" i="1"/>
  <c r="J193" i="1" a="1"/>
  <c r="J193" i="1" s="1"/>
  <c r="I194" i="1"/>
  <c r="J194" i="1" a="1"/>
  <c r="J194" i="1" s="1"/>
  <c r="I196" i="1"/>
  <c r="J196" i="1" a="1"/>
  <c r="J196" i="1" s="1"/>
  <c r="I197" i="1"/>
  <c r="J197" i="1" s="1" a="1"/>
  <c r="J197" i="1" s="1"/>
  <c r="I206" i="1"/>
  <c r="J206" i="1" a="1"/>
  <c r="J206" i="1" s="1"/>
  <c r="I207" i="1"/>
  <c r="J207" i="1" s="1" a="1"/>
  <c r="J207" i="1" s="1"/>
  <c r="I95" i="1"/>
  <c r="J95" i="1" s="1" a="1"/>
  <c r="J95" i="1" s="1"/>
  <c r="I96" i="1"/>
  <c r="J96" i="1" a="1"/>
  <c r="J96" i="1" s="1"/>
  <c r="I103" i="1"/>
  <c r="J103" i="1" a="1"/>
  <c r="J103" i="1" s="1"/>
  <c r="I104" i="1"/>
  <c r="J104" i="1" s="1" a="1"/>
  <c r="J104" i="1" s="1"/>
  <c r="I108" i="1"/>
  <c r="J108" i="1" s="1" a="1"/>
  <c r="J108" i="1" s="1"/>
  <c r="I110" i="1"/>
  <c r="J110" i="1" s="1" a="1"/>
  <c r="J110" i="1" s="1"/>
  <c r="I171" i="1"/>
  <c r="J171" i="1" s="1" a="1"/>
  <c r="J171" i="1" s="1"/>
  <c r="I181" i="1"/>
  <c r="J181" i="1" s="1" a="1"/>
  <c r="J181" i="1" s="1"/>
  <c r="I107" i="1"/>
  <c r="J107" i="1" a="1"/>
  <c r="J107" i="1" s="1"/>
  <c r="I109" i="1"/>
  <c r="J109" i="1" s="1" a="1"/>
  <c r="J109" i="1" s="1"/>
  <c r="I131" i="1"/>
  <c r="J131" i="1" s="1" a="1"/>
  <c r="J131" i="1" s="1"/>
  <c r="I198" i="1"/>
  <c r="J198" i="1" s="1" a="1"/>
  <c r="J198" i="1" s="1"/>
  <c r="R5" i="9" a="1"/>
  <c r="A15" i="20" s="1"/>
  <c r="I98" i="1"/>
  <c r="J98" i="1" a="1"/>
  <c r="J98" i="1" s="1"/>
  <c r="I100" i="1"/>
  <c r="J100" i="1" a="1"/>
  <c r="J100" i="1" s="1"/>
  <c r="I106" i="1"/>
  <c r="J106" i="1" a="1"/>
  <c r="J106" i="1" s="1"/>
  <c r="I93" i="1"/>
  <c r="J93" i="1" s="1" a="1"/>
  <c r="J93" i="1" s="1"/>
  <c r="I94" i="1"/>
  <c r="J94" i="1" s="1" a="1"/>
  <c r="J94" i="1" s="1"/>
  <c r="I99" i="1"/>
  <c r="J99" i="1" s="1" a="1"/>
  <c r="J99" i="1" s="1"/>
  <c r="I140" i="1"/>
  <c r="J140" i="1" s="1" a="1"/>
  <c r="J140" i="1" s="1"/>
  <c r="I117" i="1"/>
  <c r="J117" i="1" a="1"/>
  <c r="J117" i="1" s="1"/>
  <c r="I205" i="1"/>
  <c r="J205" i="1" a="1"/>
  <c r="J205" i="1" s="1"/>
  <c r="I137" i="1"/>
  <c r="J137" i="1" a="1"/>
  <c r="J137" i="1" s="1"/>
  <c r="I134" i="1"/>
  <c r="J134" i="1" s="1" a="1"/>
  <c r="J134" i="1" s="1"/>
  <c r="I142" i="1"/>
  <c r="J142" i="1" s="1" a="1"/>
  <c r="J142" i="1" s="1"/>
  <c r="I144" i="1"/>
  <c r="J144" i="1" s="1" a="1"/>
  <c r="J144" i="1" s="1"/>
  <c r="I202" i="1"/>
  <c r="J202" i="1" s="1" a="1"/>
  <c r="J202" i="1" s="1"/>
  <c r="I201" i="1"/>
  <c r="J201" i="1" a="1"/>
  <c r="J201" i="1" s="1"/>
  <c r="I141" i="1"/>
  <c r="J141" i="1" a="1"/>
  <c r="J141" i="1" s="1"/>
  <c r="I122" i="1"/>
  <c r="J122" i="1" s="1" a="1"/>
  <c r="J122" i="1" s="1"/>
  <c r="I123" i="1"/>
  <c r="J123" i="1" s="1" a="1"/>
  <c r="J123" i="1" s="1"/>
  <c r="I124" i="1"/>
  <c r="J124" i="1" s="1" a="1"/>
  <c r="J124" i="1" s="1"/>
  <c r="I125" i="1"/>
  <c r="J125" i="1" s="1" a="1"/>
  <c r="J125" i="1" s="1"/>
  <c r="I126" i="1"/>
  <c r="J126" i="1" s="1" a="1"/>
  <c r="J126" i="1" s="1"/>
  <c r="I127" i="1"/>
  <c r="J127" i="1" a="1"/>
  <c r="J127" i="1" s="1"/>
  <c r="I128" i="1"/>
  <c r="J128" i="1" s="1" a="1"/>
  <c r="J128" i="1" s="1"/>
  <c r="I101" i="1"/>
  <c r="J101" i="1" s="1" a="1"/>
  <c r="J101" i="1" s="1"/>
  <c r="I102" i="1"/>
  <c r="J102" i="1" a="1"/>
  <c r="J102" i="1" s="1"/>
  <c r="I129" i="1"/>
  <c r="J129" i="1" s="1" a="1"/>
  <c r="J129" i="1" s="1"/>
  <c r="I130" i="1"/>
  <c r="J130" i="1" s="1" a="1"/>
  <c r="J130" i="1" s="1"/>
  <c r="I146" i="1"/>
  <c r="J146" i="1" s="1" a="1"/>
  <c r="J146" i="1" s="1"/>
  <c r="I147" i="1"/>
  <c r="J147" i="1" s="1" a="1"/>
  <c r="J147" i="1" s="1"/>
  <c r="I148" i="1"/>
  <c r="J148" i="1" s="1" a="1"/>
  <c r="J148" i="1" s="1"/>
  <c r="I177" i="1"/>
  <c r="J177" i="1" a="1"/>
  <c r="J177" i="1" s="1"/>
  <c r="I178" i="1"/>
  <c r="J178" i="1" a="1"/>
  <c r="J178" i="1" s="1"/>
  <c r="I179" i="1"/>
  <c r="J179" i="1" s="1" a="1"/>
  <c r="J179" i="1" s="1"/>
  <c r="I180" i="1"/>
  <c r="J180" i="1" s="1" a="1"/>
  <c r="J180" i="1" s="1"/>
  <c r="I115" i="1"/>
  <c r="J115" i="1" s="1" a="1"/>
  <c r="J115" i="1" s="1"/>
  <c r="I116" i="1"/>
  <c r="J116" i="1" s="1" a="1"/>
  <c r="J116" i="1" s="1"/>
  <c r="I138" i="1"/>
  <c r="J138" i="1" a="1"/>
  <c r="J138" i="1" s="1"/>
  <c r="I139" i="1"/>
  <c r="J139" i="1" a="1"/>
  <c r="J139" i="1" s="1"/>
  <c r="I114" i="1"/>
  <c r="J114" i="1" a="1"/>
  <c r="J114" i="1" s="1"/>
  <c r="I135" i="1"/>
  <c r="J135" i="1" s="1" a="1"/>
  <c r="J135" i="1" s="1"/>
  <c r="I136" i="1"/>
  <c r="J136" i="1" s="1" a="1"/>
  <c r="J136" i="1" s="1"/>
  <c r="I173" i="1"/>
  <c r="J173" i="1" s="1"/>
  <c r="I174" i="1"/>
  <c r="J174" i="1" s="1"/>
  <c r="I175" i="1"/>
  <c r="J175" i="1"/>
  <c r="I176" i="1"/>
  <c r="J176" i="1"/>
  <c r="I118" i="1"/>
  <c r="J118" i="1" a="1"/>
  <c r="J118" i="1" s="1"/>
  <c r="I119" i="1"/>
  <c r="J119" i="1" s="1" a="1"/>
  <c r="J119" i="1" s="1"/>
  <c r="I204" i="1"/>
  <c r="J204" i="1" s="1" a="1"/>
  <c r="J204" i="1" s="1"/>
  <c r="I149" i="1"/>
  <c r="J149" i="1" s="1" a="1"/>
  <c r="J149" i="1" s="1"/>
  <c r="I150" i="1"/>
  <c r="J150" i="1" s="1" a="1"/>
  <c r="J150" i="1" s="1"/>
  <c r="I151" i="1"/>
  <c r="J151" i="1" a="1"/>
  <c r="J151" i="1" s="1"/>
  <c r="I152" i="1"/>
  <c r="J152" i="1" a="1"/>
  <c r="J152" i="1" s="1"/>
  <c r="I153" i="1"/>
  <c r="J153" i="1" s="1" a="1"/>
  <c r="J153" i="1" s="1"/>
  <c r="I182" i="1"/>
  <c r="J182" i="1" s="1" a="1"/>
  <c r="J182" i="1" s="1"/>
  <c r="I183" i="1"/>
  <c r="J183" i="1" s="1" a="1"/>
  <c r="J183" i="1" s="1"/>
  <c r="I159" i="1"/>
  <c r="J159" i="1" s="1" a="1"/>
  <c r="J159" i="1" s="1"/>
  <c r="I184" i="1"/>
  <c r="I195" i="1"/>
  <c r="J195" i="1" a="1"/>
  <c r="J195" i="1" s="1"/>
  <c r="I199" i="1"/>
  <c r="J199" i="1" s="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0" i="17"/>
  <c r="C31" i="17"/>
  <c r="D33" i="17"/>
  <c r="C44" i="17"/>
  <c r="C45" i="17"/>
  <c r="E129" i="2"/>
  <c r="G129" i="2"/>
  <c r="H276" i="1"/>
  <c r="F129" i="2"/>
  <c r="H129" i="2"/>
  <c r="I129" i="2" s="1"/>
  <c r="D129" i="2" s="1"/>
  <c r="E130" i="2"/>
  <c r="F130" i="2"/>
  <c r="E131" i="2"/>
  <c r="F131" i="2"/>
  <c r="E132" i="2"/>
  <c r="F132" i="2"/>
  <c r="E133" i="2"/>
  <c r="F133" i="2"/>
  <c r="G133" i="2" s="1"/>
  <c r="H290" i="1" s="1"/>
  <c r="E134" i="2"/>
  <c r="F134" i="2"/>
  <c r="H134" i="2" s="1"/>
  <c r="I134" i="2" s="1"/>
  <c r="D134" i="2" s="1"/>
  <c r="E135" i="2"/>
  <c r="F135" i="2"/>
  <c r="E136" i="2"/>
  <c r="F136" i="2"/>
  <c r="H136" i="2"/>
  <c r="I136" i="2" s="1"/>
  <c r="D136" i="2" s="1"/>
  <c r="E137" i="2"/>
  <c r="F137" i="2"/>
  <c r="G137" i="2" s="1"/>
  <c r="H284" i="1" s="1"/>
  <c r="E138" i="2"/>
  <c r="F138" i="2"/>
  <c r="G138" i="2" s="1"/>
  <c r="H286" i="1" s="1"/>
  <c r="E139" i="2"/>
  <c r="F139" i="2"/>
  <c r="G139" i="2" s="1"/>
  <c r="H287" i="1" s="1"/>
  <c r="E140" i="2"/>
  <c r="G140" i="2"/>
  <c r="F140" i="2"/>
  <c r="H140" i="2" s="1"/>
  <c r="I140" i="2" s="1"/>
  <c r="D140" i="2" s="1"/>
  <c r="E141" i="2"/>
  <c r="F141" i="2"/>
  <c r="G141" i="2" s="1"/>
  <c r="H141" i="2"/>
  <c r="I141" i="2" s="1"/>
  <c r="D141" i="2" s="1"/>
  <c r="E142" i="2"/>
  <c r="F142" i="2"/>
  <c r="G142" i="2" s="1"/>
  <c r="E143" i="2"/>
  <c r="F143" i="2"/>
  <c r="G143" i="2" s="1"/>
  <c r="H296" i="1" s="1"/>
  <c r="H143" i="2"/>
  <c r="I143" i="2" s="1"/>
  <c r="D143" i="2" s="1"/>
  <c r="E144" i="2"/>
  <c r="F144" i="2"/>
  <c r="G144" i="2" s="1"/>
  <c r="H297" i="1" s="1"/>
  <c r="E145" i="2"/>
  <c r="F145" i="2"/>
  <c r="G145" i="2" s="1"/>
  <c r="H299" i="1" s="1"/>
  <c r="H145" i="2"/>
  <c r="I145" i="2" s="1"/>
  <c r="D145" i="2" s="1"/>
  <c r="E146" i="2"/>
  <c r="F146" i="2"/>
  <c r="G146" i="2" s="1"/>
  <c r="H300" i="1" s="1"/>
  <c r="E147" i="2"/>
  <c r="F147" i="2"/>
  <c r="G147" i="2" s="1"/>
  <c r="H301" i="1" s="1"/>
  <c r="H147" i="2"/>
  <c r="I147" i="2" s="1"/>
  <c r="D147" i="2" s="1"/>
  <c r="E148" i="2"/>
  <c r="F148" i="2"/>
  <c r="G148" i="2" s="1"/>
  <c r="H304" i="1" s="1"/>
  <c r="E149" i="2"/>
  <c r="F149" i="2"/>
  <c r="G149" i="2" s="1"/>
  <c r="H305" i="1" s="1"/>
  <c r="H149" i="2"/>
  <c r="I149" i="2" s="1"/>
  <c r="D149" i="2" s="1"/>
  <c r="E21" i="7"/>
  <c r="E13" i="7"/>
  <c r="E17" i="7"/>
  <c r="E15" i="7"/>
  <c r="G35" i="15"/>
  <c r="H35" i="15" s="1"/>
  <c r="G36" i="15"/>
  <c r="H36" i="15" s="1"/>
  <c r="G37" i="15"/>
  <c r="H37" i="15" s="1"/>
  <c r="G57" i="6"/>
  <c r="G58" i="6"/>
  <c r="G59" i="6"/>
  <c r="G60" i="6"/>
  <c r="G61" i="6"/>
  <c r="G62" i="6"/>
  <c r="G63" i="6"/>
  <c r="G64" i="6"/>
  <c r="J88" i="14"/>
  <c r="E128" i="2"/>
  <c r="F128" i="2"/>
  <c r="G128" i="2" s="1"/>
  <c r="H277" i="1" s="1"/>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G83" i="2"/>
  <c r="F83" i="2"/>
  <c r="H83" i="2" s="1"/>
  <c r="I83" i="2" s="1"/>
  <c r="D83" i="2" s="1"/>
  <c r="E84" i="2"/>
  <c r="F84" i="2"/>
  <c r="H84" i="2" s="1"/>
  <c r="I84" i="2" s="1"/>
  <c r="D84" i="2" s="1"/>
  <c r="E85" i="2"/>
  <c r="F85" i="2"/>
  <c r="H85" i="2" s="1"/>
  <c r="I85" i="2" s="1"/>
  <c r="D85" i="2" s="1"/>
  <c r="E86" i="2"/>
  <c r="F86" i="2"/>
  <c r="E87" i="2"/>
  <c r="G87" i="2"/>
  <c r="H215" i="1" s="1"/>
  <c r="F87" i="2"/>
  <c r="E88" i="2"/>
  <c r="F88" i="2"/>
  <c r="E89" i="2"/>
  <c r="F89" i="2"/>
  <c r="E90" i="2"/>
  <c r="G90" i="2" s="1"/>
  <c r="F90" i="2"/>
  <c r="E91" i="2"/>
  <c r="G91" i="2" s="1"/>
  <c r="H226" i="1" s="1"/>
  <c r="F91" i="2"/>
  <c r="E92" i="2"/>
  <c r="F92" i="2"/>
  <c r="H92" i="2"/>
  <c r="I92" i="2" s="1"/>
  <c r="D92" i="2" s="1"/>
  <c r="E93" i="2"/>
  <c r="F93" i="2"/>
  <c r="H93" i="2"/>
  <c r="I93" i="2" s="1"/>
  <c r="D93" i="2" s="1"/>
  <c r="E94" i="2"/>
  <c r="F94" i="2"/>
  <c r="G94" i="2" s="1"/>
  <c r="H230" i="1" s="1"/>
  <c r="E95" i="2"/>
  <c r="F95" i="2"/>
  <c r="H95" i="2"/>
  <c r="I95" i="2" s="1"/>
  <c r="D95" i="2" s="1"/>
  <c r="E96" i="2"/>
  <c r="F96" i="2"/>
  <c r="H96" i="2" s="1"/>
  <c r="I96" i="2" s="1"/>
  <c r="D96" i="2" s="1"/>
  <c r="E97" i="2"/>
  <c r="F97" i="2"/>
  <c r="E98" i="2"/>
  <c r="F98" i="2"/>
  <c r="H98" i="2" s="1"/>
  <c r="I98" i="2" s="1"/>
  <c r="D98" i="2" s="1"/>
  <c r="E99" i="2"/>
  <c r="F99" i="2"/>
  <c r="E100" i="2"/>
  <c r="F100" i="2"/>
  <c r="E101" i="2"/>
  <c r="F101" i="2"/>
  <c r="H101" i="2"/>
  <c r="I101" i="2" s="1"/>
  <c r="D101" i="2" s="1"/>
  <c r="E102" i="2"/>
  <c r="F102" i="2"/>
  <c r="E103" i="2"/>
  <c r="F103" i="2"/>
  <c r="E104" i="2"/>
  <c r="F104" i="2"/>
  <c r="H104" i="2" s="1"/>
  <c r="I104" i="2" s="1"/>
  <c r="D104" i="2" s="1"/>
  <c r="E105" i="2"/>
  <c r="F105" i="2"/>
  <c r="E106" i="2"/>
  <c r="F106" i="2"/>
  <c r="E107" i="2"/>
  <c r="F107" i="2"/>
  <c r="H107" i="2" s="1"/>
  <c r="I107" i="2" s="1"/>
  <c r="D107" i="2" s="1"/>
  <c r="E108" i="2"/>
  <c r="F108" i="2"/>
  <c r="H108" i="2" s="1"/>
  <c r="I108" i="2" s="1"/>
  <c r="D108" i="2" s="1"/>
  <c r="E109" i="2"/>
  <c r="F109" i="2"/>
  <c r="G109" i="2" s="1"/>
  <c r="H247" i="1" s="1"/>
  <c r="E110" i="2"/>
  <c r="F110" i="2"/>
  <c r="H110" i="2" s="1"/>
  <c r="I110" i="2" s="1"/>
  <c r="D110" i="2" s="1"/>
  <c r="E111" i="2"/>
  <c r="F111" i="2"/>
  <c r="E112" i="2"/>
  <c r="F112" i="2"/>
  <c r="E113" i="2"/>
  <c r="F113" i="2"/>
  <c r="H113" i="2" s="1"/>
  <c r="I113" i="2" s="1"/>
  <c r="D113" i="2" s="1"/>
  <c r="E114" i="2"/>
  <c r="F114" i="2"/>
  <c r="G114" i="2" s="1"/>
  <c r="H249" i="1"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H74" i="2" s="1"/>
  <c r="I74" i="2" s="1"/>
  <c r="D74" i="2" s="1"/>
  <c r="E75" i="2"/>
  <c r="F75" i="2"/>
  <c r="H75" i="2"/>
  <c r="I75" i="2" s="1"/>
  <c r="D75" i="2" s="1"/>
  <c r="E76" i="2"/>
  <c r="F76" i="2"/>
  <c r="E77" i="2"/>
  <c r="F77" i="2"/>
  <c r="H77" i="2" s="1"/>
  <c r="I77" i="2" s="1"/>
  <c r="D77" i="2" s="1"/>
  <c r="E78" i="2"/>
  <c r="F78" i="2"/>
  <c r="H78" i="2" s="1"/>
  <c r="I78" i="2" s="1"/>
  <c r="D78" i="2" s="1"/>
  <c r="E79" i="2"/>
  <c r="F79" i="2"/>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s="1"/>
  <c r="E58" i="2"/>
  <c r="F58" i="2"/>
  <c r="G58" i="2" s="1"/>
  <c r="F27" i="2"/>
  <c r="E27" i="2"/>
  <c r="E59" i="2"/>
  <c r="F59" i="2"/>
  <c r="H59" i="2" s="1"/>
  <c r="I59" i="2" s="1"/>
  <c r="D59" i="2" s="1"/>
  <c r="F28" i="2"/>
  <c r="H28" i="2" s="1"/>
  <c r="I28" i="2" s="1"/>
  <c r="D28" i="2" s="1"/>
  <c r="E28" i="2"/>
  <c r="E60" i="2"/>
  <c r="F60" i="2"/>
  <c r="E61" i="2"/>
  <c r="F61" i="2"/>
  <c r="G61" i="2"/>
  <c r="H181" i="1" s="1"/>
  <c r="F62" i="2"/>
  <c r="H62" i="2" s="1"/>
  <c r="I62" i="2" s="1"/>
  <c r="D62" i="2" s="1"/>
  <c r="E62" i="2"/>
  <c r="E63" i="2"/>
  <c r="G63" i="2"/>
  <c r="F63" i="2"/>
  <c r="H63" i="2"/>
  <c r="I63" i="2" s="1"/>
  <c r="D63" i="2" s="1"/>
  <c r="E64" i="2"/>
  <c r="F64" i="2"/>
  <c r="H64" i="2" s="1"/>
  <c r="I64" i="2" s="1"/>
  <c r="D64" i="2" s="1"/>
  <c r="E65" i="2"/>
  <c r="F65" i="2"/>
  <c r="H65" i="2"/>
  <c r="I65" i="2" s="1"/>
  <c r="D65" i="2" s="1"/>
  <c r="E66" i="2"/>
  <c r="F66" i="2"/>
  <c r="H66" i="2" s="1"/>
  <c r="I66" i="2" s="1"/>
  <c r="D66" i="2" s="1"/>
  <c r="E67" i="2"/>
  <c r="F67" i="2"/>
  <c r="H67" i="2"/>
  <c r="I67" i="2" s="1"/>
  <c r="D67" i="2" s="1"/>
  <c r="E68" i="2"/>
  <c r="F68" i="2"/>
  <c r="H68" i="2" s="1"/>
  <c r="I68" i="2" s="1"/>
  <c r="D68" i="2" s="1"/>
  <c r="E69" i="2"/>
  <c r="F69" i="2"/>
  <c r="H69" i="2"/>
  <c r="I69" i="2"/>
  <c r="D69" i="2" s="1"/>
  <c r="E70" i="2"/>
  <c r="F70" i="2"/>
  <c r="H70" i="2" s="1"/>
  <c r="I70" i="2" s="1"/>
  <c r="D70" i="2" s="1"/>
  <c r="E71" i="2"/>
  <c r="F71" i="2"/>
  <c r="H71" i="2"/>
  <c r="I71" i="2" s="1"/>
  <c r="D71" i="2" s="1"/>
  <c r="E72" i="2"/>
  <c r="F72" i="2"/>
  <c r="H72" i="2" s="1"/>
  <c r="I72" i="2" s="1"/>
  <c r="D72" i="2" s="1"/>
  <c r="E73" i="2"/>
  <c r="F73" i="2"/>
  <c r="E45" i="2"/>
  <c r="F45" i="2"/>
  <c r="G45" i="2" s="1"/>
  <c r="E46" i="2"/>
  <c r="F46" i="2"/>
  <c r="H46" i="2"/>
  <c r="I46" i="2" s="1"/>
  <c r="D46" i="2" s="1"/>
  <c r="E47" i="2"/>
  <c r="F47" i="2"/>
  <c r="E48" i="2"/>
  <c r="F48" i="2"/>
  <c r="H48" i="2" s="1"/>
  <c r="I48" i="2" s="1"/>
  <c r="D48" i="2" s="1"/>
  <c r="F20" i="2"/>
  <c r="G20" i="2" s="1"/>
  <c r="H114" i="1" s="1"/>
  <c r="E20" i="2"/>
  <c r="E49" i="2"/>
  <c r="F49" i="2"/>
  <c r="H49" i="2"/>
  <c r="I49" i="2" s="1"/>
  <c r="D49" i="2" s="1"/>
  <c r="F21" i="2"/>
  <c r="H21" i="2" s="1"/>
  <c r="I21" i="2" s="1"/>
  <c r="D21" i="2" s="1"/>
  <c r="E21" i="2"/>
  <c r="E50" i="2"/>
  <c r="F50" i="2"/>
  <c r="H50" i="2"/>
  <c r="I50" i="2" s="1"/>
  <c r="D50" i="2" s="1"/>
  <c r="E51" i="2"/>
  <c r="F51" i="2"/>
  <c r="H51" i="2" s="1"/>
  <c r="I51" i="2" s="1"/>
  <c r="D51" i="2" s="1"/>
  <c r="E52" i="2"/>
  <c r="F52" i="2"/>
  <c r="H52" i="2"/>
  <c r="I52" i="2" s="1"/>
  <c r="D52" i="2" s="1"/>
  <c r="E53" i="2"/>
  <c r="F53" i="2"/>
  <c r="E54" i="2"/>
  <c r="F54" i="2"/>
  <c r="F24" i="2"/>
  <c r="H24" i="2" s="1"/>
  <c r="I24" i="2" s="1"/>
  <c r="D24" i="2" s="1"/>
  <c r="E24" i="2"/>
  <c r="E55" i="2"/>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c r="I6" i="2" s="1"/>
  <c r="D6" i="2" s="1"/>
  <c r="E6" i="2"/>
  <c r="F5" i="2"/>
  <c r="H5" i="2" s="1"/>
  <c r="D5" i="2" s="1"/>
  <c r="E5" i="2"/>
  <c r="E34" i="2"/>
  <c r="F34" i="2"/>
  <c r="H34" i="2"/>
  <c r="I34" i="2" s="1"/>
  <c r="D34" i="2" s="1"/>
  <c r="F18" i="2"/>
  <c r="E18" i="2"/>
  <c r="E35" i="2"/>
  <c r="F35" i="2"/>
  <c r="H35" i="2" s="1"/>
  <c r="I35" i="2" s="1"/>
  <c r="D35" i="2" s="1"/>
  <c r="E36" i="2"/>
  <c r="F36" i="2"/>
  <c r="F22" i="2"/>
  <c r="H22" i="2" s="1"/>
  <c r="I22" i="2" s="1"/>
  <c r="D22" i="2" s="1"/>
  <c r="E22" i="2"/>
  <c r="F7" i="2"/>
  <c r="E7" i="2"/>
  <c r="E37" i="2"/>
  <c r="F37" i="2"/>
  <c r="H37" i="2" s="1"/>
  <c r="E39" i="2"/>
  <c r="F39" i="2"/>
  <c r="H39" i="2" s="1"/>
  <c r="I39" i="2" s="1"/>
  <c r="D39" i="2" s="1"/>
  <c r="E40" i="2"/>
  <c r="F40" i="2"/>
  <c r="H40" i="2" s="1"/>
  <c r="I40" i="2" s="1"/>
  <c r="D40" i="2" s="1"/>
  <c r="E41" i="2"/>
  <c r="F41" i="2"/>
  <c r="H41" i="2"/>
  <c r="I41" i="2" s="1"/>
  <c r="D41" i="2" s="1"/>
  <c r="E42" i="2"/>
  <c r="F42" i="2"/>
  <c r="H42" i="2"/>
  <c r="I42" i="2" s="1"/>
  <c r="D42" i="2" s="1"/>
  <c r="F43" i="2"/>
  <c r="H43" i="2"/>
  <c r="I43" i="2" s="1"/>
  <c r="D43" i="2" s="1"/>
  <c r="E43" i="2"/>
  <c r="E44" i="2"/>
  <c r="F44" i="2"/>
  <c r="H44" i="2"/>
  <c r="I44" i="2" s="1"/>
  <c r="D44" i="2" s="1"/>
  <c r="F19" i="2"/>
  <c r="H19" i="2" s="1"/>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G16" i="2" s="1"/>
  <c r="H108" i="1" s="1"/>
  <c r="E16" i="2"/>
  <c r="F17" i="2"/>
  <c r="H17" i="2" s="1"/>
  <c r="I17" i="2" s="1"/>
  <c r="D17" i="2" s="1"/>
  <c r="E17" i="2"/>
  <c r="F29" i="2"/>
  <c r="H29" i="2" s="1"/>
  <c r="I29" i="2" s="1"/>
  <c r="D29" i="2" s="1"/>
  <c r="E29" i="2"/>
  <c r="F30" i="2"/>
  <c r="F31" i="2"/>
  <c r="G31" i="2" s="1"/>
  <c r="H123" i="1" s="1"/>
  <c r="E31" i="2"/>
  <c r="F32" i="2"/>
  <c r="H32" i="2"/>
  <c r="I32" i="2" s="1"/>
  <c r="D32" i="2" s="1"/>
  <c r="F14" i="2"/>
  <c r="H14" i="2"/>
  <c r="I14" i="2" s="1"/>
  <c r="D14" i="2" s="1"/>
  <c r="E14" i="2"/>
  <c r="E30" i="2"/>
  <c r="E32" i="2"/>
  <c r="N4" i="17"/>
  <c r="F12" i="2"/>
  <c r="H12" i="2"/>
  <c r="I12" i="2" s="1"/>
  <c r="D12" i="2" s="1"/>
  <c r="E12" i="2"/>
  <c r="F11" i="2"/>
  <c r="H11" i="2" s="1"/>
  <c r="I11" i="2" s="1"/>
  <c r="E11" i="2"/>
  <c r="F9" i="2"/>
  <c r="H9" i="2" s="1"/>
  <c r="I9" i="2" s="1"/>
  <c r="D9" i="2" s="1"/>
  <c r="E9" i="2"/>
  <c r="E8" i="2"/>
  <c r="F8" i="2"/>
  <c r="E10" i="2"/>
  <c r="F10" i="2"/>
  <c r="H10" i="2"/>
  <c r="I10" i="2" s="1"/>
  <c r="D10" i="2" s="1"/>
  <c r="E4" i="2"/>
  <c r="F4" i="2"/>
  <c r="G4" i="2" s="1"/>
  <c r="N3" i="7"/>
  <c r="N5" i="7"/>
  <c r="E6" i="11"/>
  <c r="D6" i="11"/>
  <c r="F3" i="2"/>
  <c r="J15" i="14"/>
  <c r="B2" i="2"/>
  <c r="H97" i="6"/>
  <c r="I51" i="6"/>
  <c r="C114" i="23"/>
  <c r="C116" i="23"/>
  <c r="C92" i="23"/>
  <c r="C69" i="23"/>
  <c r="C46" i="23"/>
  <c r="C48" i="23"/>
  <c r="C21" i="23"/>
  <c r="H133" i="2"/>
  <c r="I133" i="2" s="1"/>
  <c r="D133" i="2" s="1"/>
  <c r="H131" i="2"/>
  <c r="I131" i="2" s="1"/>
  <c r="D131" i="2" s="1"/>
  <c r="H82" i="2"/>
  <c r="I82" i="2" s="1"/>
  <c r="D82" i="2" s="1"/>
  <c r="H112" i="2"/>
  <c r="I112" i="2" s="1"/>
  <c r="D112" i="2" s="1"/>
  <c r="G131" i="2"/>
  <c r="H279" i="1" s="1"/>
  <c r="G93" i="2"/>
  <c r="H228" i="1"/>
  <c r="H128" i="2"/>
  <c r="I128" i="2" s="1"/>
  <c r="D128" i="2" s="1"/>
  <c r="G112" i="2"/>
  <c r="H255" i="1"/>
  <c r="G125" i="2"/>
  <c r="H273" i="1" s="1"/>
  <c r="G39" i="2"/>
  <c r="H137" i="1" s="1"/>
  <c r="H88" i="2"/>
  <c r="I88" i="2" s="1"/>
  <c r="D88" i="2" s="1"/>
  <c r="G110" i="2"/>
  <c r="H250" i="1"/>
  <c r="G23" i="2"/>
  <c r="H119" i="1" s="1"/>
  <c r="G75" i="2"/>
  <c r="H289" i="1" s="1"/>
  <c r="G69" i="2"/>
  <c r="H193" i="1" s="1"/>
  <c r="H89" i="2"/>
  <c r="I89" i="2" s="1"/>
  <c r="D89" i="2" s="1"/>
  <c r="G96" i="2"/>
  <c r="H232" i="1" s="1"/>
  <c r="G66" i="2"/>
  <c r="H190" i="1" s="1"/>
  <c r="H61" i="2"/>
  <c r="I61" i="2" s="1"/>
  <c r="D61" i="2" s="1"/>
  <c r="C4" i="8"/>
  <c r="H125" i="2"/>
  <c r="I125" i="2" s="1"/>
  <c r="D125" i="2" s="1"/>
  <c r="H121" i="2"/>
  <c r="I121" i="2" s="1"/>
  <c r="D121" i="2" s="1"/>
  <c r="H119" i="2"/>
  <c r="I119" i="2" s="1"/>
  <c r="D119" i="2" s="1"/>
  <c r="H8" i="2"/>
  <c r="I8" i="2" s="1"/>
  <c r="D8" i="2" s="1"/>
  <c r="H54" i="2"/>
  <c r="I54" i="2" s="1"/>
  <c r="D54" i="2" s="1"/>
  <c r="G65" i="2"/>
  <c r="H188" i="1" s="1"/>
  <c r="G108" i="2"/>
  <c r="H246" i="1" s="1"/>
  <c r="G81" i="2"/>
  <c r="H207" i="1" s="1"/>
  <c r="G32" i="2"/>
  <c r="H128" i="1" s="1"/>
  <c r="G52" i="2"/>
  <c r="H159" i="1" s="1"/>
  <c r="H57" i="2"/>
  <c r="I57" i="2" s="1"/>
  <c r="D57" i="2" s="1"/>
  <c r="H87" i="2"/>
  <c r="I87" i="2" s="1"/>
  <c r="D87" i="2" s="1"/>
  <c r="G104" i="2"/>
  <c r="H242" i="1" s="1"/>
  <c r="H20" i="2"/>
  <c r="I20" i="2" s="1"/>
  <c r="D20" i="2" s="1"/>
  <c r="H16" i="2"/>
  <c r="I16" i="2" s="1"/>
  <c r="D16" i="2" s="1"/>
  <c r="G35" i="2"/>
  <c r="H111" i="2"/>
  <c r="I111" i="2" s="1"/>
  <c r="D111" i="2" s="1"/>
  <c r="H105" i="2"/>
  <c r="I105" i="2"/>
  <c r="D105" i="2" s="1"/>
  <c r="G98" i="2"/>
  <c r="H234" i="1" s="1"/>
  <c r="K6" i="6"/>
  <c r="I97" i="6"/>
  <c r="G97" i="6"/>
  <c r="H256" i="1"/>
  <c r="G59" i="2"/>
  <c r="H178" i="1" s="1"/>
  <c r="G10" i="2"/>
  <c r="G17" i="2"/>
  <c r="H110" i="1" s="1"/>
  <c r="G7" i="2"/>
  <c r="G5" i="2"/>
  <c r="H220" i="1" s="1"/>
  <c r="G73" i="2"/>
  <c r="H198" i="1" s="1"/>
  <c r="G116" i="2"/>
  <c r="H260" i="1" s="1"/>
  <c r="H137" i="2"/>
  <c r="I137" i="2" s="1"/>
  <c r="D137" i="2" s="1"/>
  <c r="G8" i="2"/>
  <c r="H91" i="2"/>
  <c r="I91" i="2" s="1"/>
  <c r="D91" i="2" s="1"/>
  <c r="H90" i="2"/>
  <c r="I90" i="2" s="1"/>
  <c r="D90" i="2" s="1"/>
  <c r="G6" i="2"/>
  <c r="H117" i="1" s="1"/>
  <c r="G72" i="2"/>
  <c r="H197" i="1"/>
  <c r="H58" i="2"/>
  <c r="I58" i="2" s="1"/>
  <c r="D58" i="2" s="1"/>
  <c r="H79" i="2"/>
  <c r="I79" i="2" s="1"/>
  <c r="D79" i="2" s="1"/>
  <c r="G74" i="2"/>
  <c r="H199" i="1" s="1"/>
  <c r="G101" i="2"/>
  <c r="H238" i="1" s="1"/>
  <c r="G85" i="2"/>
  <c r="H213" i="1"/>
  <c r="G132" i="2"/>
  <c r="H283" i="1" s="1"/>
  <c r="G15" i="2"/>
  <c r="G136" i="2"/>
  <c r="H293" i="1" s="1"/>
  <c r="G121" i="2"/>
  <c r="H267" i="1" s="1"/>
  <c r="G80" i="2"/>
  <c r="H205" i="1"/>
  <c r="G89" i="2"/>
  <c r="H222" i="1" s="1"/>
  <c r="G107" i="2"/>
  <c r="H245" i="1" s="1"/>
  <c r="H102" i="2"/>
  <c r="I102" i="2" s="1"/>
  <c r="D102" i="2" s="1"/>
  <c r="H31" i="2"/>
  <c r="I31" i="2" s="1"/>
  <c r="D31" i="2" s="1"/>
  <c r="G44" i="2"/>
  <c r="H143" i="1" s="1"/>
  <c r="G46" i="2"/>
  <c r="G60" i="2"/>
  <c r="G118" i="2"/>
  <c r="H263" i="1"/>
  <c r="G135" i="2"/>
  <c r="H292" i="1" s="1"/>
  <c r="H138" i="2"/>
  <c r="I138" i="2" s="1"/>
  <c r="D138" i="2" s="1"/>
  <c r="G134" i="2"/>
  <c r="H291" i="1" s="1"/>
  <c r="G48" i="2"/>
  <c r="H152" i="1"/>
  <c r="G12" i="2"/>
  <c r="H101" i="1" s="1"/>
  <c r="G13" i="2"/>
  <c r="H102" i="1" s="1"/>
  <c r="G43" i="2"/>
  <c r="H141" i="1" s="1"/>
  <c r="G37" i="2"/>
  <c r="H144" i="1" s="1"/>
  <c r="G54" i="2"/>
  <c r="H183" i="1" s="1"/>
  <c r="G49" i="2"/>
  <c r="H153" i="1"/>
  <c r="G64" i="2"/>
  <c r="H186" i="1" s="1"/>
  <c r="G76" i="2"/>
  <c r="H201" i="1"/>
  <c r="H150" i="1"/>
  <c r="H149" i="1"/>
  <c r="H134" i="1"/>
  <c r="H142" i="1"/>
  <c r="H99" i="1"/>
  <c r="H93" i="1"/>
  <c r="H94" i="1"/>
  <c r="H104" i="1"/>
  <c r="H103" i="1"/>
  <c r="H95" i="1"/>
  <c r="G19" i="2"/>
  <c r="H113" i="1"/>
  <c r="H248" i="1"/>
  <c r="G11" i="2"/>
  <c r="H98" i="1" s="1"/>
  <c r="H15" i="2"/>
  <c r="I15" i="2" s="1"/>
  <c r="D15" i="2" s="1"/>
  <c r="G38" i="2"/>
  <c r="H136" i="1" s="1"/>
  <c r="G68" i="2"/>
  <c r="H192" i="1" s="1"/>
  <c r="H27" i="2"/>
  <c r="I27" i="2" s="1"/>
  <c r="D27" i="2" s="1"/>
  <c r="H76" i="2"/>
  <c r="I76" i="2" s="1"/>
  <c r="D76" i="2" s="1"/>
  <c r="H114" i="2"/>
  <c r="I114" i="2" s="1"/>
  <c r="D114" i="2" s="1"/>
  <c r="G105" i="2"/>
  <c r="H235" i="1" s="1"/>
  <c r="G86" i="2"/>
  <c r="H214" i="1" s="1"/>
  <c r="H7" i="2"/>
  <c r="I7" i="2" s="1"/>
  <c r="D7" i="2" s="1"/>
  <c r="G41" i="2"/>
  <c r="H139" i="1"/>
  <c r="G120" i="2"/>
  <c r="H265" i="1"/>
  <c r="G24" i="2"/>
  <c r="H120" i="1" s="1"/>
  <c r="G22" i="2"/>
  <c r="H118" i="1"/>
  <c r="G71" i="2"/>
  <c r="H196" i="1" s="1"/>
  <c r="G117" i="2"/>
  <c r="G99" i="2"/>
  <c r="H236" i="1"/>
  <c r="G26" i="2"/>
  <c r="H122" i="1" s="1"/>
  <c r="G40" i="2"/>
  <c r="H138" i="1" s="1"/>
  <c r="G36" i="2"/>
  <c r="H145" i="1" s="1"/>
  <c r="G119" i="2"/>
  <c r="H264" i="1" s="1"/>
  <c r="G113" i="2"/>
  <c r="H259" i="1" s="1"/>
  <c r="H56" i="2"/>
  <c r="I56" i="2" s="1"/>
  <c r="D56" i="2" s="1"/>
  <c r="G82" i="2"/>
  <c r="H208" i="1" s="1"/>
  <c r="G84" i="2"/>
  <c r="G50" i="2"/>
  <c r="H157" i="1" s="1"/>
  <c r="G55" i="2"/>
  <c r="H163" i="1" s="1"/>
  <c r="H73" i="2"/>
  <c r="I73" i="2" s="1"/>
  <c r="D73" i="2" s="1"/>
  <c r="G21" i="2"/>
  <c r="G33" i="2"/>
  <c r="H129" i="1" s="1"/>
  <c r="G88" i="2"/>
  <c r="H216" i="1" s="1"/>
  <c r="H135" i="2"/>
  <c r="I135" i="2" s="1"/>
  <c r="D135" i="2" s="1"/>
  <c r="G127" i="2"/>
  <c r="H275" i="1"/>
  <c r="G34" i="2"/>
  <c r="H131" i="1" s="1"/>
  <c r="G14" i="2"/>
  <c r="H106" i="1"/>
  <c r="G42" i="2"/>
  <c r="H140" i="1" s="1"/>
  <c r="H47" i="2"/>
  <c r="I47" i="2" s="1"/>
  <c r="D47" i="2" s="1"/>
  <c r="G115" i="2"/>
  <c r="H258" i="1" s="1"/>
  <c r="H100" i="1"/>
  <c r="G130" i="2"/>
  <c r="H278" i="1" s="1"/>
  <c r="H130" i="2"/>
  <c r="I130" i="2" s="1"/>
  <c r="D130" i="2" s="1"/>
  <c r="H109" i="1"/>
  <c r="H107" i="1"/>
  <c r="H105" i="1"/>
  <c r="H97" i="1"/>
  <c r="H111" i="1"/>
  <c r="H155" i="1"/>
  <c r="H211" i="1"/>
  <c r="H212" i="1"/>
  <c r="H53" i="2"/>
  <c r="I53" i="2" s="1"/>
  <c r="D53" i="2" s="1"/>
  <c r="G53" i="2"/>
  <c r="G100" i="2"/>
  <c r="H243" i="1" s="1"/>
  <c r="H100" i="2"/>
  <c r="I100" i="2" s="1"/>
  <c r="D100" i="2" s="1"/>
  <c r="H97" i="2"/>
  <c r="I97" i="2"/>
  <c r="D97" i="2" s="1"/>
  <c r="G97" i="2"/>
  <c r="H233" i="1" s="1"/>
  <c r="H123" i="2"/>
  <c r="I123" i="2" s="1"/>
  <c r="D123" i="2" s="1"/>
  <c r="G123" i="2"/>
  <c r="H270" i="1" s="1"/>
  <c r="H30" i="2"/>
  <c r="I30" i="2" s="1"/>
  <c r="D30" i="2" s="1"/>
  <c r="G30" i="2"/>
  <c r="H127" i="1"/>
  <c r="G103" i="2"/>
  <c r="H241" i="1" s="1"/>
  <c r="H103" i="2"/>
  <c r="I103" i="2"/>
  <c r="D103" i="2"/>
  <c r="H132" i="1"/>
  <c r="H189" i="1"/>
  <c r="H209" i="1"/>
  <c r="H210" i="1"/>
  <c r="H182" i="1"/>
  <c r="H179" i="1"/>
  <c r="H219" i="1"/>
  <c r="H180" i="1"/>
  <c r="H195" i="1"/>
  <c r="H184" i="1"/>
  <c r="H133" i="1"/>
  <c r="G18" i="2"/>
  <c r="H112" i="1" s="1"/>
  <c r="G106" i="2"/>
  <c r="H244" i="1"/>
  <c r="H106" i="2"/>
  <c r="I106" i="2" s="1"/>
  <c r="D106" i="2" s="1"/>
  <c r="G29" i="2"/>
  <c r="H126" i="1" s="1"/>
  <c r="G77" i="2"/>
  <c r="H202" i="1" s="1"/>
  <c r="H253" i="1"/>
  <c r="H127" i="2"/>
  <c r="I127" i="2" s="1"/>
  <c r="D127" i="2" s="1"/>
  <c r="G62" i="2"/>
  <c r="H177" i="1" s="1"/>
  <c r="H132" i="2"/>
  <c r="I132" i="2"/>
  <c r="D132" i="2" s="1"/>
  <c r="H60" i="2"/>
  <c r="I60" i="2" s="1"/>
  <c r="D60" i="2" s="1"/>
  <c r="G95" i="2"/>
  <c r="H231" i="1" s="1"/>
  <c r="G70" i="2"/>
  <c r="H194" i="1" s="1"/>
  <c r="H18" i="2"/>
  <c r="I18" i="2" s="1"/>
  <c r="D18" i="2" s="1"/>
  <c r="G78" i="2"/>
  <c r="H203" i="1" s="1"/>
  <c r="G122" i="2"/>
  <c r="H38" i="2"/>
  <c r="I38" i="2"/>
  <c r="D38" i="2"/>
  <c r="H36" i="2"/>
  <c r="I36" i="2" s="1"/>
  <c r="D36" i="2" s="1"/>
  <c r="H26" i="2"/>
  <c r="I26" i="2" s="1"/>
  <c r="D26" i="2" s="1"/>
  <c r="H99" i="2"/>
  <c r="I99" i="2" s="1"/>
  <c r="D99" i="2" s="1"/>
  <c r="G51" i="2"/>
  <c r="G25" i="2"/>
  <c r="H154" i="1" s="1"/>
  <c r="H86" i="2"/>
  <c r="I86" i="2" s="1"/>
  <c r="D86" i="2" s="1"/>
  <c r="H261" i="1"/>
  <c r="H221" i="1"/>
  <c r="G92" i="2"/>
  <c r="H227" i="1"/>
  <c r="H254" i="1"/>
  <c r="G124" i="2"/>
  <c r="H272" i="1"/>
  <c r="N60" i="9" a="1"/>
  <c r="N60" i="9" s="1"/>
  <c r="I56" i="9" a="1"/>
  <c r="I56" i="9" s="1"/>
  <c r="H240" i="1"/>
  <c r="H262" i="1"/>
  <c r="H285" i="1"/>
  <c r="H269" i="1"/>
  <c r="H116" i="1"/>
  <c r="H115" i="1"/>
  <c r="H266" i="1"/>
  <c r="H167" i="1"/>
  <c r="H257" i="1"/>
  <c r="H135" i="1"/>
  <c r="H170" i="1"/>
  <c r="H158" i="1"/>
  <c r="H165" i="1"/>
  <c r="H168" i="1"/>
  <c r="H166" i="1"/>
  <c r="H169" i="1"/>
  <c r="H164" i="1"/>
  <c r="H161" i="1"/>
  <c r="H206" i="1"/>
  <c r="H162" i="1"/>
  <c r="H160" i="1"/>
  <c r="H268" i="1"/>
  <c r="H280" i="1"/>
  <c r="H271" i="1"/>
  <c r="C2" i="2"/>
  <c r="E92" i="7" l="1"/>
  <c r="P56" i="7"/>
  <c r="H15" i="1"/>
  <c r="H17" i="1"/>
  <c r="H343" i="1"/>
  <c r="H344" i="1"/>
  <c r="H72" i="1"/>
  <c r="H65" i="1"/>
  <c r="H45" i="1"/>
  <c r="H71" i="1"/>
  <c r="H32" i="1"/>
  <c r="H14" i="1"/>
  <c r="H8" i="1"/>
  <c r="H78" i="1"/>
  <c r="H26" i="1"/>
  <c r="H55" i="1"/>
  <c r="H23" i="1"/>
  <c r="H84" i="1"/>
  <c r="H86" i="1"/>
  <c r="H58" i="1"/>
  <c r="H34" i="1"/>
  <c r="H46" i="1"/>
  <c r="H83" i="1"/>
  <c r="H63" i="1"/>
  <c r="H22" i="1"/>
  <c r="H62" i="1"/>
  <c r="H85" i="1"/>
  <c r="H29" i="1"/>
  <c r="H342" i="1"/>
  <c r="H52" i="1"/>
  <c r="H18" i="1"/>
  <c r="H41" i="1"/>
  <c r="H73" i="1"/>
  <c r="H35" i="1"/>
  <c r="H37" i="1"/>
  <c r="H77" i="1"/>
  <c r="H79" i="1"/>
  <c r="H54" i="1"/>
  <c r="H3" i="1"/>
  <c r="H50" i="1"/>
  <c r="H25" i="1"/>
  <c r="H59" i="1"/>
  <c r="H69" i="1"/>
  <c r="H11" i="1"/>
  <c r="H49" i="1"/>
  <c r="H5" i="1"/>
  <c r="H60" i="1"/>
  <c r="H33" i="1"/>
  <c r="H27" i="1"/>
  <c r="H19" i="1"/>
  <c r="H2" i="1"/>
  <c r="H64" i="1"/>
  <c r="H30" i="1"/>
  <c r="H36" i="1"/>
  <c r="H21" i="1"/>
  <c r="H24" i="1"/>
  <c r="H67" i="1"/>
  <c r="H341" i="1"/>
  <c r="H31" i="1"/>
  <c r="H70" i="1"/>
  <c r="H43" i="1"/>
  <c r="H81" i="1"/>
  <c r="H74" i="1"/>
  <c r="H53" i="1"/>
  <c r="H38" i="1"/>
  <c r="H28" i="1"/>
  <c r="H10" i="1"/>
  <c r="H66" i="1"/>
  <c r="H20" i="1"/>
  <c r="H57" i="1"/>
  <c r="H7" i="1"/>
  <c r="H75" i="1"/>
  <c r="H40" i="1"/>
  <c r="H4" i="1"/>
  <c r="H76" i="1"/>
  <c r="H12" i="1"/>
  <c r="H42" i="1"/>
  <c r="H68" i="1"/>
  <c r="H44" i="1"/>
  <c r="H13" i="1"/>
  <c r="H48" i="1"/>
  <c r="H82" i="1"/>
  <c r="H61" i="1"/>
  <c r="H6" i="1"/>
  <c r="H56" i="1"/>
  <c r="H39" i="1"/>
  <c r="H51" i="1"/>
  <c r="H9" i="1"/>
  <c r="H16" i="1"/>
  <c r="H47" i="1"/>
  <c r="H295" i="1"/>
  <c r="H302" i="1"/>
  <c r="I37" i="2"/>
  <c r="D37" i="2" s="1"/>
  <c r="C93" i="23"/>
  <c r="C94" i="23" s="1"/>
  <c r="H294" i="1"/>
  <c r="H298" i="1"/>
  <c r="H130" i="1"/>
  <c r="G47" i="2"/>
  <c r="H151" i="1" s="1"/>
  <c r="H303" i="1"/>
  <c r="G102" i="2"/>
  <c r="H239" i="1" s="1"/>
  <c r="C22" i="23"/>
  <c r="C23" i="23" s="1"/>
  <c r="G67" i="2"/>
  <c r="H191" i="1" s="1"/>
  <c r="G79" i="2"/>
  <c r="H204" i="1" s="1"/>
  <c r="H200" i="1"/>
  <c r="G27" i="2"/>
  <c r="H124" i="1" s="1"/>
  <c r="H156" i="1"/>
  <c r="H237" i="1"/>
  <c r="H121" i="1"/>
  <c r="H148" i="1"/>
  <c r="G111" i="2"/>
  <c r="H252" i="1" s="1"/>
  <c r="H148" i="2"/>
  <c r="I148" i="2" s="1"/>
  <c r="D148" i="2" s="1"/>
  <c r="H146" i="2"/>
  <c r="I146" i="2" s="1"/>
  <c r="D146" i="2" s="1"/>
  <c r="H144" i="2"/>
  <c r="I144" i="2" s="1"/>
  <c r="D144" i="2" s="1"/>
  <c r="H142" i="2"/>
  <c r="I142" i="2" s="1"/>
  <c r="D142" i="2" s="1"/>
  <c r="H94" i="2"/>
  <c r="I94" i="2" s="1"/>
  <c r="D94" i="2" s="1"/>
  <c r="H223" i="1"/>
  <c r="H251" i="1"/>
  <c r="G56" i="2"/>
  <c r="H171" i="1" s="1"/>
  <c r="I345" i="1" a="1"/>
  <c r="I345" i="1" s="1"/>
  <c r="E8" i="8" s="1"/>
  <c r="J184" i="1" a="1"/>
  <c r="J184" i="1" s="1"/>
  <c r="F115" i="9"/>
  <c r="V22" i="9" s="1" a="1"/>
  <c r="V22" i="9" s="1"/>
  <c r="J51" i="9" a="1"/>
  <c r="J51" i="9" s="1"/>
  <c r="M56" i="9" a="1"/>
  <c r="M56" i="9" s="1"/>
  <c r="L87" i="9" a="1"/>
  <c r="L87" i="9" s="1"/>
  <c r="A6" i="20"/>
  <c r="A33" i="20"/>
  <c r="A23" i="20"/>
  <c r="A32" i="20"/>
  <c r="A18" i="20"/>
  <c r="A24" i="20"/>
  <c r="C126" i="9"/>
  <c r="S33" i="9" s="1" a="1"/>
  <c r="S33" i="9" s="1"/>
  <c r="Z44" i="9" a="1"/>
  <c r="Z44" i="9" s="1"/>
  <c r="K88" i="9" a="1"/>
  <c r="K88" i="9" s="1"/>
  <c r="P83" i="9"/>
  <c r="P89" i="9"/>
  <c r="G108" i="9"/>
  <c r="A3" i="20"/>
  <c r="A19" i="20"/>
  <c r="G130" i="9"/>
  <c r="A9" i="20"/>
  <c r="A26" i="20"/>
  <c r="A31" i="20"/>
  <c r="I123" i="9"/>
  <c r="Y30" i="9" s="1" a="1"/>
  <c r="Y30" i="9" s="1"/>
  <c r="A35" i="20"/>
  <c r="A28" i="20"/>
  <c r="A17" i="20"/>
  <c r="K120" i="9"/>
  <c r="AA27" i="9" s="1" a="1"/>
  <c r="AA27" i="9" s="1"/>
  <c r="A14" i="20"/>
  <c r="B4" i="9"/>
  <c r="C4" i="9" s="1"/>
  <c r="L107" i="9"/>
  <c r="AB14" i="9" s="1" a="1"/>
  <c r="AB14" i="9" s="1"/>
  <c r="A5" i="20"/>
  <c r="B6" i="9"/>
  <c r="C6" i="9" s="1"/>
  <c r="C102" i="9"/>
  <c r="S9" i="9" s="1" a="1"/>
  <c r="S9" i="9" s="1"/>
  <c r="C125" i="9"/>
  <c r="S32" i="9" s="1" a="1"/>
  <c r="S32" i="9" s="1"/>
  <c r="C110" i="9"/>
  <c r="S17" i="9" s="1" a="1"/>
  <c r="S17" i="9" s="1"/>
  <c r="A10" i="20"/>
  <c r="A36" i="20"/>
  <c r="A12" i="20"/>
  <c r="I121" i="9"/>
  <c r="Y28" i="9" s="1" a="1"/>
  <c r="Y28" i="9" s="1"/>
  <c r="F112" i="9"/>
  <c r="V19" i="9" s="1" a="1"/>
  <c r="V19" i="9" s="1"/>
  <c r="A11" i="20"/>
  <c r="G79" i="9" a="1"/>
  <c r="G79" i="9" s="1"/>
  <c r="P133" i="9"/>
  <c r="AF40" i="9" s="1"/>
  <c r="B25" i="20" s="1"/>
  <c r="N118" i="9"/>
  <c r="AD25" i="9" s="1" a="1"/>
  <c r="AD25" i="9" s="1"/>
  <c r="M61" i="9" a="1"/>
  <c r="M61" i="9" s="1"/>
  <c r="K104" i="9"/>
  <c r="AA11" i="9" s="1" a="1"/>
  <c r="AA11" i="9" s="1"/>
  <c r="H67" i="9" a="1"/>
  <c r="H67" i="9" s="1"/>
  <c r="J102" i="9"/>
  <c r="Z9" i="9" s="1" a="1"/>
  <c r="Z9" i="9" s="1"/>
  <c r="J119" i="9"/>
  <c r="Z26" i="9" s="1" a="1"/>
  <c r="Z26" i="9" s="1"/>
  <c r="K107" i="9"/>
  <c r="G78" i="9" a="1"/>
  <c r="G78" i="9" s="1"/>
  <c r="G73" i="9" a="1"/>
  <c r="G73" i="9" s="1"/>
  <c r="F110" i="9"/>
  <c r="V17" i="9" s="1" a="1"/>
  <c r="V17" i="9" s="1"/>
  <c r="P135" i="9"/>
  <c r="AF42" i="9" s="1"/>
  <c r="B10" i="20" s="1"/>
  <c r="H118" i="9"/>
  <c r="X25" i="9" s="1" a="1"/>
  <c r="X25" i="9" s="1"/>
  <c r="M110" i="9"/>
  <c r="AC17" i="9" s="1" a="1"/>
  <c r="AC17" i="9" s="1"/>
  <c r="G118" i="9"/>
  <c r="P80" i="9"/>
  <c r="G102" i="9"/>
  <c r="W9" i="9" s="1" a="1"/>
  <c r="W9" i="9" s="1"/>
  <c r="M126" i="9"/>
  <c r="AC33" i="9" s="1" a="1"/>
  <c r="AC33" i="9" s="1"/>
  <c r="L102" i="9"/>
  <c r="AB9" i="9" s="1" a="1"/>
  <c r="AB9" i="9" s="1"/>
  <c r="G132" i="9"/>
  <c r="W39" i="9" s="1" a="1"/>
  <c r="W39" i="9" s="1"/>
  <c r="K113" i="9"/>
  <c r="AA20" i="9" s="1" a="1"/>
  <c r="AA20" i="9" s="1"/>
  <c r="P125" i="9"/>
  <c r="AF32" i="9" s="1"/>
  <c r="E121" i="9"/>
  <c r="U28" i="9" s="1" a="1"/>
  <c r="U28" i="9" s="1"/>
  <c r="N117" i="9"/>
  <c r="AD24" i="9" s="1" a="1"/>
  <c r="AD24" i="9" s="1"/>
  <c r="H65" i="9" a="1"/>
  <c r="H65" i="9" s="1"/>
  <c r="H132" i="9"/>
  <c r="X39" i="9" s="1" a="1"/>
  <c r="X39" i="9" s="1"/>
  <c r="B15" i="9"/>
  <c r="E15" i="9" s="1"/>
  <c r="L122" i="9"/>
  <c r="AB29" i="9" s="1" a="1"/>
  <c r="AB29" i="9" s="1"/>
  <c r="H127" i="9"/>
  <c r="X34" i="9" s="1" a="1"/>
  <c r="X34" i="9" s="1"/>
  <c r="H55" i="9" a="1"/>
  <c r="H55" i="9" s="1"/>
  <c r="J58" i="9" a="1"/>
  <c r="J58" i="9" s="1"/>
  <c r="I79" i="9" a="1"/>
  <c r="I79" i="9" s="1"/>
  <c r="K129" i="9"/>
  <c r="AA36" i="9" s="1" a="1"/>
  <c r="AA36" i="9" s="1"/>
  <c r="L119" i="9"/>
  <c r="AB26" i="9" s="1" a="1"/>
  <c r="AB26" i="9" s="1"/>
  <c r="M87" i="9" a="1"/>
  <c r="M87" i="9" s="1"/>
  <c r="G72" i="9" a="1"/>
  <c r="G72" i="9" s="1"/>
  <c r="G87" i="9" a="1"/>
  <c r="G87" i="9" s="1"/>
  <c r="C114" i="9"/>
  <c r="S21" i="9" s="1" a="1"/>
  <c r="S21" i="9" s="1"/>
  <c r="C104" i="9"/>
  <c r="S11" i="9" s="1" a="1"/>
  <c r="S11" i="9" s="1"/>
  <c r="A21" i="21"/>
  <c r="B21" i="21" s="1"/>
  <c r="M73" i="9" a="1"/>
  <c r="M73" i="9" s="1"/>
  <c r="P120" i="9"/>
  <c r="AF27" i="9" s="1"/>
  <c r="B19" i="20" s="1"/>
  <c r="L69" i="9" a="1"/>
  <c r="L69" i="9" s="1"/>
  <c r="F125" i="9"/>
  <c r="V32" i="9" s="1" a="1"/>
  <c r="V32" i="9" s="1"/>
  <c r="K64" i="9" a="1"/>
  <c r="K64" i="9" s="1"/>
  <c r="J106" i="9"/>
  <c r="H50" i="9" a="1"/>
  <c r="H50" i="9" s="1"/>
  <c r="M135" i="9"/>
  <c r="AC42" i="9" s="1" a="1"/>
  <c r="AC42" i="9" s="1"/>
  <c r="H89" i="9" a="1"/>
  <c r="H89" i="9" s="1"/>
  <c r="AC43" i="9" a="1"/>
  <c r="AC43" i="9" s="1"/>
  <c r="D132" i="9"/>
  <c r="T39" i="9" s="1" a="1"/>
  <c r="T39" i="9" s="1"/>
  <c r="P79" i="9"/>
  <c r="M81" i="9" a="1"/>
  <c r="M81" i="9" s="1"/>
  <c r="P111" i="9"/>
  <c r="AF18" i="9" s="1"/>
  <c r="B18" i="20" s="1"/>
  <c r="E135" i="9"/>
  <c r="U42" i="9" s="1" a="1"/>
  <c r="U42" i="9" s="1"/>
  <c r="P132" i="9"/>
  <c r="AF39" i="9" s="1"/>
  <c r="B34" i="20" s="1"/>
  <c r="M125" i="9"/>
  <c r="AC32" i="9" s="1" a="1"/>
  <c r="AC32" i="9" s="1"/>
  <c r="L52" i="9" a="1"/>
  <c r="L52" i="9" s="1"/>
  <c r="C127" i="9"/>
  <c r="S34" i="9" s="1" a="1"/>
  <c r="S34" i="9" s="1"/>
  <c r="J130" i="9"/>
  <c r="Z37" i="9" s="1" a="1"/>
  <c r="Z37" i="9" s="1"/>
  <c r="I59" i="9" a="1"/>
  <c r="I59" i="9" s="1"/>
  <c r="J83" i="9" a="1"/>
  <c r="J83" i="9" s="1"/>
  <c r="F113" i="9"/>
  <c r="V20" i="9" s="1" a="1"/>
  <c r="V20" i="9" s="1"/>
  <c r="N76" i="9" a="1"/>
  <c r="N76" i="9" s="1"/>
  <c r="N119" i="9"/>
  <c r="AD26" i="9" s="1" a="1"/>
  <c r="AD26" i="9" s="1"/>
  <c r="D117" i="9"/>
  <c r="T24" i="9" s="1" a="1"/>
  <c r="T24" i="9" s="1"/>
  <c r="H53" i="9" a="1"/>
  <c r="H53" i="9" s="1"/>
  <c r="K63" i="9" a="1"/>
  <c r="K63" i="9" s="1"/>
  <c r="C108" i="9"/>
  <c r="S15" i="9" s="1" a="1"/>
  <c r="S15" i="9" s="1"/>
  <c r="K115" i="9"/>
  <c r="AA22" i="9" s="1" a="1"/>
  <c r="AA22" i="9" s="1"/>
  <c r="E119" i="9"/>
  <c r="U26" i="9" s="1" a="1"/>
  <c r="U26" i="9" s="1"/>
  <c r="M113" i="9"/>
  <c r="AC20" i="9" s="1" a="1"/>
  <c r="AC20" i="9" s="1"/>
  <c r="L57" i="9" a="1"/>
  <c r="L57" i="9" s="1"/>
  <c r="A32" i="21"/>
  <c r="B32" i="21" s="1"/>
  <c r="M52" i="9" a="1"/>
  <c r="M52" i="9" s="1"/>
  <c r="P127" i="9"/>
  <c r="AF34" i="9" s="1"/>
  <c r="B7" i="20" s="1"/>
  <c r="E118" i="9"/>
  <c r="U25" i="9" s="1" a="1"/>
  <c r="U25" i="9" s="1"/>
  <c r="P131" i="9"/>
  <c r="AF38" i="9" s="1"/>
  <c r="B3" i="20" s="1"/>
  <c r="P52" i="9"/>
  <c r="L101" i="9"/>
  <c r="AB8" i="9" s="1" a="1"/>
  <c r="AB8" i="9" s="1"/>
  <c r="K105" i="9"/>
  <c r="AA12" i="9" s="1" a="1"/>
  <c r="AA12" i="9" s="1"/>
  <c r="N108" i="9"/>
  <c r="AD15" i="9" s="1" a="1"/>
  <c r="AD15" i="9" s="1"/>
  <c r="L113" i="9"/>
  <c r="AB20" i="9" s="1" a="1"/>
  <c r="AB20" i="9" s="1"/>
  <c r="G66" i="9" a="1"/>
  <c r="G66" i="9" s="1"/>
  <c r="D123" i="9"/>
  <c r="T30" i="9" s="1" a="1"/>
  <c r="T30" i="9" s="1"/>
  <c r="D110" i="9"/>
  <c r="T17" i="9" s="1" a="1"/>
  <c r="T17" i="9" s="1"/>
  <c r="N128" i="9"/>
  <c r="AD35" i="9" s="1" a="1"/>
  <c r="AD35" i="9" s="1"/>
  <c r="J55" i="9" a="1"/>
  <c r="J55" i="9" s="1"/>
  <c r="P126" i="9"/>
  <c r="AF33" i="9" s="1"/>
  <c r="B24" i="20" s="1"/>
  <c r="I52" i="9" a="1"/>
  <c r="I52" i="9" s="1"/>
  <c r="M66" i="9" a="1"/>
  <c r="M66" i="9" s="1"/>
  <c r="P76" i="9"/>
  <c r="D126" i="9"/>
  <c r="T33" i="9" s="1" a="1"/>
  <c r="T33" i="9" s="1"/>
  <c r="J88" i="9" a="1"/>
  <c r="J88" i="9" s="1"/>
  <c r="L77" i="9" a="1"/>
  <c r="L77" i="9" s="1"/>
  <c r="H105" i="9"/>
  <c r="X12" i="9" s="1" a="1"/>
  <c r="X12" i="9" s="1"/>
  <c r="I57" i="9" a="1"/>
  <c r="I57" i="9" s="1"/>
  <c r="I130" i="9"/>
  <c r="Y37" i="9" s="1" a="1"/>
  <c r="Y37" i="9" s="1"/>
  <c r="K51" i="9" a="1"/>
  <c r="K51" i="9" s="1"/>
  <c r="N101" i="9"/>
  <c r="AD8" i="9" s="1" a="1"/>
  <c r="AD8" i="9" s="1"/>
  <c r="M105" i="9"/>
  <c r="AC12" i="9" s="1" a="1"/>
  <c r="AC12" i="9" s="1"/>
  <c r="N52" i="9" a="1"/>
  <c r="N52" i="9" s="1"/>
  <c r="I50" i="9" a="1"/>
  <c r="I50" i="9" s="1"/>
  <c r="F121" i="9"/>
  <c r="V28" i="9" s="1" a="1"/>
  <c r="V28" i="9" s="1"/>
  <c r="N114" i="9"/>
  <c r="AD21" i="9" s="1" a="1"/>
  <c r="AD21" i="9" s="1"/>
  <c r="H109" i="9"/>
  <c r="X16" i="9" s="1" a="1"/>
  <c r="X16" i="9" s="1"/>
  <c r="M86" i="9" a="1"/>
  <c r="M86" i="9" s="1"/>
  <c r="H99" i="9"/>
  <c r="M130" i="9"/>
  <c r="K123" i="9"/>
  <c r="AA30" i="9" s="1" a="1"/>
  <c r="AA30" i="9" s="1"/>
  <c r="H82" i="9" a="1"/>
  <c r="H82" i="9" s="1"/>
  <c r="M67" i="9" a="1"/>
  <c r="M67" i="9" s="1"/>
  <c r="L82" i="9" a="1"/>
  <c r="L82" i="9" s="1"/>
  <c r="E123" i="9"/>
  <c r="K119" i="9"/>
  <c r="AA26" i="9" s="1" a="1"/>
  <c r="AA26" i="9" s="1"/>
  <c r="H107" i="9"/>
  <c r="X14" i="9" s="1" a="1"/>
  <c r="X14" i="9" s="1"/>
  <c r="N57" i="9" a="1"/>
  <c r="N57" i="9" s="1"/>
  <c r="P54" i="9"/>
  <c r="N103" i="9"/>
  <c r="AD10" i="9" s="1" a="1"/>
  <c r="AD10" i="9" s="1"/>
  <c r="H121" i="9"/>
  <c r="X28" i="9" s="1" a="1"/>
  <c r="X28" i="9" s="1"/>
  <c r="K126" i="9"/>
  <c r="AA33" i="9" s="1" a="1"/>
  <c r="AA33" i="9" s="1"/>
  <c r="L62" i="9" a="1"/>
  <c r="L62" i="9" s="1"/>
  <c r="F102" i="9"/>
  <c r="V9" i="9" s="1" a="1"/>
  <c r="V9" i="9" s="1"/>
  <c r="H100" i="9"/>
  <c r="X7" i="9" s="1" a="1"/>
  <c r="X7" i="9" s="1"/>
  <c r="M103" i="9"/>
  <c r="AC10" i="9" s="1" a="1"/>
  <c r="AC10" i="9" s="1"/>
  <c r="K61" i="9" a="1"/>
  <c r="K61" i="9" s="1"/>
  <c r="J110" i="9"/>
  <c r="Z17" i="9" s="1" a="1"/>
  <c r="Z17" i="9" s="1"/>
  <c r="N75" i="9" a="1"/>
  <c r="N75" i="9" s="1"/>
  <c r="I128" i="9"/>
  <c r="Y35" i="9" s="1" a="1"/>
  <c r="Y35" i="9" s="1"/>
  <c r="D111" i="9"/>
  <c r="T18" i="9" s="1" a="1"/>
  <c r="T18" i="9" s="1"/>
  <c r="H133" i="9"/>
  <c r="M84" i="9" a="1"/>
  <c r="M84" i="9" s="1"/>
  <c r="J120" i="9"/>
  <c r="Z27" i="9" s="1" a="1"/>
  <c r="Z27" i="9" s="1"/>
  <c r="E109" i="9"/>
  <c r="U16" i="9" s="1" a="1"/>
  <c r="U16" i="9" s="1"/>
  <c r="M121" i="9"/>
  <c r="AC28" i="9" s="1" a="1"/>
  <c r="AC28" i="9" s="1"/>
  <c r="A15" i="21"/>
  <c r="B15" i="21" s="1"/>
  <c r="M53" i="9" a="1"/>
  <c r="M53" i="9" s="1"/>
  <c r="B3" i="9"/>
  <c r="E3" i="9" s="1"/>
  <c r="K83" i="9" a="1"/>
  <c r="K83" i="9" s="1"/>
  <c r="N82" i="9" a="1"/>
  <c r="N82" i="9" s="1"/>
  <c r="D122" i="9"/>
  <c r="T29" i="9" s="1" a="1"/>
  <c r="T29" i="9" s="1"/>
  <c r="J103" i="9"/>
  <c r="Z10" i="9" s="1" a="1"/>
  <c r="Z10" i="9" s="1"/>
  <c r="G112" i="9"/>
  <c r="K67" i="9" a="1"/>
  <c r="K67" i="9" s="1"/>
  <c r="D124" i="9"/>
  <c r="T31" i="9" s="1" a="1"/>
  <c r="T31" i="9" s="1"/>
  <c r="M89" i="9" a="1"/>
  <c r="M89" i="9" s="1"/>
  <c r="P121" i="9"/>
  <c r="AF28" i="9" s="1"/>
  <c r="B30" i="20" s="1"/>
  <c r="G74" i="9" a="1"/>
  <c r="G74" i="9" s="1"/>
  <c r="N134" i="9"/>
  <c r="AD41" i="9" s="1" a="1"/>
  <c r="AD41" i="9" s="1"/>
  <c r="M115" i="9"/>
  <c r="AC22" i="9" s="1" a="1"/>
  <c r="AC22" i="9" s="1"/>
  <c r="N51" i="9" a="1"/>
  <c r="N51" i="9" s="1"/>
  <c r="I67" i="9" a="1"/>
  <c r="I67" i="9" s="1"/>
  <c r="C135" i="9"/>
  <c r="S42" i="9" s="1" a="1"/>
  <c r="S42" i="9" s="1"/>
  <c r="H88" i="9" a="1"/>
  <c r="H88" i="9" s="1"/>
  <c r="P130" i="9"/>
  <c r="AF37" i="9" s="1"/>
  <c r="B21" i="20" s="1"/>
  <c r="C119" i="9"/>
  <c r="S26" i="9" s="1" a="1"/>
  <c r="S26" i="9" s="1"/>
  <c r="C107" i="9"/>
  <c r="S14" i="9" s="1" a="1"/>
  <c r="S14" i="9" s="1"/>
  <c r="L78" i="9" a="1"/>
  <c r="L78" i="9" s="1"/>
  <c r="B16" i="9"/>
  <c r="E16" i="9" s="1"/>
  <c r="J87" i="9" a="1"/>
  <c r="J87" i="9" s="1"/>
  <c r="E126" i="9"/>
  <c r="U33" i="9" s="1" a="1"/>
  <c r="U33" i="9" s="1"/>
  <c r="I99" i="9"/>
  <c r="Y6" i="9" s="1" a="1"/>
  <c r="Y6" i="9" s="1"/>
  <c r="D106" i="9"/>
  <c r="T13" i="9" s="1" a="1"/>
  <c r="T13" i="9" s="1"/>
  <c r="H64" i="9" a="1"/>
  <c r="H64" i="9" s="1"/>
  <c r="P134" i="9"/>
  <c r="AF41" i="9" s="1"/>
  <c r="B26" i="20" s="1"/>
  <c r="J62" i="9" a="1"/>
  <c r="J62" i="9" s="1"/>
  <c r="N99" i="9"/>
  <c r="AD6" i="9" s="1" a="1"/>
  <c r="AD6" i="9" s="1"/>
  <c r="N116" i="9"/>
  <c r="AD23" i="9" s="1" a="1"/>
  <c r="AD23" i="9" s="1"/>
  <c r="P72" i="9"/>
  <c r="K124" i="9"/>
  <c r="AA31" i="9" s="1" a="1"/>
  <c r="AA31" i="9" s="1"/>
  <c r="M54" i="9" a="1"/>
  <c r="M54" i="9" s="1"/>
  <c r="N70" i="9" a="1"/>
  <c r="N70" i="9" s="1"/>
  <c r="F101" i="9"/>
  <c r="V8" i="9" s="1" a="1"/>
  <c r="V8" i="9" s="1"/>
  <c r="J64" i="9" a="1"/>
  <c r="J64" i="9" s="1"/>
  <c r="F103" i="9"/>
  <c r="V10" i="9" s="1" a="1"/>
  <c r="V10" i="9" s="1"/>
  <c r="P103" i="9"/>
  <c r="AF10" i="9" s="1"/>
  <c r="B27" i="20" s="1"/>
  <c r="I132" i="9"/>
  <c r="Y39" i="9" s="1" a="1"/>
  <c r="Y39" i="9" s="1"/>
  <c r="K68" i="9" a="1"/>
  <c r="K68" i="9" s="1"/>
  <c r="L103" i="9"/>
  <c r="AB10" i="9" s="1" a="1"/>
  <c r="AB10" i="9" s="1"/>
  <c r="J70" i="9" a="1"/>
  <c r="J70" i="9" s="1"/>
  <c r="I86" i="9" a="1"/>
  <c r="I86" i="9" s="1"/>
  <c r="L89" i="9" a="1"/>
  <c r="L89" i="9" s="1"/>
  <c r="K110" i="9"/>
  <c r="AA17" i="9" s="1" a="1"/>
  <c r="AA17" i="9" s="1"/>
  <c r="A37" i="21"/>
  <c r="B37" i="21" s="1"/>
  <c r="L105" i="9"/>
  <c r="AB12" i="9" s="1" a="1"/>
  <c r="AB12" i="9" s="1"/>
  <c r="E107" i="9"/>
  <c r="U14" i="9" s="1" a="1"/>
  <c r="U14" i="9" s="1"/>
  <c r="G113" i="9"/>
  <c r="W20" i="9" s="1" a="1"/>
  <c r="W20" i="9" s="1"/>
  <c r="D112" i="9"/>
  <c r="T19" i="9" s="1" a="1"/>
  <c r="T19" i="9" s="1"/>
  <c r="K72" i="9" a="1"/>
  <c r="K72" i="9" s="1"/>
  <c r="K77" i="9" a="1"/>
  <c r="K77" i="9" s="1"/>
  <c r="I82" i="9" a="1"/>
  <c r="I82" i="9" s="1"/>
  <c r="I63" i="9" a="1"/>
  <c r="I63" i="9" s="1"/>
  <c r="L83" i="9" a="1"/>
  <c r="L83" i="9" s="1"/>
  <c r="L125" i="9"/>
  <c r="AB32" i="9" s="1" a="1"/>
  <c r="AB32" i="9" s="1"/>
  <c r="K56" i="9" a="1"/>
  <c r="K56" i="9" s="1"/>
  <c r="K59" i="9" a="1"/>
  <c r="K59" i="9" s="1"/>
  <c r="J81" i="9" a="1"/>
  <c r="J81" i="9" s="1"/>
  <c r="I77" i="9" a="1"/>
  <c r="I77" i="9" s="1"/>
  <c r="M69" i="9" a="1"/>
  <c r="M69" i="9" s="1"/>
  <c r="L114" i="9"/>
  <c r="AB21" i="9" s="1" a="1"/>
  <c r="AB21" i="9" s="1"/>
  <c r="K101" i="9"/>
  <c r="AA8" i="9" s="1" a="1"/>
  <c r="AA8" i="9" s="1"/>
  <c r="J69" i="9" a="1"/>
  <c r="J69" i="9" s="1"/>
  <c r="M118" i="9"/>
  <c r="AC25" i="9" s="1" a="1"/>
  <c r="AC25" i="9" s="1"/>
  <c r="I120" i="9"/>
  <c r="Y27" i="9" s="1" a="1"/>
  <c r="Y27" i="9" s="1"/>
  <c r="X44" i="9" a="1"/>
  <c r="X44" i="9" s="1"/>
  <c r="N105" i="9"/>
  <c r="AD12" i="9" s="1" a="1"/>
  <c r="AD12" i="9" s="1"/>
  <c r="I80" i="9" a="1"/>
  <c r="I80" i="9" s="1"/>
  <c r="F131" i="9"/>
  <c r="V38" i="9" s="1" a="1"/>
  <c r="V38" i="9" s="1"/>
  <c r="D99" i="9"/>
  <c r="T6" i="9" s="1" a="1"/>
  <c r="T6" i="9" s="1"/>
  <c r="A39" i="21"/>
  <c r="B39" i="21" s="1"/>
  <c r="M88" i="9" a="1"/>
  <c r="M88" i="9" s="1"/>
  <c r="P51" i="9"/>
  <c r="G119" i="9"/>
  <c r="W26" i="9" s="1" a="1"/>
  <c r="W26" i="9" s="1"/>
  <c r="M119" i="9"/>
  <c r="AC26" i="9" s="1" a="1"/>
  <c r="AC26" i="9" s="1"/>
  <c r="L123" i="9"/>
  <c r="AB30" i="9" s="1" a="1"/>
  <c r="AB30" i="9" s="1"/>
  <c r="K118" i="9"/>
  <c r="AA25" i="9" s="1" a="1"/>
  <c r="AA25" i="9" s="1"/>
  <c r="I115" i="9"/>
  <c r="Y22" i="9" s="1" a="1"/>
  <c r="Y22" i="9" s="1"/>
  <c r="I51" i="9" a="1"/>
  <c r="I51" i="9" s="1"/>
  <c r="P114" i="9"/>
  <c r="AF21" i="9" s="1"/>
  <c r="B14" i="20" s="1"/>
  <c r="J133" i="9"/>
  <c r="Z40" i="9" s="1" a="1"/>
  <c r="Z40" i="9" s="1"/>
  <c r="N133" i="9"/>
  <c r="AD40" i="9" s="1" a="1"/>
  <c r="AD40" i="9" s="1"/>
  <c r="F126" i="9"/>
  <c r="V33" i="9" s="1" a="1"/>
  <c r="V33" i="9" s="1"/>
  <c r="C130" i="9"/>
  <c r="S37" i="9" s="1" a="1"/>
  <c r="S37" i="9" s="1"/>
  <c r="I88" i="9" a="1"/>
  <c r="I88" i="9" s="1"/>
  <c r="G77" i="9" a="1"/>
  <c r="G77" i="9" s="1"/>
  <c r="J76" i="9" a="1"/>
  <c r="J76" i="9" s="1"/>
  <c r="P56" i="9"/>
  <c r="E122" i="9"/>
  <c r="U29" i="9" s="1" a="1"/>
  <c r="U29" i="9" s="1"/>
  <c r="H52" i="9" a="1"/>
  <c r="H52" i="9" s="1"/>
  <c r="G133" i="9"/>
  <c r="W40" i="9" s="1" a="1"/>
  <c r="W40" i="9" s="1"/>
  <c r="H54" i="9" a="1"/>
  <c r="H54" i="9" s="1"/>
  <c r="P105" i="9"/>
  <c r="AF12" i="9" s="1"/>
  <c r="B23" i="20" s="1"/>
  <c r="K130" i="9"/>
  <c r="AA37" i="9" s="1" a="1"/>
  <c r="AA37" i="9" s="1"/>
  <c r="N80" i="9" a="1"/>
  <c r="N80" i="9" s="1"/>
  <c r="A42" i="21"/>
  <c r="B42" i="21" s="1"/>
  <c r="I76" i="9" a="1"/>
  <c r="I76" i="9" s="1"/>
  <c r="G62" i="9" a="1"/>
  <c r="G62" i="9" s="1"/>
  <c r="L70" i="9" a="1"/>
  <c r="L70" i="9" s="1"/>
  <c r="N135" i="9"/>
  <c r="AD42" i="9" s="1" a="1"/>
  <c r="AD42" i="9" s="1"/>
  <c r="J115" i="9"/>
  <c r="Z22" i="9" s="1" a="1"/>
  <c r="Z22" i="9" s="1"/>
  <c r="G104" i="9"/>
  <c r="P63" i="9"/>
  <c r="P117" i="9"/>
  <c r="AF24" i="9" s="1"/>
  <c r="B40" i="20" s="1"/>
  <c r="G111" i="9"/>
  <c r="W18" i="9" s="1" a="1"/>
  <c r="W18" i="9" s="1"/>
  <c r="I114" i="9"/>
  <c r="Y21" i="9" s="1" a="1"/>
  <c r="Y21" i="9" s="1"/>
  <c r="E113" i="9"/>
  <c r="U20" i="9" s="1" a="1"/>
  <c r="U20" i="9" s="1"/>
  <c r="K70" i="9" a="1"/>
  <c r="K70" i="9" s="1"/>
  <c r="L51" i="9" a="1"/>
  <c r="L51" i="9" s="1"/>
  <c r="H113" i="9"/>
  <c r="X20" i="9" s="1" a="1"/>
  <c r="X20" i="9" s="1"/>
  <c r="F129" i="9"/>
  <c r="V36" i="9" s="1" a="1"/>
  <c r="V36" i="9" s="1"/>
  <c r="K60" i="9" a="1"/>
  <c r="K60" i="9" s="1"/>
  <c r="K85" i="9" a="1"/>
  <c r="K85" i="9" s="1"/>
  <c r="C132" i="9"/>
  <c r="S39" i="9" s="1" a="1"/>
  <c r="S39" i="9" s="1"/>
  <c r="F116" i="9"/>
  <c r="V23" i="9" s="1" a="1"/>
  <c r="V23" i="9" s="1"/>
  <c r="P119" i="9"/>
  <c r="AF26" i="9" s="1"/>
  <c r="B32" i="20" s="1"/>
  <c r="J116" i="9"/>
  <c r="Z23" i="9" s="1" a="1"/>
  <c r="Z23" i="9" s="1"/>
  <c r="C106" i="9"/>
  <c r="S13" i="9" s="1" a="1"/>
  <c r="S13" i="9" s="1"/>
  <c r="D127" i="9"/>
  <c r="T34" i="9" s="1" a="1"/>
  <c r="T34" i="9" s="1"/>
  <c r="P106" i="9"/>
  <c r="AF13" i="9" s="1"/>
  <c r="B20" i="20" s="1"/>
  <c r="G80" i="9" a="1"/>
  <c r="G80" i="9" s="1"/>
  <c r="P129" i="9"/>
  <c r="AF36" i="9" s="1"/>
  <c r="B17" i="20" s="1"/>
  <c r="H116" i="9"/>
  <c r="X23" i="9" s="1" a="1"/>
  <c r="X23" i="9" s="1"/>
  <c r="H117" i="9"/>
  <c r="X24" i="9" s="1" a="1"/>
  <c r="X24" i="9" s="1"/>
  <c r="K103" i="9"/>
  <c r="AA10" i="9" s="1" a="1"/>
  <c r="AA10" i="9" s="1"/>
  <c r="P101" i="9"/>
  <c r="AF8" i="9" s="1"/>
  <c r="B22" i="20" s="1"/>
  <c r="J78" i="9" a="1"/>
  <c r="J78" i="9" s="1"/>
  <c r="M79" i="9" a="1"/>
  <c r="M79" i="9" s="1"/>
  <c r="I87" i="9" a="1"/>
  <c r="I87" i="9" s="1"/>
  <c r="N67" i="9" a="1"/>
  <c r="N67" i="9" s="1"/>
  <c r="P69" i="9"/>
  <c r="M111" i="9"/>
  <c r="AC18" i="9" s="1" a="1"/>
  <c r="AC18" i="9" s="1"/>
  <c r="H62" i="9" a="1"/>
  <c r="H62" i="9" s="1"/>
  <c r="J112" i="9"/>
  <c r="Z19" i="9" s="1" a="1"/>
  <c r="Z19" i="9" s="1"/>
  <c r="P59" i="9"/>
  <c r="F135" i="9"/>
  <c r="V42" i="9" s="1" a="1"/>
  <c r="V42" i="9" s="1"/>
  <c r="L131" i="9"/>
  <c r="AB38" i="9" s="1" a="1"/>
  <c r="AB38" i="9" s="1"/>
  <c r="H51" i="9" a="1"/>
  <c r="H51" i="9" s="1"/>
  <c r="N109" i="9"/>
  <c r="AD16" i="9" s="1" a="1"/>
  <c r="AD16" i="9" s="1"/>
  <c r="A10" i="21"/>
  <c r="B10" i="21" s="1"/>
  <c r="J59" i="9" a="1"/>
  <c r="J59" i="9" s="1"/>
  <c r="J111" i="9"/>
  <c r="Z18" i="9" s="1" a="1"/>
  <c r="Z18" i="9" s="1"/>
  <c r="M124" i="9"/>
  <c r="AC31" i="9" s="1" a="1"/>
  <c r="AC31" i="9" s="1"/>
  <c r="R5" i="9"/>
  <c r="M71" i="9" a="1"/>
  <c r="M71" i="9" s="1"/>
  <c r="J67" i="9" a="1"/>
  <c r="J67" i="9" s="1"/>
  <c r="N89" i="9" a="1"/>
  <c r="N89" i="9" s="1"/>
  <c r="I133" i="9"/>
  <c r="Y40" i="9" s="1" a="1"/>
  <c r="Y40" i="9" s="1"/>
  <c r="E4" i="9"/>
  <c r="A35" i="21"/>
  <c r="B35" i="21" s="1"/>
  <c r="A25" i="21"/>
  <c r="B25" i="21" s="1"/>
  <c r="A27" i="21"/>
  <c r="B27" i="21" s="1"/>
  <c r="A7" i="20"/>
  <c r="A4" i="20"/>
  <c r="A30" i="20"/>
  <c r="A18" i="21"/>
  <c r="B18" i="21" s="1"/>
  <c r="L115" i="9"/>
  <c r="AB22" i="9" s="1" a="1"/>
  <c r="AB22" i="9" s="1"/>
  <c r="B5" i="9"/>
  <c r="J57" i="9" a="1"/>
  <c r="J57" i="9" s="1"/>
  <c r="I107" i="9"/>
  <c r="Y14" i="9" s="1" a="1"/>
  <c r="Y14" i="9" s="1"/>
  <c r="D105" i="9"/>
  <c r="T12" i="9" s="1" a="1"/>
  <c r="T12" i="9" s="1"/>
  <c r="I100" i="9"/>
  <c r="Y7" i="9" s="1" a="1"/>
  <c r="Y7" i="9" s="1"/>
  <c r="L128" i="9"/>
  <c r="AB35" i="9" s="1" a="1"/>
  <c r="AB35" i="9" s="1"/>
  <c r="D120" i="9"/>
  <c r="T27" i="9" s="1" a="1"/>
  <c r="T27" i="9" s="1"/>
  <c r="I102" i="9"/>
  <c r="Y9" i="9" s="1" a="1"/>
  <c r="Y9" i="9" s="1"/>
  <c r="L61" i="9" a="1"/>
  <c r="L61" i="9" s="1"/>
  <c r="G131" i="9"/>
  <c r="W38" i="9" s="1" a="1"/>
  <c r="W38" i="9" s="1"/>
  <c r="H101" i="9"/>
  <c r="I62" i="9" a="1"/>
  <c r="I62" i="9" s="1"/>
  <c r="M78" i="9" a="1"/>
  <c r="M78" i="9" s="1"/>
  <c r="B7" i="9"/>
  <c r="E7" i="9" s="1" a="1"/>
  <c r="E7" i="9" s="1"/>
  <c r="J73" i="9" a="1"/>
  <c r="J73" i="9" s="1"/>
  <c r="K125" i="9"/>
  <c r="AA32" i="9" s="1" a="1"/>
  <c r="AA32" i="9" s="1"/>
  <c r="B13" i="9"/>
  <c r="E131" i="9"/>
  <c r="U38" i="9" s="1" a="1"/>
  <c r="U38" i="9" s="1"/>
  <c r="G50" i="9" a="1"/>
  <c r="G50" i="9" s="1"/>
  <c r="P110" i="9"/>
  <c r="AF17" i="9" s="1"/>
  <c r="B31" i="20" s="1"/>
  <c r="C128" i="9"/>
  <c r="S35" i="9" s="1" a="1"/>
  <c r="S35" i="9" s="1"/>
  <c r="G127" i="9"/>
  <c r="W34" i="9" s="1" a="1"/>
  <c r="W34" i="9" s="1"/>
  <c r="I104" i="9"/>
  <c r="Y11" i="9" s="1" a="1"/>
  <c r="Y11" i="9" s="1"/>
  <c r="B17" i="9"/>
  <c r="E17" i="9" s="1"/>
  <c r="D116" i="9"/>
  <c r="T23" i="9" s="1" a="1"/>
  <c r="T23" i="9" s="1"/>
  <c r="L109" i="9"/>
  <c r="AB16" i="9" s="1" a="1"/>
  <c r="AB16" i="9" s="1"/>
  <c r="H130" i="9"/>
  <c r="X37" i="9" s="1" a="1"/>
  <c r="X37" i="9" s="1"/>
  <c r="AD44" i="9" a="1"/>
  <c r="AD44" i="9" s="1"/>
  <c r="M58" i="9" a="1"/>
  <c r="M58" i="9" s="1"/>
  <c r="J109" i="9"/>
  <c r="Z16" i="9" s="1" a="1"/>
  <c r="Z16" i="9" s="1"/>
  <c r="C122" i="9"/>
  <c r="S29" i="9" s="1" a="1"/>
  <c r="S29" i="9" s="1"/>
  <c r="P124" i="9"/>
  <c r="AF31" i="9" s="1"/>
  <c r="B36" i="20" s="1"/>
  <c r="J104" i="9"/>
  <c r="Z11" i="9" s="1" a="1"/>
  <c r="Z11" i="9" s="1"/>
  <c r="J77" i="9" a="1"/>
  <c r="J77" i="9" s="1"/>
  <c r="L71" i="9" a="1"/>
  <c r="L71" i="9" s="1"/>
  <c r="I110" i="9"/>
  <c r="Y17" i="9" s="1" a="1"/>
  <c r="Y17" i="9" s="1"/>
  <c r="J56" i="9" a="1"/>
  <c r="J56" i="9" s="1"/>
  <c r="K87" i="9" a="1"/>
  <c r="K87" i="9" s="1"/>
  <c r="G114" i="9"/>
  <c r="W21" i="9" s="1" a="1"/>
  <c r="W21" i="9" s="1"/>
  <c r="I83" i="9" a="1"/>
  <c r="I83" i="9" s="1"/>
  <c r="N129" i="9"/>
  <c r="AD36" i="9" s="1" a="1"/>
  <c r="AD36" i="9" s="1"/>
  <c r="I60" i="9" a="1"/>
  <c r="I60" i="9" s="1"/>
  <c r="I122" i="9"/>
  <c r="Y29" i="9" s="1" a="1"/>
  <c r="Y29" i="9" s="1"/>
  <c r="G67" i="9" a="1"/>
  <c r="G67" i="9" s="1"/>
  <c r="I55" i="9" a="1"/>
  <c r="I55" i="9" s="1"/>
  <c r="I103" i="9"/>
  <c r="Y10" i="9" s="1" a="1"/>
  <c r="Y10" i="9" s="1"/>
  <c r="N111" i="9"/>
  <c r="AD18" i="9" s="1" a="1"/>
  <c r="AD18" i="9" s="1"/>
  <c r="N71" i="9" a="1"/>
  <c r="N71" i="9" s="1"/>
  <c r="P71" i="9"/>
  <c r="A7" i="21"/>
  <c r="B7" i="21" s="1"/>
  <c r="G75" i="9" a="1"/>
  <c r="G75" i="9" s="1"/>
  <c r="G103" i="9"/>
  <c r="W10" i="9" s="1" a="1"/>
  <c r="W10" i="9" s="1"/>
  <c r="H76" i="9" a="1"/>
  <c r="H76" i="9" s="1"/>
  <c r="F127" i="9"/>
  <c r="V34" i="9" s="1" a="1"/>
  <c r="V34" i="9" s="1"/>
  <c r="N126" i="9"/>
  <c r="AD33" i="9" s="1" a="1"/>
  <c r="AD33" i="9" s="1"/>
  <c r="N113" i="9"/>
  <c r="AD20" i="9" s="1" a="1"/>
  <c r="AD20" i="9" s="1"/>
  <c r="I111" i="9"/>
  <c r="Y18" i="9" s="1" a="1"/>
  <c r="Y18" i="9" s="1"/>
  <c r="L132" i="9"/>
  <c r="AB39" i="9" s="1" a="1"/>
  <c r="AB39" i="9" s="1"/>
  <c r="I126" i="9"/>
  <c r="Y33" i="9" s="1" a="1"/>
  <c r="Y33" i="9" s="1"/>
  <c r="I71" i="9" a="1"/>
  <c r="I71" i="9" s="1"/>
  <c r="L79" i="9" a="1"/>
  <c r="L79" i="9" s="1"/>
  <c r="P86" i="9"/>
  <c r="K108" i="9"/>
  <c r="AA15" i="9" s="1" a="1"/>
  <c r="AA15" i="9" s="1"/>
  <c r="H112" i="9"/>
  <c r="X19" i="9" s="1" a="1"/>
  <c r="X19" i="9" s="1"/>
  <c r="M68" i="9" a="1"/>
  <c r="M68" i="9" s="1"/>
  <c r="F105" i="9"/>
  <c r="V12" i="9" s="1" a="1"/>
  <c r="V12" i="9" s="1"/>
  <c r="J128" i="9"/>
  <c r="Z35" i="9" s="1" a="1"/>
  <c r="Z35" i="9" s="1"/>
  <c r="A9" i="21"/>
  <c r="B9" i="21" s="1"/>
  <c r="G125" i="9"/>
  <c r="W32" i="9" s="1" a="1"/>
  <c r="W32" i="9" s="1"/>
  <c r="J75" i="9" a="1"/>
  <c r="J75" i="9" s="1"/>
  <c r="C116" i="9"/>
  <c r="S23" i="9" s="1" a="1"/>
  <c r="S23" i="9" s="1"/>
  <c r="L124" i="9"/>
  <c r="AB31" i="9" s="1" a="1"/>
  <c r="AB31" i="9" s="1"/>
  <c r="H115" i="9"/>
  <c r="X22" i="9" s="1" a="1"/>
  <c r="X22" i="9" s="1"/>
  <c r="G115" i="9"/>
  <c r="W22" i="9" s="1" a="1"/>
  <c r="W22" i="9" s="1"/>
  <c r="N69" i="9" a="1"/>
  <c r="N69" i="9" s="1"/>
  <c r="I85" i="9" a="1"/>
  <c r="I85" i="9" s="1"/>
  <c r="G123" i="9"/>
  <c r="W30" i="9" s="1" a="1"/>
  <c r="W30" i="9" s="1"/>
  <c r="F120" i="9"/>
  <c r="V27" i="9" s="1" a="1"/>
  <c r="V27" i="9" s="1"/>
  <c r="M133" i="9"/>
  <c r="AC40" i="9" s="1" a="1"/>
  <c r="AC40" i="9" s="1"/>
  <c r="L84" i="9" a="1"/>
  <c r="L84" i="9" s="1"/>
  <c r="A20" i="21"/>
  <c r="B20" i="21" s="1"/>
  <c r="Z43" i="9" a="1"/>
  <c r="Z43" i="9" s="1"/>
  <c r="N62" i="9" a="1"/>
  <c r="N62" i="9" s="1"/>
  <c r="A12" i="21"/>
  <c r="B12" i="21" s="1"/>
  <c r="A11" i="21"/>
  <c r="B11" i="21" s="1"/>
  <c r="P50" i="9"/>
  <c r="E116" i="9"/>
  <c r="U23" i="9" s="1" a="1"/>
  <c r="U23" i="9" s="1"/>
  <c r="N131" i="9"/>
  <c r="AD38" i="9" s="1" a="1"/>
  <c r="AD38" i="9" s="1"/>
  <c r="C113" i="9"/>
  <c r="S20" i="9" s="1" a="1"/>
  <c r="S20" i="9" s="1"/>
  <c r="K79" i="9" a="1"/>
  <c r="K79" i="9" s="1"/>
  <c r="G121" i="9"/>
  <c r="W28" i="9" s="1" a="1"/>
  <c r="W28" i="9" s="1"/>
  <c r="L86" i="9" a="1"/>
  <c r="L86" i="9" s="1"/>
  <c r="P112" i="9"/>
  <c r="AF19" i="9" s="1"/>
  <c r="B38" i="20" s="1"/>
  <c r="H114" i="9"/>
  <c r="X21" i="9" s="1" a="1"/>
  <c r="X21" i="9" s="1"/>
  <c r="G100" i="9"/>
  <c r="N79" i="9" a="1"/>
  <c r="N79" i="9" s="1"/>
  <c r="E111" i="9"/>
  <c r="U18" i="9" s="1" a="1"/>
  <c r="U18" i="9" s="1"/>
  <c r="A22" i="20"/>
  <c r="M122" i="9"/>
  <c r="AC29" i="9" s="1" a="1"/>
  <c r="AC29" i="9" s="1"/>
  <c r="C121" i="9"/>
  <c r="S28" i="9" s="1" a="1"/>
  <c r="S28" i="9" s="1"/>
  <c r="E101" i="9"/>
  <c r="U8" i="9" s="1" a="1"/>
  <c r="U8" i="9" s="1"/>
  <c r="J89" i="9" a="1"/>
  <c r="J89" i="9" s="1"/>
  <c r="N125" i="9"/>
  <c r="AD32" i="9" s="1" a="1"/>
  <c r="AD32" i="9" s="1"/>
  <c r="E125" i="9"/>
  <c r="U32" i="9" s="1" a="1"/>
  <c r="U32" i="9" s="1"/>
  <c r="A29" i="21"/>
  <c r="B29" i="21" s="1"/>
  <c r="L72" i="9" a="1"/>
  <c r="L72" i="9" s="1"/>
  <c r="L73" i="9" a="1"/>
  <c r="L73" i="9" s="1"/>
  <c r="I81" i="9" a="1"/>
  <c r="I81" i="9" s="1"/>
  <c r="P61" i="9"/>
  <c r="N59" i="9" a="1"/>
  <c r="N59" i="9" s="1"/>
  <c r="H83" i="9" a="1"/>
  <c r="H83" i="9" s="1"/>
  <c r="K135" i="9"/>
  <c r="AA42" i="9" s="1" a="1"/>
  <c r="AA42" i="9" s="1"/>
  <c r="I73" i="9" a="1"/>
  <c r="I73" i="9" s="1"/>
  <c r="F104" i="9"/>
  <c r="V11" i="9" s="1" a="1"/>
  <c r="V11" i="9" s="1"/>
  <c r="L58" i="9" a="1"/>
  <c r="L58" i="9" s="1"/>
  <c r="D113" i="9"/>
  <c r="T20" i="9" s="1" a="1"/>
  <c r="T20" i="9" s="1"/>
  <c r="G129" i="9"/>
  <c r="W36" i="9" s="1" a="1"/>
  <c r="W36" i="9" s="1"/>
  <c r="M59" i="9" a="1"/>
  <c r="M59" i="9" s="1"/>
  <c r="H111" i="9"/>
  <c r="X18" i="9" s="1" a="1"/>
  <c r="X18" i="9" s="1"/>
  <c r="AA43" i="9" a="1"/>
  <c r="AA43" i="9" s="1"/>
  <c r="D135" i="9"/>
  <c r="T42" i="9" s="1" a="1"/>
  <c r="T42" i="9" s="1"/>
  <c r="E106" i="9"/>
  <c r="U13" i="9" s="1" a="1"/>
  <c r="U13" i="9" s="1"/>
  <c r="N124" i="9"/>
  <c r="AD31" i="9" s="1" a="1"/>
  <c r="AD31" i="9" s="1"/>
  <c r="K55" i="9" a="1"/>
  <c r="K55" i="9" s="1"/>
  <c r="P74" i="9"/>
  <c r="N130" i="9"/>
  <c r="AD37" i="9" s="1" a="1"/>
  <c r="AD37" i="9" s="1"/>
  <c r="H61" i="9" a="1"/>
  <c r="H61" i="9" s="1"/>
  <c r="M77" i="9" a="1"/>
  <c r="M77" i="9" s="1"/>
  <c r="L118" i="9"/>
  <c r="AB25" i="9" s="1" a="1"/>
  <c r="AB25" i="9" s="1"/>
  <c r="I74" i="9" a="1"/>
  <c r="I74" i="9" s="1"/>
  <c r="D131" i="9"/>
  <c r="T38" i="9" s="1" a="1"/>
  <c r="T38" i="9" s="1"/>
  <c r="C131" i="9"/>
  <c r="S38" i="9" s="1" a="1"/>
  <c r="S38" i="9" s="1"/>
  <c r="A38" i="21"/>
  <c r="B38" i="21" s="1"/>
  <c r="J65" i="9" a="1"/>
  <c r="J65" i="9" s="1"/>
  <c r="H110" i="9"/>
  <c r="X17" i="9" s="1" a="1"/>
  <c r="X17" i="9" s="1"/>
  <c r="F133" i="9"/>
  <c r="V40" i="9" s="1" a="1"/>
  <c r="V40" i="9" s="1"/>
  <c r="L99" i="9"/>
  <c r="AB6" i="9" s="1" a="1"/>
  <c r="AB6" i="9" s="1"/>
  <c r="I53" i="9" a="1"/>
  <c r="I53" i="9" s="1"/>
  <c r="I72" i="9" a="1"/>
  <c r="I72" i="9" s="1"/>
  <c r="G52" i="9" a="1"/>
  <c r="G52" i="9" s="1"/>
  <c r="E100" i="9"/>
  <c r="U7" i="9" s="1" a="1"/>
  <c r="U7" i="9" s="1"/>
  <c r="B11" i="9"/>
  <c r="P82" i="9"/>
  <c r="G107" i="9"/>
  <c r="W14" i="9" s="1" a="1"/>
  <c r="W14" i="9" s="1"/>
  <c r="C99" i="9"/>
  <c r="S6" i="9" s="1" a="1"/>
  <c r="S6" i="9" s="1"/>
  <c r="P73" i="9"/>
  <c r="A39" i="20"/>
  <c r="L111" i="9"/>
  <c r="AB18" i="9" s="1" a="1"/>
  <c r="AB18" i="9" s="1"/>
  <c r="I112" i="9"/>
  <c r="Y19" i="9" s="1" a="1"/>
  <c r="Y19" i="9" s="1"/>
  <c r="E114" i="9"/>
  <c r="U21" i="9" s="1" a="1"/>
  <c r="U21" i="9" s="1"/>
  <c r="F128" i="9"/>
  <c r="V35" i="9" s="1" a="1"/>
  <c r="V35" i="9" s="1"/>
  <c r="A16" i="21"/>
  <c r="B16" i="21" s="1"/>
  <c r="A36" i="21"/>
  <c r="B36" i="21" s="1"/>
  <c r="A30" i="21"/>
  <c r="B30" i="21" s="1"/>
  <c r="A23" i="21"/>
  <c r="B23" i="21" s="1"/>
  <c r="A13" i="21"/>
  <c r="B13" i="21" s="1"/>
  <c r="A14" i="21"/>
  <c r="B14" i="21" s="1"/>
  <c r="A3" i="21"/>
  <c r="B3" i="21" s="1"/>
  <c r="A5" i="21"/>
  <c r="B5" i="21" s="1"/>
  <c r="A26" i="21"/>
  <c r="B26" i="21" s="1"/>
  <c r="A41" i="21"/>
  <c r="B41" i="21" s="1"/>
  <c r="A33" i="21"/>
  <c r="B33" i="21" s="1"/>
  <c r="A19" i="21"/>
  <c r="B19" i="21" s="1"/>
  <c r="A17" i="21"/>
  <c r="B17" i="21" s="1"/>
  <c r="A4" i="21"/>
  <c r="B4" i="21" s="1"/>
  <c r="A40" i="21"/>
  <c r="B40" i="21" s="1"/>
  <c r="A22" i="21"/>
  <c r="B22" i="21" s="1"/>
  <c r="G2" i="21"/>
  <c r="A2" i="21" s="1"/>
  <c r="B2" i="21" s="1"/>
  <c r="C7" i="9"/>
  <c r="K69" i="9" a="1"/>
  <c r="K69" i="9" s="1"/>
  <c r="E112" i="9"/>
  <c r="U19" i="9" s="1" a="1"/>
  <c r="U19" i="9" s="1"/>
  <c r="N64" i="9" a="1"/>
  <c r="N64" i="9" s="1"/>
  <c r="G120" i="9"/>
  <c r="W27" i="9" s="1" a="1"/>
  <c r="W27" i="9" s="1"/>
  <c r="G64" i="9" a="1"/>
  <c r="G64" i="9" s="1"/>
  <c r="I105" i="9"/>
  <c r="Y12" i="9" s="1" a="1"/>
  <c r="Y12" i="9" s="1"/>
  <c r="D102" i="9"/>
  <c r="T9" i="9" s="1" a="1"/>
  <c r="T9" i="9" s="1"/>
  <c r="M57" i="9" a="1"/>
  <c r="M57" i="9" s="1"/>
  <c r="AC7" i="9" a="1"/>
  <c r="AC7" i="9" s="1"/>
  <c r="F108" i="9"/>
  <c r="V15" i="9" s="1" a="1"/>
  <c r="V15" i="9" s="1"/>
  <c r="C105" i="9"/>
  <c r="S12" i="9" s="1" a="1"/>
  <c r="S12" i="9" s="1"/>
  <c r="E110" i="9"/>
  <c r="U17" i="9" s="1" a="1"/>
  <c r="U17" i="9" s="1"/>
  <c r="G99" i="9"/>
  <c r="W6" i="9" s="1" a="1"/>
  <c r="W6" i="9" s="1"/>
  <c r="M60" i="9" a="1"/>
  <c r="M60" i="9" s="1"/>
  <c r="J122" i="9"/>
  <c r="Z29" i="9" s="1" a="1"/>
  <c r="Z29" i="9" s="1"/>
  <c r="B10" i="9"/>
  <c r="C10" i="9" s="1"/>
  <c r="J50" i="9" a="1"/>
  <c r="J50" i="9" s="1"/>
  <c r="E127" i="9"/>
  <c r="U34" i="9" s="1" a="1"/>
  <c r="U34" i="9" s="1"/>
  <c r="M82" i="9" a="1"/>
  <c r="M82" i="9" s="1"/>
  <c r="C112" i="9"/>
  <c r="S19" i="9" s="1" a="1"/>
  <c r="S19" i="9" s="1"/>
  <c r="G68" i="9" a="1"/>
  <c r="G68" i="9" s="1"/>
  <c r="M64" i="9" a="1"/>
  <c r="M64" i="9" s="1"/>
  <c r="I68" i="9" a="1"/>
  <c r="I68" i="9" s="1"/>
  <c r="B8" i="9"/>
  <c r="E8" i="9" s="1"/>
  <c r="K117" i="9"/>
  <c r="AA24" i="9" s="1" a="1"/>
  <c r="AA24" i="9" s="1"/>
  <c r="K78" i="9" a="1"/>
  <c r="K78" i="9" s="1"/>
  <c r="N88" i="9" a="1"/>
  <c r="N88" i="9" s="1"/>
  <c r="M50" i="9" a="1"/>
  <c r="M50" i="9" s="1"/>
  <c r="L108" i="9"/>
  <c r="G110" i="9"/>
  <c r="W17" i="9" s="1" a="1"/>
  <c r="W17" i="9" s="1"/>
  <c r="G134" i="9"/>
  <c r="W41" i="9" s="1" a="1"/>
  <c r="W41" i="9" s="1"/>
  <c r="N56" i="9" a="1"/>
  <c r="N56" i="9" s="1"/>
  <c r="J134" i="9"/>
  <c r="Z41" i="9" s="1" a="1"/>
  <c r="Z41" i="9" s="1"/>
  <c r="F119" i="9"/>
  <c r="V26" i="9" s="1" a="1"/>
  <c r="V26" i="9" s="1"/>
  <c r="F109" i="9"/>
  <c r="V16" i="9" s="1" a="1"/>
  <c r="V16" i="9" s="1"/>
  <c r="I108" i="9"/>
  <c r="Y15" i="9" s="1" a="1"/>
  <c r="Y15" i="9" s="1"/>
  <c r="K76" i="9" a="1"/>
  <c r="K76" i="9" s="1"/>
  <c r="P70" i="9"/>
  <c r="H131" i="9"/>
  <c r="X38" i="9" s="1" a="1"/>
  <c r="X38" i="9" s="1"/>
  <c r="I118" i="9"/>
  <c r="Y25" i="9" s="1" a="1"/>
  <c r="Y25" i="9" s="1"/>
  <c r="B14" i="9"/>
  <c r="E14" i="9" s="1"/>
  <c r="D119" i="9"/>
  <c r="T26" i="9" s="1" a="1"/>
  <c r="T26" i="9" s="1"/>
  <c r="K102" i="9"/>
  <c r="AA9" i="9" s="1" a="1"/>
  <c r="AA9" i="9" s="1"/>
  <c r="AB43" i="9" a="1"/>
  <c r="AB43" i="9" s="1"/>
  <c r="I61" i="9" a="1"/>
  <c r="I61" i="9" s="1"/>
  <c r="C120" i="9"/>
  <c r="S27" i="9" s="1" a="1"/>
  <c r="S27" i="9" s="1"/>
  <c r="K62" i="9" a="1"/>
  <c r="K62" i="9" s="1"/>
  <c r="G60" i="9" a="1"/>
  <c r="G60" i="9" s="1"/>
  <c r="K89" i="9" a="1"/>
  <c r="K89" i="9" s="1"/>
  <c r="P60" i="9"/>
  <c r="D118" i="9"/>
  <c r="T25" i="9" s="1" a="1"/>
  <c r="T25" i="9" s="1"/>
  <c r="L74" i="9" a="1"/>
  <c r="L74" i="9" s="1"/>
  <c r="P85" i="9"/>
  <c r="I116" i="9"/>
  <c r="Y23" i="9" s="1" a="1"/>
  <c r="Y23" i="9" s="1"/>
  <c r="Y43" i="9" a="1"/>
  <c r="Y43" i="9" s="1"/>
  <c r="K53" i="9" a="1"/>
  <c r="K53" i="9" s="1"/>
  <c r="L56" i="9" a="1"/>
  <c r="L56" i="9" s="1"/>
  <c r="P123" i="9"/>
  <c r="AF30" i="9" s="1"/>
  <c r="B15" i="20" s="1"/>
  <c r="K86" i="9" a="1"/>
  <c r="K86" i="9" s="1"/>
  <c r="J60" i="9" a="1"/>
  <c r="J60" i="9" s="1"/>
  <c r="P118" i="9"/>
  <c r="AF25" i="9" s="1"/>
  <c r="B16" i="20" s="1"/>
  <c r="M63" i="9" a="1"/>
  <c r="M63" i="9" s="1"/>
  <c r="K71" i="9" a="1"/>
  <c r="K71" i="9" s="1"/>
  <c r="I131" i="9"/>
  <c r="Y38" i="9" s="1" a="1"/>
  <c r="Y38" i="9" s="1"/>
  <c r="H120" i="9"/>
  <c r="X27" i="9" s="1" a="1"/>
  <c r="X27" i="9" s="1"/>
  <c r="P115" i="9"/>
  <c r="AF22" i="9" s="1"/>
  <c r="B9" i="20" s="1"/>
  <c r="P57" i="9"/>
  <c r="L68" i="9" a="1"/>
  <c r="L68" i="9" s="1"/>
  <c r="D130" i="9"/>
  <c r="T37" i="9" s="1" a="1"/>
  <c r="T37" i="9" s="1"/>
  <c r="H63" i="9" a="1"/>
  <c r="H63" i="9" s="1"/>
  <c r="G101" i="9"/>
  <c r="W8" i="9" s="1" a="1"/>
  <c r="W8" i="9" s="1"/>
  <c r="J105" i="9"/>
  <c r="Z12" i="9" s="1" a="1"/>
  <c r="Z12" i="9" s="1"/>
  <c r="N61" i="9" a="1"/>
  <c r="N61" i="9" s="1"/>
  <c r="M65" i="9" a="1"/>
  <c r="M65" i="9" s="1"/>
  <c r="P107" i="9"/>
  <c r="AF14" i="9" s="1"/>
  <c r="B11" i="20" s="1"/>
  <c r="M120" i="9"/>
  <c r="AC27" i="9" s="1" a="1"/>
  <c r="AC27" i="9" s="1"/>
  <c r="P68" i="9"/>
  <c r="H119" i="9"/>
  <c r="X26" i="9" s="1" a="1"/>
  <c r="X26" i="9" s="1"/>
  <c r="I135" i="9"/>
  <c r="Y42" i="9" s="1" a="1"/>
  <c r="Y42" i="9" s="1"/>
  <c r="D134" i="9"/>
  <c r="T41" i="9" s="1" a="1"/>
  <c r="T41" i="9" s="1"/>
  <c r="D101" i="9"/>
  <c r="T8" i="9" s="1" a="1"/>
  <c r="T8" i="9" s="1"/>
  <c r="I70" i="9" a="1"/>
  <c r="I70" i="9" s="1"/>
  <c r="L130" i="9"/>
  <c r="AB37" i="9" s="1" a="1"/>
  <c r="AB37" i="9" s="1"/>
  <c r="D121" i="9"/>
  <c r="T28" i="9" s="1" a="1"/>
  <c r="T28" i="9" s="1"/>
  <c r="F100" i="9"/>
  <c r="V7" i="9" s="1" a="1"/>
  <c r="V7" i="9" s="1"/>
  <c r="L63" i="9" a="1"/>
  <c r="L63" i="9" s="1"/>
  <c r="D108" i="9"/>
  <c r="T15" i="9" s="1" a="1"/>
  <c r="T15" i="9" s="1"/>
  <c r="G54" i="9" a="1"/>
  <c r="G54" i="9" s="1"/>
  <c r="D100" i="9"/>
  <c r="T7" i="9" s="1" a="1"/>
  <c r="T7" i="9" s="1"/>
  <c r="M70" i="9" a="1"/>
  <c r="M70" i="9" s="1"/>
  <c r="E104" i="9"/>
  <c r="U11" i="9" s="1" a="1"/>
  <c r="U11" i="9" s="1"/>
  <c r="L104" i="9"/>
  <c r="AB11" i="9" s="1" a="1"/>
  <c r="AB11" i="9" s="1"/>
  <c r="G70" i="9" a="1"/>
  <c r="G70" i="9" s="1"/>
  <c r="L81" i="9" a="1"/>
  <c r="L81" i="9" s="1"/>
  <c r="G61" i="9" a="1"/>
  <c r="G61" i="9" s="1"/>
  <c r="J79" i="9" a="1"/>
  <c r="J79" i="9" s="1"/>
  <c r="H78" i="9" a="1"/>
  <c r="H78" i="9" s="1"/>
  <c r="L135" i="9"/>
  <c r="AB42" i="9" s="1" a="1"/>
  <c r="AB42" i="9" s="1"/>
  <c r="D129" i="9"/>
  <c r="T36" i="9" s="1" a="1"/>
  <c r="T36" i="9" s="1"/>
  <c r="P88" i="9"/>
  <c r="L106" i="9"/>
  <c r="AB13" i="9" s="1" a="1"/>
  <c r="AB13" i="9" s="1"/>
  <c r="K131" i="9"/>
  <c r="AA38" i="9" s="1" a="1"/>
  <c r="AA38" i="9" s="1"/>
  <c r="F134" i="9"/>
  <c r="V41" i="9" s="1" a="1"/>
  <c r="V41" i="9" s="1"/>
  <c r="E103" i="9"/>
  <c r="U10" i="9" s="1" a="1"/>
  <c r="U10" i="9" s="1"/>
  <c r="P62" i="9"/>
  <c r="D128" i="9"/>
  <c r="T35" i="9" s="1" a="1"/>
  <c r="T35" i="9" s="1"/>
  <c r="K106" i="9"/>
  <c r="AA13" i="9" s="1" a="1"/>
  <c r="AA13" i="9" s="1"/>
  <c r="I113" i="9"/>
  <c r="Y20" i="9" s="1" a="1"/>
  <c r="Y20" i="9" s="1"/>
  <c r="H81" i="9" a="1"/>
  <c r="H81" i="9" s="1"/>
  <c r="M85" i="9" a="1"/>
  <c r="M85" i="9" s="1"/>
  <c r="I64" i="9" a="1"/>
  <c r="I64" i="9" s="1"/>
  <c r="N85" i="9" a="1"/>
  <c r="N85" i="9" s="1"/>
  <c r="F107" i="9"/>
  <c r="V14" i="9" s="1" a="1"/>
  <c r="V14" i="9" s="1"/>
  <c r="L117" i="9"/>
  <c r="AB24" i="9" s="1" a="1"/>
  <c r="AB24" i="9" s="1"/>
  <c r="M134" i="9"/>
  <c r="AC41" i="9" s="1" a="1"/>
  <c r="AC41" i="9" s="1"/>
  <c r="M109" i="9"/>
  <c r="AC16" i="9" s="1" a="1"/>
  <c r="AC16" i="9" s="1"/>
  <c r="E115" i="9"/>
  <c r="U22" i="9" s="1" a="1"/>
  <c r="U22" i="9" s="1"/>
  <c r="N72" i="9" a="1"/>
  <c r="N72" i="9" s="1"/>
  <c r="H66" i="9" a="1"/>
  <c r="H66" i="9" s="1"/>
  <c r="N112" i="9"/>
  <c r="AD19" i="9" s="1" a="1"/>
  <c r="AD19" i="9" s="1"/>
  <c r="M62" i="9" a="1"/>
  <c r="M62" i="9" s="1"/>
  <c r="K112" i="9"/>
  <c r="AA19" i="9" s="1" a="1"/>
  <c r="AA19" i="9" s="1"/>
  <c r="E124" i="9"/>
  <c r="U31" i="9" s="1" a="1"/>
  <c r="U31" i="9" s="1"/>
  <c r="F114" i="9"/>
  <c r="V21" i="9" s="1" a="1"/>
  <c r="V21" i="9" s="1"/>
  <c r="N102" i="9"/>
  <c r="AD9" i="9" s="1" a="1"/>
  <c r="AD9" i="9" s="1"/>
  <c r="J117" i="9"/>
  <c r="Z24" i="9" s="1" a="1"/>
  <c r="Z24" i="9" s="1"/>
  <c r="G106" i="9"/>
  <c r="W13" i="9" s="1" a="1"/>
  <c r="W13" i="9" s="1"/>
  <c r="J66" i="9" a="1"/>
  <c r="J66" i="9" s="1"/>
  <c r="G63" i="9" a="1"/>
  <c r="G63" i="9" s="1"/>
  <c r="M104" i="9"/>
  <c r="AC11" i="9" s="1" a="1"/>
  <c r="AC11" i="9" s="1"/>
  <c r="D103" i="9"/>
  <c r="T10" i="9" s="1" a="1"/>
  <c r="T10" i="9" s="1"/>
  <c r="L112" i="9"/>
  <c r="AB19" i="9" s="1" a="1"/>
  <c r="AB19" i="9" s="1"/>
  <c r="P65" i="9"/>
  <c r="E133" i="9"/>
  <c r="U40" i="9" s="1" a="1"/>
  <c r="U40" i="9" s="1"/>
  <c r="K132" i="9"/>
  <c r="AA39" i="9" s="1" a="1"/>
  <c r="AA39" i="9" s="1"/>
  <c r="M112" i="9"/>
  <c r="AC19" i="9" s="1" a="1"/>
  <c r="AC19" i="9" s="1"/>
  <c r="K74" i="9" a="1"/>
  <c r="K74" i="9" s="1"/>
  <c r="N86" i="9" a="1"/>
  <c r="N86" i="9" s="1"/>
  <c r="K52" i="9" a="1"/>
  <c r="K52" i="9" s="1"/>
  <c r="W43" i="9" a="1"/>
  <c r="W43" i="9" s="1"/>
  <c r="P78" i="9"/>
  <c r="E134" i="9"/>
  <c r="U41" i="9" s="1" a="1"/>
  <c r="U41" i="9" s="1"/>
  <c r="J61" i="9" a="1"/>
  <c r="J61" i="9" s="1"/>
  <c r="G124" i="9"/>
  <c r="W31" i="9" s="1" a="1"/>
  <c r="W31" i="9" s="1"/>
  <c r="P104" i="9"/>
  <c r="AF11" i="9" s="1"/>
  <c r="B5" i="20" s="1"/>
  <c r="M101" i="9"/>
  <c r="AC8" i="9" s="1" a="1"/>
  <c r="AC8" i="9" s="1"/>
  <c r="F106" i="9"/>
  <c r="V13" i="9" s="1" a="1"/>
  <c r="V13" i="9" s="1"/>
  <c r="D107" i="9"/>
  <c r="T14" i="9" s="1" a="1"/>
  <c r="T14" i="9" s="1"/>
  <c r="L120" i="9"/>
  <c r="AB27" i="9" s="1" a="1"/>
  <c r="AB27" i="9" s="1"/>
  <c r="I134" i="9"/>
  <c r="Y41" i="9" s="1" a="1"/>
  <c r="Y41" i="9" s="1"/>
  <c r="I69" i="9" a="1"/>
  <c r="I69" i="9" s="1"/>
  <c r="C103" i="9"/>
  <c r="S10" i="9" s="1" a="1"/>
  <c r="S10" i="9" s="1"/>
  <c r="D104" i="9"/>
  <c r="T11" i="9" s="1" a="1"/>
  <c r="T11" i="9" s="1"/>
  <c r="G53" i="9" a="1"/>
  <c r="G53" i="9" s="1"/>
  <c r="I124" i="9"/>
  <c r="Y31" i="9" s="1" a="1"/>
  <c r="Y31" i="9" s="1"/>
  <c r="K111" i="9"/>
  <c r="AA18" i="9" s="1" a="1"/>
  <c r="AA18" i="9" s="1"/>
  <c r="I109" i="9"/>
  <c r="Y16" i="9" s="1" a="1"/>
  <c r="Y16" i="9" s="1"/>
  <c r="E108" i="9"/>
  <c r="U15" i="9" s="1" a="1"/>
  <c r="U15" i="9" s="1"/>
  <c r="M75" i="9" a="1"/>
  <c r="M75" i="9" s="1"/>
  <c r="J118" i="9"/>
  <c r="Z25" i="9" s="1" a="1"/>
  <c r="Z25" i="9" s="1"/>
  <c r="N104" i="9"/>
  <c r="AD11" i="9" s="1" a="1"/>
  <c r="AD11" i="9" s="1"/>
  <c r="F117" i="9"/>
  <c r="V24" i="9" s="1" a="1"/>
  <c r="V24" i="9" s="1"/>
  <c r="F122" i="9"/>
  <c r="V29" i="9" s="1" a="1"/>
  <c r="V29" i="9" s="1"/>
  <c r="K58" i="9" a="1"/>
  <c r="K58" i="9" s="1"/>
  <c r="H104" i="9"/>
  <c r="X11" i="9" s="1" a="1"/>
  <c r="X11" i="9" s="1"/>
  <c r="L121" i="9"/>
  <c r="AB28" i="9" s="1" a="1"/>
  <c r="AB28" i="9" s="1"/>
  <c r="C115" i="9"/>
  <c r="S22" i="9" s="1" a="1"/>
  <c r="S22" i="9" s="1"/>
  <c r="L76" i="9" a="1"/>
  <c r="L76" i="9" s="1"/>
  <c r="M76" i="9" a="1"/>
  <c r="M76" i="9" s="1"/>
  <c r="J126" i="9"/>
  <c r="Z33" i="9" s="1" a="1"/>
  <c r="Z33" i="9" s="1"/>
  <c r="M117" i="9"/>
  <c r="AC24" i="9" s="1" a="1"/>
  <c r="AC24" i="9" s="1"/>
  <c r="L64" i="9" a="1"/>
  <c r="L64" i="9" s="1"/>
  <c r="I129" i="9"/>
  <c r="Y36" i="9" s="1" a="1"/>
  <c r="Y36" i="9" s="1"/>
  <c r="H103" i="9"/>
  <c r="X10" i="9" s="1" a="1"/>
  <c r="X10" i="9" s="1"/>
  <c r="L54" i="9" a="1"/>
  <c r="L54" i="9" s="1"/>
  <c r="C129" i="9"/>
  <c r="S36" i="9" s="1" a="1"/>
  <c r="S36" i="9" s="1"/>
  <c r="J107" i="9"/>
  <c r="Z14" i="9" s="1" a="1"/>
  <c r="Z14" i="9" s="1"/>
  <c r="J108" i="9"/>
  <c r="Z15" i="9" s="1" a="1"/>
  <c r="Z15" i="9" s="1"/>
  <c r="H60" i="9" a="1"/>
  <c r="H60" i="9" s="1"/>
  <c r="E128" i="9"/>
  <c r="U35" i="9" s="1" a="1"/>
  <c r="U35" i="9" s="1"/>
  <c r="C118" i="9"/>
  <c r="S25" i="9" s="1" a="1"/>
  <c r="S25" i="9" s="1"/>
  <c r="K80" i="9" a="1"/>
  <c r="K80" i="9" s="1"/>
  <c r="N65" i="9" a="1"/>
  <c r="N65" i="9" s="1"/>
  <c r="N106" i="9"/>
  <c r="AD13" i="9" s="1" a="1"/>
  <c r="AD13" i="9" s="1"/>
  <c r="I117" i="9"/>
  <c r="Y24" i="9" s="1" a="1"/>
  <c r="Y24" i="9" s="1"/>
  <c r="L110" i="9"/>
  <c r="AB17" i="9" s="1" a="1"/>
  <c r="AB17" i="9" s="1"/>
  <c r="G128" i="9"/>
  <c r="W35" i="9" s="1" a="1"/>
  <c r="W35" i="9" s="1"/>
  <c r="K82" i="9" a="1"/>
  <c r="K82" i="9" s="1"/>
  <c r="J125" i="9"/>
  <c r="Z32" i="9" s="1" a="1"/>
  <c r="Z32" i="9" s="1"/>
  <c r="M128" i="9"/>
  <c r="AC35" i="9" s="1" a="1"/>
  <c r="AC35" i="9" s="1"/>
  <c r="H68" i="9" a="1"/>
  <c r="H68" i="9" s="1"/>
  <c r="K65" i="9" a="1"/>
  <c r="K65" i="9" s="1"/>
  <c r="G126" i="9"/>
  <c r="W33" i="9" s="1" a="1"/>
  <c r="W33" i="9" s="1"/>
  <c r="M108" i="9"/>
  <c r="AC15" i="9" s="1" a="1"/>
  <c r="AC15" i="9" s="1"/>
  <c r="L116" i="9"/>
  <c r="AB23" i="9" s="1" a="1"/>
  <c r="AB23" i="9" s="1"/>
  <c r="J132" i="9"/>
  <c r="Z39" i="9" s="1" a="1"/>
  <c r="Z39" i="9" s="1"/>
  <c r="P77" i="9"/>
  <c r="J101" i="9"/>
  <c r="Z8" i="9" s="1" a="1"/>
  <c r="Z8" i="9" s="1"/>
  <c r="C109" i="9"/>
  <c r="S16" i="9" s="1" a="1"/>
  <c r="S16" i="9" s="1"/>
  <c r="P113" i="9"/>
  <c r="AF20" i="9" s="1"/>
  <c r="B37" i="20" s="1"/>
  <c r="P53" i="9"/>
  <c r="E102" i="9"/>
  <c r="U9" i="9" s="1" a="1"/>
  <c r="U9" i="9" s="1"/>
  <c r="G71" i="9" a="1"/>
  <c r="G71" i="9" s="1"/>
  <c r="E130" i="9"/>
  <c r="U37" i="9" s="1" a="1"/>
  <c r="U37" i="9" s="1"/>
  <c r="K121" i="9"/>
  <c r="AA28" i="9" s="1" a="1"/>
  <c r="AA28" i="9" s="1"/>
  <c r="J124" i="9"/>
  <c r="Z31" i="9" s="1" a="1"/>
  <c r="Z31" i="9" s="1"/>
  <c r="H79" i="9" a="1"/>
  <c r="H79" i="9" s="1"/>
  <c r="AC44" i="9" a="1"/>
  <c r="AC44" i="9" s="1"/>
  <c r="K81" i="9" a="1"/>
  <c r="K81" i="9" s="1"/>
  <c r="M123" i="9"/>
  <c r="AC30" i="9" s="1" a="1"/>
  <c r="AC30" i="9" s="1"/>
  <c r="H135" i="9"/>
  <c r="X42" i="9" s="1" a="1"/>
  <c r="X42" i="9" s="1"/>
  <c r="M114" i="9"/>
  <c r="AC21" i="9" s="1" a="1"/>
  <c r="AC21" i="9" s="1"/>
  <c r="K50" i="9" a="1"/>
  <c r="K50" i="9" s="1"/>
  <c r="E129" i="9"/>
  <c r="U36" i="9" s="1" a="1"/>
  <c r="U36" i="9" s="1"/>
  <c r="I101" i="9"/>
  <c r="Y8" i="9" s="1" a="1"/>
  <c r="Y8" i="9" s="1"/>
  <c r="H70" i="9" a="1"/>
  <c r="H70" i="9" s="1"/>
  <c r="P55" i="9"/>
  <c r="E120" i="9"/>
  <c r="U27" i="9" s="1" a="1"/>
  <c r="U27" i="9" s="1"/>
  <c r="L75" i="9" a="1"/>
  <c r="L75" i="9" s="1"/>
  <c r="J68" i="9" a="1"/>
  <c r="J68" i="9" s="1"/>
  <c r="M107" i="9"/>
  <c r="AC14" i="9" s="1" a="1"/>
  <c r="AC14" i="9" s="1"/>
  <c r="J86" i="9" a="1"/>
  <c r="J86" i="9" s="1"/>
  <c r="L133" i="9"/>
  <c r="AB40" i="9" s="1" a="1"/>
  <c r="AB40" i="9" s="1"/>
  <c r="J53" i="9" a="1"/>
  <c r="J53" i="9" s="1"/>
  <c r="I89" i="9" a="1"/>
  <c r="I89" i="9" s="1"/>
  <c r="I119" i="9"/>
  <c r="Y26" i="9" s="1" a="1"/>
  <c r="Y26" i="9" s="1"/>
  <c r="N73" i="9" a="1"/>
  <c r="N73" i="9" s="1"/>
  <c r="N81" i="9" a="1"/>
  <c r="N81" i="9" s="1"/>
  <c r="J84" i="9" a="1"/>
  <c r="J84" i="9" s="1"/>
  <c r="G65" i="9" a="1"/>
  <c r="G65" i="9" s="1"/>
  <c r="N50" i="9" a="1"/>
  <c r="N50" i="9" s="1"/>
  <c r="M51" i="9" a="1"/>
  <c r="M51" i="9" s="1"/>
  <c r="K114" i="9"/>
  <c r="AA21" i="9" s="1" a="1"/>
  <c r="AA21" i="9" s="1"/>
  <c r="K99" i="9"/>
  <c r="AA6" i="9" s="1" a="1"/>
  <c r="AA6" i="9" s="1"/>
  <c r="L55" i="9" a="1"/>
  <c r="L55" i="9" s="1"/>
  <c r="N68" i="9" a="1"/>
  <c r="N68" i="9" s="1"/>
  <c r="K66" i="9" a="1"/>
  <c r="K66" i="9" s="1"/>
  <c r="N77" i="9" a="1"/>
  <c r="N77" i="9" s="1"/>
  <c r="F132" i="9"/>
  <c r="V39" i="9" s="1" a="1"/>
  <c r="V39" i="9" s="1"/>
  <c r="M74" i="9" a="1"/>
  <c r="M74" i="9" s="1"/>
  <c r="N87" i="9" a="1"/>
  <c r="N87" i="9" s="1"/>
  <c r="N120" i="9"/>
  <c r="AD27" i="9" s="1" a="1"/>
  <c r="AD27" i="9" s="1"/>
  <c r="L50" i="9" a="1"/>
  <c r="L50" i="9" s="1"/>
  <c r="P81" i="9"/>
  <c r="I125" i="9"/>
  <c r="Y32" i="9" s="1" a="1"/>
  <c r="Y32" i="9" s="1"/>
  <c r="M129" i="9"/>
  <c r="AC36" i="9" s="1" a="1"/>
  <c r="AC36" i="9" s="1"/>
  <c r="U30" i="9" a="1"/>
  <c r="U30" i="9" s="1"/>
  <c r="J129" i="9"/>
  <c r="Z36" i="9" s="1" a="1"/>
  <c r="Z36" i="9" s="1"/>
  <c r="N83" i="9" a="1"/>
  <c r="N83" i="9" s="1"/>
  <c r="AA44" i="9" a="1"/>
  <c r="AA44" i="9" s="1"/>
  <c r="N100" i="9"/>
  <c r="AD7" i="9" s="1" a="1"/>
  <c r="AD7" i="9" s="1"/>
  <c r="K75" i="9" a="1"/>
  <c r="K75" i="9" s="1"/>
  <c r="H128" i="9"/>
  <c r="X35" i="9" s="1" a="1"/>
  <c r="X35" i="9" s="1"/>
  <c r="P67" i="9"/>
  <c r="K116" i="9"/>
  <c r="AA23" i="9" s="1" a="1"/>
  <c r="AA23" i="9" s="1"/>
  <c r="N53" i="9" a="1"/>
  <c r="N53" i="9" s="1"/>
  <c r="C123" i="9"/>
  <c r="S30" i="9" s="1" a="1"/>
  <c r="S30" i="9" s="1"/>
  <c r="J54" i="9" a="1"/>
  <c r="J54" i="9" s="1"/>
  <c r="M131" i="9"/>
  <c r="AC38" i="9" s="1" a="1"/>
  <c r="AC38" i="9" s="1"/>
  <c r="F123" i="9"/>
  <c r="V30" i="9" s="1" a="1"/>
  <c r="V30" i="9" s="1"/>
  <c r="J127" i="9"/>
  <c r="Z34" i="9" s="1" a="1"/>
  <c r="Z34" i="9" s="1"/>
  <c r="AB44" i="9" a="1"/>
  <c r="AB44" i="9" s="1"/>
  <c r="D114" i="9"/>
  <c r="T21" i="9" s="1" a="1"/>
  <c r="T21" i="9" s="1"/>
  <c r="I58" i="9" a="1"/>
  <c r="I58" i="9" s="1"/>
  <c r="N54" i="9" a="1"/>
  <c r="N54" i="9" s="1"/>
  <c r="H125" i="9"/>
  <c r="X32" i="9" s="1" a="1"/>
  <c r="X32" i="9" s="1"/>
  <c r="K133" i="9"/>
  <c r="AA40" i="9" s="1" a="1"/>
  <c r="AA40" i="9" s="1"/>
  <c r="I78" i="9" a="1"/>
  <c r="I78" i="9" s="1"/>
  <c r="B49" i="9"/>
  <c r="K49" i="9" s="1" a="1"/>
  <c r="K49" i="9" s="1"/>
  <c r="G84" i="9" a="1"/>
  <c r="G84" i="9" s="1"/>
  <c r="M99" i="9"/>
  <c r="AC6" i="9" s="1" a="1"/>
  <c r="AC6" i="9" s="1"/>
  <c r="C111" i="9"/>
  <c r="S18" i="9" s="1" a="1"/>
  <c r="S18" i="9" s="1"/>
  <c r="F111" i="9"/>
  <c r="V18" i="9" s="1" a="1"/>
  <c r="V18" i="9" s="1"/>
  <c r="H106" i="9"/>
  <c r="X13" i="9" s="1" a="1"/>
  <c r="X13" i="9" s="1"/>
  <c r="M72" i="9" a="1"/>
  <c r="M72" i="9" s="1"/>
  <c r="J74" i="9" a="1"/>
  <c r="J74" i="9" s="1"/>
  <c r="D125" i="9"/>
  <c r="T32" i="9" s="1" a="1"/>
  <c r="T32" i="9" s="1"/>
  <c r="H124" i="9"/>
  <c r="X31" i="9" s="1" a="1"/>
  <c r="X31" i="9" s="1"/>
  <c r="N132" i="9"/>
  <c r="AD39" i="9" s="1" a="1"/>
  <c r="AD39" i="9" s="1"/>
  <c r="I65" i="9" a="1"/>
  <c r="I65" i="9" s="1"/>
  <c r="P87" i="9"/>
  <c r="J131" i="9"/>
  <c r="Z38" i="9" s="1" a="1"/>
  <c r="Z38" i="9" s="1"/>
  <c r="G76" i="9" a="1"/>
  <c r="G76" i="9" s="1"/>
  <c r="I127" i="9"/>
  <c r="Y34" i="9" s="1" a="1"/>
  <c r="Y34" i="9" s="1"/>
  <c r="Y44" i="9" a="1"/>
  <c r="Y44" i="9" s="1"/>
  <c r="H75" i="9" a="1"/>
  <c r="H75" i="9" s="1"/>
  <c r="C117" i="9"/>
  <c r="S24" i="9" s="1" a="1"/>
  <c r="S24" i="9" s="1"/>
  <c r="F124" i="9"/>
  <c r="V31" i="9" s="1" a="1"/>
  <c r="V31" i="9" s="1"/>
  <c r="G135" i="9"/>
  <c r="W42" i="9" s="1" a="1"/>
  <c r="W42" i="9" s="1"/>
  <c r="J100" i="9"/>
  <c r="Z7" i="9" s="1" a="1"/>
  <c r="Z7" i="9" s="1"/>
  <c r="L126" i="9"/>
  <c r="AB33" i="9" s="1" a="1"/>
  <c r="AB33" i="9" s="1"/>
  <c r="K57" i="9" a="1"/>
  <c r="K57" i="9" s="1"/>
  <c r="N58" i="9" a="1"/>
  <c r="N58" i="9" s="1"/>
  <c r="H56" i="9" a="1"/>
  <c r="H56" i="9" s="1"/>
  <c r="M83" i="9" a="1"/>
  <c r="M83" i="9" s="1"/>
  <c r="P116" i="9"/>
  <c r="AF23" i="9" s="1"/>
  <c r="B8" i="20" s="1"/>
  <c r="A13" i="20"/>
  <c r="P64" i="9"/>
  <c r="C124" i="9"/>
  <c r="S31" i="9" s="1" a="1"/>
  <c r="S31" i="9" s="1"/>
  <c r="L127" i="9"/>
  <c r="AB34" i="9" s="1" a="1"/>
  <c r="AB34" i="9" s="1"/>
  <c r="M116" i="9"/>
  <c r="AC23" i="9" s="1" a="1"/>
  <c r="AC23" i="9" s="1"/>
  <c r="J121" i="9"/>
  <c r="Z28" i="9" s="1" a="1"/>
  <c r="Z28" i="9" s="1"/>
  <c r="A16" i="20"/>
  <c r="C133" i="9"/>
  <c r="S40" i="9" s="1" a="1"/>
  <c r="S40" i="9" s="1"/>
  <c r="E105" i="9"/>
  <c r="U12" i="9" s="1" a="1"/>
  <c r="U12" i="9" s="1"/>
  <c r="A29" i="20"/>
  <c r="A27" i="20"/>
  <c r="A21" i="20"/>
  <c r="A38" i="20"/>
  <c r="I75" i="9" a="1"/>
  <c r="I75" i="9" s="1"/>
  <c r="F130" i="9"/>
  <c r="V37" i="9" s="1" a="1"/>
  <c r="V37" i="9" s="1"/>
  <c r="H74" i="9" a="1"/>
  <c r="H74" i="9" s="1"/>
  <c r="N121" i="9"/>
  <c r="AD28" i="9" s="1" a="1"/>
  <c r="AD28" i="9" s="1"/>
  <c r="P108" i="9"/>
  <c r="AF15" i="9" s="1"/>
  <c r="B4" i="20" s="1"/>
  <c r="L129" i="9"/>
  <c r="AB36" i="9" s="1" a="1"/>
  <c r="AB36" i="9" s="1"/>
  <c r="A6" i="21"/>
  <c r="B6" i="21" s="1"/>
  <c r="K84" i="9" a="1"/>
  <c r="K84" i="9" s="1"/>
  <c r="K134" i="9"/>
  <c r="AA41" i="9" s="1" a="1"/>
  <c r="AA41" i="9" s="1"/>
  <c r="K54" i="9" a="1"/>
  <c r="K54" i="9" s="1"/>
  <c r="C100" i="9"/>
  <c r="S7" i="9" s="1" a="1"/>
  <c r="S7" i="9" s="1"/>
  <c r="Z13" i="9" a="1"/>
  <c r="Z13" i="9" s="1"/>
  <c r="E117" i="9"/>
  <c r="U24" i="9" s="1" a="1"/>
  <c r="U24" i="9" s="1"/>
  <c r="P58" i="9"/>
  <c r="E99" i="9"/>
  <c r="U6" i="9" s="1" a="1"/>
  <c r="U6" i="9" s="1"/>
  <c r="H129" i="9"/>
  <c r="F118" i="9"/>
  <c r="C3" i="9"/>
  <c r="D10" i="19" a="1"/>
  <c r="D10" i="19" s="1"/>
  <c r="A24" i="21"/>
  <c r="B24" i="21" s="1"/>
  <c r="M132" i="9"/>
  <c r="AC39" i="9" s="1" a="1"/>
  <c r="AC39" i="9" s="1"/>
  <c r="A28" i="21"/>
  <c r="B28" i="21" s="1"/>
  <c r="J80" i="9" a="1"/>
  <c r="J80" i="9" s="1"/>
  <c r="A20" i="20"/>
  <c r="G105" i="9"/>
  <c r="B18" i="9"/>
  <c r="A8" i="20"/>
  <c r="H72" i="9" a="1"/>
  <c r="H72" i="9" s="1"/>
  <c r="AD43" i="9" a="1"/>
  <c r="AD43" i="9" s="1"/>
  <c r="K100" i="9"/>
  <c r="AA7" i="9" s="1" a="1"/>
  <c r="AA7" i="9" s="1"/>
  <c r="P109" i="9"/>
  <c r="AF16" i="9" s="1"/>
  <c r="B12" i="20" s="1"/>
  <c r="G116" i="9"/>
  <c r="W23" i="9" s="1" a="1"/>
  <c r="W23" i="9" s="1"/>
  <c r="L67" i="9" a="1"/>
  <c r="L67" i="9" s="1"/>
  <c r="P122" i="9"/>
  <c r="AF29" i="9" s="1"/>
  <c r="B28" i="20" s="1"/>
  <c r="P66" i="9"/>
  <c r="A40" i="20"/>
  <c r="N110" i="9"/>
  <c r="AD17" i="9" s="1" a="1"/>
  <c r="AD17" i="9" s="1"/>
  <c r="W15" i="9" a="1"/>
  <c r="W15" i="9" s="1"/>
  <c r="G59" i="9" a="1"/>
  <c r="G59" i="9" s="1"/>
  <c r="H71" i="9" a="1"/>
  <c r="H71" i="9" s="1"/>
  <c r="J113" i="9"/>
  <c r="Z20" i="9" s="1" a="1"/>
  <c r="Z20" i="9" s="1"/>
  <c r="J63" i="9" a="1"/>
  <c r="J63" i="9" s="1"/>
  <c r="A8" i="21"/>
  <c r="B8" i="21" s="1"/>
  <c r="I54" i="9" a="1"/>
  <c r="I54" i="9" s="1"/>
  <c r="D115" i="9"/>
  <c r="T22" i="9" s="1" a="1"/>
  <c r="T22" i="9" s="1"/>
  <c r="N115" i="9"/>
  <c r="AD22" i="9" s="1" a="1"/>
  <c r="AD22" i="9" s="1"/>
  <c r="B12" i="9"/>
  <c r="B9" i="9"/>
  <c r="C101" i="9"/>
  <c r="S8" i="9" s="1" a="1"/>
  <c r="S8" i="9" s="1"/>
  <c r="P84" i="9"/>
  <c r="G109" i="9"/>
  <c r="J71" i="9" a="1"/>
  <c r="J71" i="9" s="1"/>
  <c r="F99" i="9"/>
  <c r="V6" i="9" s="1" a="1"/>
  <c r="V6" i="9" s="1"/>
  <c r="M80" i="9" a="1"/>
  <c r="M80" i="9" s="1"/>
  <c r="D133" i="9"/>
  <c r="T40" i="9" s="1" a="1"/>
  <c r="T40" i="9" s="1"/>
  <c r="E132" i="9"/>
  <c r="U39" i="9" s="1" a="1"/>
  <c r="U39" i="9" s="1"/>
  <c r="L65" i="9" a="1"/>
  <c r="L65" i="9" s="1"/>
  <c r="K122" i="9"/>
  <c r="AA29" i="9" s="1" a="1"/>
  <c r="AA29" i="9" s="1"/>
  <c r="X8" i="9" a="1"/>
  <c r="X8" i="9" s="1"/>
  <c r="L88" i="9" a="1"/>
  <c r="L88" i="9" s="1"/>
  <c r="W19" i="9" a="1"/>
  <c r="W19" i="9" s="1"/>
  <c r="AC37" i="9" a="1"/>
  <c r="AC37" i="9" s="1"/>
  <c r="G89" i="9" a="1"/>
  <c r="G89" i="9" s="1"/>
  <c r="C134" i="9"/>
  <c r="S41" i="9" s="1" a="1"/>
  <c r="S41" i="9" s="1"/>
  <c r="K73" i="9" a="1"/>
  <c r="K73" i="9" s="1"/>
  <c r="P99" i="9"/>
  <c r="AF6" i="9" s="1"/>
  <c r="B6" i="20" s="1"/>
  <c r="G57" i="9" a="1"/>
  <c r="G57" i="9" s="1"/>
  <c r="L100" i="9"/>
  <c r="K128" i="9"/>
  <c r="AA35" i="9" s="1" a="1"/>
  <c r="AA35" i="9" s="1"/>
  <c r="N74" i="9" a="1"/>
  <c r="N74" i="9" s="1"/>
  <c r="G58" i="9" a="1"/>
  <c r="G58" i="9" s="1"/>
  <c r="G56" i="9" a="1"/>
  <c r="G56" i="9" s="1"/>
  <c r="G117" i="9"/>
  <c r="W24" i="9" s="1" a="1"/>
  <c r="W24" i="9" s="1"/>
  <c r="G51" i="9" a="1"/>
  <c r="G51" i="9" s="1"/>
  <c r="G81" i="9" a="1"/>
  <c r="G81" i="9" s="1"/>
  <c r="G69" i="9" a="1"/>
  <c r="G69" i="9" s="1"/>
  <c r="A34" i="20"/>
  <c r="H134" i="9"/>
  <c r="X41" i="9" s="1" a="1"/>
  <c r="X41" i="9" s="1"/>
  <c r="H122" i="9"/>
  <c r="X29" i="9" s="1" a="1"/>
  <c r="X29" i="9" s="1"/>
  <c r="N63" i="9" a="1"/>
  <c r="N63" i="9" s="1"/>
  <c r="J123" i="9"/>
  <c r="Z30" i="9" s="1" a="1"/>
  <c r="Z30" i="9" s="1"/>
  <c r="J72" i="9" a="1"/>
  <c r="J72" i="9" s="1"/>
  <c r="N127" i="9"/>
  <c r="AD34" i="9" s="1" a="1"/>
  <c r="AD34" i="9" s="1"/>
  <c r="I84" i="9" a="1"/>
  <c r="I84" i="9" s="1"/>
  <c r="M106" i="9"/>
  <c r="AC13" i="9" s="1" a="1"/>
  <c r="AC13" i="9" s="1"/>
  <c r="N123" i="9"/>
  <c r="AD30" i="9" s="1" a="1"/>
  <c r="AD30" i="9" s="1"/>
  <c r="P128" i="9"/>
  <c r="AF35" i="9" s="1"/>
  <c r="B39" i="20" s="1"/>
  <c r="G122" i="9"/>
  <c r="M127" i="9"/>
  <c r="AC34" i="9" s="1" a="1"/>
  <c r="AC34" i="9" s="1"/>
  <c r="H77" i="9" a="1"/>
  <c r="H77" i="9" s="1"/>
  <c r="P75" i="9"/>
  <c r="A25" i="20"/>
  <c r="G83" i="9" a="1"/>
  <c r="G83" i="9" s="1"/>
  <c r="H85" i="9" a="1"/>
  <c r="H85" i="9" s="1"/>
  <c r="L59" i="9" a="1"/>
  <c r="L59" i="9" s="1"/>
  <c r="E6" i="9"/>
  <c r="P102" i="9"/>
  <c r="AF9" i="9" s="1"/>
  <c r="B33" i="20" s="1"/>
  <c r="J114" i="9"/>
  <c r="L53" i="9" a="1"/>
  <c r="L53" i="9" s="1"/>
  <c r="H58" i="9" a="1"/>
  <c r="H58" i="9" s="1"/>
  <c r="D109" i="9"/>
  <c r="T16" i="9" s="1" a="1"/>
  <c r="T16" i="9" s="1"/>
  <c r="M55" i="9" a="1"/>
  <c r="M55" i="9" s="1"/>
  <c r="H73" i="9" a="1"/>
  <c r="H73" i="9" s="1"/>
  <c r="J85" i="9" a="1"/>
  <c r="J85" i="9" s="1"/>
  <c r="A37" i="20"/>
  <c r="P100" i="9"/>
  <c r="AF7" i="9" s="1"/>
  <c r="B29" i="20" s="1"/>
  <c r="H102" i="9"/>
  <c r="X9" i="9" s="1" a="1"/>
  <c r="X9" i="9" s="1"/>
  <c r="H59" i="9" a="1"/>
  <c r="H59" i="9" s="1"/>
  <c r="I66" i="9" a="1"/>
  <c r="I66" i="9" s="1"/>
  <c r="A34" i="21"/>
  <c r="B34" i="21" s="1"/>
  <c r="K109" i="9"/>
  <c r="AA16" i="9" s="1" a="1"/>
  <c r="AA16" i="9" s="1"/>
  <c r="K127" i="9"/>
  <c r="H123" i="9"/>
  <c r="X30" i="9" s="1" a="1"/>
  <c r="X30" i="9" s="1"/>
  <c r="N107" i="9"/>
  <c r="AD14" i="9" s="1" a="1"/>
  <c r="AD14" i="9" s="1"/>
  <c r="J99" i="9"/>
  <c r="Z6" i="9" s="1" a="1"/>
  <c r="Z6" i="9" s="1"/>
  <c r="N122" i="9"/>
  <c r="AD29" i="9" s="1" a="1"/>
  <c r="AD29" i="9" s="1"/>
  <c r="J52" i="9" a="1"/>
  <c r="J52" i="9" s="1"/>
  <c r="N55" i="9" a="1"/>
  <c r="N55" i="9" s="1"/>
  <c r="H108" i="9"/>
  <c r="L85" i="9" a="1"/>
  <c r="L85" i="9" s="1"/>
  <c r="L60" i="9" a="1"/>
  <c r="L60" i="9" s="1"/>
  <c r="V25" i="9" a="1"/>
  <c r="V25" i="9" s="1"/>
  <c r="N84" i="9" a="1"/>
  <c r="N84" i="9" s="1"/>
  <c r="J82" i="9" a="1"/>
  <c r="J82" i="9" s="1"/>
  <c r="H87" i="9" a="1"/>
  <c r="H87" i="9" s="1"/>
  <c r="X43" i="9" a="1"/>
  <c r="X43" i="9" s="1"/>
  <c r="G86" i="9" a="1"/>
  <c r="G86" i="9" s="1"/>
  <c r="H57" i="9" a="1"/>
  <c r="H57" i="9" s="1"/>
  <c r="K345" i="1"/>
  <c r="J345" i="1" a="1"/>
  <c r="J345" i="1" s="1"/>
  <c r="G85" i="9" a="1"/>
  <c r="G85" i="9" s="1"/>
  <c r="H69" i="9" a="1"/>
  <c r="H69" i="9" s="1"/>
  <c r="H86" i="9" a="1"/>
  <c r="H86" i="9" s="1"/>
  <c r="H80" i="9" a="1"/>
  <c r="H80" i="9" s="1"/>
  <c r="L80" i="9" a="1"/>
  <c r="L80" i="9" s="1"/>
  <c r="G55" i="9" a="1"/>
  <c r="G55" i="9" s="1"/>
  <c r="W11" i="9" a="1"/>
  <c r="W11" i="9" s="1"/>
  <c r="N66" i="9" a="1"/>
  <c r="N66" i="9" s="1"/>
  <c r="H84" i="9" a="1"/>
  <c r="H84" i="9" s="1"/>
  <c r="N78" i="9" a="1"/>
  <c r="N78" i="9" s="1"/>
  <c r="W44" i="9" a="1"/>
  <c r="W44" i="9" s="1"/>
  <c r="G88" i="9" a="1"/>
  <c r="G88" i="9" s="1"/>
  <c r="W37" i="9" a="1"/>
  <c r="W37" i="9" s="1"/>
  <c r="W25" i="9" a="1"/>
  <c r="W25" i="9" s="1"/>
  <c r="AB15" i="9" a="1"/>
  <c r="AB15" i="9" s="1"/>
  <c r="G82" i="9" a="1"/>
  <c r="G82" i="9" s="1"/>
  <c r="L66" i="9" a="1"/>
  <c r="L66" i="9" s="1"/>
  <c r="X40" i="9" a="1"/>
  <c r="X40" i="9" s="1"/>
  <c r="W7" i="9" a="1"/>
  <c r="W7" i="9" s="1"/>
  <c r="AA14" i="9" a="1"/>
  <c r="AA14" i="9" s="1"/>
  <c r="X6" i="9" a="1"/>
  <c r="X6" i="9" s="1"/>
  <c r="I106" i="9"/>
  <c r="L134" i="9"/>
  <c r="J135" i="9"/>
  <c r="M102" i="9"/>
  <c r="H126" i="9"/>
  <c r="H282" i="1"/>
  <c r="H281" i="1"/>
  <c r="H274" i="1"/>
  <c r="H187" i="1"/>
  <c r="H185" i="1"/>
  <c r="H172" i="1"/>
  <c r="H225" i="1"/>
  <c r="H224" i="1"/>
  <c r="H229" i="1"/>
  <c r="H147" i="1"/>
  <c r="H146" i="1"/>
  <c r="H173" i="1"/>
  <c r="H176" i="1"/>
  <c r="H174" i="1"/>
  <c r="H175" i="1"/>
  <c r="H126" i="2"/>
  <c r="I126" i="2" s="1"/>
  <c r="D126" i="2" s="1"/>
  <c r="H4" i="2"/>
  <c r="I4" i="2" s="1"/>
  <c r="D4" i="2" s="1"/>
  <c r="G28" i="2"/>
  <c r="H125" i="1" s="1"/>
  <c r="G9" i="2"/>
  <c r="H96" i="1" s="1"/>
  <c r="H45" i="2"/>
  <c r="H109" i="2"/>
  <c r="I109" i="2" s="1"/>
  <c r="D109" i="2" s="1"/>
  <c r="H139" i="2"/>
  <c r="I139" i="2" s="1"/>
  <c r="D139" i="2" s="1"/>
  <c r="C9" i="8"/>
  <c r="C7" i="8"/>
  <c r="H21" i="7"/>
  <c r="D1343" i="17"/>
  <c r="K5" i="17" s="1"/>
  <c r="H15" i="7"/>
  <c r="H13" i="7"/>
  <c r="H17" i="7"/>
  <c r="C1343" i="17"/>
  <c r="K4" i="17" s="1"/>
  <c r="N5" i="17"/>
  <c r="G50" i="15"/>
  <c r="H10" i="7"/>
  <c r="D148" i="18"/>
  <c r="C11" i="8" s="1"/>
  <c r="D148" i="14"/>
  <c r="C10" i="8" s="1"/>
  <c r="I37" i="12"/>
  <c r="J148" i="14"/>
  <c r="C12" i="8" s="1"/>
  <c r="C43" i="12"/>
  <c r="E148" i="18"/>
  <c r="L22" i="22"/>
  <c r="G47" i="7"/>
  <c r="H50" i="15"/>
  <c r="K22" i="22"/>
  <c r="B13" i="20"/>
  <c r="N6" i="17"/>
  <c r="C12" i="10"/>
  <c r="C5" i="8"/>
  <c r="C16" i="10"/>
  <c r="E47" i="7"/>
  <c r="D2" i="2"/>
  <c r="E13" i="8" l="1"/>
  <c r="E9" i="8"/>
  <c r="E12" i="8"/>
  <c r="E11" i="8"/>
  <c r="E4" i="8"/>
  <c r="E6" i="8"/>
  <c r="E7" i="8"/>
  <c r="E10" i="8"/>
  <c r="C15" i="9"/>
  <c r="C8" i="9"/>
  <c r="O103" i="9"/>
  <c r="Q103" i="9" s="1"/>
  <c r="C14" i="9"/>
  <c r="O105" i="9"/>
  <c r="Q105" i="9" s="1"/>
  <c r="C17" i="9"/>
  <c r="M49" i="9" a="1"/>
  <c r="M49" i="9" s="1"/>
  <c r="O119" i="9"/>
  <c r="Q119" i="9" s="1"/>
  <c r="D14" i="19" a="1"/>
  <c r="D14" i="19" s="1"/>
  <c r="E14" i="19" s="1"/>
  <c r="D8" i="19" a="1"/>
  <c r="D8" i="19" s="1"/>
  <c r="D12" i="19" a="1"/>
  <c r="D12" i="19" s="1"/>
  <c r="A2" i="20"/>
  <c r="O108" i="9"/>
  <c r="Q108" i="9" s="1"/>
  <c r="O67" i="9"/>
  <c r="Q67" i="9" s="1"/>
  <c r="O111" i="9"/>
  <c r="Q111" i="9" s="1"/>
  <c r="C16" i="9"/>
  <c r="E18" i="19" a="1"/>
  <c r="E18" i="19" s="1"/>
  <c r="E10" i="9"/>
  <c r="O79" i="9"/>
  <c r="Q79" i="9" s="1"/>
  <c r="O50" i="9"/>
  <c r="Q50" i="9" s="1"/>
  <c r="O64" i="9"/>
  <c r="Q64" i="9" s="1"/>
  <c r="O118" i="9"/>
  <c r="Q118" i="9" s="1"/>
  <c r="O104" i="9"/>
  <c r="Q104" i="9" s="1"/>
  <c r="O75" i="9"/>
  <c r="Q75" i="9" s="1"/>
  <c r="AE10" i="9"/>
  <c r="AG10" i="9" s="1"/>
  <c r="C27" i="20" s="1"/>
  <c r="O89" i="9"/>
  <c r="Q89" i="9" s="1"/>
  <c r="AE32" i="9"/>
  <c r="AG32" i="9" s="1"/>
  <c r="C13" i="20" s="1"/>
  <c r="O131" i="9"/>
  <c r="Q131" i="9" s="1"/>
  <c r="O121" i="9"/>
  <c r="Q121" i="9" s="1"/>
  <c r="O101" i="9"/>
  <c r="Q101" i="9" s="1"/>
  <c r="C11" i="9"/>
  <c r="E11" i="9"/>
  <c r="O52" i="9"/>
  <c r="Q52" i="9" s="1"/>
  <c r="E13" i="9"/>
  <c r="C13" i="9"/>
  <c r="E49" i="9" a="1"/>
  <c r="E49" i="9" s="1"/>
  <c r="O70" i="9"/>
  <c r="Q70" i="9" s="1"/>
  <c r="C5" i="9"/>
  <c r="E5" i="9"/>
  <c r="O128" i="9"/>
  <c r="Q128" i="9" s="1"/>
  <c r="O53" i="9"/>
  <c r="Q53" i="9" s="1"/>
  <c r="AE11" i="9"/>
  <c r="AG11" i="9" s="1"/>
  <c r="C5" i="20" s="1"/>
  <c r="O130" i="9"/>
  <c r="Q130" i="9" s="1"/>
  <c r="O120" i="9"/>
  <c r="Q120" i="9" s="1"/>
  <c r="O76" i="9"/>
  <c r="Q76" i="9" s="1"/>
  <c r="O78" i="9"/>
  <c r="Q78" i="9" s="1"/>
  <c r="O81" i="9"/>
  <c r="Q81" i="9" s="1"/>
  <c r="O87" i="9"/>
  <c r="Q87" i="9" s="1"/>
  <c r="AE17" i="9"/>
  <c r="AG17" i="9" s="1"/>
  <c r="C31" i="20" s="1"/>
  <c r="AE19" i="9"/>
  <c r="AG19" i="9" s="1"/>
  <c r="C38" i="20" s="1"/>
  <c r="AE26" i="9"/>
  <c r="AG26" i="9" s="1"/>
  <c r="C32" i="20" s="1"/>
  <c r="G98" i="9"/>
  <c r="W5" i="9" s="1" a="1"/>
  <c r="W5" i="9" s="1"/>
  <c r="O129" i="9"/>
  <c r="Q129" i="9" s="1"/>
  <c r="C98" i="9"/>
  <c r="S5" i="9" s="1" a="1"/>
  <c r="S5" i="9" s="1"/>
  <c r="AE39" i="9"/>
  <c r="AG39" i="9" s="1"/>
  <c r="C34" i="20" s="1"/>
  <c r="J98" i="9"/>
  <c r="Z5" i="9" s="1" a="1"/>
  <c r="Z5" i="9" s="1"/>
  <c r="N98" i="9"/>
  <c r="AD5" i="9" s="1" a="1"/>
  <c r="AD5" i="9" s="1"/>
  <c r="C49" i="9" a="1"/>
  <c r="C49" i="9" s="1"/>
  <c r="H49" i="9" a="1"/>
  <c r="H49" i="9" s="1"/>
  <c r="W12" i="9" a="1"/>
  <c r="W12" i="9" s="1"/>
  <c r="AE12" i="9" s="1"/>
  <c r="AG12" i="9" s="1"/>
  <c r="C23" i="20" s="1"/>
  <c r="C12" i="19" a="1"/>
  <c r="C12" i="19" s="1"/>
  <c r="J49" i="9" a="1"/>
  <c r="J49" i="9" s="1"/>
  <c r="G49" i="9" a="1"/>
  <c r="G49" i="9" s="1"/>
  <c r="L49" i="9" a="1"/>
  <c r="L49" i="9" s="1"/>
  <c r="D49" i="9" a="1"/>
  <c r="D49" i="9" s="1"/>
  <c r="M98" i="9"/>
  <c r="AC5" i="9" s="1" a="1"/>
  <c r="AC5" i="9" s="1"/>
  <c r="O124" i="9"/>
  <c r="Q124" i="9" s="1"/>
  <c r="H98" i="9"/>
  <c r="X5" i="9" s="1" a="1"/>
  <c r="X5" i="9" s="1"/>
  <c r="O133" i="9"/>
  <c r="I49" i="9" a="1"/>
  <c r="I49" i="9" s="1"/>
  <c r="I98" i="9"/>
  <c r="Y5" i="9" s="1" a="1"/>
  <c r="Y5" i="9" s="1"/>
  <c r="O125" i="9"/>
  <c r="Q125" i="9" s="1"/>
  <c r="O112" i="9"/>
  <c r="Q112" i="9" s="1"/>
  <c r="P49" i="9"/>
  <c r="O68" i="9"/>
  <c r="Q68" i="9" s="1"/>
  <c r="O62" i="9"/>
  <c r="Q62" i="9" s="1"/>
  <c r="O132" i="9"/>
  <c r="Q132" i="9" s="1"/>
  <c r="B2" i="9"/>
  <c r="C2" i="9" s="1"/>
  <c r="F49" i="9" a="1"/>
  <c r="F49" i="9" s="1"/>
  <c r="O51" i="9"/>
  <c r="Q51" i="9" s="1"/>
  <c r="AE31" i="9"/>
  <c r="AG31" i="9" s="1"/>
  <c r="C36" i="20" s="1"/>
  <c r="O61" i="9"/>
  <c r="Q61" i="9" s="1"/>
  <c r="AE40" i="9"/>
  <c r="AG40" i="9" s="1"/>
  <c r="C25" i="20" s="1"/>
  <c r="AE27" i="9"/>
  <c r="AG27" i="9" s="1"/>
  <c r="C19" i="20" s="1"/>
  <c r="AE28" i="9"/>
  <c r="AG28" i="9" s="1"/>
  <c r="C30" i="20" s="1"/>
  <c r="O77" i="9"/>
  <c r="Q77" i="9" s="1"/>
  <c r="O60" i="9"/>
  <c r="Q60" i="9" s="1"/>
  <c r="AE35" i="9"/>
  <c r="AG35" i="9" s="1"/>
  <c r="C39" i="20" s="1"/>
  <c r="AE8" i="9"/>
  <c r="AG8" i="9" s="1"/>
  <c r="C22" i="20" s="1"/>
  <c r="O65" i="9"/>
  <c r="Q65" i="9" s="1"/>
  <c r="O74" i="9"/>
  <c r="Q74" i="9" s="1"/>
  <c r="P98" i="9"/>
  <c r="AF5" i="9" s="1"/>
  <c r="B2" i="20" s="1"/>
  <c r="N49" i="9" a="1"/>
  <c r="N49" i="9" s="1"/>
  <c r="D98" i="9"/>
  <c r="L98" i="9"/>
  <c r="AB5" i="9" s="1" a="1"/>
  <c r="AB5" i="9" s="1"/>
  <c r="E98" i="9"/>
  <c r="O83" i="9"/>
  <c r="Q83" i="9" s="1"/>
  <c r="K98" i="9"/>
  <c r="AA5" i="9" s="1" a="1"/>
  <c r="AA5" i="9" s="1"/>
  <c r="F98" i="9"/>
  <c r="V5" i="9" s="1" a="1"/>
  <c r="V5" i="9" s="1"/>
  <c r="O56" i="9"/>
  <c r="Q56" i="9" s="1"/>
  <c r="X36" i="9" a="1"/>
  <c r="X36" i="9" s="1"/>
  <c r="AE36" i="9" s="1"/>
  <c r="AG36" i="9" s="1"/>
  <c r="C17" i="20" s="1"/>
  <c r="O54" i="9"/>
  <c r="Q54" i="9" s="1"/>
  <c r="X15" i="9" a="1"/>
  <c r="X15" i="9" s="1"/>
  <c r="AE15" i="9" s="1"/>
  <c r="AG15" i="9" s="1"/>
  <c r="C4" i="20" s="1"/>
  <c r="AE25" i="9"/>
  <c r="AG25" i="9" s="1"/>
  <c r="C16" i="20" s="1"/>
  <c r="O88" i="9"/>
  <c r="Q88" i="9" s="1"/>
  <c r="O113" i="9"/>
  <c r="Q113" i="9" s="1"/>
  <c r="O66" i="9"/>
  <c r="Q66" i="9" s="1"/>
  <c r="AE22" i="9"/>
  <c r="AG22" i="9" s="1"/>
  <c r="C9" i="20" s="1"/>
  <c r="O71" i="9"/>
  <c r="Q71" i="9" s="1"/>
  <c r="O59" i="9"/>
  <c r="Q59" i="9" s="1"/>
  <c r="O72" i="9"/>
  <c r="Q72" i="9" s="1"/>
  <c r="O82" i="9"/>
  <c r="Q82" i="9" s="1"/>
  <c r="O73" i="9"/>
  <c r="Q73" i="9" s="1"/>
  <c r="AE23" i="9"/>
  <c r="AG23" i="9" s="1"/>
  <c r="C8" i="20" s="1"/>
  <c r="E2" i="9"/>
  <c r="C18" i="9"/>
  <c r="E18" i="9"/>
  <c r="O115" i="9"/>
  <c r="Q115" i="9" s="1"/>
  <c r="O86" i="9"/>
  <c r="Q86" i="9" s="1"/>
  <c r="O63" i="9"/>
  <c r="Q63" i="9" s="1"/>
  <c r="O116" i="9"/>
  <c r="Q116" i="9" s="1"/>
  <c r="O110" i="9"/>
  <c r="Q110" i="9" s="1"/>
  <c r="AE30" i="9"/>
  <c r="AG30" i="9" s="1"/>
  <c r="C15" i="20" s="1"/>
  <c r="O57" i="9"/>
  <c r="Q57" i="9" s="1"/>
  <c r="O69" i="9"/>
  <c r="Q69" i="9" s="1"/>
  <c r="AE6" i="9"/>
  <c r="AG6" i="9" s="1"/>
  <c r="C6" i="20" s="1"/>
  <c r="O58" i="9"/>
  <c r="Q58" i="9" s="1"/>
  <c r="AE38" i="9"/>
  <c r="AG38" i="9" s="1"/>
  <c r="C3" i="20" s="1"/>
  <c r="AE20" i="9"/>
  <c r="AG20" i="9" s="1"/>
  <c r="C37" i="20" s="1"/>
  <c r="O55" i="9"/>
  <c r="Q55" i="9" s="1"/>
  <c r="O80" i="9"/>
  <c r="Q80" i="9" s="1"/>
  <c r="AE37" i="9"/>
  <c r="AG37" i="9" s="1"/>
  <c r="C21" i="20" s="1"/>
  <c r="AE18" i="9"/>
  <c r="AG18" i="9" s="1"/>
  <c r="C18" i="20" s="1"/>
  <c r="AE14" i="9"/>
  <c r="AG14" i="9" s="1"/>
  <c r="C11" i="20" s="1"/>
  <c r="AE24" i="9"/>
  <c r="AG24" i="9" s="1"/>
  <c r="C40" i="20" s="1"/>
  <c r="O123" i="9"/>
  <c r="Q123" i="9" s="1"/>
  <c r="E12" i="9"/>
  <c r="C12" i="9"/>
  <c r="O107" i="9"/>
  <c r="Q107" i="9" s="1"/>
  <c r="O84" i="9"/>
  <c r="Q84" i="9" s="1"/>
  <c r="AA34" i="9" a="1"/>
  <c r="AA34" i="9" s="1"/>
  <c r="AE34" i="9" s="1"/>
  <c r="AG34" i="9" s="1"/>
  <c r="C7" i="20" s="1"/>
  <c r="O127" i="9"/>
  <c r="Q127" i="9" s="1"/>
  <c r="W29" i="9" a="1"/>
  <c r="W29" i="9" s="1"/>
  <c r="AE29" i="9" s="1"/>
  <c r="AG29" i="9" s="1"/>
  <c r="C28" i="20" s="1"/>
  <c r="O122" i="9"/>
  <c r="Q122" i="9" s="1"/>
  <c r="O85" i="9"/>
  <c r="Q85" i="9" s="1"/>
  <c r="W16" i="9" a="1"/>
  <c r="W16" i="9" s="1"/>
  <c r="AE16" i="9" s="1"/>
  <c r="AG16" i="9" s="1"/>
  <c r="C12" i="20" s="1"/>
  <c r="O109" i="9"/>
  <c r="Q109" i="9" s="1"/>
  <c r="O117" i="9"/>
  <c r="Q117" i="9" s="1"/>
  <c r="Z21" i="9" a="1"/>
  <c r="Z21" i="9" s="1"/>
  <c r="AE21" i="9" s="1"/>
  <c r="AG21" i="9" s="1"/>
  <c r="C14" i="20" s="1"/>
  <c r="O114" i="9"/>
  <c r="Q114" i="9" s="1"/>
  <c r="AB7" i="9" a="1"/>
  <c r="AB7" i="9" s="1"/>
  <c r="AE7" i="9" s="1"/>
  <c r="AG7" i="9" s="1"/>
  <c r="C29" i="20" s="1"/>
  <c r="O100" i="9"/>
  <c r="Q100" i="9" s="1"/>
  <c r="C9" i="9"/>
  <c r="E9" i="9"/>
  <c r="O99" i="9"/>
  <c r="Q99" i="9" s="1"/>
  <c r="AC9" i="9" a="1"/>
  <c r="AC9" i="9" s="1"/>
  <c r="AE9" i="9" s="1"/>
  <c r="AG9" i="9" s="1"/>
  <c r="C33" i="20" s="1"/>
  <c r="O102" i="9"/>
  <c r="Q102" i="9" s="1"/>
  <c r="Y13" i="9" a="1"/>
  <c r="Y13" i="9" s="1"/>
  <c r="AE13" i="9" s="1"/>
  <c r="AG13" i="9" s="1"/>
  <c r="C20" i="20" s="1"/>
  <c r="O106" i="9"/>
  <c r="Q106" i="9" s="1"/>
  <c r="Z42" i="9" a="1"/>
  <c r="Z42" i="9" s="1"/>
  <c r="AE42" i="9" s="1"/>
  <c r="AG42" i="9" s="1"/>
  <c r="C10" i="20" s="1"/>
  <c r="O135" i="9"/>
  <c r="AB41" i="9" a="1"/>
  <c r="AB41" i="9" s="1"/>
  <c r="AE41" i="9" s="1"/>
  <c r="AG41" i="9" s="1"/>
  <c r="C26" i="20" s="1"/>
  <c r="O134" i="9"/>
  <c r="X33" i="9" a="1"/>
  <c r="X33" i="9" s="1"/>
  <c r="AE33" i="9" s="1"/>
  <c r="AG33" i="9" s="1"/>
  <c r="C24" i="20" s="1"/>
  <c r="O126" i="9"/>
  <c r="Q126" i="9" s="1"/>
  <c r="I45" i="2"/>
  <c r="D45" i="2" s="1"/>
  <c r="C70" i="23"/>
  <c r="C71" i="23" s="1"/>
  <c r="H47" i="7"/>
  <c r="N7" i="17"/>
  <c r="P7" i="17" s="1"/>
  <c r="F1343" i="17"/>
  <c r="K6" i="17"/>
  <c r="F148" i="18"/>
  <c r="C14" i="8"/>
  <c r="C4" i="10" s="1"/>
  <c r="E5" i="8"/>
  <c r="E14" i="8" l="1"/>
  <c r="E12" i="19"/>
  <c r="E16" i="19" s="1"/>
  <c r="O49" i="9"/>
  <c r="C21" i="9" s="1"/>
  <c r="O98" i="9"/>
  <c r="Q98" i="9" s="1"/>
  <c r="AE5" i="9"/>
  <c r="AG5" i="9" s="1"/>
  <c r="C2" i="20" s="1"/>
  <c r="U5" i="9" a="1"/>
  <c r="U5" i="9" s="1"/>
  <c r="T5" i="9" a="1"/>
  <c r="T5" i="9" s="1"/>
  <c r="E20" i="19" a="1"/>
  <c r="E20" i="19" s="1"/>
  <c r="C19" i="10"/>
  <c r="C15" i="10"/>
  <c r="C17" i="10" s="1"/>
  <c r="AL5" i="9" l="1"/>
  <c r="C23" i="9"/>
  <c r="C3" i="10" s="1"/>
  <c r="C11" i="10" s="1"/>
  <c r="C13" i="10" s="1"/>
  <c r="C21" i="10" s="1"/>
  <c r="Q49"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<sst xmlns="http://schemas.openxmlformats.org/spreadsheetml/2006/main" count="5497" uniqueCount="1067">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</sst>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7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cellXfs>
  <cellStyles count="2">
    <cellStyle name="Comma" xfId="1" builtinId="3"/>
    <cellStyle name="Normal" xfId="0" builtinId="0"/>
  </cellStyles>
  <dxfs count="146">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0810188" createdVersion="8" refreshedVersion="8" minRefreshableVersion="3" recordCount="1275" xr:uid="{B5BDFB73-D93A-4A7A-8149-666BC190B09B}">
  <cacheSource type="worksheet">
    <worksheetSource name="Table14"/>
  </cacheSource>
  <cacheFields count="9">
    <cacheField name="Date" numFmtId="14">
      <sharedItems containsNonDate="0" containsDate="1" containsString="0" containsBlank="1" minDate="2026-03-30T00:00:00" maxDate="2026-08-01T00:00:00" count="117">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m/>
      </sharedItems>
      <fieldGroup par="8"/>
    </cacheField>
    <cacheField name="Party" numFmtId="0">
      <sharedItems containsBlank="1"/>
    </cacheField>
    <cacheField name="Debit" numFmtId="164">
      <sharedItems containsString="0" containsBlank="1" containsNumber="1" minValue="16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1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8/2026"/>
        </groupItems>
      </fieldGroup>
    </cacheField>
    <cacheField name="Months (Date)" numFmtId="0" databaseField="0">
      <fieldGroup base="0">
        <rangePr groupBy="months" startDate="2026-03-30T00:00:00" endDate="2026-08-01T00:00:00"/>
        <groupItems count="14">
          <s v="&lt;30/03/2026"/>
          <s v="Jan"/>
          <s v="Feb"/>
          <s v="Mar"/>
          <s v="Apr"/>
          <s v="May"/>
          <s v="Jun"/>
          <s v="Jul"/>
          <s v="Aug"/>
          <s v="Sept"/>
          <s v="Oct"/>
          <s v="Nov"/>
          <s v="Dec"/>
          <s v="&gt;01/08/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04166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157404" createdVersion="8" refreshedVersion="8" minRefreshableVersion="3" recordCount="42" xr:uid="{AC867DCC-CE64-4D1A-827D-F1F3EE10EE4E}">
  <cacheSource type="worksheet">
    <worksheetSource name="Table8"/>
  </cacheSource>
  <cacheFields count="9">
    <cacheField name="Date" numFmtId="0">
      <sharedItems containsNonDate="0" containsDate="1" containsString="0" containsBlank="1" minDate="2026-02-20T00:00:00" maxDate="2026-07-25T00:00:00" count="30">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27315"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1T00:00:00" count="38">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38888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620373"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12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6"/>
    </cacheField>
    <cacheField name="Quality" numFmtId="0">
      <sharedItems containsBlank="1"/>
    </cacheField>
    <cacheField name="Shipment Number" numFmtId="164">
      <sharedItems containsBlank="1" containsMixedTypes="1" containsNumber="1" containsInteger="1" minValue="1558" maxValue="17000" count="642">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5">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s v="NF"/>
    <n v="3126686.9809802491"/>
    <n v="31266869.809802495"/>
    <m/>
  </r>
  <r>
    <d v="2026-03-30T00:00:00"/>
    <x v="1"/>
    <s v="Closing CF"/>
    <s v="Chamki"/>
    <x v="0"/>
    <m/>
    <m/>
    <s v="NF"/>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s v="NF"/>
    <n v="48385.149963423559"/>
    <n v="483851.49963423557"/>
    <m/>
  </r>
  <r>
    <d v="2026-03-30T00:00:00"/>
    <x v="14"/>
    <s v="Closing CF"/>
    <s v="Chamki"/>
    <x v="0"/>
    <m/>
    <m/>
    <e v="#DIV/0!"/>
    <n v="8915.5084125822978"/>
    <n v="89155.084125822978"/>
    <m/>
  </r>
  <r>
    <d v="2026-03-30T00:00:00"/>
    <x v="15"/>
    <s v="Closing CF"/>
    <s v="Chamki"/>
    <x v="0"/>
    <m/>
    <m/>
    <s v="NF"/>
    <n v="47437.820043891741"/>
    <n v="474378.20043891744"/>
    <m/>
  </r>
  <r>
    <d v="2026-03-30T00:00:00"/>
    <x v="16"/>
    <s v="Closing CF"/>
    <s v="Chamki"/>
    <x v="0"/>
    <m/>
    <m/>
    <e v="#DIV/0!"/>
    <n v="0"/>
    <n v="30000"/>
    <m/>
  </r>
  <r>
    <d v="2026-03-30T00:00:00"/>
    <x v="17"/>
    <s v="Closing CF"/>
    <s v="Chamki"/>
    <x v="0"/>
    <m/>
    <m/>
    <s v="NF"/>
    <n v="64300.475493782011"/>
    <n v="643004.75493782014"/>
    <m/>
  </r>
  <r>
    <d v="2026-03-30T00:00:00"/>
    <x v="18"/>
    <s v="Closing CF"/>
    <s v="Chamki"/>
    <x v="0"/>
    <m/>
    <m/>
    <e v="#DIV/0!"/>
    <n v="362820.04389173369"/>
    <n v="3628200.4389173379"/>
    <m/>
  </r>
  <r>
    <d v="2026-03-30T00:00:00"/>
    <x v="19"/>
    <s v="Closing CF"/>
    <s v="Chamki"/>
    <x v="0"/>
    <m/>
    <m/>
    <s v="NF"/>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s v="NF"/>
    <n v="0"/>
    <n v="0"/>
    <m/>
  </r>
  <r>
    <d v="2026-03-30T00:00:00"/>
    <x v="23"/>
    <s v="Closing CF"/>
    <s v="Chamki"/>
    <x v="0"/>
    <m/>
    <m/>
    <s v="NF"/>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s v="NF"/>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s v="NF"/>
    <n v="445562.36283833213"/>
    <n v="5733166.6057059262"/>
    <m/>
  </r>
  <r>
    <d v="2026-03-30T00:00:00"/>
    <x v="2"/>
    <s v="Closing CF"/>
    <s v="Silky"/>
    <x v="0"/>
    <m/>
    <m/>
    <s v="NF"/>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s v="NF"/>
    <n v="0"/>
    <n v="0"/>
    <m/>
  </r>
  <r>
    <d v="2026-03-30T00:00:00"/>
    <x v="10"/>
    <s v="Closing CF"/>
    <s v="Silky"/>
    <x v="0"/>
    <m/>
    <m/>
    <s v="NF"/>
    <n v="0"/>
    <n v="0"/>
    <m/>
  </r>
  <r>
    <d v="2026-03-30T00:00:00"/>
    <x v="11"/>
    <s v="Closing CF"/>
    <s v="Silky"/>
    <x v="0"/>
    <m/>
    <m/>
    <e v="#DIV/0!"/>
    <n v="141474.94513533285"/>
    <n v="1776019.5683979518"/>
    <m/>
  </r>
  <r>
    <d v="2026-03-30T00:00:00"/>
    <x v="12"/>
    <s v="Closing CF"/>
    <s v="Silky"/>
    <x v="0"/>
    <m/>
    <m/>
    <s v="NF"/>
    <n v="0"/>
    <n v="0"/>
    <m/>
  </r>
  <r>
    <d v="2026-03-30T00:00:00"/>
    <x v="13"/>
    <s v="Closing CF"/>
    <s v="Silky"/>
    <x v="0"/>
    <m/>
    <m/>
    <e v="#DIV/0!"/>
    <n v="0"/>
    <n v="0"/>
    <m/>
  </r>
  <r>
    <d v="2026-03-30T00:00:00"/>
    <x v="14"/>
    <s v="Closing CF"/>
    <s v="Silky"/>
    <x v="0"/>
    <m/>
    <m/>
    <e v="#DIV/0!"/>
    <n v="0"/>
    <n v="0"/>
    <m/>
  </r>
  <r>
    <d v="2026-03-30T00:00:00"/>
    <x v="15"/>
    <s v="Closing CF"/>
    <s v="Silky"/>
    <x v="0"/>
    <m/>
    <m/>
    <s v="NF"/>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s v="NF"/>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s v="NF"/>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s v="NF"/>
    <n v="1321.3240673006585"/>
    <n v="15855.888807607902"/>
    <m/>
  </r>
  <r>
    <d v="2026-03-30T00:00:00"/>
    <x v="30"/>
    <s v="Closing CF"/>
    <s v="Silky"/>
    <x v="0"/>
    <m/>
    <m/>
    <s v="NF"/>
    <n v="0"/>
    <n v="0"/>
    <m/>
  </r>
  <r>
    <d v="2026-03-30T00:00:00"/>
    <x v="31"/>
    <s v="Closing CF"/>
    <s v="Silky"/>
    <x v="0"/>
    <m/>
    <m/>
    <s v="NF"/>
    <n v="157432.33357717632"/>
    <n v="2046620.336503292"/>
    <m/>
  </r>
  <r>
    <d v="2026-03-30T00:00:00"/>
    <x v="32"/>
    <s v="Closing CF"/>
    <s v="Silky"/>
    <x v="0"/>
    <m/>
    <m/>
    <s v="NF"/>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s v="NF"/>
    <m/>
    <n v="239959.76591075349"/>
    <m/>
  </r>
  <r>
    <d v="2026-03-30T00:00:00"/>
    <x v="19"/>
    <s v="Closing CF"/>
    <s v="Black-Chamki"/>
    <x v="0"/>
    <m/>
    <m/>
    <s v="NF"/>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s v="NF"/>
    <m/>
    <n v="659577.54206291155"/>
    <m/>
  </r>
  <r>
    <d v="2026-03-30T00:00:00"/>
    <x v="0"/>
    <s v="Closing CF"/>
    <s v="Kataan"/>
    <x v="0"/>
    <m/>
    <m/>
    <e v="#DIV/0!"/>
    <m/>
    <n v="2127095.8302852963"/>
    <m/>
  </r>
  <r>
    <d v="2026-03-30T00:00:00"/>
    <x v="25"/>
    <s v="Closing CF"/>
    <s v="Munaar"/>
    <x v="0"/>
    <m/>
    <m/>
    <s v="NF"/>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s v="NF"/>
    <m/>
    <m/>
    <m/>
  </r>
  <r>
    <d v="2026-03-30T00:00:00"/>
    <x v="34"/>
    <m/>
    <m/>
    <x v="0"/>
    <m/>
    <m/>
    <s v="NF"/>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s v="NF"/>
    <n v="6634.9670811997075"/>
    <n v="66349.670811997072"/>
    <m/>
  </r>
  <r>
    <d v="2026-07-11T00:00:00"/>
    <x v="0"/>
    <n v="1808"/>
    <s v="Chamki"/>
    <x v="132"/>
    <n v="27569"/>
    <n v="11620"/>
    <s v="NF"/>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1T00:00:00"/>
    <x v="18"/>
    <n v="1814"/>
    <s v="super kataan"/>
    <x v="137"/>
    <n v="7211"/>
    <n v="7429"/>
    <s v="NF"/>
    <n v="6793.1602048280911"/>
    <n v="101897.40307242137"/>
    <m/>
  </r>
  <r>
    <d v="2026-07-11T00:00:00"/>
    <x v="36"/>
    <n v="1815"/>
    <s v="Chamki"/>
    <x v="138"/>
    <n v="2977"/>
    <n v="2111"/>
    <s v="NF"/>
    <m/>
    <m/>
    <m/>
  </r>
  <r>
    <d v="2026-07-11T00:00:00"/>
    <x v="0"/>
    <n v="1816"/>
    <s v="Silky"/>
    <x v="139"/>
    <n v="36789"/>
    <n v="38686"/>
    <s v="NF"/>
    <m/>
    <m/>
    <m/>
  </r>
  <r>
    <d v="2026-07-11T00:00:00"/>
    <x v="39"/>
    <n v="1817"/>
    <s v="Chamki"/>
    <x v="140"/>
    <n v="12033"/>
    <n v="12741"/>
    <s v="NF"/>
    <m/>
    <m/>
    <m/>
  </r>
  <r>
    <d v="2026-07-11T00:00:00"/>
    <x v="18"/>
    <n v="1818"/>
    <s v="super kataan"/>
    <x v="137"/>
    <m/>
    <n v="51"/>
    <s v="NF"/>
    <m/>
    <m/>
    <m/>
  </r>
  <r>
    <d v="2026-07-11T00:00:00"/>
    <x v="0"/>
    <n v="1819"/>
    <s v="Crinkle"/>
    <x v="141"/>
    <m/>
    <n v="300"/>
    <s v="NF"/>
    <m/>
    <m/>
    <m/>
  </r>
  <r>
    <d v="2026-07-11T00:00:00"/>
    <x v="36"/>
    <n v="1820"/>
    <s v="Chamki"/>
    <x v="142"/>
    <n v="21989"/>
    <n v="23571"/>
    <s v="NF"/>
    <m/>
    <m/>
    <m/>
  </r>
  <r>
    <d v="2026-07-11T00:00:00"/>
    <x v="0"/>
    <n v="1821"/>
    <s v="Chamki"/>
    <x v="143"/>
    <n v="14222"/>
    <n v="15277"/>
    <s v="NF"/>
    <m/>
    <m/>
    <m/>
  </r>
  <r>
    <d v="2026-07-11T00:00:00"/>
    <x v="36"/>
    <n v="1822"/>
    <s v="Chamki"/>
    <x v="138"/>
    <n v="2977"/>
    <n v="1089"/>
    <s v="NF"/>
    <m/>
    <m/>
    <m/>
  </r>
  <r>
    <d v="2026-07-11T00:00:00"/>
    <x v="0"/>
    <n v="1823"/>
    <s v="Chamki"/>
    <x v="70"/>
    <m/>
    <n v="2266"/>
    <e v="#DIV/0!"/>
    <m/>
    <m/>
    <m/>
  </r>
  <r>
    <d v="2026-07-11T00:00:00"/>
    <x v="17"/>
    <n v="1824"/>
    <s v="Satin"/>
    <x v="144"/>
    <n v="10346"/>
    <n v="10516"/>
    <s v="NF"/>
    <m/>
    <m/>
    <m/>
  </r>
  <r>
    <d v="2026-07-11T00:00:00"/>
    <x v="17"/>
    <n v="1825"/>
    <s v="Silky"/>
    <x v="145"/>
    <n v="1641"/>
    <n v="1730"/>
    <s v="NF"/>
    <m/>
    <m/>
    <m/>
  </r>
  <r>
    <d v="2026-07-11T00:00:00"/>
    <x v="0"/>
    <n v="1826"/>
    <s v="Crinkle"/>
    <x v="146"/>
    <n v="2492"/>
    <n v="2582"/>
    <s v="NF"/>
    <m/>
    <m/>
    <m/>
  </r>
  <r>
    <d v="2026-07-11T00:00:00"/>
    <x v="40"/>
    <n v="1827"/>
    <s v="super kataan"/>
    <x v="147"/>
    <n v="7310"/>
    <n v="7534"/>
    <s v="NF"/>
    <m/>
    <m/>
    <m/>
  </r>
  <r>
    <d v="2026-07-11T00:00:00"/>
    <x v="0"/>
    <n v="1828"/>
    <s v="Crinkle"/>
    <x v="141"/>
    <m/>
    <n v="1311"/>
    <m/>
    <m/>
    <m/>
    <m/>
  </r>
  <r>
    <d v="2026-07-11T00:00:00"/>
    <x v="0"/>
    <n v="1829"/>
    <s v="Crinkle"/>
    <x v="148"/>
    <n v="13467"/>
    <n v="13975"/>
    <m/>
    <m/>
    <m/>
    <m/>
  </r>
  <r>
    <d v="2026-07-11T00:00:00"/>
    <x v="31"/>
    <n v="1830"/>
    <s v="Silky"/>
    <x v="149"/>
    <n v="28109"/>
    <n v="29828"/>
    <m/>
    <m/>
    <m/>
    <m/>
  </r>
  <r>
    <d v="2026-07-11T00:00:00"/>
    <x v="31"/>
    <n v="1831"/>
    <s v="Silky"/>
    <x v="150"/>
    <n v="46027"/>
    <n v="29491"/>
    <m/>
    <m/>
    <m/>
    <m/>
  </r>
  <r>
    <d v="2026-07-11T00:00:00"/>
    <x v="31"/>
    <n v="1832"/>
    <s v="super kataan"/>
    <x v="151"/>
    <n v="8855"/>
    <n v="9093"/>
    <m/>
    <m/>
    <m/>
    <m/>
  </r>
  <r>
    <d v="2026-07-11T00:00:00"/>
    <x v="31"/>
    <n v="1833"/>
    <s v="Silky"/>
    <x v="150"/>
    <n v="46027"/>
    <n v="19237"/>
    <m/>
    <m/>
    <m/>
    <m/>
  </r>
  <r>
    <d v="2026-07-11T00:00:00"/>
    <x v="0"/>
    <n v="1834"/>
    <s v="Silky"/>
    <x v="152"/>
    <n v="40084"/>
    <n v="37597"/>
    <m/>
    <m/>
    <m/>
    <m/>
  </r>
  <r>
    <d v="2026-07-11T00:00:00"/>
    <x v="0"/>
    <n v="1835"/>
    <s v="Silky"/>
    <x v="152"/>
    <n v="40084"/>
    <n v="5217"/>
    <m/>
    <m/>
    <m/>
    <m/>
  </r>
  <r>
    <d v="2026-07-11T00:00:00"/>
    <x v="33"/>
    <n v="1836"/>
    <s v="Satin"/>
    <x v="153"/>
    <n v="15066"/>
    <n v="3752"/>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s v="NF"/>
    <m/>
    <m/>
    <m/>
  </r>
  <r>
    <m/>
    <x v="34"/>
    <m/>
    <m/>
    <x v="0"/>
    <m/>
    <m/>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2">
      <pivotArea field="0" grandRow="1" outline="0" collapsedLevelsAreSubtotals="1" axis="axisRow" fieldPosition="0">
        <references count="1">
          <reference field="4294967294" count="1" selected="0">
            <x v="1"/>
          </reference>
        </references>
      </pivotArea>
    </format>
    <format dxfId="121">
      <pivotArea field="0" grandRow="1" outline="0" collapsedLevelsAreSubtotals="1" axis="axisRow" fieldPosition="0">
        <references count="1">
          <reference field="4294967294" count="1" selected="0">
            <x v="0"/>
          </reference>
        </references>
      </pivotArea>
    </format>
    <format dxfId="120">
      <pivotArea collapsedLevelsAreSubtotals="1" fieldPosition="0">
        <references count="2">
          <reference field="4294967294" count="1" selected="0">
            <x v="1"/>
          </reference>
          <reference field="0" count="0"/>
        </references>
      </pivotArea>
    </format>
    <format dxfId="11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5" firstHeaderRow="0" firstDataRow="1" firstDataCol="1" rowPageCount="1" colPageCount="1"/>
  <pivotFields count="9">
    <pivotField axis="axisRow" numFmtId="14" showAll="0">
      <items count="39">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1">
      <pivotArea dataOnly="0" labelOnly="1" outline="0" fieldPosition="0">
        <references count="1">
          <reference field="1" count="1">
            <x v="1"/>
          </reference>
        </references>
      </pivotArea>
    </format>
    <format dxfId="8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11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16"/>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1">
        <item x="8"/>
        <item x="1"/>
        <item x="2"/>
        <item x="3"/>
        <item x="4"/>
        <item x="5"/>
        <item x="6"/>
        <item x="7"/>
        <item x="9"/>
        <item x="10"/>
        <item x="11"/>
        <item x="12"/>
        <item x="13"/>
        <item x="14"/>
        <item x="15"/>
        <item x="0"/>
        <item x="16"/>
        <item x="17"/>
        <item x="18"/>
        <item x="19"/>
        <item x="20"/>
        <item x="21"/>
        <item x="22"/>
        <item x="23"/>
        <item x="24"/>
        <item x="25"/>
        <item x="26"/>
        <item x="27"/>
        <item x="28"/>
        <item x="29"/>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8"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3">
        <item m="1" x="625"/>
        <item m="1" x="626"/>
        <item m="1" x="624"/>
        <item m="1" x="623"/>
        <item m="1" x="627"/>
        <item m="1" x="629"/>
        <item m="1" x="628"/>
        <item m="1" x="630"/>
        <item m="1" x="631"/>
        <item m="1" x="632"/>
        <item m="1" x="633"/>
        <item m="1" x="634"/>
        <item m="1" x="635"/>
        <item m="1" x="636"/>
        <item m="1" x="561"/>
        <item m="1" x="583"/>
        <item m="1" x="637"/>
        <item m="1" x="638"/>
        <item m="1" x="639"/>
        <item m="1" x="591"/>
        <item m="1" x="590"/>
        <item m="1" x="640"/>
        <item m="1" x="641"/>
        <item m="1" x="600"/>
        <item m="1" x="592"/>
        <item m="1" x="593"/>
        <item m="1" x="594"/>
        <item m="1" x="595"/>
        <item m="1" x="596"/>
        <item m="1" x="597"/>
        <item m="1" x="598"/>
        <item m="1" x="599"/>
        <item m="1" x="601"/>
        <item m="1" x="621"/>
        <item m="1" x="602"/>
        <item m="1" x="622"/>
        <item m="1" x="603"/>
        <item m="1" x="604"/>
        <item m="1" x="605"/>
        <item m="1" x="606"/>
        <item m="1" x="607"/>
        <item m="1" x="538"/>
        <item m="1" x="608"/>
        <item m="1" x="609"/>
        <item m="1" x="610"/>
        <item m="1" x="611"/>
        <item m="1" x="612"/>
        <item m="1" x="613"/>
        <item m="1" x="614"/>
        <item m="1" x="615"/>
        <item m="1" x="616"/>
        <item m="1" x="617"/>
        <item m="1" x="618"/>
        <item m="1" x="619"/>
        <item m="1" x="620"/>
        <item x="0"/>
        <item m="1" x="537"/>
        <item m="1" x="539"/>
        <item m="1" x="540"/>
        <item m="1" x="541"/>
        <item m="1" x="542"/>
        <item m="1" x="543"/>
        <item m="1" x="544"/>
        <item m="1" x="545"/>
        <item m="1" x="546"/>
        <item m="1" x="547"/>
        <item m="1" x="548"/>
        <item m="1" x="549"/>
        <item m="1" x="550"/>
        <item m="1" x="551"/>
        <item m="1" x="276"/>
        <item m="1" x="552"/>
        <item m="1" x="553"/>
        <item m="1" x="554"/>
        <item m="1" x="555"/>
        <item m="1" x="556"/>
        <item m="1" x="557"/>
        <item m="1" x="558"/>
        <item m="1" x="559"/>
        <item m="1" x="560"/>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4"/>
        <item m="1" x="585"/>
        <item m="1" x="586"/>
        <item m="1" x="587"/>
        <item m="1" x="588"/>
        <item m="1" x="589"/>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292"/>
        <item m="1" x="506"/>
        <item m="1" x="507"/>
        <item m="1" x="508"/>
        <item m="1" x="509"/>
        <item m="1" x="510"/>
        <item m="1" x="511"/>
        <item m="1" x="512"/>
        <item m="1" x="513"/>
        <item m="1" x="514"/>
        <item m="1" x="515"/>
        <item m="1" x="516"/>
        <item m="1" x="536"/>
        <item m="1" x="517"/>
        <item m="1" x="518"/>
        <item m="1" x="519"/>
        <item m="1" x="520"/>
        <item m="1" x="521"/>
        <item m="1" x="522"/>
        <item m="1" x="523"/>
        <item m="1" x="524"/>
        <item m="1" x="525"/>
        <item m="1" x="526"/>
        <item m="1" x="527"/>
        <item m="1" x="528"/>
        <item m="1" x="529"/>
        <item m="1" x="530"/>
        <item m="1" x="531"/>
        <item m="1" x="532"/>
        <item m="1" x="533"/>
        <item m="1" x="534"/>
        <item m="1" x="535"/>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332"/>
        <item m="1" x="455"/>
        <item m="1" x="323"/>
        <item m="1" x="324"/>
        <item m="1" x="325"/>
        <item m="1" x="326"/>
        <item m="1" x="327"/>
        <item m="1" x="328"/>
        <item m="1" x="329"/>
        <item m="1" x="330"/>
        <item m="1" x="331"/>
        <item m="1" x="333"/>
        <item m="1" x="334"/>
        <item m="1" x="335"/>
        <item m="1" x="336"/>
        <item m="1" x="337"/>
        <item m="1" x="338"/>
        <item m="1" x="339"/>
        <item m="1" x="340"/>
        <item m="1" x="341"/>
        <item m="1" x="342"/>
        <item m="1" x="343"/>
        <item m="1" x="344"/>
        <item m="1" x="345"/>
        <item m="1" x="346"/>
        <item m="1" x="273"/>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277"/>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274"/>
        <item m="1" x="398"/>
        <item m="1" x="399"/>
        <item m="1" x="271"/>
        <item m="1" x="280"/>
        <item m="1" x="272"/>
        <item m="1" x="275"/>
        <item m="1" x="278"/>
        <item m="1" x="279"/>
        <item m="1" x="281"/>
        <item m="1" x="282"/>
        <item m="1" x="283"/>
        <item m="1" x="284"/>
        <item m="1" x="285"/>
        <item m="1" x="286"/>
        <item m="1" x="287"/>
        <item m="1" x="288"/>
        <item m="1" x="289"/>
        <item m="1" x="290"/>
        <item m="1" x="197"/>
        <item m="1" x="291"/>
        <item m="1" x="293"/>
        <item m="1" x="294"/>
        <item m="1" x="295"/>
        <item m="1" x="252"/>
        <item m="1" x="228"/>
        <item m="1" x="296"/>
        <item m="1" x="297"/>
        <item m="1" x="298"/>
        <item m="1" x="220"/>
        <item m="1" x="299"/>
        <item m="1" x="300"/>
        <item m="1" x="301"/>
        <item m="1" x="302"/>
        <item m="1" x="267"/>
        <item m="1" x="303"/>
        <item m="1" x="304"/>
        <item m="1" x="305"/>
        <item m="1" x="306"/>
        <item m="1" x="307"/>
        <item m="1" x="308"/>
        <item m="1" x="309"/>
        <item m="1" x="310"/>
        <item m="1" x="311"/>
        <item m="1" x="312"/>
        <item m="1" x="313"/>
        <item m="1" x="314"/>
        <item m="1" x="322"/>
        <item m="1" x="315"/>
        <item m="1" x="316"/>
        <item m="1" x="217"/>
        <item m="1" x="218"/>
        <item m="1" x="317"/>
        <item m="1" x="229"/>
        <item m="1" x="318"/>
        <item m="1" x="319"/>
        <item m="1" x="320"/>
        <item m="1" x="321"/>
        <item m="1" x="216"/>
        <item m="1" x="214"/>
        <item m="1" x="213"/>
        <item m="1" x="215"/>
        <item m="1" x="219"/>
        <item m="1" x="166"/>
        <item m="1" x="162"/>
        <item m="1" x="221"/>
        <item m="1" x="222"/>
        <item m="1" x="223"/>
        <item m="1" x="224"/>
        <item m="1" x="225"/>
        <item m="1" x="226"/>
        <item m="1" x="227"/>
        <item m="1" x="230"/>
        <item m="1" x="231"/>
        <item m="1" x="232"/>
        <item m="1" x="233"/>
        <item m="1" x="234"/>
        <item m="1" x="235"/>
        <item m="1" x="236"/>
        <item m="1" x="237"/>
        <item m="1" x="238"/>
        <item m="1" x="239"/>
        <item m="1" x="240"/>
        <item m="1" x="241"/>
        <item m="1" x="242"/>
        <item m="1" x="243"/>
        <item m="1" x="155"/>
        <item m="1" x="244"/>
        <item m="1" x="245"/>
        <item m="1" x="246"/>
        <item m="1" x="163"/>
        <item m="1" x="247"/>
        <item m="1" x="248"/>
        <item m="1" x="249"/>
        <item m="1" x="250"/>
        <item m="1" x="251"/>
        <item m="1" x="253"/>
        <item m="1" x="254"/>
        <item m="1" x="255"/>
        <item m="1" x="256"/>
        <item m="1" x="161"/>
        <item m="1" x="257"/>
        <item m="1" x="258"/>
        <item m="1" x="259"/>
        <item m="1" x="260"/>
        <item m="1" x="261"/>
        <item m="1" x="262"/>
        <item m="1" x="168"/>
        <item m="1" x="263"/>
        <item m="1" x="208"/>
        <item m="1" x="264"/>
        <item m="1" x="160"/>
        <item m="1" x="265"/>
        <item m="1" x="266"/>
        <item m="1" x="172"/>
        <item m="1" x="268"/>
        <item m="1" x="269"/>
        <item m="1" x="270"/>
        <item m="1" x="154"/>
        <item m="1" x="156"/>
        <item m="1" x="157"/>
        <item m="1" x="158"/>
        <item m="1" x="159"/>
        <item m="1" x="164"/>
        <item m="1" x="165"/>
        <item m="1" x="167"/>
        <item m="1" x="169"/>
        <item m="1" x="170"/>
        <item m="1" x="171"/>
        <item m="1" x="173"/>
        <item m="1" x="174"/>
        <item m="1" x="175"/>
        <item m="1" x="176"/>
        <item m="1" x="177"/>
        <item m="1" x="178"/>
        <item m="1" x="179"/>
        <item m="1" x="180"/>
        <item x="84"/>
        <item m="1" x="181"/>
        <item m="1" x="182"/>
        <item m="1" x="183"/>
        <item m="1" x="184"/>
        <item m="1" x="185"/>
        <item m="1" x="186"/>
        <item m="1" x="187"/>
        <item m="1" x="188"/>
        <item m="1" x="189"/>
        <item m="1" x="190"/>
        <item m="1" x="191"/>
        <item m="1" x="192"/>
        <item m="1" x="193"/>
        <item m="1" x="194"/>
        <item m="1" x="195"/>
        <item m="1" x="196"/>
        <item m="1" x="198"/>
        <item m="1" x="199"/>
        <item x="16"/>
        <item m="1" x="200"/>
        <item m="1" x="201"/>
        <item m="1" x="202"/>
        <item m="1" x="203"/>
        <item m="1" x="204"/>
        <item m="1" x="205"/>
        <item m="1" x="206"/>
        <item m="1" x="207"/>
        <item m="1" x="212"/>
        <item m="1" x="209"/>
        <item m="1" x="210"/>
        <item m="1" x="211"/>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5">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2">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6" s="1" nd="1"/>
        <i x="625" s="1" nd="1"/>
        <i x="626" s="1" nd="1"/>
        <i x="634" s="1" nd="1"/>
        <i x="624" s="1" nd="1"/>
        <i x="623" s="1" nd="1"/>
        <i x="627" s="1" nd="1"/>
        <i x="638" s="1" nd="1"/>
        <i x="630" s="1" nd="1"/>
        <i x="631" s="1" nd="1"/>
        <i x="628" s="1" nd="1"/>
        <i x="629" s="1" nd="1"/>
        <i x="639" s="1" nd="1"/>
        <i x="632" s="1" nd="1"/>
        <i x="633" s="1" nd="1"/>
        <i x="636" s="1" nd="1"/>
        <i x="637" s="1" nd="1"/>
        <i x="635" s="1" nd="1"/>
        <i x="591" s="1" nd="1"/>
        <i x="641" s="1" nd="1"/>
        <i x="590" s="1" nd="1"/>
        <i x="640" s="1" nd="1"/>
        <i x="593" s="1" nd="1"/>
        <i x="554" s="1" nd="1"/>
        <i x="592" s="1" nd="1"/>
        <i x="594" s="1" nd="1"/>
        <i x="600" s="1" nd="1"/>
        <i x="595" s="1" nd="1"/>
        <i x="597" s="1" nd="1"/>
        <i x="613" s="1" nd="1"/>
        <i x="537" s="1" nd="1"/>
        <i x="601" s="1" nd="1"/>
        <i x="542" s="1" nd="1"/>
        <i x="607" s="1" nd="1"/>
        <i x="602" s="1" nd="1"/>
        <i x="605" s="1" nd="1"/>
        <i x="610" s="1" nd="1"/>
        <i x="621" s="1" nd="1"/>
        <i x="603" s="1" nd="1"/>
        <i x="615" s="1" nd="1"/>
        <i x="618" s="1" nd="1"/>
        <i x="609" s="1" nd="1"/>
        <i x="598" s="1" nd="1"/>
        <i x="606" s="1" nd="1"/>
        <i x="599" s="1" nd="1"/>
        <i x="604" s="1" nd="1"/>
        <i x="538" s="1" nd="1"/>
        <i x="608" s="1" nd="1"/>
        <i x="614" s="1" nd="1"/>
        <i x="276" s="1" nd="1"/>
        <i x="611" s="1" nd="1"/>
        <i x="616" s="1" nd="1"/>
        <i x="612" s="1" nd="1"/>
        <i x="578" s="1" nd="1"/>
        <i x="617" s="1" nd="1"/>
        <i x="619" s="1" nd="1"/>
        <i x="540" s="1" nd="1"/>
        <i x="547" s="1" nd="1"/>
        <i x="620" s="1" nd="1"/>
        <i x="544" s="1" nd="1"/>
        <i x="545" s="1" nd="1"/>
        <i x="539" s="1" nd="1"/>
        <i x="543" s="1" nd="1"/>
        <i x="431" s="1" nd="1"/>
        <i x="541" s="1" nd="1"/>
        <i x="550" s="1" nd="1"/>
        <i x="546" s="1" nd="1"/>
        <i x="548" s="1" nd="1"/>
        <i x="551" s="1" nd="1"/>
        <i x="558" s="1" nd="1"/>
        <i x="549" s="1" nd="1"/>
        <i x="557" s="1" nd="1"/>
        <i x="562" s="1" nd="1"/>
        <i x="556" s="1" nd="1"/>
        <i x="559" s="1" nd="1"/>
        <i x="569" s="1" nd="1"/>
        <i x="555" s="1" nd="1"/>
        <i x="552" s="1" nd="1"/>
        <i x="553" s="1" nd="1"/>
        <i x="568" s="1" nd="1"/>
        <i x="427" s="1" nd="1"/>
        <i x="561" s="1" nd="1"/>
        <i x="572" s="1" nd="1"/>
        <i x="567" s="1" nd="1"/>
        <i x="560" s="1" nd="1"/>
        <i x="584" s="1" nd="1"/>
        <i x="565" s="1" nd="1"/>
        <i x="575" s="1" nd="1"/>
        <i x="573" s="1" nd="1"/>
        <i x="563" s="1" nd="1"/>
        <i x="571" s="1" nd="1"/>
        <i x="570" s="1" nd="1"/>
        <i x="566" s="1" nd="1"/>
        <i x="576" s="1" nd="1"/>
        <i x="574" s="1" nd="1"/>
        <i x="577" s="1" nd="1"/>
        <i x="564" s="1" nd="1"/>
        <i x="506" s="1" nd="1"/>
        <i x="579" s="1" nd="1"/>
        <i x="580" s="1" nd="1"/>
        <i x="465" s="1" nd="1"/>
        <i x="467" s="1" nd="1"/>
        <i x="587" s="1" nd="1"/>
        <i x="461" s="1" nd="1"/>
        <i x="507" s="1" nd="1"/>
        <i x="581" s="1" nd="1"/>
        <i x="582" s="1" nd="1"/>
        <i x="464" s="1" nd="1"/>
        <i x="589" s="1" nd="1"/>
        <i x="463" s="1" nd="1"/>
        <i x="478" s="1" nd="1"/>
        <i x="588" s="1" nd="1"/>
        <i x="583" s="1" nd="1"/>
        <i x="482" s="1" nd="1"/>
        <i x="195" s="1" nd="1"/>
        <i x="586" s="1" nd="1"/>
        <i x="585" s="1" nd="1"/>
        <i x="503" s="1" nd="1"/>
        <i x="456" s="1" nd="1"/>
        <i x="468" s="1" nd="1"/>
        <i x="504" s="1" nd="1"/>
        <i x="502" s="1" nd="1"/>
        <i x="460" s="1" nd="1"/>
        <i x="462" s="1" nd="1"/>
        <i x="295" s="1" nd="1"/>
        <i x="466" s="1" nd="1"/>
        <i x="457" s="1" nd="1"/>
        <i x="492" s="1" nd="1"/>
        <i x="497" s="1" nd="1"/>
        <i x="458" s="1" nd="1"/>
        <i x="459" s="1" nd="1"/>
        <i x="469" s="1" nd="1"/>
        <i x="472" s="1" nd="1"/>
        <i x="479" s="1" nd="1"/>
        <i x="471" s="1" nd="1"/>
        <i x="474" s="1" nd="1"/>
        <i x="473" s="1" nd="1"/>
        <i x="515" s="1" nd="1"/>
        <i x="470" s="1" nd="1"/>
        <i x="196" s="1" nd="1"/>
        <i x="193" s="1" nd="1"/>
        <i x="495" s="1" nd="1"/>
        <i x="510" s="1" nd="1"/>
        <i x="475" s="1" nd="1"/>
        <i x="500" s="1" nd="1"/>
        <i x="512" s="1" nd="1"/>
        <i x="484" s="1" nd="1"/>
        <i x="524" s="1" nd="1"/>
        <i x="483" s="1" nd="1"/>
        <i x="480" s="1" nd="1"/>
        <i x="476" s="1" nd="1"/>
        <i x="477" s="1" nd="1"/>
        <i x="496" s="1" nd="1"/>
        <i x="485" s="1" nd="1"/>
        <i x="408" s="1" nd="1"/>
        <i x="486" s="1" nd="1"/>
        <i x="481" s="1" nd="1"/>
        <i x="488" s="1" nd="1"/>
        <i x="489" s="1" nd="1"/>
        <i x="517" s="1" nd="1"/>
        <i x="487" s="1" nd="1"/>
        <i x="505" s="1" nd="1"/>
        <i x="493" s="1" nd="1"/>
        <i x="490" s="1" nd="1"/>
        <i x="494" s="1" nd="1"/>
        <i x="491" s="1" nd="1"/>
        <i x="498" s="1" nd="1"/>
        <i x="197" s="1" nd="1"/>
        <i x="516" s="1" nd="1"/>
        <i x="511" s="1" nd="1"/>
        <i x="530" s="1" nd="1"/>
        <i x="499" s="1" nd="1"/>
        <i x="401" s="1" nd="1"/>
        <i x="509" s="1" nd="1"/>
        <i x="501" s="1" nd="1"/>
        <i x="525" s="1" nd="1"/>
        <i x="508" s="1" nd="1"/>
        <i x="523" s="1" nd="1"/>
        <i x="409" s="1" nd="1"/>
        <i x="514" s="1" nd="1"/>
        <i x="513" s="1" nd="1"/>
        <i x="529" s="1" nd="1"/>
        <i x="526" s="1" nd="1"/>
        <i x="420" s="1" nd="1"/>
        <i x="534" s="1" nd="1"/>
        <i x="518" s="1" nd="1"/>
        <i x="527" s="1" nd="1"/>
        <i x="532" s="1" nd="1"/>
        <i x="411" s="1" nd="1"/>
        <i x="437" s="1" nd="1"/>
        <i x="536" s="1" nd="1"/>
        <i x="533" s="1" nd="1"/>
        <i x="402" s="1" nd="1"/>
        <i x="422" s="1" nd="1"/>
        <i x="528" s="1" nd="1"/>
        <i x="404" s="1" nd="1"/>
        <i x="519" s="1" nd="1"/>
        <i x="522" s="1" nd="1"/>
        <i x="419" s="1" nd="1"/>
        <i x="531" s="1" nd="1"/>
        <i x="158" s="1" nd="1"/>
        <i x="192" s="1" nd="1"/>
        <i x="520" s="1" nd="1"/>
        <i x="521" s="1" nd="1"/>
        <i x="406" s="1" nd="1"/>
        <i x="424" s="1" nd="1"/>
        <i x="425" s="1" nd="1"/>
        <i x="438" s="1" nd="1"/>
        <i x="535" s="1" nd="1"/>
        <i x="400" s="1" nd="1"/>
        <i x="423" s="1" nd="1"/>
        <i x="416" s="1" nd="1"/>
        <i x="403" s="1" nd="1"/>
        <i x="407" s="1" nd="1"/>
        <i x="413" s="1" nd="1"/>
        <i x="405" s="1" nd="1"/>
        <i x="429" s="1" nd="1"/>
        <i x="433" s="1" nd="1"/>
        <i x="434" s="1" nd="1"/>
        <i x="426" s="1" nd="1"/>
        <i x="410" s="1" nd="1"/>
        <i x="275" s="1" nd="1"/>
        <i x="412" s="1" nd="1"/>
        <i x="414" s="1" nd="1"/>
        <i x="417" s="1" nd="1"/>
        <i x="430" s="1" nd="1"/>
        <i x="415" s="1" nd="1"/>
        <i x="436" s="1" nd="1"/>
        <i x="368" s="1" nd="1"/>
        <i x="347" s="1" nd="1"/>
        <i x="451" s="1" nd="1"/>
        <i x="418" s="1" nd="1"/>
        <i x="439" s="1" nd="1"/>
        <i x="435" s="1" nd="1"/>
        <i x="421" s="1" nd="1"/>
        <i x="443" s="1" nd="1"/>
        <i x="379" s="1" nd="1"/>
        <i x="342" s="1" nd="1"/>
        <i x="428" s="1" nd="1"/>
        <i x="452" s="1" nd="1"/>
        <i x="432" s="1" nd="1"/>
        <i x="455" s="1" nd="1"/>
        <i x="442" s="1" nd="1"/>
        <i x="447" s="1" nd="1"/>
        <i x="324" s="1" nd="1"/>
        <i x="444" s="1" nd="1"/>
        <i x="446" s="1" nd="1"/>
        <i x="364" s="1" nd="1"/>
        <i x="332" s="1" nd="1"/>
        <i x="441" s="1" nd="1"/>
        <i x="329" s="1" nd="1"/>
        <i x="440" s="1" nd="1"/>
        <i x="341" s="1" nd="1"/>
        <i x="325" s="1" nd="1"/>
        <i x="323" s="1" nd="1"/>
        <i x="445" s="1" nd="1"/>
        <i x="339" s="1" nd="1"/>
        <i x="333" s="1" nd="1"/>
        <i x="344" s="1" nd="1"/>
        <i x="361" s="1" nd="1"/>
        <i x="338" s="1" nd="1"/>
        <i x="349" s="1" nd="1"/>
        <i x="343" s="1" nd="1"/>
        <i x="340" s="1" nd="1"/>
        <i x="453" s="1" nd="1"/>
        <i x="397" s="1" nd="1"/>
        <i x="351" s="1" nd="1"/>
        <i x="352" s="1" nd="1"/>
        <i x="449" s="1" nd="1"/>
        <i x="448" s="1" nd="1"/>
        <i x="326" s="1" nd="1"/>
        <i x="328" s="1" nd="1"/>
        <i x="359" s="1" nd="1"/>
        <i x="335" s="1" nd="1"/>
        <i x="454" s="1" nd="1"/>
        <i x="393" s="1" nd="1"/>
        <i x="384" s="1" nd="1"/>
        <i x="372" s="1" nd="1"/>
        <i x="346" s="1" nd="1"/>
        <i x="331" s="1" nd="1"/>
        <i x="362" s="1" nd="1"/>
        <i x="381" s="1" nd="1"/>
        <i x="373" s="1" nd="1"/>
        <i x="369" s="1" nd="1"/>
        <i x="337" s="1" nd="1"/>
        <i x="357" s="1" nd="1"/>
        <i x="356" s="1" nd="1"/>
        <i x="371" s="1" nd="1"/>
        <i x="358" s="1" nd="1"/>
        <i x="450" s="1" nd="1"/>
        <i x="334" s="1" nd="1"/>
        <i x="330" s="1" nd="1"/>
        <i x="360" s="1" nd="1"/>
        <i x="327" s="1" nd="1"/>
        <i x="365" s="1" nd="1"/>
        <i x="366" s="1" nd="1"/>
        <i x="370" s="1" nd="1"/>
        <i x="274" s="1" nd="1"/>
        <i x="350" s="1" nd="1"/>
        <i x="345" s="1" nd="1"/>
        <i x="378" s="1" nd="1"/>
        <i x="377" s="1" nd="1"/>
        <i x="382" s="1" nd="1"/>
        <i x="336" s="1" nd="1"/>
        <i x="380" s="1" nd="1"/>
        <i x="367" s="1" nd="1"/>
        <i x="273" s="1" nd="1"/>
        <i x="348" s="1" nd="1"/>
        <i x="353" s="1" nd="1"/>
        <i x="354" s="1" nd="1"/>
        <i x="363" s="1" nd="1"/>
        <i x="355" s="1" nd="1"/>
        <i x="374" s="1" nd="1"/>
        <i x="291" s="1" nd="1"/>
        <i x="385" s="1" nd="1"/>
        <i x="375" s="1" nd="1"/>
        <i x="391" s="1" nd="1"/>
        <i x="388" s="1" nd="1"/>
        <i x="386" s="1" nd="1"/>
        <i x="286" s="1" nd="1"/>
        <i x="285" s="1" nd="1"/>
        <i x="398" s="1" nd="1"/>
        <i x="272" s="1" nd="1"/>
        <i x="284" s="1" nd="1"/>
        <i x="392" s="1" nd="1"/>
        <i x="399" s="1" nd="1"/>
        <i x="277" s="1" nd="1"/>
        <i x="394" s="1" nd="1"/>
        <i x="395" s="1" nd="1"/>
        <i x="376" s="1" nd="1"/>
        <i x="389" s="1" nd="1"/>
        <i x="396" s="1" nd="1"/>
        <i x="387" s="1" nd="1"/>
        <i x="307" s="1" nd="1"/>
        <i x="390" s="1" nd="1"/>
        <i x="271" s="1" nd="1"/>
        <i x="280" s="1" nd="1"/>
        <i x="279" s="1" nd="1"/>
        <i x="383" s="1" nd="1"/>
        <i x="267" s="1" nd="1"/>
        <i x="261" s="1" nd="1"/>
        <i x="232" s="1" nd="1"/>
        <i x="266" s="1" nd="1"/>
        <i x="186" s="1" nd="1"/>
        <i x="283" s="1" nd="1"/>
        <i x="281" s="1" nd="1"/>
        <i x="288" s="1" nd="1"/>
        <i x="289" s="1" nd="1"/>
        <i x="287" s="1" nd="1"/>
        <i x="282" s="1" nd="1"/>
        <i x="278" s="1" nd="1"/>
        <i x="228" s="1" nd="1"/>
        <i x="252" s="1" nd="1"/>
        <i x="304" s="1" nd="1"/>
        <i x="294" s="1" nd="1"/>
        <i x="290" s="1" nd="1"/>
        <i x="308" s="1" nd="1"/>
        <i x="293" s="1" nd="1"/>
        <i x="176" s="1" nd="1"/>
        <i x="303" s="1" nd="1"/>
        <i x="305" s="1" nd="1"/>
        <i x="292" s="1" nd="1"/>
        <i x="296" s="1" nd="1"/>
        <i x="306" s="1" nd="1"/>
        <i x="299" s="1" nd="1"/>
        <i x="297" s="1" nd="1"/>
        <i x="298" s="1" nd="1"/>
        <i x="220" s="1" nd="1"/>
        <i x="302" s="1" nd="1"/>
        <i x="300" s="1" nd="1"/>
        <i x="301" s="1" nd="1"/>
        <i x="310" s="1" nd="1"/>
        <i x="309" s="1" nd="1"/>
        <i x="229" s="1" nd="1"/>
        <i x="319" s="1" nd="1"/>
        <i x="318" s="1" nd="1"/>
        <i x="230" s="1" nd="1"/>
        <i x="317" s="1" nd="1"/>
        <i x="322" s="1" nd="1"/>
        <i x="315" s="1" nd="1"/>
        <i x="321" s="1" nd="1"/>
        <i x="221" s="1" nd="1"/>
        <i x="226" s="1" nd="1"/>
        <i x="311" s="1" nd="1"/>
        <i x="214" s="1" nd="1"/>
        <i x="213" s="1" nd="1"/>
        <i x="215" s="1" nd="1"/>
        <i x="218" s="1" nd="1"/>
        <i x="312" s="1" nd="1"/>
        <i x="313" s="1" nd="1"/>
        <i x="314" s="1" nd="1"/>
        <i x="316" s="1" nd="1"/>
        <i x="320" s="1" nd="1"/>
        <i x="225" s="1" nd="1"/>
        <i x="224" s="1" nd="1"/>
        <i x="222" s="1" nd="1"/>
        <i x="166" s="1" nd="1"/>
        <i x="239" s="1" nd="1"/>
        <i x="217" s="1" nd="1"/>
        <i x="216" s="1" nd="1"/>
        <i x="162" s="1" nd="1"/>
        <i x="219" s="1" nd="1"/>
        <i x="238" s="1" nd="1"/>
        <i x="233" s="1" nd="1"/>
        <i x="234" s="1" nd="1"/>
        <i x="208" s="1" nd="1"/>
        <i x="223" s="1" nd="1"/>
        <i x="246" s="1" nd="1"/>
        <i x="268" s="1" nd="1"/>
        <i x="163" s="1" nd="1"/>
        <i x="235" s="1" nd="1"/>
        <i x="237" s="1" nd="1"/>
        <i x="227" s="1" nd="1"/>
        <i x="243" s="1" nd="1"/>
        <i x="247" s="1" nd="1"/>
        <i x="241" s="1" nd="1"/>
        <i x="240" s="1" nd="1"/>
        <i x="156" s="1" nd="1"/>
        <i x="236" s="1" nd="1"/>
        <i x="159" s="1" nd="1"/>
        <i x="231" s="1" nd="1"/>
        <i x="254" s="1" nd="1"/>
        <i x="255" s="1" nd="1"/>
        <i x="253" s="1" nd="1"/>
        <i x="242" s="1" nd="1"/>
        <i x="264" s="1" nd="1"/>
        <i x="245" s="1" nd="1"/>
        <i x="244" s="1" nd="1"/>
        <i x="157" s="1" nd="1"/>
        <i x="251" s="1" nd="1"/>
        <i x="256" s="1" nd="1"/>
        <i x="260" s="1" nd="1"/>
        <i x="270" s="1" nd="1"/>
        <i x="269" s="1" nd="1"/>
        <i x="250" s="1" nd="1"/>
        <i x="249" s="1" nd="1"/>
        <i x="161" s="1" nd="1"/>
        <i x="263" s="1" nd="1"/>
        <i x="155" s="1" nd="1"/>
        <i x="210" s="1" nd="1"/>
        <i x="165" s="1" nd="1"/>
        <i x="259" s="1" nd="1"/>
        <i x="170" s="1" nd="1"/>
        <i x="160" s="1" nd="1"/>
        <i x="248" s="1" nd="1"/>
        <i x="175" s="1" nd="1"/>
        <i x="168" s="1" nd="1"/>
        <i x="258" s="1" nd="1"/>
        <i x="257" s="1" nd="1"/>
        <i x="187" s="1" nd="1"/>
        <i x="262" s="1" nd="1"/>
        <i x="164" s="1" nd="1"/>
        <i x="172" s="1" nd="1"/>
        <i x="206" s="1" nd="1"/>
        <i x="209" s="1" nd="1"/>
        <i x="265" s="1" nd="1"/>
        <i x="154" s="1" nd="1"/>
        <i x="169" s="1" nd="1"/>
        <i x="167" s="1" nd="1"/>
        <i x="171" s="1" nd="1"/>
        <i x="174" s="1" nd="1"/>
        <i x="173" s="1" nd="1"/>
        <i x="182" s="1" nd="1"/>
        <i x="178" s="1" nd="1"/>
        <i x="179" s="1" nd="1"/>
        <i x="181" s="1" nd="1"/>
        <i x="191" s="1" nd="1"/>
        <i x="184" s="1" nd="1"/>
        <i x="177" s="1" nd="1"/>
        <i x="180" s="1" nd="1"/>
        <i x="185" s="1" nd="1"/>
        <i x="202" s="1" nd="1"/>
        <i x="190" s="1" nd="1"/>
        <i x="183" s="1" nd="1"/>
        <i x="199" s="1" nd="1"/>
        <i x="188" s="1" nd="1"/>
        <i x="201" s="1" nd="1"/>
        <i x="200" s="1" nd="1"/>
        <i x="194" s="1" nd="1"/>
        <i x="198" s="1" nd="1"/>
        <i x="189" s="1" nd="1"/>
        <i x="204" s="1" nd="1"/>
        <i x="203" s="1" nd="1"/>
        <i x="205" s="1" nd="1"/>
        <i x="211" s="1" nd="1"/>
        <i x="207" s="1" nd="1"/>
        <i x="212" s="1" nd="1"/>
        <i x="62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8">
      <calculatedColumnFormula>B49</calculatedColumnFormula>
    </tableColumn>
    <tableColumn id="2" xr3:uid="{7EDCC2ED-0339-42B3-9633-FFEA7A3DD9F3}" name="Tiyaar" dataDxfId="117">
      <calculatedColumnFormula>SUMIFS(ledger!G:G, ledger!B:B, B2, ledger!E:E, "&lt;&gt;*RD*") / 1.0936</calculatedColumnFormula>
    </tableColumn>
    <tableColumn id="3" xr3:uid="{CC1535DD-3FE7-4F55-8040-E7643388A78E}" name="Rate"/>
    <tableColumn id="4" xr3:uid="{059CB70B-ADAD-4985-84AA-0D530BAC5567}" name="Total" dataDxfId="11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5" dataDxfId="114">
  <autoFilter ref="B7:E20" xr:uid="{449E5D32-DF9C-4018-96AB-CA98E118D910}"/>
  <tableColumns count="4">
    <tableColumn id="1" xr3:uid="{F663704C-91DD-4BB9-B7EB-EEB0C5EDED6C}" name="Description" dataDxfId="113"/>
    <tableColumn id="2" xr3:uid="{6D94D495-CD0B-4FD3-9771-81D731982A97}" name="Rate" dataDxfId="112" dataCellStyle="Comma"/>
    <tableColumn id="3" xr3:uid="{2D14CEAD-3602-40E7-A488-3584EBC9141E}" name="gazana" dataDxfId="111" dataCellStyle="Comma"/>
    <tableColumn id="4" xr3:uid="{06FEE63C-6480-4079-8426-51BC26B38B34}" name="sum" dataDxfId="11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9" totalsRowDxfId="108" dataCellStyle="Comma">
      <totalsRowFormula>SUM(Table12[Amount])</totalsRowFormula>
    </tableColumn>
    <tableColumn id="3" xr3:uid="{12F975D1-A51D-47BD-82DF-F0C35A709016}" name="Description"/>
    <tableColumn id="4" xr3:uid="{96712812-B120-49C2-B905-59FC86A743E8}" name="cost per meter" totalsRowFunction="custom" dataDxfId="107" totalsRowDxfId="10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5" dataDxfId="104" headerRowCellStyle="Comma" dataCellStyle="Comma">
  <autoFilter ref="B2:C5" xr:uid="{136E8F7F-D03F-4198-8335-91A003EA9E45}"/>
  <tableColumns count="2">
    <tableColumn id="1" xr3:uid="{279FA697-9952-479A-AC05-0D4992B41374}" name="Column1" dataDxfId="103" dataCellStyle="Comma"/>
    <tableColumn id="2" xr3:uid="{8A64998B-65EF-41CD-BCB0-3DDB7B359C54}" name="Column2" dataDxfId="10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1"/>
    <tableColumn id="2" xr3:uid="{51D27FA2-8DDF-4369-BAF7-7D1FE90E16A0}" name="Column2" dataDxfId="10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99" totalsRowDxfId="9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96" dataDxfId="95"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94" dataCellStyle="Comma"/>
    <tableColumn id="2" xr3:uid="{5780FD5F-0890-44E6-B59C-8E37A559FE36}" name="Party Name" dataDxfId="93" dataCellStyle="Comma"/>
    <tableColumn id="3" xr3:uid="{5B3ECD85-9174-40AC-BFBD-49CAC97A83D3}" name="Bill Number" dataDxfId="92" dataCellStyle="Comma"/>
    <tableColumn id="4" xr3:uid="{11B50761-04B6-4262-AD4D-7182450037D1}" name="Quality" dataDxfId="91" dataCellStyle="Comma"/>
    <tableColumn id="5" xr3:uid="{2C556969-B713-4967-BD24-466AACCBE5F5}" name="Shipment Number" dataDxfId="90" totalsRowDxfId="6" dataCellStyle="Comma"/>
    <tableColumn id="6" xr3:uid="{F4E1FD2B-9017-4DEB-B772-BF447ECE56F7}" name="Kora/metre" dataDxfId="89" totalsRowDxfId="5" dataCellStyle="Comma"/>
    <tableColumn id="7" xr3:uid="{52ACC1DA-7A76-4A90-B809-3A1AE728E7EA}" name="Tiyaar/gaz" dataDxfId="88" totalsRowDxfId="4" dataCellStyle="Comma"/>
    <tableColumn id="8" xr3:uid="{31A0FF5E-56F0-44D1-9865-73256B964660}" name="shortage %" dataDxfId="87" totalsRowDxfId="3" dataCellStyle="Comma">
      <calculatedColumnFormula>_xlfn.XLOOKUP(Table1[[#This Row],[Shipment Number]], 'pivot '!A:A,'pivot '!G:G, "NF")</calculatedColumnFormula>
    </tableColumn>
    <tableColumn id="9" xr3:uid="{F99075E0-AC8E-094D-BB85-272AD2C6C568}" name="tiyar/meters" totalsRowFunction="custom" dataDxfId="86" totalsRowDxfId="2"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5" totalsRowDxfId="1"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4" totalsRowDxfId="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3">
      <calculatedColumnFormula>Table29[[#This Row],[Production]]*5</calculatedColumnFormula>
    </tableColumn>
    <tableColumn id="5" xr3:uid="{61BAD31A-7476-4DFA-AA0E-D8493144CFE9}" name="Paid" totalsRowFunction="sum"/>
    <tableColumn id="6" xr3:uid="{B4A08D30-B37A-4FB3-9696-F3E66FA4D037}" name="Balance" totalsRowFunction="sum" dataDxfId="82">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79" headerRowBorderDxfId="78" tableBorderDxfId="77">
  <autoFilter ref="A1:I96" xr:uid="{F8E8C957-ABE7-4E4F-8D4E-7D44E26B334F}"/>
  <tableColumns count="9">
    <tableColumn id="1" xr3:uid="{C2E817D6-AB98-4DDD-8890-736B27F261CD}" name="Date" dataDxfId="76" totalsRowDxfId="75"/>
    <tableColumn id="2" xr3:uid="{CFB51890-CCDC-463C-81C9-3F8BD7469CB9}" name="Party Name"/>
    <tableColumn id="3" xr3:uid="{A113D971-1C9D-4733-99C4-BD0CC4333209}" name="Vehicle Number"/>
    <tableColumn id="4" xr3:uid="{49780304-3DD1-4AE9-98EE-2BC7EB8F3B57}" name="Weight" dataDxfId="74" totalsRowDxfId="73" dataCellStyle="Comma"/>
    <tableColumn id="5" xr3:uid="{FCAF1BC6-1D8C-42AD-8BBC-F924BF2DC7FE}" name="Rate" dataDxfId="72" totalsRowDxfId="71" dataCellStyle="Comma"/>
    <tableColumn id="6" xr3:uid="{8C70A624-4134-410C-9C45-9FDEB51D51BF}" name="Rent" dataDxfId="70" totalsRowDxfId="69" dataCellStyle="Comma"/>
    <tableColumn id="7" xr3:uid="{EBCE10AE-9634-4982-9C95-37ABC8A7078C}" name="Total" totalsRowFunction="sum" dataDxfId="68" totalsRowDxfId="67" dataCellStyle="Comma">
      <calculatedColumnFormula>D2*E2</calculatedColumnFormula>
    </tableColumn>
    <tableColumn id="9" xr3:uid="{D4788559-C94A-44D9-B9AE-E72B214355AC}" name="Paid" totalsRowFunction="sum" dataDxfId="66" totalsRowDxfId="65" dataCellStyle="Comma"/>
    <tableColumn id="8" xr3:uid="{E26F5BF0-1875-4FC6-994D-49F202ED562B}" name="balance" totalsRowFunction="sum" dataDxfId="64" totalsRowDxfId="63"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343" totalsRowCount="1">
  <autoFilter ref="A1:G1342" xr:uid="{CB032221-B416-47A8-9A76-693DE76CFD04}"/>
  <sortState xmlns:xlrd2="http://schemas.microsoft.com/office/spreadsheetml/2017/richdata2" ref="A2:G1006">
    <sortCondition ref="A1:A1006"/>
  </sortState>
  <tableColumns count="7">
    <tableColumn id="1" xr3:uid="{554B1EED-65B6-4E9A-B646-82727FAC40DE}" name="Date" dataDxfId="144" totalsRowDxfId="143"/>
    <tableColumn id="2" xr3:uid="{32259059-42CF-4947-83DE-115AA430BE2B}" name="Party"/>
    <tableColumn id="3" xr3:uid="{A1320223-D55D-483C-91C3-AB19B95CC9D8}" name="Debit" totalsRowFunction="sum" dataDxfId="142" totalsRowDxfId="141" dataCellStyle="Comma"/>
    <tableColumn id="4" xr3:uid="{E9745767-9FF0-4B1C-9052-FF335D1D7588}" name="Credit" totalsRowFunction="sum" dataDxfId="140" totalsRowDxfId="139" dataCellStyle="Comma"/>
    <tableColumn id="5" xr3:uid="{5C88A48E-2467-4E6D-B626-2442B7FD0BE4}" name="Description"/>
    <tableColumn id="6" xr3:uid="{63CA4666-144E-4BE6-8B7C-7CB992BD3041}" name="Mode" totalsRowFunction="custom" dataDxfId="138" totalsRowDxfId="13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6" tableBorderDxfId="135" totalsRowBorderDxfId="134">
  <autoFilter ref="J3:K6" xr:uid="{DCE01694-23ED-48BF-8B92-4186B9ED10A8}"/>
  <tableColumns count="2">
    <tableColumn id="1" xr3:uid="{C8484DAF-2989-4C2F-9AEC-A6917E1C57F6}" name="Type" dataDxfId="133"/>
    <tableColumn id="2" xr3:uid="{B07B7A2A-4D4E-4654-BED6-FE2F0A7BEC34}" name="Amount" dataDxfId="13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1" headerRowBorderDxfId="130" tableBorderDxfId="129" totalsRowBorderDxfId="128">
  <autoFilter ref="M3:O6" xr:uid="{D166BDD1-ACD7-45D7-8AE9-7350373F8CEB}"/>
  <tableColumns count="3">
    <tableColumn id="1" xr3:uid="{64F0205E-DEA7-4571-BA86-E4374A5FEE28}" name="Type" totalsRowLabel="Total" dataDxfId="127" totalsRowDxfId="126"/>
    <tableColumn id="2" xr3:uid="{15FA05F9-789C-4459-9BE0-5C1EC84D3365}" name="amount" totalsRowFunction="custom" dataDxfId="125" totalsRowDxfId="124">
      <totalsRowFormula>SUM(N5:N6)</totalsRowFormula>
    </tableColumn>
    <tableColumn id="3" xr3:uid="{3681D409-90C6-44D0-BDE2-4B5943A516F0}" name="Actual" totalsRowFunction="custom" totalsRowDxfId="123">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2" totalsRowDxfId="61"/>
    <tableColumn id="2" xr3:uid="{5B9D0FEE-4304-4C5C-A05C-5B27CF7841D3}" name="Type"/>
    <tableColumn id="3" xr3:uid="{6A91CA0D-C802-4C6F-9F39-CA53687E8EDE}" name="Description"/>
    <tableColumn id="4" xr3:uid="{A251D40C-AB87-4BB4-85F8-444B20E32FDF}" name="Total" totalsRowFunction="custom" dataDxfId="60" totalsRowDxfId="59"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7" totalsRowCount="1" headerRowDxfId="58" headerRowBorderDxfId="57">
  <autoFilter ref="A1:I46"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6"/>
    <tableColumn id="4" xr3:uid="{1889A312-9B41-4EC4-BD8F-05252F27084A}" name="Price" totalsRowFunction="sum"/>
    <tableColumn id="6" xr3:uid="{8B974B20-F003-4E67-8660-024FA4F324A9}" name="Party"/>
    <tableColumn id="7" xr3:uid="{0A5A5C21-FD61-47DA-9F54-66A6479FA557}" name="Paid" totalsRowFunction="sum" dataDxfId="55">
      <calculatedColumnFormula>SUMIFS(Table14[Debit], Table14[Date], Table8[[#This Row],[Date]], Table14[Party], Table8[[#This Row],[Party]])</calculatedColumnFormula>
    </tableColumn>
    <tableColumn id="8" xr3:uid="{8DCB3B43-2161-4081-82EC-CDB0F4DE4E6F}" name="Balance" totalsRowFunction="sum" dataDxfId="5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3" headerRowBorderDxfId="52">
  <autoFilter ref="A4:H49" xr:uid="{A4C80688-A8BA-4BA7-90B4-791CD99446B4}"/>
  <sortState xmlns:xlrd2="http://schemas.microsoft.com/office/spreadsheetml/2017/richdata2" ref="A5:H6">
    <sortCondition ref="A4:A6"/>
  </sortState>
  <tableColumns count="8">
    <tableColumn id="1" xr3:uid="{4A818912-918E-4111-ACFC-BC93FEF7C1AD}" name="Date" dataDxfId="51" totalsRowDxfId="50"/>
    <tableColumn id="8" xr3:uid="{477ACFD5-62AF-4F69-974B-E9B974C11D7D}" name="Party Name" dataDxfId="4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8">
      <calculatedColumnFormula>Table2[[#This Row],[Quantity]]*200*Table2[[#This Row],[Boxes]]</calculatedColumnFormula>
    </tableColumn>
    <tableColumn id="6" xr3:uid="{30432929-CBD4-4BA8-B63F-CD0F6CF6405F}" name="Paid" totalsRowFunction="sum" dataDxfId="47">
      <calculatedColumnFormula>SUMIFS(Table14[Debit], Table14[Date], Table2[[#This Row],[Date]], Table14[Party], Table2[[#This Row],[Party Name]])</calculatedColumnFormula>
    </tableColumn>
    <tableColumn id="7" xr3:uid="{BB689DF2-5D1E-436D-84C4-9745D88E8F3D}" name="Balance" totalsRowFunction="sum" dataDxfId="46">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5" totalsRowDxfId="44"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3" totalsRowDxfId="42"/>
    <tableColumn id="2" xr3:uid="{053BFC14-4828-417C-9F9F-95B6E232A945}" name="Amount" totalsRowFunction="custom" dataDxfId="41" totalsRowDxfId="4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9" totalsRowDxfId="3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7" totalsRowDxfId="36">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5" totalsRowDxfId="34">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3" totalsRowDxfId="32">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1" totalsRowDxfId="30">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9">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5">
      <calculatedColumnFormula>Billing!R5</calculatedColumnFormula>
    </tableColumn>
    <tableColumn id="2" xr3:uid="{7093A59E-B58F-487D-888A-9AA8156B5F9A}" name="Amount Paid" dataDxfId="14">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3">
      <calculatedColumnFormula>G2</calculatedColumnFormula>
    </tableColumn>
    <tableColumn id="2" xr3:uid="{F72CFEEB-BA11-4A49-BD19-88592EB6A27C}" name="Credit" dataDxfId="12"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41868047.939502567</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2076321</v>
      </c>
      <c r="AG11" s="33">
        <f t="shared" si="2"/>
        <v>517808.48061448475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6225853</v>
      </c>
      <c r="AG15" s="33">
        <f t="shared" si="2"/>
        <v>1397918.0314557431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35515787.490855888</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324434</v>
      </c>
      <c r="T22" s="22" cm="1">
        <f t="array" ref="T22">_xlfn.BYROW(B66, _xlfn.LAMBDA(_xlpm.party, SUMIFS(ledger!G:G, ledger!B:B, _xlpm.party, ledger!E:E, "&lt;&gt;*RD*") / 1.0936 ))+_xlfn.IFNA(D115,0)</f>
        <v>296666.05705925386</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402692.02633504022</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1209929.5903438188</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3560981.1631309446</v>
      </c>
      <c r="AF22" s="22">
        <f>(SUMIF(Table14[Party],R22,Table14[Credit]))+_xlfn.IFNA(P115,0)</f>
        <v>2860660</v>
      </c>
      <c r="AG22" s="33">
        <f t="shared" si="2"/>
        <v>700321.16313094459</v>
      </c>
      <c r="AH22" s="21">
        <v>10</v>
      </c>
      <c r="AI22" s="21">
        <v>13</v>
      </c>
    </row>
    <row r="23" spans="2:35" x14ac:dyDescent="0.3">
      <c r="B23" s="24" t="s">
        <v>31</v>
      </c>
      <c r="C23" s="37">
        <f>SUM(O49:O85)</f>
        <v>35515787.490855888</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8471345.4930504747</v>
      </c>
      <c r="AG36" s="33">
        <f t="shared" si="2"/>
        <v>230319.64959765971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452792</v>
      </c>
      <c r="T38" s="22" cm="1">
        <f t="array" ref="T38">_xlfn.BYROW(B82, _xlfn.LAMBDA(_xlpm.party, SUMIFS(ledger!G:G, ledger!B:B, _xlpm.party, ledger!E:E, "&lt;&gt;*RD*") / 1.0936 ))+_xlfn.IFNA(D131,0)</f>
        <v>414038.03950256039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1267236.6495976592</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5084510.058522312</v>
      </c>
      <c r="AF38" s="22">
        <f>(SUMIF(Table14[Party],R38,Table14[Credit]))+_xlfn.IFNA(P131,0)</f>
        <v>1918328</v>
      </c>
      <c r="AG38" s="33">
        <f t="shared" ref="AG38" si="4">AE38-AF38</f>
        <v>3166182.058522312</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350000</v>
      </c>
      <c r="Q55" s="37">
        <f t="shared" si="9"/>
        <v>385104.2428675933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686594</v>
      </c>
      <c r="Q59" s="37">
        <f t="shared" si="9"/>
        <v>1103407.8288222384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242144</v>
      </c>
      <c r="D66" s="22">
        <v>221419.16605705928</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308035.84491587419</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1209929.5903438188</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2724964.3379663499</v>
      </c>
      <c r="P66" s="22">
        <f>(SUMIF(Table14[Party],B66,Table14[Credit]))</f>
        <v>2025000</v>
      </c>
      <c r="Q66" s="37">
        <f t="shared" si="9"/>
        <v>699964.33796634991</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5944554</v>
      </c>
      <c r="Q80" s="37">
        <f t="shared" si="9"/>
        <v>50913.264081930742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452792</v>
      </c>
      <c r="D82">
        <v>414038.03950256039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1267236.6495976592</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5084510.058522312</v>
      </c>
      <c r="P82" s="22">
        <f>SUMIF(Table14[Party], B82, Table14[Credit])</f>
        <v>1918328</v>
      </c>
      <c r="Q82" s="37">
        <f t="shared" ref="Q82:Q83" si="12">O82-P82</f>
        <v>3166182.058522312</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3166182.058522312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14687650</v>
      </c>
      <c r="D4" t="s">
        <v>188</v>
      </c>
      <c r="E4" s="43">
        <f ca="1">Table12[[#This Row],[Amount]]/Table1[[#Totals],[tiyar/meters]]</f>
        <v>4.4179336859447753</v>
      </c>
    </row>
    <row r="5" spans="1:5" x14ac:dyDescent="0.3">
      <c r="B5" t="s">
        <v>48</v>
      </c>
      <c r="C5" s="11">
        <f>SUM(Table8[Price])</f>
        <v>3265205</v>
      </c>
      <c r="E5" s="43">
        <f ca="1">Table12[[#This Row],[Amount]]/Table1[[#Totals],[tiyar/meters]]</f>
        <v>0.98214889114428183</v>
      </c>
    </row>
    <row r="6" spans="1:5" x14ac:dyDescent="0.3">
      <c r="B6" t="s">
        <v>49</v>
      </c>
      <c r="C6" s="11">
        <f>SUM(Table2[Price])</f>
        <v>1152300</v>
      </c>
      <c r="D6" t="s">
        <v>187</v>
      </c>
      <c r="E6" s="43">
        <f ca="1">Table12[[#This Row],[Amount]]/Table1[[#Totals],[tiyar/meters]]</f>
        <v>0.34660309758975499</v>
      </c>
    </row>
    <row r="7" spans="1:5" x14ac:dyDescent="0.3">
      <c r="B7" t="s">
        <v>50</v>
      </c>
      <c r="C7" s="11">
        <f>SUMIFS(Table14[Debit], Table14[Party],Table12[[#This Row],[Type]])</f>
        <v>233290</v>
      </c>
      <c r="E7" s="43">
        <f ca="1">Table12[[#This Row],[Amount]]/Table1[[#Totals],[tiyar/meters]]</f>
        <v>7.0171862046961672E-2</v>
      </c>
    </row>
    <row r="8" spans="1:5" x14ac:dyDescent="0.3">
      <c r="B8" t="s">
        <v>51</v>
      </c>
      <c r="C8" s="11">
        <f>Electricity!E6</f>
        <v>3973945</v>
      </c>
      <c r="E8" s="43">
        <f ca="1">Table12[[#This Row],[Amount]]/Table1[[#Totals],[tiyar/meters]]</f>
        <v>1.1953325059891684</v>
      </c>
    </row>
    <row r="9" spans="1:5" x14ac:dyDescent="0.3">
      <c r="B9" t="s">
        <v>52</v>
      </c>
      <c r="C9" s="11">
        <f>SUMIFS(Table14[Debit], Table14[Party],Table12[[#This Row],[Type]])+SUMIFS(Table14[Debit], Table14[Party],"Advance Salary")</f>
        <v>8712973</v>
      </c>
      <c r="E9" s="43">
        <f ca="1">Table12[[#This Row],[Amount]]/Table1[[#Totals],[tiyar/meters]]</f>
        <v>2.6207961737532761</v>
      </c>
    </row>
    <row r="10" spans="1:5" x14ac:dyDescent="0.3">
      <c r="B10" t="s">
        <v>53</v>
      </c>
      <c r="C10" s="11">
        <f>Table5[[#Totals],[Amount]]</f>
        <v>351325</v>
      </c>
      <c r="E10" s="43">
        <f ca="1">Table12[[#This Row],[Amount]]/Table1[[#Totals],[tiyar/meters]]</f>
        <v>0.10567589452462091</v>
      </c>
    </row>
    <row r="11" spans="1:5" x14ac:dyDescent="0.3">
      <c r="B11" t="s">
        <v>54</v>
      </c>
      <c r="C11" s="11">
        <f>Table13[[#Totals],[Debit]]</f>
        <v>288806.40000000002</v>
      </c>
      <c r="E11" s="43">
        <f ca="1">Table12[[#This Row],[Amount]]/Table1[[#Totals],[tiyar/meters]]</f>
        <v>8.6870773968363985E-2</v>
      </c>
    </row>
    <row r="12" spans="1:5" x14ac:dyDescent="0.3">
      <c r="B12" t="s">
        <v>55</v>
      </c>
      <c r="C12" s="11">
        <f>Table15[[#Totals],[Amount]]</f>
        <v>978493</v>
      </c>
      <c r="E12" s="43">
        <f ca="1">Table12[[#This Row],[Amount]]/Table1[[#Totals],[tiyar/meters]]</f>
        <v>0.29432327064991071</v>
      </c>
    </row>
    <row r="13" spans="1:5" x14ac:dyDescent="0.3">
      <c r="C13" s="11"/>
      <c r="E13" s="43">
        <f ca="1">Table12[[#This Row],[Amount]]/Table1[[#Totals],[tiyar/meters]]</f>
        <v>0</v>
      </c>
    </row>
    <row r="14" spans="1:5" x14ac:dyDescent="0.3">
      <c r="C14" s="14">
        <f>SUM(Table12[Amount])</f>
        <v>33643987.399999999</v>
      </c>
      <c r="E14" s="43">
        <f ca="1">SUM(Table12[cost per meter])</f>
        <v>10.119856155611114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35515787.490855888</v>
      </c>
    </row>
    <row r="4" spans="1:3" x14ac:dyDescent="0.3">
      <c r="B4" s="11" t="s">
        <v>44</v>
      </c>
      <c r="C4" s="11">
        <f>Table12[[#Totals],[Amount]]</f>
        <v>33643987.399999999</v>
      </c>
    </row>
    <row r="5" spans="1:3" x14ac:dyDescent="0.3">
      <c r="A5" s="6"/>
      <c r="B5" s="15" t="s">
        <v>68</v>
      </c>
      <c r="C5" s="15">
        <f>C3-C4</f>
        <v>1871800.090855889</v>
      </c>
    </row>
    <row r="10" spans="1:3" ht="15" thickBot="1" x14ac:dyDescent="0.35">
      <c r="B10" t="s">
        <v>66</v>
      </c>
      <c r="C10" s="14" t="s">
        <v>67</v>
      </c>
    </row>
    <row r="11" spans="1:3" x14ac:dyDescent="0.3">
      <c r="B11" s="56" t="s">
        <v>0</v>
      </c>
      <c r="C11" s="57">
        <f>C3</f>
        <v>35515787.490855888</v>
      </c>
    </row>
    <row r="12" spans="1:3" x14ac:dyDescent="0.3">
      <c r="B12" s="58" t="s">
        <v>69</v>
      </c>
      <c r="C12" s="59">
        <f>SUM(Table14[Credit])</f>
        <v>47415762.229517192</v>
      </c>
    </row>
    <row r="13" spans="1:3" ht="15" thickBot="1" x14ac:dyDescent="0.35">
      <c r="B13" s="74" t="s">
        <v>93</v>
      </c>
      <c r="C13" s="73">
        <f>(C11-C12)</f>
        <v>-11899974.738661304</v>
      </c>
    </row>
    <row r="14" spans="1:3" ht="15" thickBot="1" x14ac:dyDescent="0.35">
      <c r="B14" s="58"/>
      <c r="C14" s="59"/>
    </row>
    <row r="15" spans="1:3" x14ac:dyDescent="0.3">
      <c r="B15" s="56" t="s">
        <v>44</v>
      </c>
      <c r="C15" s="57">
        <f>C4</f>
        <v>33643987.399999999</v>
      </c>
    </row>
    <row r="16" spans="1:3" x14ac:dyDescent="0.3">
      <c r="B16" s="58" t="s">
        <v>70</v>
      </c>
      <c r="C16" s="59">
        <f>SUM(Table14[Debit])</f>
        <v>47154258.68</v>
      </c>
    </row>
    <row r="17" spans="2:6" ht="15" thickBot="1" x14ac:dyDescent="0.35">
      <c r="B17" s="74" t="s">
        <v>71</v>
      </c>
      <c r="C17" s="73">
        <f>C15-C16</f>
        <v>-13510271.280000001</v>
      </c>
    </row>
    <row r="18" spans="2:6" ht="15" thickBot="1" x14ac:dyDescent="0.35">
      <c r="B18" s="58"/>
      <c r="C18" s="59"/>
    </row>
    <row r="19" spans="2:6" ht="15" thickBot="1" x14ac:dyDescent="0.35">
      <c r="B19" s="75" t="s">
        <v>72</v>
      </c>
      <c r="C19" s="76">
        <f>Table18[[#Totals],[amount]]</f>
        <v>1424277.5495171919</v>
      </c>
    </row>
    <row r="20" spans="2:6" ht="15" thickBot="1" x14ac:dyDescent="0.35">
      <c r="B20" s="71"/>
      <c r="C20" s="72"/>
    </row>
    <row r="21" spans="2:6" ht="15" thickBot="1" x14ac:dyDescent="0.35">
      <c r="B21" s="60" t="s">
        <v>73</v>
      </c>
      <c r="C21" s="61">
        <f>(C13-C17)+C19</f>
        <v>3034574.090855889</v>
      </c>
      <c r="E21" s="79" t="s">
        <v>74</v>
      </c>
      <c r="F21" s="121">
        <f>C5*0.05</f>
        <v>93590.004542794457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5500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288806.40000000002</v>
      </c>
      <c r="E148">
        <f>SUBTOTAL(109,Table13[Credit])</f>
        <v>0</v>
      </c>
      <c r="F148">
        <f>Table13[[#Totals],[Debit]]-Table13[[#Totals],[Credit]]</f>
        <v>288806.40000000002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297" zoomScale="107" zoomScaleNormal="107" workbookViewId="0">
      <selection activeCell="A310" sqref="A31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7">
        <v>46216</v>
      </c>
      <c r="B296" s="133" t="s">
        <v>21</v>
      </c>
      <c r="C296" s="168">
        <v>1816</v>
      </c>
      <c r="D296" s="168" t="s">
        <v>86</v>
      </c>
      <c r="E296" s="134">
        <v>2258</v>
      </c>
      <c r="F296" s="134">
        <v>36789</v>
      </c>
      <c r="G296" s="134">
        <v>38686</v>
      </c>
      <c r="H296" s="169">
        <f>_xlfn.XLOOKUP(Table1[[#This Row],[Shipment Number]], 'pivot '!A:A,'pivot '!G:G, "NF")</f>
        <v>3.8437887442222376</v>
      </c>
      <c r="I296" s="170">
        <f>Table1[[#This Row],[Tiyaar/gaz]]/1.0936</f>
        <v>35374.908558888077</v>
      </c>
      <c r="J296" s="170"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269246.52523774689</v>
      </c>
      <c r="K304" s="113"/>
    </row>
    <row r="305" spans="1:11"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1"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1"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1"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1"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1"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1"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1"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1"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1"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1"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1" x14ac:dyDescent="0.3">
      <c r="A316" s="118">
        <v>46239</v>
      </c>
      <c r="B316" s="116" t="s">
        <v>441</v>
      </c>
      <c r="C316" s="113">
        <v>1836</v>
      </c>
      <c r="D316" s="113" t="s">
        <v>447</v>
      </c>
      <c r="E316" s="11">
        <v>2280</v>
      </c>
      <c r="F316" s="11">
        <v>15066</v>
      </c>
      <c r="G316" s="11">
        <v>3752</v>
      </c>
      <c r="H316" s="114">
        <f>_xlfn.XLOOKUP(Table1[[#This Row],[Shipment Number]], 'pivot '!A:A,'pivot '!G:G, "NF")</f>
        <v>77.227727868143404</v>
      </c>
      <c r="I316" s="115">
        <f>Table1[[#This Row],[Tiyaar/gaz]]/1.0936</f>
        <v>3430.8705193855162</v>
      </c>
      <c r="J316" s="115">
        <f>Table1[[#This Row],[tiyar/meters]]*15</f>
        <v>51463.057790782746</v>
      </c>
      <c r="K316" s="113"/>
    </row>
    <row r="317" spans="1:11" x14ac:dyDescent="0.3">
      <c r="A317" s="118"/>
      <c r="B317" s="116"/>
      <c r="C317" s="113"/>
      <c r="D317" s="113"/>
      <c r="E317" s="11"/>
      <c r="F317" s="11"/>
      <c r="G317" s="11"/>
      <c r="H317" s="114" t="e">
        <f>_xlfn.XLOOKUP(Table1[[#This Row],[Shipment Number]], 'pivot '!A:A,'pivot '!G:G, "NF")</f>
        <v>#DIV/0!</v>
      </c>
      <c r="I317" s="115"/>
      <c r="J317" s="115"/>
      <c r="K317" s="113"/>
    </row>
    <row r="318" spans="1:11" x14ac:dyDescent="0.3">
      <c r="A318" s="118"/>
      <c r="B318" s="116"/>
      <c r="C318" s="113"/>
      <c r="D318" s="113"/>
      <c r="E318" s="11"/>
      <c r="F318" s="11"/>
      <c r="G318" s="11"/>
      <c r="H318" s="114" t="e">
        <f>_xlfn.XLOOKUP(Table1[[#This Row],[Shipment Number]], 'pivot '!A:A,'pivot '!G:G, "NF")</f>
        <v>#DIV/0!</v>
      </c>
      <c r="I318" s="115"/>
      <c r="J318" s="115"/>
      <c r="K318" s="113"/>
    </row>
    <row r="319" spans="1:11" x14ac:dyDescent="0.3">
      <c r="A319" s="118"/>
      <c r="B319" s="116"/>
      <c r="C319" s="113"/>
      <c r="D319" s="113"/>
      <c r="E319" s="11"/>
      <c r="F319" s="11"/>
      <c r="G319" s="11"/>
      <c r="H319" s="114" t="e">
        <f>_xlfn.XLOOKUP(Table1[[#This Row],[Shipment Number]], 'pivot '!A:A,'pivot '!G:G, "NF")</f>
        <v>#DIV/0!</v>
      </c>
      <c r="I319" s="115"/>
      <c r="J319" s="115"/>
      <c r="K319" s="113"/>
    </row>
    <row r="320" spans="1:11"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3324551.9385515731</v>
      </c>
      <c r="J345" s="43" cm="1">
        <f t="array" aca="1" ref="J345" ca="1">SUMPRODUCT( SUBTOTAL(109, OFFSET(Table1[billing], ROW(Table1[billing])-MIN(ROW(Table1[billing])), 0, 1)), --(Table1[Bill Number]&lt;&gt;"Closing CF") )</f>
        <v>38553238.112655461</v>
      </c>
      <c r="K345" s="14">
        <f>SUMIFS(Table1[billing], Table1[Bill Number], "&lt;&gt;January Closing CF")</f>
        <v>176108992.90731528</v>
      </c>
    </row>
  </sheetData>
  <phoneticPr fontId="7" alignment="center"/>
  <conditionalFormatting sqref="H2:H345">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72" zoomScale="107" zoomScaleNormal="115" workbookViewId="0">
      <selection activeCell="H3" sqref="H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14687650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t="s">
        <v>28</v>
      </c>
      <c r="M85" s="14">
        <v>15804</v>
      </c>
      <c r="N85" s="14">
        <v>14687650</v>
      </c>
      <c r="O85" s="14">
        <v>0</v>
      </c>
      <c r="P85" s="14">
        <v>18699724</v>
      </c>
    </row>
    <row r="86" spans="1:16" x14ac:dyDescent="0.3">
      <c r="A86" s="1">
        <v>46213</v>
      </c>
      <c r="B86" t="s">
        <v>222</v>
      </c>
      <c r="D86" s="11">
        <v>213</v>
      </c>
      <c r="E86" s="11">
        <v>910</v>
      </c>
      <c r="F86" s="11"/>
      <c r="G86" s="11">
        <f t="shared" si="4"/>
        <v>193830</v>
      </c>
      <c r="H86" s="11"/>
      <c r="I86" s="11">
        <f>(D86*E86)-Table3[[#This Row],[Paid]]</f>
        <v>193830</v>
      </c>
    </row>
    <row r="87" spans="1:16" x14ac:dyDescent="0.3">
      <c r="A87" s="1"/>
      <c r="D87" s="11"/>
      <c r="E87" s="11"/>
      <c r="F87" s="11"/>
      <c r="G87" s="11">
        <f t="shared" si="4"/>
        <v>0</v>
      </c>
      <c r="H87" s="11"/>
      <c r="I87" s="11">
        <f>(D87*E87)-Table3[[#This Row],[Paid]]</f>
        <v>0</v>
      </c>
    </row>
    <row r="88" spans="1:16" x14ac:dyDescent="0.3">
      <c r="A88" s="1"/>
      <c r="D88" s="11"/>
      <c r="E88" s="11"/>
      <c r="F88" s="11"/>
      <c r="G88" s="11">
        <f t="shared" si="4"/>
        <v>0</v>
      </c>
      <c r="H88" s="11"/>
      <c r="I88" s="11">
        <f>(D88*E88)-Table3[[#This Row],[Paid]]</f>
        <v>0</v>
      </c>
    </row>
    <row r="89" spans="1:16" x14ac:dyDescent="0.3">
      <c r="A89" s="1"/>
      <c r="D89" s="11"/>
      <c r="E89" s="11"/>
      <c r="F89" s="11"/>
      <c r="G89" s="11">
        <f t="shared" si="4"/>
        <v>0</v>
      </c>
      <c r="H89" s="11"/>
      <c r="I89" s="11">
        <f>(D89*E89)-Table3[[#This Row],[Paid]]</f>
        <v>0</v>
      </c>
    </row>
    <row r="90" spans="1:16" x14ac:dyDescent="0.3">
      <c r="A90" s="1"/>
      <c r="D90" s="11"/>
      <c r="E90" s="11"/>
      <c r="F90" s="11"/>
      <c r="G90" s="11">
        <f t="shared" si="4"/>
        <v>0</v>
      </c>
      <c r="H90" s="11"/>
      <c r="I90" s="11">
        <f>(D90*E90)-Table3[[#This Row],[Paid]]</f>
        <v>0</v>
      </c>
    </row>
    <row r="91" spans="1:16" x14ac:dyDescent="0.3">
      <c r="A91" s="1"/>
      <c r="D91" s="11"/>
      <c r="E91" s="11"/>
      <c r="F91" s="11"/>
      <c r="G91" s="11">
        <f t="shared" si="4"/>
        <v>0</v>
      </c>
      <c r="H91" s="11"/>
      <c r="I91" s="11">
        <f>(D91*E91)-Table3[[#This Row],[Paid]]</f>
        <v>0</v>
      </c>
    </row>
    <row r="92" spans="1:16" x14ac:dyDescent="0.3">
      <c r="A92" s="1"/>
      <c r="D92" s="11"/>
      <c r="E92" s="11"/>
      <c r="F92" s="11"/>
      <c r="G92" s="11">
        <f t="shared" si="4"/>
        <v>0</v>
      </c>
      <c r="H92" s="11"/>
      <c r="I92" s="11">
        <f>(D92*E92)-Table3[[#This Row],[Paid]]</f>
        <v>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14687650</v>
      </c>
      <c r="H97" s="14">
        <f>SUBTOTAL(109,Table3[Paid])</f>
        <v>0</v>
      </c>
      <c r="I97" s="14">
        <f>SUBTOTAL(109,Table3[balance])</f>
        <v>18699724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343"/>
  <sheetViews>
    <sheetView tabSelected="1" topLeftCell="A1326" zoomScale="110" zoomScaleNormal="70" workbookViewId="0">
      <selection activeCell="B1330" sqref="A1330:B133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47154258.68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47415762.229517192</v>
      </c>
      <c r="M5" s="45" t="s">
        <v>108</v>
      </c>
      <c r="N5" s="46">
        <f>(SUMIFS(Table14[Credit],Table14[Mode],"Bank")-SUMIFS(Table14[Debit],Table14[Mode],"Bank")-SUMIFS(Table14[Withdrawal],Table14[Mode],"Transfer"))</f>
        <v>2035193.5495171919</v>
      </c>
      <c r="O5">
        <v>360000</v>
      </c>
    </row>
    <row r="6" spans="1:16" x14ac:dyDescent="0.3">
      <c r="A6" s="85">
        <v>46111</v>
      </c>
      <c r="B6" s="80" t="s">
        <v>220</v>
      </c>
      <c r="C6" s="11">
        <v>949282</v>
      </c>
      <c r="D6" s="86"/>
      <c r="E6" s="80" t="s">
        <v>618</v>
      </c>
      <c r="F6" s="87" t="s">
        <v>108</v>
      </c>
      <c r="J6" s="52" t="s">
        <v>43</v>
      </c>
      <c r="K6" s="53">
        <f>(K5-K4)</f>
        <v>261503.54951719195</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1424277.5495171919</v>
      </c>
      <c r="O7" s="89">
        <f>SUM(O5,O6)</f>
        <v>410000</v>
      </c>
      <c r="P7" s="14">
        <f>Table18[[#Totals],[amount]]-Table18[[#Totals],[Actual]]</f>
        <v>1014277.5495171919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10964161</v>
      </c>
      <c r="L197" s="14">
        <v>10789008</v>
      </c>
      <c r="O197">
        <v>22650</v>
      </c>
    </row>
    <row r="198" spans="1:15" x14ac:dyDescent="0.3">
      <c r="A198" s="38">
        <v>46131</v>
      </c>
      <c r="B198" t="s">
        <v>386</v>
      </c>
      <c r="C198" s="11">
        <v>4000</v>
      </c>
      <c r="D198" s="11" t="s">
        <v>400</v>
      </c>
      <c r="E198" t="s">
        <v>401</v>
      </c>
      <c r="F198" s="108" t="s">
        <v>108</v>
      </c>
      <c r="J198" s="4" t="s">
        <v>28</v>
      </c>
      <c r="K198" s="14">
        <v>46193898.229517192</v>
      </c>
      <c r="L198" s="14">
        <v>45938392.68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c r="D1028" s="11"/>
      <c r="E1028" t="s">
        <v>876</v>
      </c>
      <c r="F1028" s="108" t="s">
        <v>108</v>
      </c>
    </row>
    <row r="1029" spans="1:6" x14ac:dyDescent="0.3">
      <c r="A1029" s="38">
        <v>46209</v>
      </c>
      <c r="B1029" t="s">
        <v>488</v>
      </c>
      <c r="C1029" s="11">
        <v>1500</v>
      </c>
      <c r="D1029" s="11"/>
      <c r="E1029" t="s">
        <v>877</v>
      </c>
      <c r="F1029" s="108" t="s">
        <v>108</v>
      </c>
    </row>
    <row r="1030" spans="1:6" x14ac:dyDescent="0.3">
      <c r="A1030" s="111">
        <v>46210</v>
      </c>
      <c r="B1030" t="s">
        <v>654</v>
      </c>
      <c r="C1030" s="11"/>
      <c r="D1030" s="11">
        <v>180000</v>
      </c>
      <c r="E1030" t="s">
        <v>894</v>
      </c>
      <c r="F1030" s="108" t="s">
        <v>108</v>
      </c>
    </row>
    <row r="1031" spans="1:6" x14ac:dyDescent="0.3">
      <c r="A1031" s="111">
        <v>46210</v>
      </c>
      <c r="B1031" t="s">
        <v>654</v>
      </c>
      <c r="C1031" s="11"/>
      <c r="D1031" s="11">
        <v>190000</v>
      </c>
      <c r="E1031" t="s">
        <v>894</v>
      </c>
      <c r="F1031" s="108" t="s">
        <v>108</v>
      </c>
    </row>
    <row r="1032" spans="1:6" x14ac:dyDescent="0.3">
      <c r="A1032" s="111">
        <v>46210</v>
      </c>
      <c r="B1032" s="117" t="s">
        <v>219</v>
      </c>
      <c r="C1032" s="11">
        <v>180000</v>
      </c>
      <c r="D1032" s="11"/>
      <c r="E1032" t="s">
        <v>895</v>
      </c>
      <c r="F1032" s="108" t="s">
        <v>108</v>
      </c>
    </row>
    <row r="1033" spans="1:6" x14ac:dyDescent="0.3">
      <c r="A1033" s="11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6" x14ac:dyDescent="0.3">
      <c r="A1041" s="38">
        <v>46210</v>
      </c>
      <c r="B1041" t="s">
        <v>357</v>
      </c>
      <c r="C1041" s="11">
        <v>2600</v>
      </c>
      <c r="D1041" s="11"/>
      <c r="E1041" t="s">
        <v>883</v>
      </c>
      <c r="F1041" s="108" t="s">
        <v>108</v>
      </c>
    </row>
    <row r="1042" spans="1:6" x14ac:dyDescent="0.3">
      <c r="A1042" s="111">
        <v>46210</v>
      </c>
      <c r="B1042" t="s">
        <v>55</v>
      </c>
      <c r="C1042" s="11">
        <v>2500</v>
      </c>
      <c r="D1042" s="11"/>
      <c r="E1042" t="s">
        <v>884</v>
      </c>
      <c r="F1042" s="108" t="s">
        <v>108</v>
      </c>
    </row>
    <row r="1043" spans="1:6" x14ac:dyDescent="0.3">
      <c r="A1043" s="38">
        <v>46210</v>
      </c>
      <c r="B1043" t="s">
        <v>488</v>
      </c>
      <c r="C1043" s="11">
        <v>200</v>
      </c>
      <c r="D1043" s="11"/>
      <c r="E1043" t="s">
        <v>885</v>
      </c>
      <c r="F1043" s="108" t="s">
        <v>108</v>
      </c>
    </row>
    <row r="1044" spans="1:6"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x14ac:dyDescent="0.3">
      <c r="A1046" s="111">
        <v>46210</v>
      </c>
      <c r="B1046" t="s">
        <v>211</v>
      </c>
      <c r="C1046" s="11"/>
      <c r="D1046" s="11">
        <v>13000</v>
      </c>
      <c r="E1046" t="s">
        <v>833</v>
      </c>
      <c r="F1046" s="108" t="s">
        <v>108</v>
      </c>
    </row>
    <row r="1047" spans="1:6" x14ac:dyDescent="0.3">
      <c r="A1047" s="38">
        <v>46210</v>
      </c>
      <c r="B1047" t="s">
        <v>298</v>
      </c>
      <c r="C1047" s="11">
        <v>10000</v>
      </c>
      <c r="D1047" s="11"/>
      <c r="E1047" t="s">
        <v>693</v>
      </c>
      <c r="F1047" s="108" t="s">
        <v>108</v>
      </c>
    </row>
    <row r="1048" spans="1:6" x14ac:dyDescent="0.3">
      <c r="A1048" s="111">
        <v>46210</v>
      </c>
      <c r="B1048" t="s">
        <v>887</v>
      </c>
      <c r="C1048" s="11"/>
      <c r="D1048" s="11">
        <v>75000</v>
      </c>
      <c r="E1048" t="s">
        <v>234</v>
      </c>
      <c r="F1048" s="108" t="s">
        <v>108</v>
      </c>
    </row>
    <row r="1049" spans="1:6" x14ac:dyDescent="0.3">
      <c r="A1049" s="38">
        <v>46210</v>
      </c>
      <c r="B1049" t="s">
        <v>394</v>
      </c>
      <c r="C1049" s="95">
        <v>117810</v>
      </c>
      <c r="D1049" s="95"/>
      <c r="E1049" t="s">
        <v>888</v>
      </c>
      <c r="F1049" s="108" t="s">
        <v>108</v>
      </c>
    </row>
    <row r="1050" spans="1:6" x14ac:dyDescent="0.3">
      <c r="A1050" s="38">
        <v>46211</v>
      </c>
      <c r="B1050" t="s">
        <v>269</v>
      </c>
      <c r="C1050" s="95">
        <v>5000</v>
      </c>
      <c r="D1050" s="95"/>
      <c r="E1050" t="s">
        <v>700</v>
      </c>
      <c r="F1050" s="108" t="s">
        <v>108</v>
      </c>
    </row>
    <row r="1051" spans="1:6" x14ac:dyDescent="0.3">
      <c r="A1051" s="111">
        <v>46211</v>
      </c>
      <c r="B1051" t="s">
        <v>211</v>
      </c>
      <c r="C1051" s="11"/>
      <c r="D1051" s="11">
        <v>5000</v>
      </c>
      <c r="E1051" t="s">
        <v>833</v>
      </c>
      <c r="F1051" s="108" t="s">
        <v>108</v>
      </c>
    </row>
    <row r="1052" spans="1:6" x14ac:dyDescent="0.3">
      <c r="A1052" s="111">
        <v>46211</v>
      </c>
      <c r="B1052" t="s">
        <v>488</v>
      </c>
      <c r="C1052" s="11">
        <v>500</v>
      </c>
      <c r="D1052" s="11"/>
      <c r="E1052" t="s">
        <v>896</v>
      </c>
      <c r="F1052" s="108" t="s">
        <v>108</v>
      </c>
    </row>
    <row r="1053" spans="1:6" x14ac:dyDescent="0.3">
      <c r="A1053" s="111">
        <v>46211</v>
      </c>
      <c r="B1053" t="s">
        <v>244</v>
      </c>
      <c r="C1053" s="11">
        <f>280+2300</f>
        <v>2580</v>
      </c>
      <c r="D1053" s="11"/>
      <c r="E1053" t="s">
        <v>897</v>
      </c>
      <c r="F1053" s="108" t="s">
        <v>108</v>
      </c>
    </row>
    <row r="1054" spans="1:6" x14ac:dyDescent="0.3">
      <c r="A1054" s="111">
        <v>46211</v>
      </c>
      <c r="B1054" t="s">
        <v>55</v>
      </c>
      <c r="C1054" s="11">
        <v>800</v>
      </c>
      <c r="D1054" s="11"/>
      <c r="E1054" t="s">
        <v>898</v>
      </c>
      <c r="F1054" s="108" t="s">
        <v>108</v>
      </c>
    </row>
    <row r="1055" spans="1:6" x14ac:dyDescent="0.3">
      <c r="A1055" s="111">
        <v>46211</v>
      </c>
      <c r="B1055" t="s">
        <v>246</v>
      </c>
      <c r="C1055" s="11">
        <v>1800</v>
      </c>
      <c r="D1055" s="11"/>
      <c r="E1055" t="s">
        <v>899</v>
      </c>
      <c r="F1055" s="108" t="s">
        <v>108</v>
      </c>
    </row>
    <row r="1056" spans="1:6" x14ac:dyDescent="0.3">
      <c r="A1056" s="111">
        <v>46211</v>
      </c>
      <c r="B1056" t="s">
        <v>357</v>
      </c>
      <c r="C1056" s="11">
        <v>12000</v>
      </c>
      <c r="D1056" s="11"/>
      <c r="E1056" t="s">
        <v>900</v>
      </c>
      <c r="F1056" s="108" t="s">
        <v>108</v>
      </c>
    </row>
    <row r="1057" spans="1:6" x14ac:dyDescent="0.3">
      <c r="A1057" s="111">
        <v>46211</v>
      </c>
      <c r="B1057" t="s">
        <v>776</v>
      </c>
      <c r="C1057" s="11"/>
      <c r="D1057" s="11">
        <v>85000</v>
      </c>
      <c r="E1057" t="s">
        <v>267</v>
      </c>
      <c r="F1057" s="108" t="s">
        <v>108</v>
      </c>
    </row>
    <row r="1058" spans="1:6" x14ac:dyDescent="0.3">
      <c r="A1058" s="111">
        <v>46211</v>
      </c>
      <c r="B1058" t="s">
        <v>253</v>
      </c>
      <c r="C1058" s="11">
        <f>31500+3500</f>
        <v>35000</v>
      </c>
      <c r="D1058" s="11"/>
      <c r="E1058" t="s">
        <v>904</v>
      </c>
      <c r="F1058" s="108" t="s">
        <v>108</v>
      </c>
    </row>
    <row r="1059" spans="1:6" x14ac:dyDescent="0.3">
      <c r="A1059" s="111">
        <v>46211</v>
      </c>
      <c r="B1059" t="s">
        <v>901</v>
      </c>
      <c r="C1059" s="11"/>
      <c r="D1059" s="11">
        <v>94900</v>
      </c>
      <c r="E1059" t="s">
        <v>215</v>
      </c>
      <c r="F1059" s="108" t="s">
        <v>108</v>
      </c>
    </row>
    <row r="1060" spans="1:6" x14ac:dyDescent="0.3">
      <c r="A1060" s="38">
        <v>46211</v>
      </c>
      <c r="B1060" t="s">
        <v>253</v>
      </c>
      <c r="C1060" s="95">
        <v>10200</v>
      </c>
      <c r="D1060" s="95"/>
      <c r="E1060" t="s">
        <v>902</v>
      </c>
      <c r="F1060" s="108" t="s">
        <v>108</v>
      </c>
    </row>
    <row r="1061" spans="1:6" x14ac:dyDescent="0.3">
      <c r="A1061" s="38">
        <v>46211</v>
      </c>
      <c r="B1061" t="s">
        <v>253</v>
      </c>
      <c r="C1061" s="95">
        <v>5000</v>
      </c>
      <c r="D1061" s="95"/>
      <c r="E1061" t="s">
        <v>903</v>
      </c>
      <c r="F1061" s="108" t="s">
        <v>108</v>
      </c>
    </row>
    <row r="1062" spans="1:6" x14ac:dyDescent="0.3">
      <c r="A1062" s="38">
        <v>46211</v>
      </c>
      <c r="B1062" t="s">
        <v>269</v>
      </c>
      <c r="C1062" s="95">
        <v>7000</v>
      </c>
      <c r="D1062" s="95"/>
      <c r="E1062" t="s">
        <v>288</v>
      </c>
      <c r="F1062" s="108" t="s">
        <v>108</v>
      </c>
    </row>
    <row r="1063" spans="1:6" x14ac:dyDescent="0.3">
      <c r="A1063" s="38">
        <v>46211</v>
      </c>
      <c r="B1063" t="s">
        <v>211</v>
      </c>
      <c r="C1063" s="95">
        <f>1350+1000</f>
        <v>2350</v>
      </c>
      <c r="D1063" s="11"/>
      <c r="F1063" s="108" t="s">
        <v>108</v>
      </c>
    </row>
    <row r="1064" spans="1:6" x14ac:dyDescent="0.3">
      <c r="A1064" s="38">
        <v>46212</v>
      </c>
      <c r="B1064" t="s">
        <v>222</v>
      </c>
      <c r="C1064" s="95">
        <v>80000</v>
      </c>
      <c r="D1064" s="95"/>
      <c r="E1064" t="s">
        <v>908</v>
      </c>
      <c r="F1064" s="108" t="s">
        <v>108</v>
      </c>
    </row>
    <row r="1065" spans="1:6" x14ac:dyDescent="0.3">
      <c r="A1065" s="111">
        <v>46212</v>
      </c>
      <c r="B1065" t="s">
        <v>819</v>
      </c>
      <c r="C1065" s="11">
        <v>185350</v>
      </c>
      <c r="D1065" s="11"/>
      <c r="E1065" t="s">
        <v>909</v>
      </c>
      <c r="F1065" s="108" t="s">
        <v>108</v>
      </c>
    </row>
    <row r="1066" spans="1:6" x14ac:dyDescent="0.3">
      <c r="A1066" s="111">
        <v>46212</v>
      </c>
      <c r="B1066" t="s">
        <v>887</v>
      </c>
      <c r="C1066" s="11"/>
      <c r="D1066" s="11">
        <v>185350</v>
      </c>
      <c r="E1066" t="s">
        <v>918</v>
      </c>
      <c r="F1066" s="143" t="s">
        <v>108</v>
      </c>
    </row>
    <row r="1067" spans="1:6" x14ac:dyDescent="0.3">
      <c r="A1067" s="111">
        <v>46212</v>
      </c>
      <c r="B1067" t="s">
        <v>488</v>
      </c>
      <c r="C1067" s="11">
        <v>5000</v>
      </c>
      <c r="D1067" s="11"/>
      <c r="E1067" t="s">
        <v>872</v>
      </c>
      <c r="F1067" s="143" t="s">
        <v>108</v>
      </c>
    </row>
    <row r="1068" spans="1:6" x14ac:dyDescent="0.3">
      <c r="A1068" s="38">
        <v>46212</v>
      </c>
      <c r="B1068" t="s">
        <v>488</v>
      </c>
      <c r="C1068" s="11">
        <v>500</v>
      </c>
      <c r="D1068" s="11"/>
      <c r="E1068" t="s">
        <v>910</v>
      </c>
      <c r="F1068" s="108" t="s">
        <v>108</v>
      </c>
    </row>
    <row r="1069" spans="1:6" x14ac:dyDescent="0.3">
      <c r="A1069" s="111">
        <v>46212</v>
      </c>
      <c r="B1069" t="s">
        <v>55</v>
      </c>
      <c r="C1069" s="11">
        <v>1250</v>
      </c>
      <c r="D1069" s="11"/>
      <c r="E1069" t="s">
        <v>911</v>
      </c>
      <c r="F1069" s="108" t="s">
        <v>108</v>
      </c>
    </row>
    <row r="1070" spans="1:6" x14ac:dyDescent="0.3">
      <c r="A1070" s="38">
        <v>46212</v>
      </c>
      <c r="B1070" t="s">
        <v>55</v>
      </c>
      <c r="C1070" s="11">
        <v>1800</v>
      </c>
      <c r="D1070" s="11"/>
      <c r="E1070" t="s">
        <v>912</v>
      </c>
      <c r="F1070" s="108" t="s">
        <v>108</v>
      </c>
    </row>
    <row r="1071" spans="1:6" x14ac:dyDescent="0.3">
      <c r="A1071" s="111">
        <v>46212</v>
      </c>
      <c r="B1071" t="s">
        <v>55</v>
      </c>
      <c r="C1071" s="11">
        <v>1100</v>
      </c>
      <c r="D1071" s="11"/>
      <c r="E1071" t="s">
        <v>913</v>
      </c>
      <c r="F1071" s="108" t="s">
        <v>108</v>
      </c>
    </row>
    <row r="1072" spans="1:6" x14ac:dyDescent="0.3">
      <c r="A1072" s="38">
        <v>46212</v>
      </c>
      <c r="B1072" t="s">
        <v>55</v>
      </c>
      <c r="C1072" s="11">
        <v>3560</v>
      </c>
      <c r="D1072" s="11"/>
      <c r="E1072" t="s">
        <v>914</v>
      </c>
      <c r="F1072" s="108" t="s">
        <v>108</v>
      </c>
    </row>
    <row r="1073" spans="1:6" x14ac:dyDescent="0.3">
      <c r="A1073" s="111">
        <v>46212</v>
      </c>
      <c r="B1073" t="s">
        <v>488</v>
      </c>
      <c r="C1073" s="11">
        <v>800</v>
      </c>
      <c r="D1073" s="11"/>
      <c r="E1073" t="s">
        <v>462</v>
      </c>
      <c r="F1073" s="108" t="s">
        <v>108</v>
      </c>
    </row>
    <row r="1074" spans="1:6" x14ac:dyDescent="0.3">
      <c r="A1074" s="38">
        <v>46212</v>
      </c>
      <c r="B1074" t="s">
        <v>915</v>
      </c>
      <c r="C1074" s="11"/>
      <c r="D1074" s="11">
        <v>85000</v>
      </c>
      <c r="E1074" t="s">
        <v>916</v>
      </c>
      <c r="F1074" s="108" t="s">
        <v>108</v>
      </c>
    </row>
    <row r="1075" spans="1:6" x14ac:dyDescent="0.3">
      <c r="A1075" s="111">
        <v>46212</v>
      </c>
      <c r="B1075" t="s">
        <v>915</v>
      </c>
      <c r="C1075" s="11"/>
      <c r="D1075" s="11">
        <v>6000</v>
      </c>
      <c r="E1075" t="s">
        <v>320</v>
      </c>
      <c r="F1075" s="108" t="s">
        <v>108</v>
      </c>
    </row>
    <row r="1076" spans="1:6" x14ac:dyDescent="0.3">
      <c r="A1076" s="38">
        <v>46212</v>
      </c>
      <c r="B1076" t="s">
        <v>55</v>
      </c>
      <c r="C1076" s="11">
        <v>1200</v>
      </c>
      <c r="D1076" s="11"/>
      <c r="E1076" t="s">
        <v>917</v>
      </c>
      <c r="F1076" s="108" t="s">
        <v>108</v>
      </c>
    </row>
    <row r="1077" spans="1:6" x14ac:dyDescent="0.3">
      <c r="A1077" s="111">
        <v>46212</v>
      </c>
      <c r="B1077" t="s">
        <v>55</v>
      </c>
      <c r="C1077" s="95">
        <v>1350</v>
      </c>
      <c r="D1077" s="95"/>
      <c r="E1077" t="s">
        <v>919</v>
      </c>
      <c r="F1077" s="108" t="s">
        <v>108</v>
      </c>
    </row>
    <row r="1078" spans="1:6" x14ac:dyDescent="0.3">
      <c r="A1078" s="38">
        <v>46212</v>
      </c>
      <c r="B1078" t="s">
        <v>222</v>
      </c>
      <c r="C1078" s="11">
        <v>46850</v>
      </c>
      <c r="D1078" s="11"/>
      <c r="E1078" t="s">
        <v>908</v>
      </c>
      <c r="F1078" s="108" t="s">
        <v>108</v>
      </c>
    </row>
    <row r="1079" spans="1:6" x14ac:dyDescent="0.3">
      <c r="A1079" s="111">
        <v>46212</v>
      </c>
      <c r="B1079" t="s">
        <v>244</v>
      </c>
      <c r="C1079" s="11">
        <v>2450</v>
      </c>
      <c r="D1079" s="11"/>
      <c r="E1079" t="s">
        <v>920</v>
      </c>
      <c r="F1079" s="108" t="s">
        <v>108</v>
      </c>
    </row>
    <row r="1080" spans="1:6" x14ac:dyDescent="0.3">
      <c r="A1080" s="38">
        <v>46212</v>
      </c>
      <c r="B1080" t="s">
        <v>766</v>
      </c>
      <c r="C1080" s="11">
        <v>15000</v>
      </c>
      <c r="D1080" s="11"/>
      <c r="E1080" t="s">
        <v>921</v>
      </c>
      <c r="F1080" s="108" t="s">
        <v>108</v>
      </c>
    </row>
    <row r="1081" spans="1:6" x14ac:dyDescent="0.3">
      <c r="A1081" s="111">
        <v>46212</v>
      </c>
      <c r="B1081" t="s">
        <v>246</v>
      </c>
      <c r="C1081" s="11">
        <v>10000</v>
      </c>
      <c r="D1081" s="11"/>
      <c r="E1081" t="s">
        <v>922</v>
      </c>
      <c r="F1081" s="108" t="s">
        <v>108</v>
      </c>
    </row>
    <row r="1082" spans="1:6" x14ac:dyDescent="0.3">
      <c r="A1082" s="38">
        <v>46212</v>
      </c>
      <c r="B1082" t="s">
        <v>488</v>
      </c>
      <c r="C1082" s="95">
        <v>2000</v>
      </c>
      <c r="D1082" s="95"/>
      <c r="E1082" t="s">
        <v>923</v>
      </c>
      <c r="F1082" s="108" t="s">
        <v>108</v>
      </c>
    </row>
    <row r="1083" spans="1:6" x14ac:dyDescent="0.3">
      <c r="A1083" s="38">
        <v>46212</v>
      </c>
      <c r="B1083" t="s">
        <v>517</v>
      </c>
      <c r="C1083" s="95">
        <v>400000</v>
      </c>
      <c r="D1083" s="95"/>
      <c r="E1083" t="s">
        <v>924</v>
      </c>
      <c r="F1083" s="108" t="s">
        <v>108</v>
      </c>
    </row>
    <row r="1084" spans="1:6" x14ac:dyDescent="0.3">
      <c r="A1084" s="38">
        <v>46212</v>
      </c>
      <c r="B1084" t="s">
        <v>887</v>
      </c>
      <c r="C1084" s="95"/>
      <c r="D1084" s="95">
        <v>400000</v>
      </c>
      <c r="E1084" t="s">
        <v>517</v>
      </c>
      <c r="F1084" s="108" t="s">
        <v>108</v>
      </c>
    </row>
    <row r="1085" spans="1:6" x14ac:dyDescent="0.3">
      <c r="A1085" s="38">
        <v>46212</v>
      </c>
      <c r="B1085" t="s">
        <v>219</v>
      </c>
      <c r="C1085" s="95"/>
      <c r="D1085" s="95">
        <v>170000</v>
      </c>
      <c r="E1085" t="s">
        <v>925</v>
      </c>
      <c r="F1085" s="108" t="s">
        <v>108</v>
      </c>
    </row>
    <row r="1086" spans="1:6" x14ac:dyDescent="0.3">
      <c r="A1086" s="38">
        <v>46212</v>
      </c>
      <c r="B1086" t="s">
        <v>674</v>
      </c>
      <c r="C1086" s="95">
        <v>200000</v>
      </c>
      <c r="D1086" s="95"/>
      <c r="E1086" t="s">
        <v>926</v>
      </c>
      <c r="F1086" s="108" t="s">
        <v>108</v>
      </c>
    </row>
    <row r="1087" spans="1:6" x14ac:dyDescent="0.3">
      <c r="A1087" s="38">
        <v>46213</v>
      </c>
      <c r="B1087" t="s">
        <v>887</v>
      </c>
      <c r="C1087" s="95"/>
      <c r="D1087" s="95">
        <v>36000</v>
      </c>
      <c r="E1087" t="s">
        <v>927</v>
      </c>
      <c r="F1087" s="108" t="s">
        <v>108</v>
      </c>
    </row>
    <row r="1088" spans="1:6" x14ac:dyDescent="0.3">
      <c r="A1088" s="38">
        <v>46213</v>
      </c>
      <c r="B1088" t="s">
        <v>222</v>
      </c>
      <c r="C1088" s="95">
        <v>36000</v>
      </c>
      <c r="D1088" s="95"/>
      <c r="E1088" t="s">
        <v>908</v>
      </c>
      <c r="F1088" s="108" t="s">
        <v>108</v>
      </c>
    </row>
    <row r="1089" spans="1:6" x14ac:dyDescent="0.3">
      <c r="A1089" s="38">
        <v>46213</v>
      </c>
      <c r="B1089" t="s">
        <v>887</v>
      </c>
      <c r="C1089" s="95"/>
      <c r="D1089" s="95">
        <v>80000</v>
      </c>
      <c r="E1089" t="s">
        <v>930</v>
      </c>
      <c r="F1089" s="108" t="s">
        <v>108</v>
      </c>
    </row>
    <row r="1090" spans="1:6" x14ac:dyDescent="0.3">
      <c r="A1090" s="111">
        <v>46213</v>
      </c>
      <c r="B1090" t="s">
        <v>253</v>
      </c>
      <c r="C1090" s="11">
        <v>80000</v>
      </c>
      <c r="D1090" s="11"/>
      <c r="E1090" t="s">
        <v>931</v>
      </c>
      <c r="F1090" s="108" t="s">
        <v>932</v>
      </c>
    </row>
    <row r="1091" spans="1:6" x14ac:dyDescent="0.3">
      <c r="A1091" s="111">
        <v>46213</v>
      </c>
      <c r="B1091" t="s">
        <v>219</v>
      </c>
      <c r="C1091" s="11"/>
      <c r="D1091" s="11">
        <v>280000</v>
      </c>
      <c r="E1091" t="s">
        <v>933</v>
      </c>
      <c r="F1091" s="108" t="s">
        <v>108</v>
      </c>
    </row>
    <row r="1092" spans="1:6" x14ac:dyDescent="0.3">
      <c r="A1092" s="111">
        <v>46213</v>
      </c>
      <c r="B1092" t="s">
        <v>222</v>
      </c>
      <c r="C1092" s="11">
        <v>300000</v>
      </c>
      <c r="D1092" s="11"/>
      <c r="E1092" t="s">
        <v>934</v>
      </c>
      <c r="F1092" s="108" t="s">
        <v>108</v>
      </c>
    </row>
    <row r="1093" spans="1:6" x14ac:dyDescent="0.3">
      <c r="A1093" s="111">
        <v>46213</v>
      </c>
      <c r="B1093" t="s">
        <v>887</v>
      </c>
      <c r="C1093" s="11"/>
      <c r="D1093" s="11">
        <v>24000</v>
      </c>
      <c r="F1093" s="108" t="s">
        <v>108</v>
      </c>
    </row>
    <row r="1094" spans="1:6" x14ac:dyDescent="0.3">
      <c r="A1094" s="111">
        <v>46213</v>
      </c>
      <c r="B1094" t="s">
        <v>386</v>
      </c>
      <c r="C1094" s="11">
        <v>4480</v>
      </c>
      <c r="D1094" s="11"/>
      <c r="E1094" t="s">
        <v>935</v>
      </c>
      <c r="F1094" s="108" t="s">
        <v>108</v>
      </c>
    </row>
    <row r="1095" spans="1:6" x14ac:dyDescent="0.3">
      <c r="A1095" s="111">
        <v>46214</v>
      </c>
      <c r="B1095" t="s">
        <v>928</v>
      </c>
      <c r="C1095" s="11"/>
      <c r="D1095" s="11">
        <v>488600</v>
      </c>
      <c r="F1095" s="108" t="s">
        <v>108</v>
      </c>
    </row>
    <row r="1096" spans="1:6" x14ac:dyDescent="0.3">
      <c r="A1096" s="111">
        <v>46214</v>
      </c>
      <c r="B1096" t="s">
        <v>219</v>
      </c>
      <c r="C1096" s="11">
        <v>488600</v>
      </c>
      <c r="D1096" s="11"/>
      <c r="E1096" t="s">
        <v>936</v>
      </c>
      <c r="F1096" s="108" t="s">
        <v>108</v>
      </c>
    </row>
    <row r="1097" spans="1:6" x14ac:dyDescent="0.3">
      <c r="A1097" s="111">
        <v>46213</v>
      </c>
      <c r="B1097" t="s">
        <v>792</v>
      </c>
      <c r="C1097" s="95"/>
      <c r="D1097" s="95">
        <v>100000</v>
      </c>
      <c r="F1097" s="108" t="s">
        <v>108</v>
      </c>
    </row>
    <row r="1098" spans="1:6" x14ac:dyDescent="0.3">
      <c r="A1098" s="111">
        <v>46214</v>
      </c>
      <c r="B1098" t="s">
        <v>219</v>
      </c>
      <c r="C1098" s="11">
        <v>100000</v>
      </c>
      <c r="D1098" s="11"/>
      <c r="E1098" t="s">
        <v>280</v>
      </c>
      <c r="F1098" s="108" t="s">
        <v>108</v>
      </c>
    </row>
    <row r="1099" spans="1:6" x14ac:dyDescent="0.3">
      <c r="A1099" s="111">
        <v>46204</v>
      </c>
      <c r="B1099" t="s">
        <v>776</v>
      </c>
      <c r="C1099" s="11"/>
      <c r="D1099" s="11">
        <v>132500</v>
      </c>
      <c r="F1099" s="108" t="s">
        <v>108</v>
      </c>
    </row>
    <row r="1100" spans="1:6" x14ac:dyDescent="0.3">
      <c r="A1100" s="111">
        <v>46204</v>
      </c>
      <c r="B1100" t="s">
        <v>219</v>
      </c>
      <c r="C1100" s="11">
        <v>132500</v>
      </c>
      <c r="D1100" s="11"/>
      <c r="E1100" t="s">
        <v>776</v>
      </c>
      <c r="F1100" s="108" t="s">
        <v>108</v>
      </c>
    </row>
    <row r="1101" spans="1:6" x14ac:dyDescent="0.3">
      <c r="A1101" s="111">
        <v>46214</v>
      </c>
      <c r="B1101" t="s">
        <v>488</v>
      </c>
      <c r="C1101" s="11">
        <v>500</v>
      </c>
      <c r="D1101" s="11"/>
      <c r="E1101" t="s">
        <v>937</v>
      </c>
      <c r="F1101" s="108" t="s">
        <v>108</v>
      </c>
    </row>
    <row r="1102" spans="1:6" x14ac:dyDescent="0.3">
      <c r="A1102" s="111">
        <v>46214</v>
      </c>
      <c r="B1102" t="s">
        <v>269</v>
      </c>
      <c r="C1102" s="11">
        <v>5000</v>
      </c>
      <c r="D1102" s="11"/>
      <c r="E1102" t="s">
        <v>864</v>
      </c>
      <c r="F1102" s="108" t="s">
        <v>108</v>
      </c>
    </row>
    <row r="1103" spans="1:6" x14ac:dyDescent="0.3">
      <c r="A1103" s="111">
        <v>46214</v>
      </c>
      <c r="B1103" t="s">
        <v>55</v>
      </c>
      <c r="C1103" s="11">
        <v>460</v>
      </c>
      <c r="D1103" s="11"/>
      <c r="E1103" t="s">
        <v>938</v>
      </c>
      <c r="F1103" s="108" t="s">
        <v>108</v>
      </c>
    </row>
    <row r="1104" spans="1:6" x14ac:dyDescent="0.3">
      <c r="A1104" s="111">
        <v>46214</v>
      </c>
      <c r="B1104" t="s">
        <v>55</v>
      </c>
      <c r="C1104" s="11">
        <v>3500</v>
      </c>
      <c r="D1104" s="11"/>
      <c r="E1104" t="s">
        <v>939</v>
      </c>
      <c r="F1104" s="108" t="s">
        <v>108</v>
      </c>
    </row>
    <row r="1105" spans="1:6" x14ac:dyDescent="0.3">
      <c r="A1105" s="111">
        <v>46214</v>
      </c>
      <c r="B1105" t="s">
        <v>298</v>
      </c>
      <c r="C1105" s="95">
        <v>49410</v>
      </c>
      <c r="D1105" s="95"/>
      <c r="E1105" t="s">
        <v>940</v>
      </c>
      <c r="F1105" s="108" t="s">
        <v>108</v>
      </c>
    </row>
    <row r="1106" spans="1:6" x14ac:dyDescent="0.3">
      <c r="A1106" s="111">
        <v>46214</v>
      </c>
      <c r="B1106" t="s">
        <v>892</v>
      </c>
      <c r="C1106" s="11"/>
      <c r="D1106" s="11">
        <v>100000</v>
      </c>
      <c r="F1106" s="108" t="s">
        <v>108</v>
      </c>
    </row>
    <row r="1107" spans="1:6" x14ac:dyDescent="0.3">
      <c r="A1107" s="111">
        <v>46214</v>
      </c>
      <c r="B1107" t="s">
        <v>55</v>
      </c>
      <c r="C1107" s="11">
        <v>3400</v>
      </c>
      <c r="D1107" s="11"/>
      <c r="E1107" t="s">
        <v>941</v>
      </c>
      <c r="F1107" s="108" t="s">
        <v>108</v>
      </c>
    </row>
    <row r="1108" spans="1:6" x14ac:dyDescent="0.3">
      <c r="A1108" s="111">
        <v>46214</v>
      </c>
      <c r="B1108" t="s">
        <v>488</v>
      </c>
      <c r="C1108" s="11">
        <v>5000</v>
      </c>
      <c r="D1108" s="11"/>
      <c r="E1108" t="s">
        <v>872</v>
      </c>
      <c r="F1108" s="108" t="s">
        <v>108</v>
      </c>
    </row>
    <row r="1109" spans="1:6" x14ac:dyDescent="0.3">
      <c r="A1109" s="111">
        <v>46214</v>
      </c>
      <c r="B1109" t="s">
        <v>269</v>
      </c>
      <c r="C1109" s="11">
        <v>5000</v>
      </c>
      <c r="D1109" s="11"/>
      <c r="E1109" t="s">
        <v>288</v>
      </c>
      <c r="F1109" s="108" t="s">
        <v>108</v>
      </c>
    </row>
    <row r="1110" spans="1:6" x14ac:dyDescent="0.3">
      <c r="A1110" s="111">
        <v>46215</v>
      </c>
      <c r="B1110" t="s">
        <v>654</v>
      </c>
      <c r="C1110" s="11"/>
      <c r="D1110" s="11">
        <v>200000</v>
      </c>
      <c r="E1110" t="s">
        <v>944</v>
      </c>
      <c r="F1110" s="108" t="s">
        <v>108</v>
      </c>
    </row>
    <row r="1111" spans="1:6" x14ac:dyDescent="0.3">
      <c r="A1111" s="38">
        <v>46215</v>
      </c>
      <c r="B1111" t="s">
        <v>654</v>
      </c>
      <c r="C1111" s="95"/>
      <c r="D1111" s="95">
        <v>200000</v>
      </c>
      <c r="E1111" t="s">
        <v>945</v>
      </c>
      <c r="F1111" s="108" t="s">
        <v>108</v>
      </c>
    </row>
    <row r="1112" spans="1:6" x14ac:dyDescent="0.3">
      <c r="A1112" s="38">
        <v>46215</v>
      </c>
      <c r="B1112" t="s">
        <v>654</v>
      </c>
      <c r="C1112" s="95"/>
      <c r="D1112" s="95">
        <v>200000</v>
      </c>
      <c r="E1112" t="s">
        <v>946</v>
      </c>
      <c r="F1112" s="108" t="s">
        <v>108</v>
      </c>
    </row>
    <row r="1113" spans="1:6" x14ac:dyDescent="0.3">
      <c r="A1113" s="38">
        <v>46215</v>
      </c>
      <c r="B1113" t="s">
        <v>219</v>
      </c>
      <c r="C1113" s="95">
        <v>600000</v>
      </c>
      <c r="D1113" s="95"/>
      <c r="E1113" t="s">
        <v>947</v>
      </c>
      <c r="F1113" s="108" t="s">
        <v>108</v>
      </c>
    </row>
    <row r="1114" spans="1:6" x14ac:dyDescent="0.3">
      <c r="A1114" s="38">
        <v>46215</v>
      </c>
      <c r="B1114" t="s">
        <v>357</v>
      </c>
      <c r="C1114" s="95">
        <v>2860</v>
      </c>
      <c r="D1114" s="95"/>
      <c r="F1114" s="108" t="s">
        <v>108</v>
      </c>
    </row>
    <row r="1115" spans="1:6" x14ac:dyDescent="0.3">
      <c r="A1115" s="38">
        <v>46216</v>
      </c>
      <c r="B1115" t="s">
        <v>269</v>
      </c>
      <c r="C1115" s="95">
        <v>3500</v>
      </c>
      <c r="D1115" s="95"/>
      <c r="E1115" t="s">
        <v>538</v>
      </c>
      <c r="F1115" s="108" t="s">
        <v>108</v>
      </c>
    </row>
    <row r="1116" spans="1:6" x14ac:dyDescent="0.3">
      <c r="A1116" s="111">
        <v>46216</v>
      </c>
      <c r="B1116" t="s">
        <v>244</v>
      </c>
      <c r="C1116" s="95">
        <v>1000</v>
      </c>
      <c r="D1116" s="95"/>
      <c r="E1116" t="s">
        <v>958</v>
      </c>
      <c r="F1116" s="108"/>
    </row>
    <row r="1117" spans="1:6" x14ac:dyDescent="0.3">
      <c r="A1117" s="38">
        <v>46216</v>
      </c>
      <c r="B1117" t="s">
        <v>55</v>
      </c>
      <c r="C1117" s="95">
        <v>160</v>
      </c>
      <c r="D1117" s="95"/>
      <c r="E1117" t="s">
        <v>948</v>
      </c>
      <c r="F1117" s="108" t="s">
        <v>108</v>
      </c>
    </row>
    <row r="1118" spans="1:6" x14ac:dyDescent="0.3">
      <c r="A1118" s="38">
        <v>46216</v>
      </c>
      <c r="B1118" t="s">
        <v>269</v>
      </c>
      <c r="C1118" s="95">
        <v>5000</v>
      </c>
      <c r="D1118" s="95"/>
      <c r="E1118" t="s">
        <v>949</v>
      </c>
      <c r="F1118" s="108" t="s">
        <v>108</v>
      </c>
    </row>
    <row r="1119" spans="1:6" x14ac:dyDescent="0.3">
      <c r="A1119" s="38">
        <v>46216</v>
      </c>
      <c r="B1119" t="s">
        <v>55</v>
      </c>
      <c r="C1119" s="95">
        <v>1250</v>
      </c>
      <c r="D1119" s="95"/>
      <c r="E1119" t="s">
        <v>950</v>
      </c>
      <c r="F1119" s="108" t="s">
        <v>108</v>
      </c>
    </row>
    <row r="1120" spans="1:6" x14ac:dyDescent="0.3">
      <c r="A1120" s="38">
        <v>46216</v>
      </c>
      <c r="B1120" t="s">
        <v>357</v>
      </c>
      <c r="C1120" s="95">
        <v>12000</v>
      </c>
      <c r="D1120" s="95"/>
      <c r="E1120" t="s">
        <v>392</v>
      </c>
      <c r="F1120" s="108" t="s">
        <v>108</v>
      </c>
    </row>
    <row r="1121" spans="1:6" x14ac:dyDescent="0.3">
      <c r="A1121" s="38">
        <v>46217</v>
      </c>
      <c r="B1121" t="s">
        <v>488</v>
      </c>
      <c r="C1121" s="95">
        <v>920</v>
      </c>
      <c r="D1121" s="95"/>
      <c r="E1121" t="s">
        <v>541</v>
      </c>
      <c r="F1121" s="108" t="s">
        <v>108</v>
      </c>
    </row>
    <row r="1122" spans="1:6" x14ac:dyDescent="0.3">
      <c r="A1122" s="38">
        <v>46217</v>
      </c>
      <c r="B1122" t="s">
        <v>211</v>
      </c>
      <c r="C1122" s="95"/>
      <c r="D1122" s="95">
        <v>15000</v>
      </c>
      <c r="E1122" t="s">
        <v>903</v>
      </c>
      <c r="F1122" s="108" t="s">
        <v>108</v>
      </c>
    </row>
    <row r="1123" spans="1:6" x14ac:dyDescent="0.3">
      <c r="A1123" s="38">
        <v>46217</v>
      </c>
      <c r="B1123" t="s">
        <v>253</v>
      </c>
      <c r="C1123" s="95">
        <v>15000</v>
      </c>
      <c r="D1123" s="95"/>
      <c r="E1123" t="s">
        <v>903</v>
      </c>
      <c r="F1123" s="108" t="s">
        <v>108</v>
      </c>
    </row>
    <row r="1124" spans="1:6" x14ac:dyDescent="0.3">
      <c r="A1124" s="38">
        <v>46217</v>
      </c>
      <c r="B1124" t="s">
        <v>219</v>
      </c>
      <c r="C1124" s="95"/>
      <c r="D1124" s="95">
        <v>63000</v>
      </c>
      <c r="E1124" t="s">
        <v>951</v>
      </c>
      <c r="F1124" s="108" t="s">
        <v>108</v>
      </c>
    </row>
    <row r="1125" spans="1:6" x14ac:dyDescent="0.3">
      <c r="A1125" s="38">
        <v>46217</v>
      </c>
      <c r="B1125" t="s">
        <v>269</v>
      </c>
      <c r="C1125" s="95">
        <v>50000</v>
      </c>
      <c r="D1125" s="95"/>
      <c r="E1125" t="s">
        <v>700</v>
      </c>
      <c r="F1125" s="108" t="s">
        <v>108</v>
      </c>
    </row>
    <row r="1126" spans="1:6" x14ac:dyDescent="0.3">
      <c r="A1126" s="38">
        <v>46217</v>
      </c>
      <c r="B1126" t="s">
        <v>269</v>
      </c>
      <c r="C1126" s="95">
        <v>8000</v>
      </c>
      <c r="D1126" s="95"/>
      <c r="E1126" t="s">
        <v>260</v>
      </c>
      <c r="F1126" s="108" t="s">
        <v>108</v>
      </c>
    </row>
    <row r="1127" spans="1:6" x14ac:dyDescent="0.3">
      <c r="A1127" s="111">
        <v>46217</v>
      </c>
      <c r="B1127" t="s">
        <v>211</v>
      </c>
      <c r="C1127" s="95"/>
      <c r="D1127" s="95">
        <v>1000</v>
      </c>
      <c r="E1127" t="s">
        <v>109</v>
      </c>
      <c r="F1127" s="108" t="s">
        <v>108</v>
      </c>
    </row>
    <row r="1128" spans="1:6" x14ac:dyDescent="0.3">
      <c r="A1128" s="38">
        <v>46217</v>
      </c>
      <c r="B1128" t="s">
        <v>488</v>
      </c>
      <c r="C1128" s="95">
        <v>500</v>
      </c>
      <c r="D1128" s="95"/>
      <c r="E1128" t="s">
        <v>952</v>
      </c>
      <c r="F1128" s="108" t="s">
        <v>108</v>
      </c>
    </row>
    <row r="1129" spans="1:6" x14ac:dyDescent="0.3">
      <c r="A1129" s="38">
        <v>46217</v>
      </c>
      <c r="B1129" t="s">
        <v>246</v>
      </c>
      <c r="C1129" s="95">
        <v>12000</v>
      </c>
      <c r="D1129" s="95"/>
      <c r="E1129" t="s">
        <v>953</v>
      </c>
      <c r="F1129" s="108" t="s">
        <v>108</v>
      </c>
    </row>
    <row r="1130" spans="1:6" x14ac:dyDescent="0.3">
      <c r="A1130" s="38">
        <v>46217</v>
      </c>
      <c r="B1130" t="s">
        <v>219</v>
      </c>
      <c r="C1130" s="95"/>
      <c r="D1130" s="95">
        <v>12000</v>
      </c>
      <c r="E1130" t="s">
        <v>953</v>
      </c>
      <c r="F1130" s="108" t="s">
        <v>108</v>
      </c>
    </row>
    <row r="1131" spans="1:6" x14ac:dyDescent="0.3">
      <c r="A1131" s="38">
        <v>46218</v>
      </c>
      <c r="B1131" t="s">
        <v>55</v>
      </c>
      <c r="C1131" s="95">
        <v>3560</v>
      </c>
      <c r="D1131" s="95"/>
      <c r="F1131" s="108" t="s">
        <v>108</v>
      </c>
    </row>
    <row r="1132" spans="1:6" x14ac:dyDescent="0.3">
      <c r="A1132" s="38">
        <v>46218</v>
      </c>
      <c r="B1132" t="s">
        <v>386</v>
      </c>
      <c r="C1132" s="95">
        <v>1540</v>
      </c>
      <c r="D1132" s="95"/>
      <c r="E1132" t="s">
        <v>954</v>
      </c>
      <c r="F1132" s="108" t="s">
        <v>108</v>
      </c>
    </row>
    <row r="1133" spans="1:6" x14ac:dyDescent="0.3">
      <c r="A1133" s="38">
        <v>46218</v>
      </c>
      <c r="B1133" t="s">
        <v>211</v>
      </c>
      <c r="C1133" s="95"/>
      <c r="D1133" s="95">
        <v>3050</v>
      </c>
      <c r="E1133" t="s">
        <v>955</v>
      </c>
      <c r="F1133" s="108" t="s">
        <v>108</v>
      </c>
    </row>
    <row r="1134" spans="1:6" x14ac:dyDescent="0.3">
      <c r="A1134" s="38">
        <v>46218</v>
      </c>
      <c r="B1134" t="s">
        <v>386</v>
      </c>
      <c r="C1134" s="95">
        <v>3050</v>
      </c>
      <c r="D1134" s="95"/>
      <c r="E1134" t="s">
        <v>955</v>
      </c>
      <c r="F1134" s="108" t="s">
        <v>108</v>
      </c>
    </row>
    <row r="1135" spans="1:6" x14ac:dyDescent="0.3">
      <c r="A1135" s="38">
        <v>46217</v>
      </c>
      <c r="B1135" t="s">
        <v>488</v>
      </c>
      <c r="C1135" s="95">
        <v>5000</v>
      </c>
      <c r="D1135" s="95"/>
      <c r="E1135" t="s">
        <v>872</v>
      </c>
      <c r="F1135" s="108" t="s">
        <v>108</v>
      </c>
    </row>
    <row r="1136" spans="1:6" x14ac:dyDescent="0.3">
      <c r="A1136" s="38">
        <v>46218</v>
      </c>
      <c r="B1136" t="s">
        <v>219</v>
      </c>
      <c r="C1136" s="95"/>
      <c r="D1136" s="95">
        <v>146950</v>
      </c>
      <c r="E1136" t="s">
        <v>956</v>
      </c>
      <c r="F1136" s="108" t="s">
        <v>108</v>
      </c>
    </row>
    <row r="1137" spans="1:6" x14ac:dyDescent="0.3">
      <c r="A1137" s="38">
        <v>46218</v>
      </c>
      <c r="B1137" t="s">
        <v>211</v>
      </c>
      <c r="C1137" s="95"/>
      <c r="D1137" s="95">
        <v>2500</v>
      </c>
      <c r="F1137" s="108" t="s">
        <v>108</v>
      </c>
    </row>
    <row r="1138" spans="1:6" x14ac:dyDescent="0.3">
      <c r="A1138" s="38">
        <v>46218</v>
      </c>
      <c r="B1138" t="s">
        <v>674</v>
      </c>
      <c r="C1138" s="95">
        <v>150000</v>
      </c>
      <c r="D1138" s="95"/>
      <c r="E1138" t="s">
        <v>957</v>
      </c>
      <c r="F1138" s="108" t="s">
        <v>108</v>
      </c>
    </row>
    <row r="1139" spans="1:6" x14ac:dyDescent="0.3">
      <c r="A1139" s="111">
        <v>46219</v>
      </c>
      <c r="B1139" t="s">
        <v>488</v>
      </c>
      <c r="C1139" s="11">
        <v>800</v>
      </c>
      <c r="D1139" s="11"/>
      <c r="E1139" t="s">
        <v>462</v>
      </c>
      <c r="F1139" s="108" t="s">
        <v>108</v>
      </c>
    </row>
    <row r="1140" spans="1:6" x14ac:dyDescent="0.3">
      <c r="A1140" s="111">
        <v>46219</v>
      </c>
      <c r="B1140" t="s">
        <v>246</v>
      </c>
      <c r="C1140" s="11">
        <v>2000</v>
      </c>
      <c r="D1140" s="11"/>
      <c r="E1140" t="s">
        <v>282</v>
      </c>
      <c r="F1140" s="108" t="s">
        <v>108</v>
      </c>
    </row>
    <row r="1141" spans="1:6" x14ac:dyDescent="0.3">
      <c r="A1141" s="111">
        <v>46219</v>
      </c>
      <c r="B1141" t="s">
        <v>222</v>
      </c>
      <c r="C1141" s="11">
        <v>200000</v>
      </c>
      <c r="D1141" s="11"/>
      <c r="E1141" t="s">
        <v>959</v>
      </c>
      <c r="F1141" s="108" t="s">
        <v>108</v>
      </c>
    </row>
    <row r="1142" spans="1:6" x14ac:dyDescent="0.3">
      <c r="A1142" s="111">
        <v>46219</v>
      </c>
      <c r="B1142" t="s">
        <v>905</v>
      </c>
      <c r="C1142" s="11">
        <v>255750</v>
      </c>
      <c r="D1142" s="11"/>
      <c r="E1142" t="s">
        <v>960</v>
      </c>
      <c r="F1142" s="108" t="s">
        <v>108</v>
      </c>
    </row>
    <row r="1143" spans="1:6" x14ac:dyDescent="0.3">
      <c r="A1143" s="111">
        <v>46219</v>
      </c>
      <c r="B1143" t="s">
        <v>219</v>
      </c>
      <c r="C1143" s="11"/>
      <c r="D1143" s="11">
        <v>425000</v>
      </c>
      <c r="E1143" t="s">
        <v>961</v>
      </c>
      <c r="F1143" s="108" t="s">
        <v>108</v>
      </c>
    </row>
    <row r="1144" spans="1:6" x14ac:dyDescent="0.3">
      <c r="A1144" s="111">
        <v>46219</v>
      </c>
      <c r="B1144" t="s">
        <v>219</v>
      </c>
      <c r="C1144" s="11"/>
      <c r="D1144" s="11">
        <v>34800</v>
      </c>
      <c r="E1144" t="s">
        <v>962</v>
      </c>
      <c r="F1144" s="108" t="s">
        <v>108</v>
      </c>
    </row>
    <row r="1145" spans="1:6" x14ac:dyDescent="0.3">
      <c r="A1145" s="111">
        <v>46219</v>
      </c>
      <c r="B1145" t="s">
        <v>488</v>
      </c>
      <c r="C1145" s="11">
        <v>1500</v>
      </c>
      <c r="D1145" s="11"/>
      <c r="E1145" t="s">
        <v>963</v>
      </c>
      <c r="F1145" s="108" t="s">
        <v>108</v>
      </c>
    </row>
    <row r="1146" spans="1:6" x14ac:dyDescent="0.3">
      <c r="A1146" s="111">
        <v>46219</v>
      </c>
      <c r="B1146" t="s">
        <v>357</v>
      </c>
      <c r="C1146" s="11">
        <v>14080</v>
      </c>
      <c r="D1146" s="11"/>
      <c r="F1146" s="108" t="s">
        <v>108</v>
      </c>
    </row>
    <row r="1147" spans="1:6" x14ac:dyDescent="0.3">
      <c r="A1147" s="111">
        <v>46219</v>
      </c>
      <c r="B1147" t="s">
        <v>116</v>
      </c>
      <c r="C1147" s="11">
        <v>15500</v>
      </c>
      <c r="D1147" s="11"/>
      <c r="E1147" t="s">
        <v>163</v>
      </c>
      <c r="F1147" s="108" t="s">
        <v>108</v>
      </c>
    </row>
    <row r="1148" spans="1:6" x14ac:dyDescent="0.3">
      <c r="A1148" s="111">
        <v>46219</v>
      </c>
      <c r="B1148" t="s">
        <v>219</v>
      </c>
      <c r="C1148" s="11"/>
      <c r="D1148" s="11">
        <v>20000</v>
      </c>
      <c r="E1148" t="s">
        <v>970</v>
      </c>
      <c r="F1148" s="108" t="s">
        <v>108</v>
      </c>
    </row>
    <row r="1149" spans="1:6" x14ac:dyDescent="0.3">
      <c r="A1149" s="111">
        <v>46219</v>
      </c>
      <c r="B1149" t="s">
        <v>219</v>
      </c>
      <c r="C1149" s="11"/>
      <c r="D1149" s="11">
        <v>15500</v>
      </c>
      <c r="E1149" t="s">
        <v>163</v>
      </c>
      <c r="F1149" s="108" t="s">
        <v>108</v>
      </c>
    </row>
    <row r="1150" spans="1:6" x14ac:dyDescent="0.3">
      <c r="A1150" s="111">
        <v>46219</v>
      </c>
      <c r="B1150" t="s">
        <v>488</v>
      </c>
      <c r="C1150" s="11">
        <v>5000</v>
      </c>
      <c r="D1150" s="11"/>
      <c r="E1150" t="s">
        <v>872</v>
      </c>
      <c r="F1150" s="108" t="s">
        <v>108</v>
      </c>
    </row>
    <row r="1151" spans="1:6" x14ac:dyDescent="0.3">
      <c r="A1151" s="111">
        <v>46220</v>
      </c>
      <c r="B1151" t="s">
        <v>269</v>
      </c>
      <c r="C1151" s="11">
        <v>5000</v>
      </c>
      <c r="D1151" s="11"/>
      <c r="E1151" t="s">
        <v>665</v>
      </c>
      <c r="F1151" s="108" t="s">
        <v>108</v>
      </c>
    </row>
    <row r="1152" spans="1:6" x14ac:dyDescent="0.3">
      <c r="A1152" s="111">
        <v>46220</v>
      </c>
      <c r="B1152" t="s">
        <v>211</v>
      </c>
      <c r="C1152" s="11"/>
      <c r="D1152" s="11">
        <v>5000</v>
      </c>
      <c r="E1152" t="s">
        <v>665</v>
      </c>
      <c r="F1152" s="108" t="s">
        <v>108</v>
      </c>
    </row>
    <row r="1153" spans="1:6" x14ac:dyDescent="0.3">
      <c r="A1153" s="111">
        <v>46220</v>
      </c>
      <c r="B1153" t="s">
        <v>357</v>
      </c>
      <c r="C1153" s="11">
        <v>370</v>
      </c>
      <c r="D1153" s="11"/>
      <c r="F1153" s="108" t="s">
        <v>108</v>
      </c>
    </row>
    <row r="1154" spans="1:6" x14ac:dyDescent="0.3">
      <c r="A1154" s="111">
        <v>46221</v>
      </c>
      <c r="B1154" t="s">
        <v>219</v>
      </c>
      <c r="C1154" s="11"/>
      <c r="D1154" s="11">
        <v>40000</v>
      </c>
      <c r="E1154" t="s">
        <v>965</v>
      </c>
      <c r="F1154" s="108" t="s">
        <v>108</v>
      </c>
    </row>
    <row r="1155" spans="1:6" x14ac:dyDescent="0.3">
      <c r="A1155" s="111">
        <v>46221</v>
      </c>
      <c r="B1155" t="s">
        <v>246</v>
      </c>
      <c r="C1155" s="11">
        <v>39700</v>
      </c>
      <c r="D1155" s="11"/>
      <c r="E1155" t="s">
        <v>966</v>
      </c>
      <c r="F1155" s="108" t="s">
        <v>108</v>
      </c>
    </row>
    <row r="1156" spans="1:6" x14ac:dyDescent="0.3">
      <c r="A1156" s="111">
        <v>46221</v>
      </c>
      <c r="B1156" t="s">
        <v>246</v>
      </c>
      <c r="C1156" s="11">
        <v>3700</v>
      </c>
      <c r="D1156" s="11"/>
      <c r="E1156" t="s">
        <v>282</v>
      </c>
      <c r="F1156" s="108" t="s">
        <v>108</v>
      </c>
    </row>
    <row r="1157" spans="1:6" x14ac:dyDescent="0.3">
      <c r="A1157" s="111">
        <v>46221</v>
      </c>
      <c r="B1157" t="s">
        <v>488</v>
      </c>
      <c r="C1157" s="11">
        <v>2500</v>
      </c>
      <c r="D1157" s="11"/>
      <c r="E1157" t="s">
        <v>967</v>
      </c>
      <c r="F1157" s="108" t="s">
        <v>108</v>
      </c>
    </row>
    <row r="1158" spans="1:6" x14ac:dyDescent="0.3">
      <c r="A1158" s="111">
        <v>46221</v>
      </c>
      <c r="B1158" t="s">
        <v>211</v>
      </c>
      <c r="C1158" s="11"/>
      <c r="D1158" s="11">
        <v>6200</v>
      </c>
      <c r="E1158" t="s">
        <v>968</v>
      </c>
      <c r="F1158" s="108" t="s">
        <v>108</v>
      </c>
    </row>
    <row r="1159" spans="1:6" x14ac:dyDescent="0.3">
      <c r="A1159" s="111">
        <v>46221</v>
      </c>
      <c r="B1159" t="s">
        <v>55</v>
      </c>
      <c r="C1159" s="11">
        <v>1800</v>
      </c>
      <c r="D1159" s="11"/>
      <c r="F1159" s="108" t="s">
        <v>108</v>
      </c>
    </row>
    <row r="1160" spans="1:6" x14ac:dyDescent="0.3">
      <c r="A1160" s="38">
        <v>46221</v>
      </c>
      <c r="B1160" t="s">
        <v>269</v>
      </c>
      <c r="C1160" s="95">
        <v>3000</v>
      </c>
      <c r="D1160" s="95"/>
      <c r="E1160" t="s">
        <v>252</v>
      </c>
      <c r="F1160" s="108" t="s">
        <v>108</v>
      </c>
    </row>
    <row r="1161" spans="1:6" x14ac:dyDescent="0.3">
      <c r="A1161" s="38">
        <v>46221</v>
      </c>
      <c r="B1161" t="s">
        <v>211</v>
      </c>
      <c r="C1161" s="95"/>
      <c r="D1161" s="95">
        <v>3000</v>
      </c>
      <c r="E1161" t="s">
        <v>252</v>
      </c>
      <c r="F1161" s="108" t="s">
        <v>108</v>
      </c>
    </row>
    <row r="1162" spans="1:6" x14ac:dyDescent="0.3">
      <c r="A1162" s="38">
        <v>46221</v>
      </c>
      <c r="B1162" t="s">
        <v>269</v>
      </c>
      <c r="C1162" s="95">
        <v>5000</v>
      </c>
      <c r="D1162" s="95"/>
      <c r="E1162" t="s">
        <v>969</v>
      </c>
      <c r="F1162" s="108" t="s">
        <v>108</v>
      </c>
    </row>
    <row r="1163" spans="1:6" x14ac:dyDescent="0.3">
      <c r="A1163" s="38">
        <v>46221</v>
      </c>
      <c r="B1163" t="s">
        <v>211</v>
      </c>
      <c r="C1163" s="95"/>
      <c r="D1163" s="95">
        <v>5000</v>
      </c>
      <c r="E1163" t="s">
        <v>969</v>
      </c>
      <c r="F1163" s="108" t="s">
        <v>108</v>
      </c>
    </row>
    <row r="1164" spans="1:6" x14ac:dyDescent="0.3">
      <c r="A1164" s="38">
        <v>46221</v>
      </c>
      <c r="B1164" t="s">
        <v>298</v>
      </c>
      <c r="C1164" s="95">
        <v>5000</v>
      </c>
      <c r="D1164" s="95"/>
      <c r="E1164" t="s">
        <v>693</v>
      </c>
      <c r="F1164" s="108" t="s">
        <v>108</v>
      </c>
    </row>
    <row r="1165" spans="1:6" x14ac:dyDescent="0.3">
      <c r="A1165" s="38">
        <v>46221</v>
      </c>
      <c r="B1165" t="s">
        <v>219</v>
      </c>
      <c r="C1165" s="95"/>
      <c r="D1165" s="95">
        <v>5000</v>
      </c>
      <c r="E1165" t="s">
        <v>693</v>
      </c>
      <c r="F1165" s="108" t="s">
        <v>108</v>
      </c>
    </row>
    <row r="1166" spans="1:6" x14ac:dyDescent="0.3">
      <c r="A1166" s="38">
        <v>46221</v>
      </c>
      <c r="B1166" t="s">
        <v>219</v>
      </c>
      <c r="C1166" s="95"/>
      <c r="D1166" s="95">
        <v>57000</v>
      </c>
      <c r="E1166" t="s">
        <v>971</v>
      </c>
      <c r="F1166" s="108" t="s">
        <v>108</v>
      </c>
    </row>
    <row r="1167" spans="1:6" x14ac:dyDescent="0.3">
      <c r="A1167" s="38">
        <v>46221</v>
      </c>
      <c r="B1167" t="s">
        <v>219</v>
      </c>
      <c r="C1167" s="95"/>
      <c r="D1167" s="95">
        <v>40800</v>
      </c>
      <c r="E1167" t="s">
        <v>320</v>
      </c>
      <c r="F1167" s="108" t="s">
        <v>108</v>
      </c>
    </row>
    <row r="1168" spans="1:6" x14ac:dyDescent="0.3">
      <c r="A1168" s="38">
        <v>46221</v>
      </c>
      <c r="B1168" t="s">
        <v>219</v>
      </c>
      <c r="C1168" s="95"/>
      <c r="D1168" s="95">
        <v>10000</v>
      </c>
      <c r="E1168" t="s">
        <v>972</v>
      </c>
      <c r="F1168" s="108" t="s">
        <v>108</v>
      </c>
    </row>
    <row r="1169" spans="1:6" x14ac:dyDescent="0.3">
      <c r="A1169" s="38">
        <v>46221</v>
      </c>
      <c r="B1169" t="s">
        <v>219</v>
      </c>
      <c r="C1169" s="95">
        <v>103000</v>
      </c>
      <c r="D1169" s="95"/>
      <c r="E1169" t="s">
        <v>973</v>
      </c>
      <c r="F1169" s="108" t="s">
        <v>108</v>
      </c>
    </row>
    <row r="1170" spans="1:6" x14ac:dyDescent="0.3">
      <c r="A1170" s="38">
        <v>46221</v>
      </c>
      <c r="B1170" t="s">
        <v>915</v>
      </c>
      <c r="C1170" s="95"/>
      <c r="D1170" s="95">
        <v>103000</v>
      </c>
      <c r="F1170" s="108" t="s">
        <v>108</v>
      </c>
    </row>
    <row r="1171" spans="1:6" x14ac:dyDescent="0.3">
      <c r="A1171" s="38">
        <v>46221</v>
      </c>
      <c r="B1171" t="s">
        <v>674</v>
      </c>
      <c r="C1171" s="95">
        <v>100000</v>
      </c>
      <c r="D1171" s="95"/>
      <c r="E1171" t="s">
        <v>974</v>
      </c>
      <c r="F1171" s="108" t="s">
        <v>108</v>
      </c>
    </row>
    <row r="1172" spans="1:6" x14ac:dyDescent="0.3">
      <c r="A1172" s="38">
        <v>46222</v>
      </c>
      <c r="B1172" t="s">
        <v>246</v>
      </c>
      <c r="C1172" s="95">
        <v>5400</v>
      </c>
      <c r="D1172" s="95"/>
      <c r="E1172" t="s">
        <v>282</v>
      </c>
      <c r="F1172" s="108" t="s">
        <v>108</v>
      </c>
    </row>
    <row r="1173" spans="1:6" x14ac:dyDescent="0.3">
      <c r="A1173" s="38">
        <v>46222</v>
      </c>
      <c r="B1173" t="s">
        <v>211</v>
      </c>
      <c r="C1173" s="95"/>
      <c r="D1173" s="95">
        <v>2600</v>
      </c>
      <c r="E1173" t="s">
        <v>535</v>
      </c>
      <c r="F1173" s="108" t="s">
        <v>108</v>
      </c>
    </row>
    <row r="1174" spans="1:6" x14ac:dyDescent="0.3">
      <c r="A1174" s="38">
        <v>46222</v>
      </c>
      <c r="B1174" t="s">
        <v>357</v>
      </c>
      <c r="C1174" s="95">
        <v>2600</v>
      </c>
      <c r="D1174" s="95"/>
      <c r="E1174" t="s">
        <v>535</v>
      </c>
      <c r="F1174" s="108" t="s">
        <v>108</v>
      </c>
    </row>
    <row r="1175" spans="1:6" x14ac:dyDescent="0.3">
      <c r="A1175" s="38">
        <v>46222</v>
      </c>
      <c r="B1175" t="s">
        <v>269</v>
      </c>
      <c r="C1175" s="95">
        <v>10000</v>
      </c>
      <c r="D1175" s="95"/>
      <c r="E1175" t="s">
        <v>580</v>
      </c>
      <c r="F1175" s="108" t="s">
        <v>108</v>
      </c>
    </row>
    <row r="1176" spans="1:6" x14ac:dyDescent="0.3">
      <c r="A1176" s="38">
        <v>46222</v>
      </c>
      <c r="B1176" t="s">
        <v>211</v>
      </c>
      <c r="C1176" s="95"/>
      <c r="D1176" s="95">
        <v>10000</v>
      </c>
      <c r="E1176" t="s">
        <v>975</v>
      </c>
      <c r="F1176" s="108" t="s">
        <v>108</v>
      </c>
    </row>
    <row r="1177" spans="1:6" x14ac:dyDescent="0.3">
      <c r="A1177" s="38">
        <v>46223</v>
      </c>
      <c r="B1177" t="s">
        <v>357</v>
      </c>
      <c r="C1177" s="95">
        <v>2760</v>
      </c>
      <c r="D1177" s="95"/>
      <c r="F1177" s="108" t="s">
        <v>932</v>
      </c>
    </row>
    <row r="1178" spans="1:6" x14ac:dyDescent="0.3">
      <c r="A1178" s="111">
        <v>46223</v>
      </c>
      <c r="B1178" t="s">
        <v>211</v>
      </c>
      <c r="C1178" s="11"/>
      <c r="D1178" s="11">
        <v>2760</v>
      </c>
      <c r="E1178" t="s">
        <v>357</v>
      </c>
      <c r="F1178" s="108" t="s">
        <v>932</v>
      </c>
    </row>
    <row r="1179" spans="1:6" x14ac:dyDescent="0.3">
      <c r="A1179" s="38">
        <v>46223</v>
      </c>
      <c r="B1179" t="s">
        <v>55</v>
      </c>
      <c r="C1179" s="11">
        <v>4000</v>
      </c>
      <c r="D1179" s="11"/>
      <c r="E1179" t="s">
        <v>976</v>
      </c>
      <c r="F1179" s="108" t="s">
        <v>932</v>
      </c>
    </row>
    <row r="1180" spans="1:6" x14ac:dyDescent="0.3">
      <c r="A1180" s="111">
        <v>46223</v>
      </c>
      <c r="B1180" t="s">
        <v>211</v>
      </c>
      <c r="C1180" s="11"/>
      <c r="D1180" s="11">
        <v>4000</v>
      </c>
      <c r="E1180" t="s">
        <v>521</v>
      </c>
      <c r="F1180" s="108" t="s">
        <v>932</v>
      </c>
    </row>
    <row r="1181" spans="1:6" x14ac:dyDescent="0.3">
      <c r="A1181" s="38">
        <v>46223</v>
      </c>
      <c r="B1181" t="s">
        <v>55</v>
      </c>
      <c r="C1181" s="11">
        <v>1850</v>
      </c>
      <c r="D1181" s="11"/>
      <c r="F1181" s="108" t="s">
        <v>932</v>
      </c>
    </row>
    <row r="1182" spans="1:6" x14ac:dyDescent="0.3">
      <c r="A1182" s="111">
        <v>46223</v>
      </c>
      <c r="B1182" t="s">
        <v>901</v>
      </c>
      <c r="C1182" s="11"/>
      <c r="D1182" s="11">
        <v>110000</v>
      </c>
      <c r="E1182" t="s">
        <v>977</v>
      </c>
      <c r="F1182" s="108" t="s">
        <v>932</v>
      </c>
    </row>
    <row r="1183" spans="1:6" x14ac:dyDescent="0.3">
      <c r="A1183" s="38">
        <v>46223</v>
      </c>
      <c r="B1183" t="s">
        <v>246</v>
      </c>
      <c r="C1183" s="11">
        <v>5200</v>
      </c>
      <c r="D1183" s="11"/>
      <c r="E1183" t="s">
        <v>978</v>
      </c>
      <c r="F1183" s="108" t="s">
        <v>932</v>
      </c>
    </row>
    <row r="1184" spans="1:6" x14ac:dyDescent="0.3">
      <c r="A1184" s="111">
        <v>46223</v>
      </c>
      <c r="B1184" t="s">
        <v>357</v>
      </c>
      <c r="C1184" s="11">
        <v>9300</v>
      </c>
      <c r="D1184" s="11"/>
      <c r="E1184" t="s">
        <v>535</v>
      </c>
      <c r="F1184" s="108" t="s">
        <v>932</v>
      </c>
    </row>
    <row r="1185" spans="1:6" x14ac:dyDescent="0.3">
      <c r="A1185" s="38">
        <v>46223</v>
      </c>
      <c r="B1185" t="s">
        <v>211</v>
      </c>
      <c r="C1185" s="11">
        <v>1490</v>
      </c>
      <c r="D1185" s="11"/>
      <c r="F1185" s="108" t="s">
        <v>932</v>
      </c>
    </row>
    <row r="1186" spans="1:6" x14ac:dyDescent="0.3">
      <c r="A1186" s="111">
        <v>46224</v>
      </c>
      <c r="B1186" t="s">
        <v>219</v>
      </c>
      <c r="C1186" s="11"/>
      <c r="D1186" s="11">
        <v>940000</v>
      </c>
      <c r="E1186" t="s">
        <v>979</v>
      </c>
      <c r="F1186" s="108" t="s">
        <v>932</v>
      </c>
    </row>
    <row r="1187" spans="1:6" x14ac:dyDescent="0.3">
      <c r="A1187" s="38">
        <v>46224</v>
      </c>
      <c r="B1187" t="s">
        <v>219</v>
      </c>
      <c r="C1187" s="11"/>
      <c r="D1187" s="11">
        <v>34000</v>
      </c>
      <c r="E1187" t="s">
        <v>980</v>
      </c>
      <c r="F1187" s="108" t="s">
        <v>108</v>
      </c>
    </row>
    <row r="1188" spans="1:6" x14ac:dyDescent="0.3">
      <c r="A1188" s="111">
        <v>46224</v>
      </c>
      <c r="B1188" t="s">
        <v>981</v>
      </c>
      <c r="C1188" s="11">
        <v>1066588</v>
      </c>
      <c r="D1188" s="11"/>
      <c r="E1188" t="s">
        <v>982</v>
      </c>
      <c r="F1188" s="108" t="s">
        <v>108</v>
      </c>
    </row>
    <row r="1189" spans="1:6" x14ac:dyDescent="0.3">
      <c r="A1189" s="38">
        <v>46224</v>
      </c>
      <c r="B1189" t="s">
        <v>211</v>
      </c>
      <c r="C1189" s="11">
        <v>300</v>
      </c>
      <c r="D1189" s="11"/>
      <c r="F1189" s="108" t="s">
        <v>108</v>
      </c>
    </row>
    <row r="1190" spans="1:6" x14ac:dyDescent="0.3">
      <c r="A1190" s="111">
        <v>46224</v>
      </c>
      <c r="B1190" t="s">
        <v>219</v>
      </c>
      <c r="C1190" s="11"/>
      <c r="D1190" s="11">
        <v>25500</v>
      </c>
      <c r="E1190" t="s">
        <v>320</v>
      </c>
      <c r="F1190" s="108" t="s">
        <v>108</v>
      </c>
    </row>
    <row r="1191" spans="1:6" x14ac:dyDescent="0.3">
      <c r="A1191" s="38">
        <v>46224</v>
      </c>
      <c r="B1191" t="s">
        <v>269</v>
      </c>
      <c r="C1191" s="95">
        <v>20000</v>
      </c>
      <c r="D1191" s="95"/>
      <c r="E1191" t="s">
        <v>252</v>
      </c>
      <c r="F1191" s="108" t="s">
        <v>108</v>
      </c>
    </row>
    <row r="1192" spans="1:6" x14ac:dyDescent="0.3">
      <c r="A1192" s="111">
        <v>46224</v>
      </c>
      <c r="B1192" t="s">
        <v>269</v>
      </c>
      <c r="C1192" s="11">
        <v>5000</v>
      </c>
      <c r="D1192" s="11"/>
      <c r="E1192" t="s">
        <v>969</v>
      </c>
      <c r="F1192" s="108" t="s">
        <v>108</v>
      </c>
    </row>
    <row r="1193" spans="1:6" x14ac:dyDescent="0.3">
      <c r="A1193" s="38">
        <v>46224</v>
      </c>
      <c r="B1193" t="s">
        <v>211</v>
      </c>
      <c r="C1193" s="11"/>
      <c r="D1193" s="11">
        <v>1800</v>
      </c>
      <c r="E1193" t="s">
        <v>521</v>
      </c>
      <c r="F1193" s="108" t="s">
        <v>108</v>
      </c>
    </row>
    <row r="1194" spans="1:6" x14ac:dyDescent="0.3">
      <c r="A1194" s="111">
        <v>46224</v>
      </c>
      <c r="B1194" t="s">
        <v>55</v>
      </c>
      <c r="C1194" s="11">
        <v>1800</v>
      </c>
      <c r="D1194" s="11"/>
      <c r="E1194" t="s">
        <v>983</v>
      </c>
      <c r="F1194" s="108" t="s">
        <v>108</v>
      </c>
    </row>
    <row r="1195" spans="1:6" x14ac:dyDescent="0.3">
      <c r="A1195" s="38">
        <v>46224</v>
      </c>
      <c r="B1195" t="s">
        <v>211</v>
      </c>
      <c r="C1195" s="95"/>
      <c r="D1195" s="95">
        <v>800</v>
      </c>
      <c r="F1195" s="108" t="s">
        <v>108</v>
      </c>
    </row>
    <row r="1196" spans="1:6" x14ac:dyDescent="0.3">
      <c r="A1196" s="38">
        <v>46226</v>
      </c>
      <c r="B1196" t="s">
        <v>219</v>
      </c>
      <c r="C1196" s="95"/>
      <c r="D1196" s="95">
        <v>33000</v>
      </c>
      <c r="E1196" t="s">
        <v>984</v>
      </c>
      <c r="F1196" s="108" t="s">
        <v>108</v>
      </c>
    </row>
    <row r="1197" spans="1:6" x14ac:dyDescent="0.3">
      <c r="A1197" s="38">
        <v>46226</v>
      </c>
      <c r="B1197" t="s">
        <v>269</v>
      </c>
      <c r="C1197" s="95">
        <v>10000</v>
      </c>
      <c r="D1197" s="95"/>
      <c r="E1197" t="s">
        <v>665</v>
      </c>
      <c r="F1197" s="108" t="s">
        <v>108</v>
      </c>
    </row>
    <row r="1198" spans="1:6" x14ac:dyDescent="0.3">
      <c r="A1198" s="38">
        <v>46226</v>
      </c>
      <c r="B1198" t="s">
        <v>253</v>
      </c>
      <c r="C1198" s="95">
        <v>6900</v>
      </c>
      <c r="D1198" s="95"/>
      <c r="E1198" t="s">
        <v>985</v>
      </c>
      <c r="F1198" s="108" t="s">
        <v>108</v>
      </c>
    </row>
    <row r="1199" spans="1:6" x14ac:dyDescent="0.3">
      <c r="A1199" s="38">
        <v>46226</v>
      </c>
      <c r="B1199" t="s">
        <v>253</v>
      </c>
      <c r="C1199" s="95">
        <v>5000</v>
      </c>
      <c r="D1199" s="95"/>
      <c r="E1199" t="s">
        <v>986</v>
      </c>
      <c r="F1199" s="108" t="s">
        <v>108</v>
      </c>
    </row>
    <row r="1200" spans="1:6" x14ac:dyDescent="0.3">
      <c r="A1200" s="38">
        <v>46226</v>
      </c>
      <c r="B1200" t="s">
        <v>386</v>
      </c>
      <c r="C1200" s="95">
        <v>358</v>
      </c>
      <c r="D1200" s="95"/>
      <c r="E1200" t="s">
        <v>935</v>
      </c>
      <c r="F1200" s="108" t="s">
        <v>108</v>
      </c>
    </row>
    <row r="1201" spans="1:6" x14ac:dyDescent="0.3">
      <c r="A1201" s="38">
        <v>46226</v>
      </c>
      <c r="B1201" t="s">
        <v>386</v>
      </c>
      <c r="C1201" s="95">
        <v>1230</v>
      </c>
      <c r="D1201" s="95"/>
      <c r="E1201" t="s">
        <v>987</v>
      </c>
      <c r="F1201" s="108" t="s">
        <v>108</v>
      </c>
    </row>
    <row r="1202" spans="1:6" x14ac:dyDescent="0.3">
      <c r="A1202" s="38">
        <v>46226</v>
      </c>
      <c r="B1202" t="s">
        <v>269</v>
      </c>
      <c r="C1202" s="95">
        <v>10000</v>
      </c>
      <c r="D1202" s="95"/>
      <c r="E1202" t="s">
        <v>288</v>
      </c>
      <c r="F1202" s="108" t="s">
        <v>108</v>
      </c>
    </row>
    <row r="1203" spans="1:6" x14ac:dyDescent="0.3">
      <c r="A1203" s="38">
        <v>46227</v>
      </c>
      <c r="B1203" t="s">
        <v>219</v>
      </c>
      <c r="C1203" s="95"/>
      <c r="D1203" s="95">
        <v>406000</v>
      </c>
      <c r="E1203" t="s">
        <v>227</v>
      </c>
      <c r="F1203" s="108" t="s">
        <v>108</v>
      </c>
    </row>
    <row r="1204" spans="1:6" x14ac:dyDescent="0.3">
      <c r="A1204" s="38">
        <v>46227</v>
      </c>
      <c r="B1204" t="s">
        <v>227</v>
      </c>
      <c r="C1204" s="95">
        <v>406000</v>
      </c>
      <c r="D1204" s="95"/>
      <c r="E1204" t="s">
        <v>988</v>
      </c>
      <c r="F1204" s="108" t="s">
        <v>108</v>
      </c>
    </row>
    <row r="1205" spans="1:6" x14ac:dyDescent="0.3">
      <c r="A1205" s="38">
        <v>46227</v>
      </c>
      <c r="B1205" t="s">
        <v>219</v>
      </c>
      <c r="C1205" s="95"/>
      <c r="D1205" s="95">
        <v>3000</v>
      </c>
      <c r="E1205" t="s">
        <v>318</v>
      </c>
      <c r="F1205" s="108" t="s">
        <v>108</v>
      </c>
    </row>
    <row r="1206" spans="1:6" x14ac:dyDescent="0.3">
      <c r="A1206" s="38">
        <v>46227</v>
      </c>
      <c r="B1206" t="s">
        <v>488</v>
      </c>
      <c r="C1206" s="95">
        <v>3000</v>
      </c>
      <c r="D1206" s="95"/>
      <c r="E1206" t="s">
        <v>989</v>
      </c>
      <c r="F1206" s="108" t="s">
        <v>108</v>
      </c>
    </row>
    <row r="1207" spans="1:6" x14ac:dyDescent="0.3">
      <c r="A1207" s="38">
        <v>46227</v>
      </c>
      <c r="B1207" t="s">
        <v>219</v>
      </c>
      <c r="C1207" s="95"/>
      <c r="D1207" s="95">
        <v>15000</v>
      </c>
      <c r="E1207" t="s">
        <v>318</v>
      </c>
      <c r="F1207" s="108" t="s">
        <v>108</v>
      </c>
    </row>
    <row r="1208" spans="1:6" x14ac:dyDescent="0.3">
      <c r="A1208" s="38">
        <v>46227</v>
      </c>
      <c r="B1208" t="s">
        <v>244</v>
      </c>
      <c r="C1208" s="95">
        <v>5000</v>
      </c>
      <c r="D1208" s="95"/>
      <c r="E1208" t="s">
        <v>920</v>
      </c>
      <c r="F1208" s="108" t="s">
        <v>108</v>
      </c>
    </row>
    <row r="1209" spans="1:6" x14ac:dyDescent="0.3">
      <c r="A1209" s="38">
        <v>46227</v>
      </c>
      <c r="B1209" t="s">
        <v>211</v>
      </c>
      <c r="C1209" s="95">
        <v>1490</v>
      </c>
      <c r="D1209" s="95"/>
      <c r="F1209" s="108" t="s">
        <v>108</v>
      </c>
    </row>
    <row r="1210" spans="1:6" x14ac:dyDescent="0.3">
      <c r="A1210" s="38">
        <v>46228</v>
      </c>
      <c r="B1210" t="s">
        <v>219</v>
      </c>
      <c r="C1210" s="95"/>
      <c r="D1210" s="95">
        <v>100000</v>
      </c>
      <c r="E1210" t="s">
        <v>990</v>
      </c>
      <c r="F1210" s="108" t="s">
        <v>108</v>
      </c>
    </row>
    <row r="1211" spans="1:6" x14ac:dyDescent="0.3">
      <c r="A1211" s="38">
        <v>46228</v>
      </c>
      <c r="B1211" t="s">
        <v>269</v>
      </c>
      <c r="C1211" s="95">
        <v>10000</v>
      </c>
      <c r="D1211" s="95"/>
      <c r="E1211" t="s">
        <v>991</v>
      </c>
      <c r="F1211" s="108" t="s">
        <v>108</v>
      </c>
    </row>
    <row r="1212" spans="1:6" x14ac:dyDescent="0.3">
      <c r="A1212" s="38">
        <v>46228</v>
      </c>
      <c r="B1212" t="s">
        <v>269</v>
      </c>
      <c r="C1212" s="95">
        <v>15000</v>
      </c>
      <c r="D1212" s="95"/>
      <c r="E1212" t="s">
        <v>992</v>
      </c>
      <c r="F1212" s="108" t="s">
        <v>108</v>
      </c>
    </row>
    <row r="1213" spans="1:6" x14ac:dyDescent="0.3">
      <c r="A1213" s="38">
        <v>46228</v>
      </c>
      <c r="B1213" t="s">
        <v>269</v>
      </c>
      <c r="C1213" s="95">
        <v>5000</v>
      </c>
      <c r="D1213" s="95"/>
      <c r="E1213" t="s">
        <v>993</v>
      </c>
      <c r="F1213" s="108" t="s">
        <v>108</v>
      </c>
    </row>
    <row r="1214" spans="1:6" x14ac:dyDescent="0.3">
      <c r="A1214" s="38">
        <v>46228</v>
      </c>
      <c r="B1214" t="s">
        <v>269</v>
      </c>
      <c r="C1214" s="95">
        <v>5000</v>
      </c>
      <c r="D1214" s="95"/>
      <c r="E1214" t="s">
        <v>994</v>
      </c>
      <c r="F1214" s="108" t="s">
        <v>108</v>
      </c>
    </row>
    <row r="1215" spans="1:6" x14ac:dyDescent="0.3">
      <c r="A1215" s="38">
        <v>46228</v>
      </c>
      <c r="B1215" t="s">
        <v>269</v>
      </c>
      <c r="C1215" s="95">
        <v>5000</v>
      </c>
      <c r="D1215" s="95"/>
      <c r="E1215" t="s">
        <v>995</v>
      </c>
      <c r="F1215" s="108" t="s">
        <v>108</v>
      </c>
    </row>
    <row r="1216" spans="1:6" x14ac:dyDescent="0.3">
      <c r="A1216" s="38">
        <v>46228</v>
      </c>
      <c r="B1216" t="s">
        <v>269</v>
      </c>
      <c r="C1216" s="95">
        <v>3000</v>
      </c>
      <c r="D1216" s="95"/>
      <c r="E1216" t="s">
        <v>996</v>
      </c>
      <c r="F1216" s="108" t="s">
        <v>108</v>
      </c>
    </row>
    <row r="1217" spans="1:6" x14ac:dyDescent="0.3">
      <c r="A1217" s="38">
        <v>46228</v>
      </c>
      <c r="B1217" t="s">
        <v>269</v>
      </c>
      <c r="C1217" s="95">
        <v>30000</v>
      </c>
      <c r="D1217" s="95"/>
      <c r="E1217" t="s">
        <v>997</v>
      </c>
      <c r="F1217" s="108" t="s">
        <v>108</v>
      </c>
    </row>
    <row r="1218" spans="1:6" x14ac:dyDescent="0.3">
      <c r="A1218" s="38">
        <v>46228</v>
      </c>
      <c r="B1218" t="s">
        <v>269</v>
      </c>
      <c r="C1218" s="95">
        <v>20000</v>
      </c>
      <c r="D1218" s="95"/>
      <c r="E1218" t="s">
        <v>998</v>
      </c>
      <c r="F1218" s="108" t="s">
        <v>108</v>
      </c>
    </row>
    <row r="1219" spans="1:6" x14ac:dyDescent="0.3">
      <c r="A1219" s="38">
        <v>46228</v>
      </c>
      <c r="B1219" t="s">
        <v>269</v>
      </c>
      <c r="C1219" s="95">
        <v>25000</v>
      </c>
      <c r="D1219" s="95"/>
      <c r="E1219" t="s">
        <v>260</v>
      </c>
      <c r="F1219" s="108" t="s">
        <v>108</v>
      </c>
    </row>
    <row r="1220" spans="1:6" x14ac:dyDescent="0.3">
      <c r="A1220" s="38">
        <v>46228</v>
      </c>
      <c r="B1220" t="s">
        <v>357</v>
      </c>
      <c r="C1220" s="95">
        <v>3000</v>
      </c>
      <c r="D1220" s="95"/>
      <c r="E1220" t="s">
        <v>535</v>
      </c>
      <c r="F1220" s="108" t="s">
        <v>108</v>
      </c>
    </row>
    <row r="1221" spans="1:6" x14ac:dyDescent="0.3">
      <c r="A1221" s="38">
        <v>46228</v>
      </c>
      <c r="B1221" t="s">
        <v>219</v>
      </c>
      <c r="C1221" s="95"/>
      <c r="D1221" s="95">
        <v>100000</v>
      </c>
      <c r="E1221" t="s">
        <v>999</v>
      </c>
      <c r="F1221" s="108" t="s">
        <v>108</v>
      </c>
    </row>
    <row r="1222" spans="1:6" x14ac:dyDescent="0.3">
      <c r="A1222" s="38">
        <v>46228</v>
      </c>
      <c r="B1222" t="s">
        <v>269</v>
      </c>
      <c r="C1222" s="95">
        <v>25000</v>
      </c>
      <c r="D1222" s="95"/>
      <c r="E1222" t="s">
        <v>1000</v>
      </c>
      <c r="F1222" s="108" t="s">
        <v>108</v>
      </c>
    </row>
    <row r="1223" spans="1:6" x14ac:dyDescent="0.3">
      <c r="A1223" s="38">
        <v>46228</v>
      </c>
      <c r="B1223" t="s">
        <v>269</v>
      </c>
      <c r="C1223" s="95">
        <v>20000</v>
      </c>
      <c r="D1223" s="95"/>
      <c r="E1223" t="s">
        <v>288</v>
      </c>
      <c r="F1223" s="108" t="s">
        <v>108</v>
      </c>
    </row>
    <row r="1224" spans="1:6" x14ac:dyDescent="0.3">
      <c r="A1224" s="38">
        <v>46228</v>
      </c>
      <c r="B1224" t="s">
        <v>219</v>
      </c>
      <c r="C1224" s="95"/>
      <c r="D1224" s="95">
        <v>52500</v>
      </c>
      <c r="E1224" t="s">
        <v>1001</v>
      </c>
      <c r="F1224" s="108" t="s">
        <v>108</v>
      </c>
    </row>
    <row r="1225" spans="1:6" x14ac:dyDescent="0.3">
      <c r="A1225" s="38">
        <v>46228</v>
      </c>
      <c r="B1225" t="s">
        <v>269</v>
      </c>
      <c r="C1225" s="95">
        <v>80000</v>
      </c>
      <c r="D1225" s="95"/>
      <c r="E1225" t="s">
        <v>700</v>
      </c>
      <c r="F1225" s="108" t="s">
        <v>108</v>
      </c>
    </row>
    <row r="1226" spans="1:6" x14ac:dyDescent="0.3">
      <c r="A1226" s="38">
        <v>46229</v>
      </c>
      <c r="B1226" t="s">
        <v>219</v>
      </c>
      <c r="C1226" s="95"/>
      <c r="D1226" s="95">
        <v>35000</v>
      </c>
      <c r="E1226" t="s">
        <v>1002</v>
      </c>
      <c r="F1226" s="108" t="s">
        <v>108</v>
      </c>
    </row>
    <row r="1227" spans="1:6" x14ac:dyDescent="0.3">
      <c r="A1227" s="38">
        <v>46229</v>
      </c>
      <c r="B1227" t="s">
        <v>55</v>
      </c>
      <c r="C1227" s="95">
        <v>35000</v>
      </c>
      <c r="D1227" s="95"/>
      <c r="E1227" t="s">
        <v>1003</v>
      </c>
      <c r="F1227" s="108" t="s">
        <v>108</v>
      </c>
    </row>
    <row r="1228" spans="1:6" x14ac:dyDescent="0.3">
      <c r="A1228" s="38">
        <v>46229</v>
      </c>
      <c r="B1228" t="s">
        <v>55</v>
      </c>
      <c r="C1228" s="95">
        <v>10850</v>
      </c>
      <c r="D1228" s="95"/>
      <c r="E1228" t="s">
        <v>1004</v>
      </c>
      <c r="F1228" s="108" t="s">
        <v>108</v>
      </c>
    </row>
    <row r="1229" spans="1:6" x14ac:dyDescent="0.3">
      <c r="A1229" s="38">
        <v>46229</v>
      </c>
      <c r="B1229" t="s">
        <v>219</v>
      </c>
      <c r="C1229" s="95"/>
      <c r="D1229" s="95">
        <v>15000</v>
      </c>
      <c r="E1229" t="s">
        <v>1005</v>
      </c>
      <c r="F1229" s="108" t="s">
        <v>108</v>
      </c>
    </row>
    <row r="1230" spans="1:6" x14ac:dyDescent="0.3">
      <c r="A1230" s="38">
        <v>46229</v>
      </c>
      <c r="B1230" t="s">
        <v>269</v>
      </c>
      <c r="C1230" s="95">
        <v>15000</v>
      </c>
      <c r="D1230" s="95"/>
      <c r="E1230" t="s">
        <v>580</v>
      </c>
      <c r="F1230" s="108" t="s">
        <v>108</v>
      </c>
    </row>
    <row r="1231" spans="1:6" x14ac:dyDescent="0.3">
      <c r="A1231" s="38">
        <v>46230</v>
      </c>
      <c r="B1231" t="s">
        <v>219</v>
      </c>
      <c r="C1231" s="95"/>
      <c r="D1231" s="95">
        <v>90000</v>
      </c>
      <c r="E1231" t="s">
        <v>1006</v>
      </c>
      <c r="F1231" s="108" t="s">
        <v>108</v>
      </c>
    </row>
    <row r="1232" spans="1:6" x14ac:dyDescent="0.3">
      <c r="A1232" s="38">
        <v>46229</v>
      </c>
      <c r="B1232" t="s">
        <v>55</v>
      </c>
      <c r="C1232" s="95">
        <v>3031</v>
      </c>
      <c r="D1232" s="95"/>
      <c r="E1232" t="s">
        <v>1007</v>
      </c>
      <c r="F1232" s="108" t="s">
        <v>108</v>
      </c>
    </row>
    <row r="1233" spans="1:6" x14ac:dyDescent="0.3">
      <c r="A1233" s="38">
        <v>46230</v>
      </c>
      <c r="B1233" t="s">
        <v>269</v>
      </c>
      <c r="C1233" s="95">
        <v>10000</v>
      </c>
      <c r="D1233" s="95"/>
      <c r="E1233" t="s">
        <v>1008</v>
      </c>
      <c r="F1233" s="108" t="s">
        <v>108</v>
      </c>
    </row>
    <row r="1234" spans="1:6" x14ac:dyDescent="0.3">
      <c r="A1234" s="38">
        <v>46230</v>
      </c>
      <c r="B1234" t="s">
        <v>269</v>
      </c>
      <c r="C1234" s="95">
        <v>15000</v>
      </c>
      <c r="D1234" s="95"/>
      <c r="E1234" t="s">
        <v>643</v>
      </c>
      <c r="F1234" s="108" t="s">
        <v>108</v>
      </c>
    </row>
    <row r="1235" spans="1:6" x14ac:dyDescent="0.3">
      <c r="A1235" s="38">
        <v>46230</v>
      </c>
      <c r="B1235" t="s">
        <v>55</v>
      </c>
      <c r="C1235" s="95">
        <v>1700</v>
      </c>
      <c r="D1235" s="95"/>
      <c r="F1235" s="108" t="s">
        <v>108</v>
      </c>
    </row>
    <row r="1236" spans="1:6" x14ac:dyDescent="0.3">
      <c r="A1236" s="38">
        <v>46230</v>
      </c>
      <c r="B1236" t="s">
        <v>269</v>
      </c>
      <c r="C1236" s="95">
        <v>20000</v>
      </c>
      <c r="D1236" s="95"/>
      <c r="E1236" t="s">
        <v>288</v>
      </c>
      <c r="F1236" s="108" t="s">
        <v>108</v>
      </c>
    </row>
    <row r="1237" spans="1:6" x14ac:dyDescent="0.3">
      <c r="A1237" s="38">
        <v>46230</v>
      </c>
      <c r="B1237" t="s">
        <v>269</v>
      </c>
      <c r="C1237" s="95">
        <v>15000</v>
      </c>
      <c r="D1237" s="95"/>
      <c r="E1237" t="s">
        <v>665</v>
      </c>
      <c r="F1237" s="108" t="s">
        <v>108</v>
      </c>
    </row>
    <row r="1238" spans="1:6" x14ac:dyDescent="0.3">
      <c r="A1238" s="38">
        <v>46230</v>
      </c>
      <c r="B1238" t="s">
        <v>269</v>
      </c>
      <c r="C1238" s="95">
        <v>10000</v>
      </c>
      <c r="D1238" s="95"/>
      <c r="E1238" t="s">
        <v>949</v>
      </c>
      <c r="F1238" s="108" t="s">
        <v>108</v>
      </c>
    </row>
    <row r="1239" spans="1:6" x14ac:dyDescent="0.3">
      <c r="A1239" s="38">
        <v>46230</v>
      </c>
      <c r="B1239" t="s">
        <v>219</v>
      </c>
      <c r="C1239" s="95"/>
      <c r="D1239" s="95">
        <v>174000</v>
      </c>
      <c r="E1239" t="s">
        <v>1009</v>
      </c>
      <c r="F1239" s="108" t="s">
        <v>108</v>
      </c>
    </row>
    <row r="1240" spans="1:6" x14ac:dyDescent="0.3">
      <c r="A1240" s="38">
        <v>46230</v>
      </c>
      <c r="B1240" t="s">
        <v>298</v>
      </c>
      <c r="C1240" s="95">
        <v>10000</v>
      </c>
      <c r="D1240" s="95"/>
      <c r="E1240" t="s">
        <v>693</v>
      </c>
      <c r="F1240" s="108" t="s">
        <v>108</v>
      </c>
    </row>
    <row r="1241" spans="1:6" x14ac:dyDescent="0.3">
      <c r="A1241" s="38">
        <v>46230</v>
      </c>
      <c r="B1241" t="s">
        <v>253</v>
      </c>
      <c r="C1241" s="95">
        <v>31500</v>
      </c>
      <c r="D1241" s="95"/>
      <c r="E1241" t="s">
        <v>1010</v>
      </c>
      <c r="F1241" s="108" t="s">
        <v>108</v>
      </c>
    </row>
    <row r="1242" spans="1:6" x14ac:dyDescent="0.3">
      <c r="A1242" s="38">
        <v>46230</v>
      </c>
      <c r="B1242" t="s">
        <v>219</v>
      </c>
      <c r="C1242" s="95"/>
      <c r="D1242" s="95">
        <v>150000</v>
      </c>
      <c r="E1242" t="s">
        <v>1011</v>
      </c>
      <c r="F1242" s="108" t="s">
        <v>108</v>
      </c>
    </row>
    <row r="1243" spans="1:6" x14ac:dyDescent="0.3">
      <c r="A1243" s="38">
        <v>46230</v>
      </c>
      <c r="B1243" t="s">
        <v>222</v>
      </c>
      <c r="C1243" s="95">
        <v>200000</v>
      </c>
      <c r="D1243" s="95"/>
      <c r="E1243" t="s">
        <v>1012</v>
      </c>
      <c r="F1243" s="108" t="s">
        <v>108</v>
      </c>
    </row>
    <row r="1244" spans="1:6" x14ac:dyDescent="0.3">
      <c r="A1244" s="38">
        <v>46230</v>
      </c>
      <c r="B1244" t="s">
        <v>674</v>
      </c>
      <c r="C1244" s="95">
        <v>100000</v>
      </c>
      <c r="D1244" s="95"/>
      <c r="E1244" t="s">
        <v>1013</v>
      </c>
      <c r="F1244" s="108" t="s">
        <v>108</v>
      </c>
    </row>
    <row r="1245" spans="1:6" x14ac:dyDescent="0.3">
      <c r="A1245" s="38">
        <v>46231</v>
      </c>
      <c r="B1245" t="s">
        <v>219</v>
      </c>
      <c r="C1245" s="95"/>
      <c r="D1245" s="95">
        <v>22500</v>
      </c>
      <c r="E1245" t="s">
        <v>318</v>
      </c>
      <c r="F1245" s="108" t="s">
        <v>108</v>
      </c>
    </row>
    <row r="1246" spans="1:6" x14ac:dyDescent="0.3">
      <c r="A1246" s="38">
        <v>46231</v>
      </c>
      <c r="B1246" t="s">
        <v>488</v>
      </c>
      <c r="C1246" s="95">
        <v>1300</v>
      </c>
      <c r="D1246" s="95"/>
      <c r="E1246" t="s">
        <v>1014</v>
      </c>
      <c r="F1246" s="108" t="s">
        <v>108</v>
      </c>
    </row>
    <row r="1247" spans="1:6" x14ac:dyDescent="0.3">
      <c r="A1247" s="38">
        <v>46231</v>
      </c>
      <c r="B1247" t="s">
        <v>253</v>
      </c>
      <c r="C1247" s="95">
        <v>22000</v>
      </c>
      <c r="D1247" s="95"/>
      <c r="E1247" t="s">
        <v>1015</v>
      </c>
      <c r="F1247" s="108" t="s">
        <v>108</v>
      </c>
    </row>
    <row r="1248" spans="1:6" x14ac:dyDescent="0.3">
      <c r="A1248" s="38">
        <v>46231</v>
      </c>
      <c r="B1248" t="s">
        <v>386</v>
      </c>
      <c r="C1248" s="95">
        <v>200</v>
      </c>
      <c r="D1248" s="95"/>
      <c r="E1248" t="s">
        <v>987</v>
      </c>
      <c r="F1248" s="108" t="s">
        <v>108</v>
      </c>
    </row>
    <row r="1249" spans="1:6" x14ac:dyDescent="0.3">
      <c r="A1249" s="38">
        <v>46233</v>
      </c>
      <c r="B1249" t="s">
        <v>219</v>
      </c>
      <c r="C1249" s="95"/>
      <c r="D1249" s="95">
        <v>54000</v>
      </c>
      <c r="E1249" t="s">
        <v>1016</v>
      </c>
      <c r="F1249" s="108" t="s">
        <v>108</v>
      </c>
    </row>
    <row r="1250" spans="1:6" x14ac:dyDescent="0.3">
      <c r="A1250" s="38">
        <v>46233</v>
      </c>
      <c r="B1250" t="s">
        <v>357</v>
      </c>
      <c r="C1250" s="95">
        <v>3100</v>
      </c>
      <c r="D1250" s="95"/>
      <c r="F1250" s="108" t="s">
        <v>108</v>
      </c>
    </row>
    <row r="1251" spans="1:6" x14ac:dyDescent="0.3">
      <c r="A1251" s="38">
        <v>46233</v>
      </c>
      <c r="B1251" t="s">
        <v>269</v>
      </c>
      <c r="C1251" s="95">
        <v>3000</v>
      </c>
      <c r="D1251" s="95"/>
      <c r="E1251" t="s">
        <v>992</v>
      </c>
      <c r="F1251" s="108" t="s">
        <v>108</v>
      </c>
    </row>
    <row r="1252" spans="1:6" x14ac:dyDescent="0.3">
      <c r="A1252" s="38">
        <v>46233</v>
      </c>
      <c r="B1252" t="s">
        <v>269</v>
      </c>
      <c r="C1252" s="95">
        <v>3000</v>
      </c>
      <c r="D1252" s="95"/>
      <c r="E1252" t="s">
        <v>1017</v>
      </c>
      <c r="F1252" s="108" t="s">
        <v>108</v>
      </c>
    </row>
    <row r="1253" spans="1:6" x14ac:dyDescent="0.3">
      <c r="A1253" s="38">
        <v>46233</v>
      </c>
      <c r="B1253" t="s">
        <v>219</v>
      </c>
      <c r="C1253" s="95"/>
      <c r="D1253" s="95">
        <v>35000</v>
      </c>
      <c r="E1253" t="s">
        <v>318</v>
      </c>
      <c r="F1253" s="108" t="s">
        <v>108</v>
      </c>
    </row>
    <row r="1254" spans="1:6" x14ac:dyDescent="0.3">
      <c r="A1254" s="38">
        <v>46233</v>
      </c>
      <c r="B1254" t="s">
        <v>253</v>
      </c>
      <c r="C1254" s="95">
        <v>27000</v>
      </c>
      <c r="D1254" s="95"/>
      <c r="E1254" t="s">
        <v>1018</v>
      </c>
      <c r="F1254" s="108" t="s">
        <v>108</v>
      </c>
    </row>
    <row r="1255" spans="1:6" x14ac:dyDescent="0.3">
      <c r="A1255" s="38">
        <v>46233</v>
      </c>
      <c r="B1255" t="s">
        <v>253</v>
      </c>
      <c r="C1255" s="95">
        <v>7000</v>
      </c>
      <c r="D1255" s="95"/>
      <c r="E1255" t="s">
        <v>1019</v>
      </c>
      <c r="F1255" s="108" t="s">
        <v>108</v>
      </c>
    </row>
    <row r="1256" spans="1:6" x14ac:dyDescent="0.3">
      <c r="A1256" s="38">
        <v>46233</v>
      </c>
      <c r="B1256" t="s">
        <v>219</v>
      </c>
      <c r="C1256" s="95"/>
      <c r="D1256" s="95">
        <v>5000</v>
      </c>
      <c r="F1256" s="108" t="s">
        <v>108</v>
      </c>
    </row>
    <row r="1257" spans="1:6" x14ac:dyDescent="0.3">
      <c r="A1257" s="38">
        <v>46233</v>
      </c>
      <c r="B1257" t="s">
        <v>425</v>
      </c>
      <c r="C1257" s="95">
        <v>50000</v>
      </c>
      <c r="D1257" s="95"/>
      <c r="E1257" t="s">
        <v>1020</v>
      </c>
      <c r="F1257" s="108" t="s">
        <v>108</v>
      </c>
    </row>
    <row r="1258" spans="1:6" x14ac:dyDescent="0.3">
      <c r="A1258" s="38">
        <v>46234</v>
      </c>
      <c r="B1258" t="s">
        <v>55</v>
      </c>
      <c r="C1258" s="95">
        <v>3000</v>
      </c>
      <c r="D1258" s="95"/>
      <c r="E1258" t="s">
        <v>1021</v>
      </c>
      <c r="F1258" s="108" t="s">
        <v>108</v>
      </c>
    </row>
    <row r="1259" spans="1:6" x14ac:dyDescent="0.3">
      <c r="A1259" s="38">
        <v>46234</v>
      </c>
      <c r="B1259" t="s">
        <v>219</v>
      </c>
      <c r="C1259" s="95"/>
      <c r="D1259" s="95">
        <v>5000</v>
      </c>
      <c r="E1259" t="s">
        <v>1022</v>
      </c>
      <c r="F1259" s="108" t="s">
        <v>108</v>
      </c>
    </row>
    <row r="1260" spans="1:6" x14ac:dyDescent="0.3">
      <c r="A1260" s="38">
        <v>46234</v>
      </c>
      <c r="B1260" t="s">
        <v>219</v>
      </c>
      <c r="C1260" s="95"/>
      <c r="D1260" s="95">
        <v>25000</v>
      </c>
      <c r="E1260" t="s">
        <v>1023</v>
      </c>
      <c r="F1260" s="108" t="s">
        <v>108</v>
      </c>
    </row>
    <row r="1261" spans="1:6" x14ac:dyDescent="0.3">
      <c r="A1261" s="38">
        <v>46234</v>
      </c>
      <c r="B1261" t="s">
        <v>269</v>
      </c>
      <c r="C1261" s="95">
        <v>25000</v>
      </c>
      <c r="D1261" s="95"/>
      <c r="E1261" t="s">
        <v>700</v>
      </c>
      <c r="F1261" s="108" t="s">
        <v>108</v>
      </c>
    </row>
    <row r="1262" spans="1:6" x14ac:dyDescent="0.3">
      <c r="A1262" s="38">
        <v>46228</v>
      </c>
      <c r="B1262" t="s">
        <v>219</v>
      </c>
      <c r="C1262" s="95"/>
      <c r="D1262" s="95">
        <v>120000</v>
      </c>
      <c r="F1262" s="108" t="s">
        <v>108</v>
      </c>
    </row>
    <row r="1263" spans="1:6" x14ac:dyDescent="0.3">
      <c r="A1263" s="38">
        <v>46228</v>
      </c>
      <c r="B1263" t="s">
        <v>269</v>
      </c>
      <c r="C1263" s="95">
        <v>20000</v>
      </c>
      <c r="D1263" s="95"/>
      <c r="E1263" t="s">
        <v>1024</v>
      </c>
      <c r="F1263" s="108" t="s">
        <v>108</v>
      </c>
    </row>
    <row r="1264" spans="1:6" x14ac:dyDescent="0.3">
      <c r="A1264" s="38">
        <v>46228</v>
      </c>
      <c r="B1264" t="s">
        <v>269</v>
      </c>
      <c r="C1264" s="95">
        <v>20000</v>
      </c>
      <c r="D1264" s="95"/>
      <c r="E1264" t="s">
        <v>1025</v>
      </c>
      <c r="F1264" s="108" t="s">
        <v>108</v>
      </c>
    </row>
    <row r="1265" spans="1:6" x14ac:dyDescent="0.3">
      <c r="A1265" s="38">
        <v>46228</v>
      </c>
      <c r="B1265" t="s">
        <v>269</v>
      </c>
      <c r="C1265" s="95">
        <v>20000</v>
      </c>
      <c r="D1265" s="95"/>
      <c r="E1265" t="s">
        <v>1026</v>
      </c>
      <c r="F1265" s="108" t="s">
        <v>108</v>
      </c>
    </row>
    <row r="1266" spans="1:6" x14ac:dyDescent="0.3">
      <c r="A1266" s="38">
        <v>46228</v>
      </c>
      <c r="B1266" t="s">
        <v>269</v>
      </c>
      <c r="C1266" s="95">
        <v>20000</v>
      </c>
      <c r="D1266" s="95"/>
      <c r="E1266" t="s">
        <v>1027</v>
      </c>
      <c r="F1266" s="108" t="s">
        <v>108</v>
      </c>
    </row>
    <row r="1267" spans="1:6" x14ac:dyDescent="0.3">
      <c r="A1267" s="38">
        <v>46228</v>
      </c>
      <c r="B1267" t="s">
        <v>269</v>
      </c>
      <c r="C1267" s="95">
        <v>20000</v>
      </c>
      <c r="D1267" s="95"/>
      <c r="E1267" t="s">
        <v>1028</v>
      </c>
      <c r="F1267" s="108" t="s">
        <v>108</v>
      </c>
    </row>
    <row r="1268" spans="1:6" x14ac:dyDescent="0.3">
      <c r="A1268" s="38">
        <v>46228</v>
      </c>
      <c r="B1268" t="s">
        <v>269</v>
      </c>
      <c r="C1268" s="95">
        <v>20000</v>
      </c>
      <c r="D1268" s="95"/>
      <c r="E1268" t="s">
        <v>1017</v>
      </c>
      <c r="F1268" s="108" t="s">
        <v>108</v>
      </c>
    </row>
    <row r="1269" spans="1:6" x14ac:dyDescent="0.3">
      <c r="A1269" s="38">
        <v>46230</v>
      </c>
      <c r="B1269" t="s">
        <v>219</v>
      </c>
      <c r="C1269" s="95"/>
      <c r="D1269" s="95">
        <v>25000</v>
      </c>
      <c r="E1269" t="s">
        <v>288</v>
      </c>
      <c r="F1269" s="108" t="s">
        <v>108</v>
      </c>
    </row>
    <row r="1270" spans="1:6" x14ac:dyDescent="0.3">
      <c r="A1270" s="38">
        <v>46230</v>
      </c>
      <c r="B1270" t="s">
        <v>269</v>
      </c>
      <c r="C1270" s="95">
        <v>25000</v>
      </c>
      <c r="D1270" s="95"/>
      <c r="E1270" t="s">
        <v>288</v>
      </c>
      <c r="F1270" s="108" t="s">
        <v>108</v>
      </c>
    </row>
    <row r="1271" spans="1:6" x14ac:dyDescent="0.3">
      <c r="A1271" s="38">
        <v>46234</v>
      </c>
      <c r="B1271" t="s">
        <v>219</v>
      </c>
      <c r="C1271" s="95"/>
      <c r="D1271" s="95">
        <v>250000</v>
      </c>
      <c r="E1271" t="s">
        <v>961</v>
      </c>
      <c r="F1271" s="108" t="s">
        <v>108</v>
      </c>
    </row>
    <row r="1272" spans="1:6" x14ac:dyDescent="0.3">
      <c r="A1272" s="38">
        <v>46234</v>
      </c>
      <c r="B1272" t="s">
        <v>116</v>
      </c>
      <c r="C1272" s="95">
        <v>14000</v>
      </c>
      <c r="D1272" s="95"/>
      <c r="E1272" t="s">
        <v>1029</v>
      </c>
      <c r="F1272" s="108" t="s">
        <v>108</v>
      </c>
    </row>
    <row r="1273" spans="1:6" x14ac:dyDescent="0.3">
      <c r="A1273" s="38">
        <v>46234</v>
      </c>
      <c r="B1273" t="s">
        <v>219</v>
      </c>
      <c r="C1273" s="95"/>
      <c r="D1273" s="95">
        <v>14000</v>
      </c>
      <c r="E1273" t="s">
        <v>175</v>
      </c>
      <c r="F1273" s="108" t="s">
        <v>108</v>
      </c>
    </row>
    <row r="1274" spans="1:6" x14ac:dyDescent="0.3">
      <c r="A1274" s="38">
        <v>46234</v>
      </c>
      <c r="B1274" t="s">
        <v>280</v>
      </c>
      <c r="C1274" s="95"/>
      <c r="D1274" s="95">
        <v>100000</v>
      </c>
      <c r="E1274" t="s">
        <v>961</v>
      </c>
      <c r="F1274" s="108" t="s">
        <v>108</v>
      </c>
    </row>
    <row r="1275" spans="1:6" x14ac:dyDescent="0.3">
      <c r="A1275" s="38">
        <v>46234</v>
      </c>
      <c r="B1275" t="s">
        <v>219</v>
      </c>
      <c r="C1275" s="95">
        <v>100000</v>
      </c>
      <c r="D1275" s="95"/>
      <c r="E1275" t="s">
        <v>280</v>
      </c>
      <c r="F1275" s="108" t="s">
        <v>108</v>
      </c>
    </row>
    <row r="1276" spans="1:6" x14ac:dyDescent="0.3">
      <c r="A1276" s="38">
        <v>46235</v>
      </c>
      <c r="B1276" t="s">
        <v>357</v>
      </c>
      <c r="C1276" s="95">
        <v>13790</v>
      </c>
      <c r="D1276" s="95"/>
      <c r="E1276" t="s">
        <v>357</v>
      </c>
      <c r="F1276" s="108" t="s">
        <v>108</v>
      </c>
    </row>
    <row r="1277" spans="1:6" x14ac:dyDescent="0.3">
      <c r="A1277" s="111">
        <v>46235</v>
      </c>
      <c r="B1277" t="s">
        <v>219</v>
      </c>
      <c r="C1277" s="95"/>
      <c r="D1277" s="95">
        <v>15000</v>
      </c>
      <c r="E1277" t="s">
        <v>1046</v>
      </c>
      <c r="F1277" s="108" t="s">
        <v>108</v>
      </c>
    </row>
    <row r="1278" spans="1:6" x14ac:dyDescent="0.3">
      <c r="A1278" s="111">
        <v>46235</v>
      </c>
      <c r="B1278" t="s">
        <v>211</v>
      </c>
      <c r="C1278" s="95">
        <v>1490</v>
      </c>
      <c r="D1278" s="95"/>
      <c r="F1278" s="108" t="s">
        <v>108</v>
      </c>
    </row>
    <row r="1279" spans="1:6" x14ac:dyDescent="0.3">
      <c r="A1279" s="111">
        <v>46235</v>
      </c>
      <c r="B1279" t="s">
        <v>244</v>
      </c>
      <c r="C1279" s="11">
        <v>140</v>
      </c>
      <c r="D1279" s="11"/>
      <c r="E1279" t="s">
        <v>1035</v>
      </c>
      <c r="F1279" s="108" t="s">
        <v>108</v>
      </c>
    </row>
    <row r="1280" spans="1:6" x14ac:dyDescent="0.3">
      <c r="A1280" s="38">
        <v>46235</v>
      </c>
      <c r="B1280" t="s">
        <v>357</v>
      </c>
      <c r="C1280" s="11">
        <v>3000</v>
      </c>
      <c r="D1280" s="11"/>
      <c r="E1280" t="s">
        <v>535</v>
      </c>
      <c r="F1280" s="108" t="s">
        <v>108</v>
      </c>
    </row>
    <row r="1281" spans="1:6" x14ac:dyDescent="0.3">
      <c r="A1281" s="111">
        <v>46235</v>
      </c>
      <c r="B1281" t="s">
        <v>253</v>
      </c>
      <c r="C1281" s="11">
        <v>16330</v>
      </c>
      <c r="D1281" s="11"/>
      <c r="E1281" t="s">
        <v>1036</v>
      </c>
      <c r="F1281" s="108" t="s">
        <v>108</v>
      </c>
    </row>
    <row r="1282" spans="1:6" x14ac:dyDescent="0.3">
      <c r="A1282" s="38">
        <v>46235</v>
      </c>
      <c r="B1282" t="s">
        <v>253</v>
      </c>
      <c r="C1282" s="11">
        <v>23500</v>
      </c>
      <c r="D1282" s="11"/>
      <c r="E1282" t="s">
        <v>1037</v>
      </c>
      <c r="F1282" s="108" t="s">
        <v>108</v>
      </c>
    </row>
    <row r="1283" spans="1:6" x14ac:dyDescent="0.3">
      <c r="A1283" s="111">
        <v>46235</v>
      </c>
      <c r="B1283" t="s">
        <v>55</v>
      </c>
      <c r="C1283" s="11">
        <v>30000</v>
      </c>
      <c r="D1283" s="11"/>
      <c r="E1283" t="s">
        <v>1038</v>
      </c>
      <c r="F1283" s="108" t="s">
        <v>108</v>
      </c>
    </row>
    <row r="1284" spans="1:6" x14ac:dyDescent="0.3">
      <c r="A1284" s="38">
        <v>46235</v>
      </c>
      <c r="B1284" t="s">
        <v>219</v>
      </c>
      <c r="C1284" s="11"/>
      <c r="D1284" s="11">
        <v>30000</v>
      </c>
      <c r="E1284" t="s">
        <v>1038</v>
      </c>
      <c r="F1284" s="108" t="s">
        <v>108</v>
      </c>
    </row>
    <row r="1285" spans="1:6" x14ac:dyDescent="0.3">
      <c r="A1285" s="111">
        <v>46235</v>
      </c>
      <c r="B1285" t="s">
        <v>219</v>
      </c>
      <c r="C1285" s="11"/>
      <c r="D1285" s="11">
        <v>7000</v>
      </c>
      <c r="E1285" t="s">
        <v>288</v>
      </c>
      <c r="F1285" s="108" t="s">
        <v>108</v>
      </c>
    </row>
    <row r="1286" spans="1:6" x14ac:dyDescent="0.3">
      <c r="A1286" s="38">
        <v>46235</v>
      </c>
      <c r="B1286" t="s">
        <v>269</v>
      </c>
      <c r="C1286" s="11">
        <v>7000</v>
      </c>
      <c r="D1286" s="11"/>
      <c r="E1286" t="s">
        <v>288</v>
      </c>
      <c r="F1286" s="108" t="s">
        <v>108</v>
      </c>
    </row>
    <row r="1287" spans="1:6" x14ac:dyDescent="0.3">
      <c r="A1287" s="111">
        <v>46236</v>
      </c>
      <c r="B1287" t="s">
        <v>244</v>
      </c>
      <c r="C1287" s="11">
        <v>4000</v>
      </c>
      <c r="D1287" s="11"/>
      <c r="E1287" t="s">
        <v>1039</v>
      </c>
      <c r="F1287" s="108" t="s">
        <v>108</v>
      </c>
    </row>
    <row r="1288" spans="1:6" x14ac:dyDescent="0.3">
      <c r="A1288" s="111">
        <v>46236</v>
      </c>
      <c r="B1288" t="s">
        <v>211</v>
      </c>
      <c r="C1288" s="11">
        <v>3132</v>
      </c>
      <c r="D1288" s="11"/>
      <c r="F1288" s="108" t="s">
        <v>108</v>
      </c>
    </row>
    <row r="1289" spans="1:6" x14ac:dyDescent="0.3">
      <c r="A1289" s="38">
        <v>46236</v>
      </c>
      <c r="B1289" t="s">
        <v>357</v>
      </c>
      <c r="C1289" s="11">
        <v>2900</v>
      </c>
      <c r="D1289" s="11"/>
      <c r="E1289" t="s">
        <v>535</v>
      </c>
      <c r="F1289" s="108" t="s">
        <v>108</v>
      </c>
    </row>
    <row r="1290" spans="1:6" x14ac:dyDescent="0.3">
      <c r="A1290" s="111">
        <v>46236</v>
      </c>
      <c r="B1290" t="s">
        <v>269</v>
      </c>
      <c r="C1290" s="11">
        <v>5000</v>
      </c>
      <c r="D1290" s="11"/>
      <c r="E1290" t="s">
        <v>991</v>
      </c>
      <c r="F1290" s="108" t="s">
        <v>108</v>
      </c>
    </row>
    <row r="1291" spans="1:6" x14ac:dyDescent="0.3">
      <c r="A1291" s="38">
        <v>46235</v>
      </c>
      <c r="B1291" t="s">
        <v>27</v>
      </c>
      <c r="C1291" s="11"/>
      <c r="D1291" s="11">
        <v>100000</v>
      </c>
      <c r="F1291" s="108" t="s">
        <v>108</v>
      </c>
    </row>
    <row r="1292" spans="1:6" x14ac:dyDescent="0.3">
      <c r="A1292" s="111">
        <v>46236</v>
      </c>
      <c r="B1292" t="s">
        <v>219</v>
      </c>
      <c r="C1292" s="11">
        <v>100000</v>
      </c>
      <c r="D1292" s="11"/>
      <c r="E1292" t="s">
        <v>1040</v>
      </c>
      <c r="F1292" s="108" t="s">
        <v>108</v>
      </c>
    </row>
    <row r="1293" spans="1:6" x14ac:dyDescent="0.3">
      <c r="A1293" s="38">
        <v>46236</v>
      </c>
      <c r="B1293" t="s">
        <v>1041</v>
      </c>
      <c r="C1293" s="11"/>
      <c r="D1293" s="11">
        <v>100000</v>
      </c>
      <c r="F1293" s="108" t="s">
        <v>108</v>
      </c>
    </row>
    <row r="1294" spans="1:6" x14ac:dyDescent="0.3">
      <c r="A1294" s="111">
        <v>46236</v>
      </c>
      <c r="B1294" t="s">
        <v>219</v>
      </c>
      <c r="C1294" s="11">
        <v>100000</v>
      </c>
      <c r="D1294" s="11"/>
      <c r="E1294" t="s">
        <v>1042</v>
      </c>
      <c r="F1294" s="108" t="s">
        <v>108</v>
      </c>
    </row>
    <row r="1295" spans="1:6" x14ac:dyDescent="0.3">
      <c r="A1295" s="38">
        <v>46236</v>
      </c>
      <c r="B1295" t="s">
        <v>244</v>
      </c>
      <c r="C1295" s="95">
        <v>1600</v>
      </c>
      <c r="D1295" s="95"/>
      <c r="E1295" t="s">
        <v>1043</v>
      </c>
      <c r="F1295" s="108" t="s">
        <v>108</v>
      </c>
    </row>
    <row r="1296" spans="1:6" x14ac:dyDescent="0.3">
      <c r="A1296" s="111">
        <v>46237</v>
      </c>
      <c r="B1296" t="s">
        <v>115</v>
      </c>
      <c r="C1296" s="11">
        <v>250000</v>
      </c>
      <c r="D1296" s="11"/>
      <c r="E1296" t="s">
        <v>1044</v>
      </c>
      <c r="F1296" s="108" t="s">
        <v>108</v>
      </c>
    </row>
    <row r="1297" spans="1:6" x14ac:dyDescent="0.3">
      <c r="A1297" s="38">
        <v>46237</v>
      </c>
      <c r="B1297" t="s">
        <v>219</v>
      </c>
      <c r="C1297" s="11"/>
      <c r="D1297" s="11">
        <v>55000</v>
      </c>
      <c r="E1297" t="s">
        <v>1045</v>
      </c>
      <c r="F1297" s="108" t="s">
        <v>108</v>
      </c>
    </row>
    <row r="1298" spans="1:6" x14ac:dyDescent="0.3">
      <c r="A1298" s="111">
        <v>46237</v>
      </c>
      <c r="B1298" t="s">
        <v>244</v>
      </c>
      <c r="C1298" s="11">
        <v>690</v>
      </c>
      <c r="D1298" s="11"/>
      <c r="E1298" t="s">
        <v>846</v>
      </c>
      <c r="F1298" s="108" t="s">
        <v>108</v>
      </c>
    </row>
    <row r="1299" spans="1:6" x14ac:dyDescent="0.3">
      <c r="A1299" s="38">
        <v>46237</v>
      </c>
      <c r="B1299" t="s">
        <v>219</v>
      </c>
      <c r="C1299" s="11"/>
      <c r="D1299" s="11">
        <v>5000</v>
      </c>
      <c r="E1299" t="s">
        <v>318</v>
      </c>
      <c r="F1299" s="108" t="s">
        <v>108</v>
      </c>
    </row>
    <row r="1300" spans="1:6" x14ac:dyDescent="0.3">
      <c r="A1300" s="111">
        <v>46237</v>
      </c>
      <c r="B1300" t="s">
        <v>367</v>
      </c>
      <c r="C1300" s="11"/>
      <c r="D1300" s="11">
        <v>200000</v>
      </c>
      <c r="E1300" t="s">
        <v>1047</v>
      </c>
      <c r="F1300" s="108" t="s">
        <v>108</v>
      </c>
    </row>
    <row r="1301" spans="1:6" x14ac:dyDescent="0.3">
      <c r="A1301" s="38">
        <v>46237</v>
      </c>
      <c r="B1301" t="s">
        <v>55</v>
      </c>
      <c r="C1301" s="95">
        <v>600</v>
      </c>
      <c r="D1301" s="95"/>
      <c r="F1301" s="108" t="s">
        <v>108</v>
      </c>
    </row>
    <row r="1302" spans="1:6" x14ac:dyDescent="0.3">
      <c r="A1302" s="111">
        <v>46237</v>
      </c>
      <c r="B1302" t="s">
        <v>357</v>
      </c>
      <c r="C1302" s="11">
        <v>2900</v>
      </c>
      <c r="D1302" s="11"/>
      <c r="E1302" t="s">
        <v>535</v>
      </c>
      <c r="F1302" s="108" t="s">
        <v>108</v>
      </c>
    </row>
    <row r="1303" spans="1:6" x14ac:dyDescent="0.3">
      <c r="A1303" s="38">
        <v>46237</v>
      </c>
      <c r="B1303" t="s">
        <v>253</v>
      </c>
      <c r="C1303" s="11">
        <v>41800</v>
      </c>
      <c r="D1303" s="11"/>
      <c r="E1303" t="s">
        <v>1048</v>
      </c>
      <c r="F1303" s="108" t="s">
        <v>108</v>
      </c>
    </row>
    <row r="1304" spans="1:6" x14ac:dyDescent="0.3">
      <c r="A1304" s="111">
        <v>46237</v>
      </c>
      <c r="B1304" t="s">
        <v>253</v>
      </c>
      <c r="C1304" s="11">
        <v>14400</v>
      </c>
      <c r="D1304" s="11"/>
      <c r="E1304" t="s">
        <v>1026</v>
      </c>
      <c r="F1304" s="108" t="s">
        <v>108</v>
      </c>
    </row>
    <row r="1305" spans="1:6" x14ac:dyDescent="0.3">
      <c r="A1305" s="38">
        <v>46237</v>
      </c>
      <c r="B1305" t="s">
        <v>253</v>
      </c>
      <c r="C1305" s="11">
        <v>20000</v>
      </c>
      <c r="D1305" s="11"/>
      <c r="E1305" t="s">
        <v>1024</v>
      </c>
      <c r="F1305" s="108" t="s">
        <v>108</v>
      </c>
    </row>
    <row r="1306" spans="1:6" x14ac:dyDescent="0.3">
      <c r="A1306" s="111">
        <v>46237</v>
      </c>
      <c r="B1306" t="s">
        <v>253</v>
      </c>
      <c r="C1306" s="11">
        <v>12400</v>
      </c>
      <c r="D1306" s="11"/>
      <c r="E1306" t="s">
        <v>1025</v>
      </c>
      <c r="F1306" s="108" t="s">
        <v>108</v>
      </c>
    </row>
    <row r="1307" spans="1:6" x14ac:dyDescent="0.3">
      <c r="A1307" s="38">
        <v>46237</v>
      </c>
      <c r="B1307" t="s">
        <v>253</v>
      </c>
      <c r="C1307" s="95">
        <v>1600</v>
      </c>
      <c r="D1307" s="95"/>
      <c r="E1307" t="s">
        <v>1017</v>
      </c>
      <c r="F1307" s="108" t="s">
        <v>108</v>
      </c>
    </row>
    <row r="1308" spans="1:6" x14ac:dyDescent="0.3">
      <c r="A1308" s="38">
        <v>46237</v>
      </c>
      <c r="B1308" t="s">
        <v>269</v>
      </c>
      <c r="C1308" s="95">
        <v>10000</v>
      </c>
      <c r="D1308" s="95"/>
      <c r="E1308" t="s">
        <v>665</v>
      </c>
      <c r="F1308" s="108" t="s">
        <v>108</v>
      </c>
    </row>
    <row r="1309" spans="1:6" x14ac:dyDescent="0.3">
      <c r="A1309" s="38">
        <v>46237</v>
      </c>
      <c r="B1309" t="s">
        <v>269</v>
      </c>
      <c r="C1309" s="95">
        <v>100000</v>
      </c>
      <c r="D1309" s="95"/>
      <c r="E1309" t="s">
        <v>997</v>
      </c>
      <c r="F1309" s="108" t="s">
        <v>108</v>
      </c>
    </row>
    <row r="1310" spans="1:6" x14ac:dyDescent="0.3">
      <c r="A1310" s="38">
        <v>46238</v>
      </c>
      <c r="B1310" t="s">
        <v>219</v>
      </c>
      <c r="C1310" s="95"/>
      <c r="D1310" s="95">
        <v>100000</v>
      </c>
      <c r="E1310" t="s">
        <v>1049</v>
      </c>
      <c r="F1310" s="108" t="s">
        <v>108</v>
      </c>
    </row>
    <row r="1311" spans="1:6" x14ac:dyDescent="0.3">
      <c r="A1311" s="38">
        <v>46238</v>
      </c>
      <c r="B1311" t="s">
        <v>674</v>
      </c>
      <c r="C1311" s="95">
        <v>100000</v>
      </c>
      <c r="D1311" s="95"/>
      <c r="E1311" t="s">
        <v>1050</v>
      </c>
      <c r="F1311" s="108" t="s">
        <v>108</v>
      </c>
    </row>
    <row r="1312" spans="1:6" x14ac:dyDescent="0.3">
      <c r="A1312" s="38">
        <v>46238</v>
      </c>
      <c r="B1312" t="s">
        <v>219</v>
      </c>
      <c r="C1312" s="95"/>
      <c r="D1312" s="95">
        <v>10000</v>
      </c>
      <c r="E1312" t="s">
        <v>1051</v>
      </c>
      <c r="F1312" s="108" t="s">
        <v>108</v>
      </c>
    </row>
    <row r="1313" spans="1:6" x14ac:dyDescent="0.3">
      <c r="A1313" s="38">
        <v>46238</v>
      </c>
      <c r="B1313" t="s">
        <v>269</v>
      </c>
      <c r="C1313" s="95">
        <v>10000</v>
      </c>
      <c r="D1313" s="95"/>
      <c r="E1313" t="s">
        <v>1052</v>
      </c>
      <c r="F1313" s="108" t="s">
        <v>108</v>
      </c>
    </row>
    <row r="1314" spans="1:6" x14ac:dyDescent="0.3">
      <c r="A1314" s="38">
        <v>46238</v>
      </c>
      <c r="B1314" t="s">
        <v>219</v>
      </c>
      <c r="C1314" s="95"/>
      <c r="D1314" s="95">
        <v>20000</v>
      </c>
      <c r="E1314" t="s">
        <v>961</v>
      </c>
      <c r="F1314" s="108" t="s">
        <v>108</v>
      </c>
    </row>
    <row r="1315" spans="1:6" x14ac:dyDescent="0.3">
      <c r="A1315" s="38">
        <v>46238</v>
      </c>
      <c r="B1315" t="s">
        <v>246</v>
      </c>
      <c r="C1315" s="95">
        <v>3700</v>
      </c>
      <c r="D1315" s="95"/>
      <c r="E1315" t="s">
        <v>282</v>
      </c>
      <c r="F1315" s="108" t="s">
        <v>108</v>
      </c>
    </row>
    <row r="1316" spans="1:6" x14ac:dyDescent="0.3">
      <c r="A1316" s="38">
        <v>46238</v>
      </c>
      <c r="B1316" t="s">
        <v>298</v>
      </c>
      <c r="C1316" s="11">
        <v>5000</v>
      </c>
      <c r="D1316" s="11"/>
      <c r="E1316" t="s">
        <v>693</v>
      </c>
      <c r="F1316" s="108" t="s">
        <v>108</v>
      </c>
    </row>
    <row r="1317" spans="1:6" x14ac:dyDescent="0.3">
      <c r="A1317" s="38">
        <v>46238</v>
      </c>
      <c r="B1317" t="s">
        <v>55</v>
      </c>
      <c r="C1317" s="11">
        <v>2800</v>
      </c>
      <c r="D1317" s="11"/>
      <c r="E1317" t="s">
        <v>1053</v>
      </c>
      <c r="F1317" s="108" t="s">
        <v>108</v>
      </c>
    </row>
    <row r="1318" spans="1:6" x14ac:dyDescent="0.3">
      <c r="A1318" s="38">
        <v>46238</v>
      </c>
      <c r="B1318" t="s">
        <v>55</v>
      </c>
      <c r="C1318" s="11">
        <v>5780</v>
      </c>
      <c r="D1318" s="11"/>
      <c r="F1318" s="108" t="s">
        <v>108</v>
      </c>
    </row>
    <row r="1319" spans="1:6" x14ac:dyDescent="0.3">
      <c r="A1319" s="38">
        <v>46238</v>
      </c>
      <c r="B1319" t="s">
        <v>55</v>
      </c>
      <c r="C1319" s="11">
        <v>3300</v>
      </c>
      <c r="D1319" s="11"/>
      <c r="E1319" t="s">
        <v>1054</v>
      </c>
      <c r="F1319" s="108" t="s">
        <v>108</v>
      </c>
    </row>
    <row r="1320" spans="1:6" x14ac:dyDescent="0.3">
      <c r="A1320" s="38">
        <v>46238</v>
      </c>
      <c r="B1320" t="s">
        <v>211</v>
      </c>
      <c r="C1320" s="11"/>
      <c r="D1320" s="11">
        <v>1850</v>
      </c>
      <c r="F1320" s="108" t="s">
        <v>108</v>
      </c>
    </row>
    <row r="1321" spans="1:6" x14ac:dyDescent="0.3">
      <c r="A1321" s="38">
        <v>46238</v>
      </c>
      <c r="B1321" t="s">
        <v>357</v>
      </c>
      <c r="C1321" s="11">
        <v>2900</v>
      </c>
      <c r="D1321" s="11"/>
      <c r="E1321" t="s">
        <v>535</v>
      </c>
      <c r="F1321" s="108" t="s">
        <v>108</v>
      </c>
    </row>
    <row r="1322" spans="1:6" x14ac:dyDescent="0.3">
      <c r="A1322" s="38">
        <v>46238</v>
      </c>
      <c r="B1322" t="s">
        <v>211</v>
      </c>
      <c r="C1322" s="11">
        <v>3850</v>
      </c>
      <c r="D1322" s="11"/>
      <c r="F1322" s="108" t="s">
        <v>108</v>
      </c>
    </row>
    <row r="1323" spans="1:6" x14ac:dyDescent="0.3">
      <c r="A1323" s="38">
        <v>46238</v>
      </c>
      <c r="B1323" t="s">
        <v>386</v>
      </c>
      <c r="C1323" s="11">
        <v>740</v>
      </c>
      <c r="D1323" s="11"/>
      <c r="E1323" t="s">
        <v>1055</v>
      </c>
      <c r="F1323" s="108" t="s">
        <v>108</v>
      </c>
    </row>
    <row r="1324" spans="1:6" x14ac:dyDescent="0.3">
      <c r="A1324" s="38">
        <v>46238</v>
      </c>
      <c r="B1324" t="s">
        <v>219</v>
      </c>
      <c r="C1324" s="95"/>
      <c r="D1324" s="95">
        <v>10000</v>
      </c>
      <c r="E1324" t="s">
        <v>318</v>
      </c>
      <c r="F1324" s="108" t="s">
        <v>108</v>
      </c>
    </row>
    <row r="1325" spans="1:6" x14ac:dyDescent="0.3">
      <c r="A1325" s="38">
        <v>46238</v>
      </c>
      <c r="B1325" t="s">
        <v>488</v>
      </c>
      <c r="C1325" s="95">
        <v>5020</v>
      </c>
      <c r="D1325" s="95"/>
      <c r="E1325" t="s">
        <v>1056</v>
      </c>
      <c r="F1325" s="108" t="s">
        <v>108</v>
      </c>
    </row>
    <row r="1326" spans="1:6" x14ac:dyDescent="0.3">
      <c r="A1326" s="38">
        <v>46239</v>
      </c>
      <c r="B1326" t="s">
        <v>219</v>
      </c>
      <c r="C1326" s="95"/>
      <c r="D1326" s="95">
        <v>10000</v>
      </c>
      <c r="E1326" t="s">
        <v>318</v>
      </c>
      <c r="F1326" s="108" t="s">
        <v>108</v>
      </c>
    </row>
    <row r="1327" spans="1:6" x14ac:dyDescent="0.3">
      <c r="A1327" s="38">
        <v>46239</v>
      </c>
      <c r="B1327" t="s">
        <v>55</v>
      </c>
      <c r="C1327" s="95">
        <v>2240</v>
      </c>
      <c r="D1327" s="95"/>
      <c r="E1327" t="s">
        <v>1057</v>
      </c>
      <c r="F1327" s="108" t="s">
        <v>108</v>
      </c>
    </row>
    <row r="1328" spans="1:6" x14ac:dyDescent="0.3">
      <c r="A1328" s="38">
        <v>46239</v>
      </c>
      <c r="B1328" t="s">
        <v>219</v>
      </c>
      <c r="C1328" s="95"/>
      <c r="D1328" s="95">
        <v>50000</v>
      </c>
      <c r="E1328" t="s">
        <v>1058</v>
      </c>
      <c r="F1328" s="108" t="s">
        <v>108</v>
      </c>
    </row>
    <row r="1329" spans="1:6" x14ac:dyDescent="0.3">
      <c r="A1329" s="38">
        <v>46239</v>
      </c>
      <c r="B1329" t="s">
        <v>269</v>
      </c>
      <c r="C1329" s="95">
        <v>50000</v>
      </c>
      <c r="D1329" s="95"/>
      <c r="E1329" t="s">
        <v>1059</v>
      </c>
      <c r="F1329" s="108" t="s">
        <v>108</v>
      </c>
    </row>
    <row r="1330" spans="1:6" x14ac:dyDescent="0.3">
      <c r="A1330" s="38">
        <v>46239</v>
      </c>
      <c r="B1330" t="s">
        <v>488</v>
      </c>
      <c r="C1330" s="95">
        <v>1500</v>
      </c>
      <c r="D1330" s="95"/>
      <c r="E1330" t="s">
        <v>963</v>
      </c>
      <c r="F1330" s="108" t="s">
        <v>108</v>
      </c>
    </row>
    <row r="1331" spans="1:6" x14ac:dyDescent="0.3">
      <c r="A1331" s="38">
        <v>46239</v>
      </c>
      <c r="B1331" t="s">
        <v>55</v>
      </c>
      <c r="C1331" s="95">
        <v>1300</v>
      </c>
      <c r="D1331" s="95"/>
      <c r="E1331" t="s">
        <v>1060</v>
      </c>
      <c r="F1331" s="108" t="s">
        <v>108</v>
      </c>
    </row>
    <row r="1332" spans="1:6" x14ac:dyDescent="0.3">
      <c r="A1332" s="38">
        <v>46239</v>
      </c>
      <c r="B1332" t="s">
        <v>367</v>
      </c>
      <c r="C1332" s="95"/>
      <c r="D1332" s="95">
        <v>8014</v>
      </c>
      <c r="E1332" t="s">
        <v>54</v>
      </c>
      <c r="F1332" s="108" t="s">
        <v>108</v>
      </c>
    </row>
    <row r="1333" spans="1:6" x14ac:dyDescent="0.3">
      <c r="A1333" s="38">
        <v>46239</v>
      </c>
      <c r="B1333" t="s">
        <v>488</v>
      </c>
      <c r="C1333" s="95">
        <v>8014</v>
      </c>
      <c r="D1333" s="95"/>
      <c r="E1333" t="s">
        <v>1061</v>
      </c>
      <c r="F1333" s="108" t="s">
        <v>108</v>
      </c>
    </row>
    <row r="1334" spans="1:6" x14ac:dyDescent="0.3">
      <c r="A1334" s="38">
        <v>46239</v>
      </c>
      <c r="B1334" t="s">
        <v>367</v>
      </c>
      <c r="C1334" s="95"/>
      <c r="D1334" s="95">
        <v>500000</v>
      </c>
      <c r="E1334" t="s">
        <v>1062</v>
      </c>
      <c r="F1334" s="108" t="s">
        <v>108</v>
      </c>
    </row>
    <row r="1335" spans="1:6" x14ac:dyDescent="0.3">
      <c r="A1335" s="38">
        <v>46239</v>
      </c>
      <c r="B1335" t="s">
        <v>357</v>
      </c>
      <c r="C1335" s="95">
        <v>2900</v>
      </c>
      <c r="D1335" s="95"/>
      <c r="E1335" t="s">
        <v>535</v>
      </c>
      <c r="F1335" s="108" t="s">
        <v>108</v>
      </c>
    </row>
    <row r="1336" spans="1:6" x14ac:dyDescent="0.3">
      <c r="A1336" s="38">
        <v>46239</v>
      </c>
      <c r="B1336" t="s">
        <v>269</v>
      </c>
      <c r="C1336" s="95">
        <v>10000</v>
      </c>
      <c r="D1336" s="95"/>
      <c r="E1336" t="s">
        <v>1063</v>
      </c>
      <c r="F1336" s="108" t="s">
        <v>108</v>
      </c>
    </row>
    <row r="1337" spans="1:6" x14ac:dyDescent="0.3">
      <c r="A1337" s="38">
        <v>46239</v>
      </c>
      <c r="B1337" t="s">
        <v>269</v>
      </c>
      <c r="C1337" s="95">
        <v>5000</v>
      </c>
      <c r="D1337" s="95"/>
      <c r="E1337" t="s">
        <v>602</v>
      </c>
      <c r="F1337" s="108" t="s">
        <v>108</v>
      </c>
    </row>
    <row r="1338" spans="1:6" x14ac:dyDescent="0.3">
      <c r="A1338" s="38">
        <v>46239</v>
      </c>
      <c r="B1338" t="s">
        <v>269</v>
      </c>
      <c r="C1338" s="95">
        <v>10000</v>
      </c>
      <c r="D1338" s="95"/>
      <c r="E1338" t="s">
        <v>288</v>
      </c>
      <c r="F1338" s="108" t="s">
        <v>108</v>
      </c>
    </row>
    <row r="1339" spans="1:6" x14ac:dyDescent="0.3">
      <c r="A1339" s="38">
        <v>46239</v>
      </c>
      <c r="B1339" t="s">
        <v>269</v>
      </c>
      <c r="C1339" s="95">
        <v>10000</v>
      </c>
      <c r="D1339" s="95"/>
      <c r="E1339" t="s">
        <v>1064</v>
      </c>
      <c r="F1339" s="108" t="s">
        <v>108</v>
      </c>
    </row>
    <row r="1340" spans="1:6" x14ac:dyDescent="0.3">
      <c r="A1340" s="38">
        <v>46239</v>
      </c>
      <c r="B1340" t="s">
        <v>674</v>
      </c>
      <c r="C1340" s="95">
        <v>200000</v>
      </c>
      <c r="D1340" s="95"/>
      <c r="E1340" t="s">
        <v>1065</v>
      </c>
      <c r="F1340" s="108" t="s">
        <v>108</v>
      </c>
    </row>
    <row r="1341" spans="1:6" x14ac:dyDescent="0.3">
      <c r="A1341" s="38">
        <v>46239</v>
      </c>
      <c r="B1341" t="s">
        <v>246</v>
      </c>
      <c r="C1341" s="95">
        <v>5550</v>
      </c>
      <c r="D1341" s="95"/>
      <c r="E1341" t="s">
        <v>1066</v>
      </c>
      <c r="F1341" s="108" t="s">
        <v>108</v>
      </c>
    </row>
    <row r="1342" spans="1:6" x14ac:dyDescent="0.3">
      <c r="A1342" s="38"/>
      <c r="C1342" s="95"/>
      <c r="D1342" s="95"/>
      <c r="F1342" s="108"/>
    </row>
    <row r="1343" spans="1:6" x14ac:dyDescent="0.3">
      <c r="A1343" s="38"/>
      <c r="C1343" s="14">
        <f>SUBTOTAL(109,Table14[Debit])</f>
        <v>47154258.68</v>
      </c>
      <c r="D1343" s="14">
        <f>SUBTOTAL(109,Table14[Credit])</f>
        <v>47415762.229517192</v>
      </c>
      <c r="F1343" s="54">
        <f>(Table14[[#Totals],[Credit]]-Table14[[#Totals],[Debit]])</f>
        <v>261503.54951719195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1" zoomScale="107" zoomScaleNormal="210" workbookViewId="0">
      <selection activeCell="E51" sqref="E5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G46">
        <f>SUMIFS(Table14[Debit], Table14[Date], Table8[[#This Row],[Date]], Table14[Party], Table8[[#This Row],[Party]])</f>
        <v>0</v>
      </c>
      <c r="H46">
        <f>Table8[[#This Row],[Price]]-Table8[[#This Row],[Paid]]</f>
        <v>0</v>
      </c>
      <c r="L46" t="s">
        <v>131</v>
      </c>
      <c r="M46">
        <v>1</v>
      </c>
      <c r="O46">
        <v>1450</v>
      </c>
      <c r="P46">
        <f>Table23[[#This Row],[boxes]]*Table23[[#This Row],[kgs]]*Table23[[#This Row],[Rate]]</f>
        <v>0</v>
      </c>
    </row>
    <row r="47" spans="1:16" x14ac:dyDescent="0.3">
      <c r="E47">
        <f>SUBTOTAL(109,Table8[Price])</f>
        <v>3265205</v>
      </c>
      <c r="G47">
        <f>SUBTOTAL(109,Table8[Paid])</f>
        <v>3234880</v>
      </c>
      <c r="H47">
        <f>SUBTOTAL(109,Table8[Balance])</f>
        <v>1096450</v>
      </c>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A49" sqref="A4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716100</v>
      </c>
      <c r="L6">
        <v>716100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1152300</v>
      </c>
      <c r="L13">
        <v>1405800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1152300</v>
      </c>
      <c r="G50">
        <f>SUBTOTAL(109,Table2[Paid])</f>
        <v>1405800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3744309</v>
      </c>
      <c r="C2" s="32">
        <f>GETPIVOTDATA("Sum of Tiyaar/gaz",$A$3)</f>
        <v>3635730</v>
      </c>
      <c r="D2" s="31">
        <f>((B2*48)+((C2/1.0936)*10))/C2</f>
        <v>58.577603778475222</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3752</v>
      </c>
      <c r="D157" s="28">
        <f t="shared" si="61"/>
        <v>201.88611545678441</v>
      </c>
      <c r="E157" s="11">
        <f t="shared" si="62"/>
        <v>16476.177599999999</v>
      </c>
      <c r="F157" s="11">
        <f t="shared" si="63"/>
        <v>3752</v>
      </c>
      <c r="G157" s="78">
        <f t="shared" si="64"/>
        <v>77.227727868143404</v>
      </c>
      <c r="H157" s="28">
        <f t="shared" si="65"/>
        <v>3430.8705193855162</v>
      </c>
      <c r="I157" s="28">
        <f t="shared" si="66"/>
        <v>201.88611545678441</v>
      </c>
    </row>
    <row r="158" spans="1:9" x14ac:dyDescent="0.3">
      <c r="A158" s="16" t="s">
        <v>28</v>
      </c>
      <c r="B158" s="30">
        <v>107006</v>
      </c>
      <c r="C158" s="30">
        <v>3635730</v>
      </c>
      <c r="D158" s="28">
        <f t="shared" si="61"/>
        <v>10.556836559787371</v>
      </c>
      <c r="E158" s="11">
        <f t="shared" si="62"/>
        <v>117021.76159999998</v>
      </c>
      <c r="F158" s="11">
        <f t="shared" si="63"/>
        <v>3635730</v>
      </c>
      <c r="G158" s="78">
        <f t="shared" si="64"/>
        <v>-3006.8836687209814</v>
      </c>
      <c r="H158" s="28">
        <f t="shared" si="65"/>
        <v>3324551.9385515731</v>
      </c>
      <c r="I158" s="28">
        <f t="shared" si="66"/>
        <v>10.556836559787371</v>
      </c>
    </row>
    <row r="159" spans="1:9" x14ac:dyDescent="0.3">
      <c r="D159" s="28" t="e">
        <f t="shared" si="61"/>
        <v>#DIV/0!</v>
      </c>
      <c r="E159" s="11">
        <f t="shared" si="62"/>
        <v>0</v>
      </c>
      <c r="F159" s="11">
        <f t="shared" si="63"/>
        <v>0</v>
      </c>
      <c r="G159" s="78" t="e">
        <f t="shared" si="64"/>
        <v>#DIV/0!</v>
      </c>
      <c r="H159" s="28">
        <f t="shared" si="65"/>
        <v>0</v>
      </c>
      <c r="I159" s="28" t="e">
        <f t="shared" si="66"/>
        <v>#DIV/0!</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351325</v>
      </c>
      <c r="H148" s="1"/>
      <c r="J148">
        <f>SUM(Table15[Amount])</f>
        <v>978493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1918328</v>
      </c>
      <c r="C3" s="102">
        <f>Billing!AG38</f>
        <v>3166182.058522312</v>
      </c>
    </row>
    <row r="4" spans="1:3" ht="21" x14ac:dyDescent="0.4">
      <c r="A4" s="101" t="str">
        <f>Billing!R15</f>
        <v>Hafiz Qureshi</v>
      </c>
      <c r="B4" s="104">
        <f>Billing!AF15</f>
        <v>6225853</v>
      </c>
      <c r="C4" s="102">
        <f>Billing!AG15</f>
        <v>1397918.0314557431</v>
      </c>
    </row>
    <row r="5" spans="1:3" ht="21" x14ac:dyDescent="0.4">
      <c r="A5" s="101" t="str">
        <f>Billing!R11</f>
        <v>Raaz Fabrics</v>
      </c>
      <c r="B5" s="104">
        <f>Billing!AF11</f>
        <v>2076321</v>
      </c>
      <c r="C5" s="103">
        <f>Billing!AG11</f>
        <v>517808.48061448475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700321.16313094459</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8471345.4930504747</v>
      </c>
      <c r="C17" s="102">
        <f>Billing!AG36</f>
        <v>230319.64959765971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8" priority="1" operator="lessThan">
      <formula>10</formula>
    </cfRule>
  </conditionalFormatting>
  <conditionalFormatting sqref="C2:C41">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2026-08-06T00:01:54Z</dcterms:modified>
  <cp:category/>
  <cp:contentStatus/>
</cp:coreProperties>
</file>