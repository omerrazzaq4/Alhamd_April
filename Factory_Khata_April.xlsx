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tables/table10.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1.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9.xml" ContentType="application/vnd.openxmlformats-officedocument.spreadsheetml.table+xml"/>
  <Override PartName="/xl/slicers/slicer4.xml" ContentType="application/vnd.ms-excel.slicer+xml"/>
  <Override PartName="/xl/tables/table20.xml" ContentType="application/vnd.openxmlformats-officedocument.spreadsheetml.table+xml"/>
  <Override PartName="/xl/tables/table21.xml" ContentType="application/vnd.openxmlformats-officedocument.spreadsheetml.table+xml"/>
  <Override PartName="/xl/drawings/drawing5.xml" ContentType="application/vnd.openxmlformats-officedocument.drawing+xml"/>
  <Override PartName="/xl/tables/table22.xml" ContentType="application/vnd.openxmlformats-officedocument.spreadsheetml.table+xml"/>
  <Override PartName="/xl/tables/table23.xml" ContentType="application/vnd.openxmlformats-officedocument.spreadsheetml.table+xml"/>
  <Override PartName="/xl/slicers/slicer5.xml" ContentType="application/vnd.ms-excel.slicer+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updateLinks="never" defaultThemeVersion="202300"/>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7018" documentId="8_{7831D67F-D179-4A48-BF3D-D20C81F1E395}" xr6:coauthVersionLast="47" xr6:coauthVersionMax="47" xr10:uidLastSave="{9A65A979-AA41-4102-97A3-E6CB5A8D308D}"/>
  <bookViews>
    <workbookView xWindow="-108" yWindow="-108" windowWidth="23256" windowHeight="12456" tabRatio="597" firstSheet="2" activeTab="8"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Dc-m" sheetId="23" r:id="rId15"/>
    <sheet name="pivot " sheetId="2" r:id="rId16"/>
    <sheet name="Running Acc" sheetId="14" r:id="rId17"/>
    <sheet name="Balance" sheetId="20" r:id="rId18"/>
    <sheet name="Cashflow" sheetId="21" r:id="rId19"/>
  </sheets>
  <externalReferences>
    <externalReference r:id="rId20"/>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9"/>
  <pivotCaches>
    <pivotCache cacheId="0" r:id="rId21"/>
    <pivotCache cacheId="1" r:id="rId22"/>
    <pivotCache cacheId="2" r:id="rId23"/>
    <pivotCache cacheId="3" r:id="rId24"/>
    <pivotCache cacheId="4" r:id="rId25"/>
    <pivotCache cacheId="5" r:id="rId26"/>
  </pivotCaches>
  <extLst>
    <ext xmlns:x14="http://schemas.microsoft.com/office/spreadsheetml/2009/9/main" uri="{BBE1A952-AA13-448e-AADC-164F8A28A991}">
      <x14:slicerCaches>
        <x14:slicerCache r:id="rId27"/>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8"/>
        <x14:slicerCache r:id="rId29"/>
        <x14:slicerCache r:id="rId30"/>
        <x14:slicerCache r:id="rId31"/>
        <x14:slicerCache r:id="rId32"/>
        <x14:slicerCache r:id="rId33"/>
        <x14:slicerCache r:id="rId34"/>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48" i="14" l="1"/>
  <c r="J149" i="14"/>
  <c r="J150" i="14"/>
  <c r="J151" i="14"/>
  <c r="J152" i="14"/>
  <c r="J153" i="14"/>
  <c r="J154" i="14"/>
  <c r="J155" i="14"/>
  <c r="J156" i="14"/>
  <c r="J157" i="14"/>
  <c r="J158" i="14"/>
  <c r="J159" i="14"/>
  <c r="J160" i="14"/>
  <c r="J161" i="14"/>
  <c r="J162" i="14"/>
  <c r="J163" i="14"/>
  <c r="J164" i="14"/>
  <c r="J165" i="14"/>
  <c r="J166" i="14"/>
  <c r="J167" i="14"/>
  <c r="J168" i="14"/>
  <c r="J169" i="14"/>
  <c r="J170" i="14"/>
  <c r="J171" i="14"/>
  <c r="J172" i="14"/>
  <c r="J173" i="14"/>
  <c r="J174" i="14"/>
  <c r="J175" i="14"/>
  <c r="J176" i="14"/>
  <c r="J177" i="14"/>
  <c r="J178" i="14"/>
  <c r="J179" i="14"/>
  <c r="J180" i="14"/>
  <c r="J181" i="14"/>
  <c r="J182" i="14"/>
  <c r="J184" i="14"/>
  <c r="J185" i="14"/>
  <c r="J186" i="14"/>
  <c r="J187" i="14"/>
  <c r="J188" i="14"/>
  <c r="J189" i="14"/>
  <c r="J190" i="14"/>
  <c r="J191" i="14"/>
  <c r="J192" i="14"/>
  <c r="J193" i="14"/>
  <c r="J194" i="14"/>
  <c r="J195" i="14"/>
  <c r="J196" i="14"/>
  <c r="J197" i="14"/>
  <c r="J198" i="14"/>
  <c r="J199" i="14"/>
  <c r="J200" i="14"/>
  <c r="J201" i="14"/>
  <c r="J202" i="14"/>
  <c r="J203" i="14"/>
  <c r="J204" i="14"/>
  <c r="J205" i="14"/>
  <c r="J206" i="14"/>
  <c r="D185" i="14"/>
  <c r="D186" i="14"/>
  <c r="D187" i="14"/>
  <c r="D188" i="14"/>
  <c r="D189" i="14"/>
  <c r="D190" i="14"/>
  <c r="D191" i="14"/>
  <c r="D192" i="14"/>
  <c r="D193" i="14"/>
  <c r="D194" i="14"/>
  <c r="D195" i="14"/>
  <c r="D196" i="14"/>
  <c r="D197" i="14"/>
  <c r="D198" i="14"/>
  <c r="D199" i="14"/>
  <c r="D200" i="14"/>
  <c r="D201" i="14"/>
  <c r="D202" i="14"/>
  <c r="D203" i="14"/>
  <c r="D204" i="14"/>
  <c r="D205" i="14"/>
  <c r="D148" i="14"/>
  <c r="D149" i="14"/>
  <c r="D150" i="14"/>
  <c r="D151" i="14"/>
  <c r="D152" i="14"/>
  <c r="D153" i="14"/>
  <c r="D154" i="14"/>
  <c r="D155" i="14"/>
  <c r="D156" i="14"/>
  <c r="D157" i="14"/>
  <c r="D158" i="14"/>
  <c r="D159" i="14"/>
  <c r="D160" i="14"/>
  <c r="D161" i="14"/>
  <c r="D162" i="14"/>
  <c r="D163" i="14"/>
  <c r="D164" i="14"/>
  <c r="D165" i="14"/>
  <c r="D166" i="14"/>
  <c r="D167" i="14"/>
  <c r="D168" i="14"/>
  <c r="D169" i="14"/>
  <c r="D170" i="14"/>
  <c r="D171" i="14"/>
  <c r="D172" i="14"/>
  <c r="D173" i="14"/>
  <c r="D174" i="14"/>
  <c r="D175" i="14"/>
  <c r="D176" i="14"/>
  <c r="D177" i="14"/>
  <c r="D178" i="14"/>
  <c r="D179" i="14"/>
  <c r="D180" i="14"/>
  <c r="D181" i="14"/>
  <c r="D182" i="14"/>
  <c r="D183" i="14"/>
  <c r="D184" i="14"/>
  <c r="D148" i="18"/>
  <c r="D149" i="18"/>
  <c r="D150" i="18"/>
  <c r="D151" i="18"/>
  <c r="D152" i="18"/>
  <c r="D153" i="18"/>
  <c r="D154" i="18"/>
  <c r="D155" i="18"/>
  <c r="D156" i="18"/>
  <c r="D157" i="18"/>
  <c r="D158" i="18"/>
  <c r="D159" i="18"/>
  <c r="D160" i="18"/>
  <c r="D161" i="18"/>
  <c r="D162" i="18"/>
  <c r="D163" i="18"/>
  <c r="D164" i="18"/>
  <c r="D165" i="18"/>
  <c r="D166" i="18"/>
  <c r="D167" i="18"/>
  <c r="D168" i="18"/>
  <c r="D169" i="18"/>
  <c r="D170" i="18"/>
  <c r="D171" i="18"/>
  <c r="D172" i="18"/>
  <c r="D173" i="18"/>
  <c r="D174" i="18"/>
  <c r="D175" i="18"/>
  <c r="D176" i="18"/>
  <c r="D177" i="18"/>
  <c r="D178" i="18"/>
  <c r="D179" i="18"/>
  <c r="D180" i="18"/>
  <c r="D181" i="18"/>
  <c r="D182" i="18"/>
  <c r="D183" i="18"/>
  <c r="D184" i="18"/>
  <c r="D185" i="18"/>
  <c r="D186" i="18"/>
  <c r="D187" i="18"/>
  <c r="D188" i="18"/>
  <c r="D189" i="18"/>
  <c r="E148" i="18"/>
  <c r="E149" i="18"/>
  <c r="E150" i="18"/>
  <c r="E151" i="18"/>
  <c r="E152" i="18"/>
  <c r="E153" i="18"/>
  <c r="E154" i="18"/>
  <c r="E155" i="18"/>
  <c r="E156" i="18"/>
  <c r="E157" i="18"/>
  <c r="E158" i="18"/>
  <c r="E159" i="18"/>
  <c r="E160" i="18"/>
  <c r="E161" i="18"/>
  <c r="E162" i="18"/>
  <c r="E163" i="18"/>
  <c r="E164" i="18"/>
  <c r="E165" i="18"/>
  <c r="E166" i="18"/>
  <c r="E167" i="18"/>
  <c r="E168" i="18"/>
  <c r="E169" i="18"/>
  <c r="E170" i="18"/>
  <c r="E171" i="18"/>
  <c r="E172" i="18"/>
  <c r="E173" i="18"/>
  <c r="E174" i="18"/>
  <c r="E175" i="18"/>
  <c r="E176" i="18"/>
  <c r="E177" i="18"/>
  <c r="E178" i="18"/>
  <c r="E179" i="18"/>
  <c r="E180" i="18"/>
  <c r="E181" i="18"/>
  <c r="E182" i="18"/>
  <c r="E183" i="18"/>
  <c r="E184" i="18"/>
  <c r="E185" i="18"/>
  <c r="E186" i="18"/>
  <c r="E187" i="18"/>
  <c r="E188" i="18"/>
  <c r="E189" i="18"/>
  <c r="C1517" i="17"/>
  <c r="J183" i="14" s="1"/>
  <c r="C1496" i="17"/>
  <c r="D1495" i="17"/>
  <c r="G47" i="7"/>
  <c r="H47" i="7" s="1"/>
  <c r="G48" i="7"/>
  <c r="H48" i="7" s="1"/>
  <c r="I317" i="1"/>
  <c r="J317" i="1" a="1"/>
  <c r="J317" i="1" s="1"/>
  <c r="I318" i="1"/>
  <c r="J318" i="1" s="1" a="1"/>
  <c r="J318" i="1" s="1"/>
  <c r="I305" i="1"/>
  <c r="J305" i="1" s="1" a="1"/>
  <c r="J305" i="1" s="1"/>
  <c r="I306" i="1"/>
  <c r="J306" i="1" s="1" a="1"/>
  <c r="J306" i="1" s="1"/>
  <c r="I307" i="1"/>
  <c r="J307" i="1" s="1" a="1"/>
  <c r="J307" i="1" s="1"/>
  <c r="I308" i="1"/>
  <c r="J308" i="1" s="1" a="1"/>
  <c r="J308" i="1" s="1"/>
  <c r="I309" i="1"/>
  <c r="J309" i="1" s="1" a="1"/>
  <c r="J309" i="1" s="1"/>
  <c r="I310" i="1"/>
  <c r="J310" i="1" s="1" a="1"/>
  <c r="J310" i="1" s="1"/>
  <c r="I311" i="1"/>
  <c r="J311" i="1" s="1" a="1"/>
  <c r="J311" i="1" s="1"/>
  <c r="I312" i="1"/>
  <c r="J312" i="1" s="1" a="1"/>
  <c r="J312" i="1" s="1"/>
  <c r="I313" i="1"/>
  <c r="J313" i="1" s="1" a="1"/>
  <c r="J313" i="1" s="1"/>
  <c r="I314" i="1"/>
  <c r="J314" i="1" s="1" a="1"/>
  <c r="J314" i="1" s="1"/>
  <c r="I315" i="1"/>
  <c r="J315" i="1" s="1" a="1"/>
  <c r="J315" i="1" s="1"/>
  <c r="I316" i="1"/>
  <c r="J316" i="1" s="1" a="1"/>
  <c r="J316" i="1" s="1"/>
  <c r="I304" i="1"/>
  <c r="J304" i="1" s="1" a="1"/>
  <c r="J304" i="1" s="1"/>
  <c r="G44" i="7"/>
  <c r="H44" i="7" s="1"/>
  <c r="G45" i="7"/>
  <c r="H45" i="7" s="1"/>
  <c r="G46" i="7"/>
  <c r="H46" i="7" s="1"/>
  <c r="I295" i="1"/>
  <c r="J295" i="1" s="1" a="1"/>
  <c r="J295" i="1" s="1"/>
  <c r="I296" i="1"/>
  <c r="J296" i="1" s="1" a="1"/>
  <c r="J296" i="1" s="1"/>
  <c r="I297" i="1"/>
  <c r="J297" i="1" s="1" a="1"/>
  <c r="J297" i="1" s="1"/>
  <c r="I298" i="1"/>
  <c r="J298" i="1" s="1" a="1"/>
  <c r="J298" i="1" s="1"/>
  <c r="I299" i="1"/>
  <c r="J299" i="1" s="1" a="1"/>
  <c r="J299" i="1" s="1"/>
  <c r="I300" i="1"/>
  <c r="J300" i="1" s="1" a="1"/>
  <c r="J300" i="1" s="1"/>
  <c r="I301" i="1"/>
  <c r="J301" i="1" s="1" a="1"/>
  <c r="J301" i="1" s="1"/>
  <c r="I302" i="1"/>
  <c r="J302" i="1" s="1" a="1"/>
  <c r="J302" i="1" s="1"/>
  <c r="I303" i="1"/>
  <c r="J303" i="1" s="1" a="1"/>
  <c r="J303" i="1" s="1"/>
  <c r="E150" i="2"/>
  <c r="F150" i="2"/>
  <c r="E151" i="2"/>
  <c r="F151" i="2"/>
  <c r="H151" i="2" s="1"/>
  <c r="I151" i="2" s="1"/>
  <c r="D151" i="2" s="1"/>
  <c r="E152" i="2"/>
  <c r="F152" i="2"/>
  <c r="H152" i="2" s="1"/>
  <c r="I152" i="2" s="1"/>
  <c r="D152" i="2" s="1"/>
  <c r="E153" i="2"/>
  <c r="F153" i="2"/>
  <c r="H153" i="2" s="1"/>
  <c r="I153" i="2" s="1"/>
  <c r="D153" i="2" s="1"/>
  <c r="E154" i="2"/>
  <c r="F154" i="2"/>
  <c r="E155" i="2"/>
  <c r="F155" i="2"/>
  <c r="H155" i="2" s="1"/>
  <c r="I155" i="2" s="1"/>
  <c r="D155" i="2" s="1"/>
  <c r="E156" i="2"/>
  <c r="F156" i="2"/>
  <c r="G156" i="2" s="1"/>
  <c r="E157" i="2"/>
  <c r="F157" i="2"/>
  <c r="H157" i="2" s="1"/>
  <c r="I157" i="2" s="1"/>
  <c r="D157" i="2" s="1"/>
  <c r="E158" i="2"/>
  <c r="F158" i="2"/>
  <c r="E159" i="2"/>
  <c r="F159" i="2"/>
  <c r="H159" i="2" s="1"/>
  <c r="I159" i="2" s="1"/>
  <c r="D159" i="2" s="1"/>
  <c r="E160" i="2"/>
  <c r="G160" i="2" s="1"/>
  <c r="F160" i="2"/>
  <c r="H160" i="2" s="1"/>
  <c r="I160" i="2" s="1"/>
  <c r="D160" i="2" s="1"/>
  <c r="E161" i="2"/>
  <c r="F161" i="2"/>
  <c r="G161" i="2" s="1"/>
  <c r="E162" i="2"/>
  <c r="F162" i="2"/>
  <c r="H162" i="2" s="1"/>
  <c r="I162" i="2" s="1"/>
  <c r="D162" i="2" s="1"/>
  <c r="G162" i="2"/>
  <c r="E163" i="2"/>
  <c r="F163" i="2"/>
  <c r="H163" i="2" s="1"/>
  <c r="I163" i="2" s="1"/>
  <c r="D163" i="2" s="1"/>
  <c r="E164" i="2"/>
  <c r="F164" i="2"/>
  <c r="H164" i="2" s="1"/>
  <c r="I164" i="2" s="1"/>
  <c r="D164" i="2" s="1"/>
  <c r="E165" i="2"/>
  <c r="F165" i="2"/>
  <c r="G165" i="2" s="1"/>
  <c r="E166" i="2"/>
  <c r="F166" i="2"/>
  <c r="H166" i="2" s="1"/>
  <c r="I166" i="2" s="1"/>
  <c r="D166" i="2" s="1"/>
  <c r="G166" i="2"/>
  <c r="E167" i="2"/>
  <c r="F167" i="2"/>
  <c r="H167" i="2" s="1"/>
  <c r="I167" i="2" s="1"/>
  <c r="D167" i="2" s="1"/>
  <c r="E168" i="2"/>
  <c r="F168" i="2"/>
  <c r="H168" i="2" s="1"/>
  <c r="I168" i="2" s="1"/>
  <c r="D168" i="2" s="1"/>
  <c r="E169" i="2"/>
  <c r="F169" i="2"/>
  <c r="E170" i="2"/>
  <c r="F170" i="2"/>
  <c r="H170" i="2" s="1"/>
  <c r="I170" i="2" s="1"/>
  <c r="D170" i="2" s="1"/>
  <c r="G170" i="2"/>
  <c r="E171" i="2"/>
  <c r="F171" i="2"/>
  <c r="H171" i="2" s="1"/>
  <c r="I171" i="2" s="1"/>
  <c r="D171" i="2" s="1"/>
  <c r="E172" i="2"/>
  <c r="G172" i="2" s="1"/>
  <c r="F172" i="2"/>
  <c r="H172" i="2" s="1"/>
  <c r="I172" i="2" s="1"/>
  <c r="D172" i="2" s="1"/>
  <c r="E173" i="2"/>
  <c r="F173" i="2"/>
  <c r="G173" i="2" s="1"/>
  <c r="E174" i="2"/>
  <c r="F174" i="2"/>
  <c r="H174" i="2" s="1"/>
  <c r="I174" i="2" s="1"/>
  <c r="D174" i="2" s="1"/>
  <c r="E175" i="2"/>
  <c r="F175" i="2"/>
  <c r="H175" i="2" s="1"/>
  <c r="I175" i="2" s="1"/>
  <c r="D175" i="2" s="1"/>
  <c r="E176" i="2"/>
  <c r="G176" i="2" s="1"/>
  <c r="F176" i="2"/>
  <c r="H176" i="2" s="1"/>
  <c r="I176" i="2" s="1"/>
  <c r="D176" i="2" s="1"/>
  <c r="E177" i="2"/>
  <c r="F177" i="2"/>
  <c r="G177" i="2" s="1"/>
  <c r="E178" i="2"/>
  <c r="F178" i="2"/>
  <c r="H178" i="2" s="1"/>
  <c r="I178" i="2" s="1"/>
  <c r="D178" i="2" s="1"/>
  <c r="G178" i="2"/>
  <c r="E179" i="2"/>
  <c r="F179" i="2"/>
  <c r="H179" i="2" s="1"/>
  <c r="I179" i="2" s="1"/>
  <c r="D179" i="2" s="1"/>
  <c r="E180" i="2"/>
  <c r="F180" i="2"/>
  <c r="H180" i="2" s="1"/>
  <c r="I180" i="2" s="1"/>
  <c r="D180" i="2" s="1"/>
  <c r="E181" i="2"/>
  <c r="F181" i="2"/>
  <c r="G181" i="2" s="1"/>
  <c r="E182" i="2"/>
  <c r="F182" i="2"/>
  <c r="H182" i="2" s="1"/>
  <c r="I182" i="2" s="1"/>
  <c r="D182" i="2" s="1"/>
  <c r="G182" i="2"/>
  <c r="E183" i="2"/>
  <c r="F183" i="2"/>
  <c r="H183" i="2" s="1"/>
  <c r="I183" i="2" s="1"/>
  <c r="D183" i="2" s="1"/>
  <c r="E184" i="2"/>
  <c r="F184" i="2"/>
  <c r="H184" i="2" s="1"/>
  <c r="I184" i="2" s="1"/>
  <c r="D184" i="2" s="1"/>
  <c r="E185" i="2"/>
  <c r="F185" i="2"/>
  <c r="E186" i="2"/>
  <c r="F186" i="2"/>
  <c r="H186" i="2" s="1"/>
  <c r="I186" i="2" s="1"/>
  <c r="D186" i="2" s="1"/>
  <c r="G186" i="2"/>
  <c r="E187" i="2"/>
  <c r="F187" i="2"/>
  <c r="H187" i="2" s="1"/>
  <c r="I187" i="2" s="1"/>
  <c r="D187" i="2" s="1"/>
  <c r="E188" i="2"/>
  <c r="G188" i="2" s="1"/>
  <c r="F188" i="2"/>
  <c r="H188" i="2" s="1"/>
  <c r="I188" i="2" s="1"/>
  <c r="D188" i="2" s="1"/>
  <c r="E189" i="2"/>
  <c r="F189" i="2"/>
  <c r="G189" i="2" s="1"/>
  <c r="E190" i="2"/>
  <c r="F190" i="2"/>
  <c r="H190" i="2" s="1"/>
  <c r="I190" i="2" s="1"/>
  <c r="D190" i="2" s="1"/>
  <c r="E191" i="2"/>
  <c r="F191" i="2"/>
  <c r="H191" i="2" s="1"/>
  <c r="I191" i="2" s="1"/>
  <c r="D191" i="2" s="1"/>
  <c r="G42" i="7"/>
  <c r="H42" i="7" s="1"/>
  <c r="G43" i="7"/>
  <c r="H43" i="7" s="1"/>
  <c r="H22" i="22"/>
  <c r="K4" i="22"/>
  <c r="K5" i="22"/>
  <c r="K6" i="22"/>
  <c r="K7" i="22"/>
  <c r="K8" i="22"/>
  <c r="K9" i="22"/>
  <c r="L9" i="22" s="1"/>
  <c r="K10" i="22"/>
  <c r="K11" i="22"/>
  <c r="K12" i="22"/>
  <c r="K13" i="22"/>
  <c r="L13" i="22" s="1"/>
  <c r="K14" i="22"/>
  <c r="L14" i="22" s="1"/>
  <c r="K15" i="22"/>
  <c r="K16" i="22"/>
  <c r="K17" i="22"/>
  <c r="K18" i="22"/>
  <c r="K19" i="22"/>
  <c r="K20" i="22"/>
  <c r="L20" i="22" s="1"/>
  <c r="K21" i="22"/>
  <c r="L21" i="22" s="1"/>
  <c r="K3" i="22"/>
  <c r="G36" i="7"/>
  <c r="H36" i="7" s="1"/>
  <c r="J2" i="22"/>
  <c r="L2" i="22" s="1"/>
  <c r="J3" i="22"/>
  <c r="J4" i="22"/>
  <c r="J5" i="22"/>
  <c r="J6" i="22"/>
  <c r="J7" i="22"/>
  <c r="J8" i="22"/>
  <c r="J9" i="22"/>
  <c r="J10" i="22"/>
  <c r="J11" i="22"/>
  <c r="J12" i="22"/>
  <c r="J13" i="22"/>
  <c r="J14" i="22"/>
  <c r="J15" i="22"/>
  <c r="J16" i="22"/>
  <c r="J17" i="22"/>
  <c r="J18" i="22"/>
  <c r="J19" i="22"/>
  <c r="J20" i="22"/>
  <c r="J21" i="22"/>
  <c r="I292" i="1"/>
  <c r="J292" i="1" s="1" a="1"/>
  <c r="J292" i="1" s="1"/>
  <c r="I293" i="1"/>
  <c r="J293" i="1" s="1" a="1"/>
  <c r="J293" i="1" s="1"/>
  <c r="I291" i="1"/>
  <c r="J291" i="1" s="1"/>
  <c r="I290" i="1"/>
  <c r="J290" i="1" s="1"/>
  <c r="I283" i="1"/>
  <c r="J283" i="1" s="1" a="1"/>
  <c r="J283" i="1" s="1"/>
  <c r="I281" i="1"/>
  <c r="J281" i="1" s="1" a="1"/>
  <c r="J281" i="1" s="1"/>
  <c r="I282" i="1"/>
  <c r="J282" i="1" s="1" a="1"/>
  <c r="J282" i="1" s="1"/>
  <c r="I284" i="1"/>
  <c r="J284" i="1" s="1" a="1"/>
  <c r="J284" i="1" s="1"/>
  <c r="I285" i="1"/>
  <c r="J285" i="1" s="1" a="1"/>
  <c r="J285" i="1" s="1"/>
  <c r="I286" i="1"/>
  <c r="J286" i="1" s="1" a="1"/>
  <c r="J286" i="1" s="1"/>
  <c r="I287" i="1"/>
  <c r="J287" i="1" s="1" a="1"/>
  <c r="J287" i="1" s="1"/>
  <c r="I288" i="1"/>
  <c r="J288" i="1" s="1" a="1"/>
  <c r="J288" i="1" s="1"/>
  <c r="I289" i="1"/>
  <c r="J289" i="1" s="1" a="1"/>
  <c r="J289" i="1" s="1"/>
  <c r="I294" i="1"/>
  <c r="J294" i="1" s="1" a="1"/>
  <c r="J294" i="1" s="1"/>
  <c r="D135" i="18"/>
  <c r="D136" i="18"/>
  <c r="D137" i="18"/>
  <c r="D138" i="18"/>
  <c r="D139" i="18"/>
  <c r="D140" i="18"/>
  <c r="D141" i="18"/>
  <c r="D142" i="18"/>
  <c r="D143" i="18"/>
  <c r="D144" i="18"/>
  <c r="D145" i="18"/>
  <c r="D146" i="18"/>
  <c r="D147" i="18"/>
  <c r="E135" i="18"/>
  <c r="E136" i="18"/>
  <c r="E137" i="18"/>
  <c r="E138" i="18"/>
  <c r="E139" i="18"/>
  <c r="E140" i="18"/>
  <c r="E141" i="18"/>
  <c r="E142" i="18"/>
  <c r="E143" i="18"/>
  <c r="E144" i="18"/>
  <c r="E145" i="18"/>
  <c r="E146" i="18"/>
  <c r="E147" i="18"/>
  <c r="D129" i="14"/>
  <c r="D130" i="14"/>
  <c r="D131" i="14"/>
  <c r="D132" i="14"/>
  <c r="D133" i="14"/>
  <c r="D134" i="14"/>
  <c r="D135" i="14"/>
  <c r="D136" i="14"/>
  <c r="D137" i="14"/>
  <c r="D138" i="14"/>
  <c r="D139" i="14"/>
  <c r="D140" i="14"/>
  <c r="D141" i="14"/>
  <c r="D142" i="14"/>
  <c r="D143" i="14"/>
  <c r="D144" i="14"/>
  <c r="D145" i="14"/>
  <c r="D146" i="14"/>
  <c r="D147" i="14"/>
  <c r="J130" i="14"/>
  <c r="J131" i="14"/>
  <c r="J132" i="14"/>
  <c r="J133" i="14"/>
  <c r="J134" i="14"/>
  <c r="J135" i="14"/>
  <c r="J136" i="14"/>
  <c r="J137" i="14"/>
  <c r="J138" i="14"/>
  <c r="J139" i="14"/>
  <c r="J140" i="14"/>
  <c r="J141" i="14"/>
  <c r="J142" i="14"/>
  <c r="J143" i="14"/>
  <c r="J144" i="14"/>
  <c r="J145" i="14"/>
  <c r="J146" i="14"/>
  <c r="J147" i="14"/>
  <c r="I280" i="1"/>
  <c r="J280" i="1" s="1" a="1"/>
  <c r="J280" i="1" s="1"/>
  <c r="I279" i="1"/>
  <c r="J279" i="1" s="1" a="1"/>
  <c r="J279" i="1" s="1"/>
  <c r="I278" i="1"/>
  <c r="J278" i="1" s="1"/>
  <c r="I271" i="1"/>
  <c r="J271" i="1" s="1" a="1"/>
  <c r="J271" i="1" s="1"/>
  <c r="I272" i="1"/>
  <c r="J272" i="1" s="1" a="1"/>
  <c r="J272" i="1" s="1"/>
  <c r="I273" i="1"/>
  <c r="J273" i="1" s="1" a="1"/>
  <c r="J273" i="1" s="1"/>
  <c r="I274" i="1"/>
  <c r="J274" i="1" s="1" a="1"/>
  <c r="J274" i="1" s="1"/>
  <c r="I275" i="1"/>
  <c r="J275" i="1" s="1" a="1"/>
  <c r="J275" i="1" s="1"/>
  <c r="I276" i="1"/>
  <c r="J276" i="1" s="1" a="1"/>
  <c r="J276" i="1" s="1"/>
  <c r="I277" i="1"/>
  <c r="J277" i="1" s="1" a="1"/>
  <c r="J277" i="1" s="1"/>
  <c r="C1073" i="17"/>
  <c r="C1068" i="17"/>
  <c r="C1063" i="17"/>
  <c r="I263" i="1"/>
  <c r="J263" i="1" s="1" a="1"/>
  <c r="J263" i="1" s="1"/>
  <c r="I264" i="1"/>
  <c r="J264" i="1" s="1" a="1"/>
  <c r="J264" i="1" s="1"/>
  <c r="I265" i="1"/>
  <c r="J265" i="1" s="1" a="1"/>
  <c r="J265" i="1" s="1"/>
  <c r="I266" i="1"/>
  <c r="J266" i="1" s="1" a="1"/>
  <c r="J266" i="1" s="1"/>
  <c r="I267" i="1"/>
  <c r="J267" i="1" a="1"/>
  <c r="J267" i="1" s="1"/>
  <c r="I268" i="1"/>
  <c r="J268" i="1" s="1" a="1"/>
  <c r="J268" i="1" s="1"/>
  <c r="I269" i="1"/>
  <c r="J269" i="1" s="1" a="1"/>
  <c r="J269" i="1" s="1"/>
  <c r="I270" i="1"/>
  <c r="J270" i="1" s="1" a="1"/>
  <c r="J270" i="1" s="1"/>
  <c r="G215" i="1"/>
  <c r="I215" i="1" s="1"/>
  <c r="J215" i="1" s="1" a="1"/>
  <c r="J215" i="1" s="1"/>
  <c r="E119" i="2"/>
  <c r="F119" i="2"/>
  <c r="E120" i="2"/>
  <c r="F120" i="2"/>
  <c r="H120" i="2" s="1"/>
  <c r="I120" i="2" s="1"/>
  <c r="D120" i="2" s="1"/>
  <c r="E121" i="2"/>
  <c r="F121" i="2"/>
  <c r="E122" i="2"/>
  <c r="F122" i="2"/>
  <c r="H122" i="2" s="1"/>
  <c r="I122" i="2" s="1"/>
  <c r="D122" i="2" s="1"/>
  <c r="E123" i="2"/>
  <c r="F123" i="2"/>
  <c r="H123" i="2" s="1"/>
  <c r="I123" i="2" s="1"/>
  <c r="D123" i="2" s="1"/>
  <c r="E124" i="2"/>
  <c r="F124" i="2"/>
  <c r="H124" i="2" s="1"/>
  <c r="I124" i="2" s="1"/>
  <c r="D124" i="2" s="1"/>
  <c r="E125" i="2"/>
  <c r="F125" i="2"/>
  <c r="E126" i="2"/>
  <c r="F126" i="2"/>
  <c r="H126" i="2" s="1"/>
  <c r="I126" i="2" s="1"/>
  <c r="D126" i="2" s="1"/>
  <c r="E127" i="2"/>
  <c r="F127" i="2"/>
  <c r="I258" i="1"/>
  <c r="J258" i="1" s="1" a="1"/>
  <c r="J258" i="1" s="1"/>
  <c r="I259" i="1"/>
  <c r="J259" i="1" s="1" a="1"/>
  <c r="J259" i="1" s="1"/>
  <c r="I260" i="1"/>
  <c r="J260" i="1" s="1" a="1"/>
  <c r="J260" i="1" s="1"/>
  <c r="I261" i="1"/>
  <c r="J261" i="1" s="1" a="1"/>
  <c r="J261" i="1" s="1"/>
  <c r="I262" i="1"/>
  <c r="J262" i="1" s="1" a="1"/>
  <c r="J262" i="1" s="1"/>
  <c r="G38" i="7"/>
  <c r="H38" i="7" s="1"/>
  <c r="G39" i="7"/>
  <c r="H39" i="7" s="1"/>
  <c r="G40" i="7"/>
  <c r="H40" i="7" s="1"/>
  <c r="G41" i="7"/>
  <c r="H41" i="7" s="1"/>
  <c r="G46" i="15"/>
  <c r="H46" i="15" s="1"/>
  <c r="G47" i="15"/>
  <c r="H47" i="15" s="1"/>
  <c r="G48" i="15"/>
  <c r="H48" i="15" s="1"/>
  <c r="G49" i="15"/>
  <c r="H49" i="15" s="1"/>
  <c r="D130" i="18"/>
  <c r="D131" i="18"/>
  <c r="D132" i="18"/>
  <c r="D133" i="18"/>
  <c r="D134" i="18"/>
  <c r="E130" i="18"/>
  <c r="E131" i="18"/>
  <c r="E132" i="18"/>
  <c r="E133" i="18"/>
  <c r="E134" i="18"/>
  <c r="C832" i="17"/>
  <c r="D112" i="14"/>
  <c r="D113" i="14"/>
  <c r="D114" i="14"/>
  <c r="D115" i="14"/>
  <c r="D116" i="14"/>
  <c r="D117" i="14"/>
  <c r="D118" i="14"/>
  <c r="D119" i="14"/>
  <c r="D120" i="14"/>
  <c r="D121" i="14"/>
  <c r="D122" i="14"/>
  <c r="D123" i="14"/>
  <c r="D124" i="14"/>
  <c r="D125" i="14"/>
  <c r="D126" i="14"/>
  <c r="D127" i="14"/>
  <c r="D128" i="14"/>
  <c r="J127" i="14"/>
  <c r="J128" i="14"/>
  <c r="J129" i="14"/>
  <c r="J113" i="14"/>
  <c r="J114" i="14"/>
  <c r="J115" i="14"/>
  <c r="J116" i="14"/>
  <c r="J117" i="14"/>
  <c r="J118" i="14"/>
  <c r="J119" i="14"/>
  <c r="J120" i="14"/>
  <c r="J121" i="14"/>
  <c r="J122" i="14"/>
  <c r="J123" i="14"/>
  <c r="J124" i="14"/>
  <c r="J125" i="14"/>
  <c r="J126" i="14"/>
  <c r="D122" i="18"/>
  <c r="D123" i="18"/>
  <c r="D124" i="18"/>
  <c r="D125" i="18"/>
  <c r="D126" i="18"/>
  <c r="D127" i="18"/>
  <c r="D128" i="18"/>
  <c r="D129" i="18"/>
  <c r="E122" i="18"/>
  <c r="E123" i="18"/>
  <c r="E124" i="18"/>
  <c r="E125" i="18"/>
  <c r="E126" i="18"/>
  <c r="E127" i="18"/>
  <c r="E128" i="18"/>
  <c r="E129" i="18"/>
  <c r="E4" i="13"/>
  <c r="E6" i="13" s="1"/>
  <c r="C8" i="8" s="1"/>
  <c r="I257" i="1"/>
  <c r="J257" i="1" s="1" a="1"/>
  <c r="J257" i="1" s="1"/>
  <c r="I253" i="1"/>
  <c r="J253" i="1" s="1" a="1"/>
  <c r="J253" i="1" s="1"/>
  <c r="I254" i="1"/>
  <c r="J254" i="1" s="1" a="1"/>
  <c r="J254" i="1" s="1"/>
  <c r="I255" i="1"/>
  <c r="J255" i="1" s="1" a="1"/>
  <c r="J255" i="1" s="1"/>
  <c r="I256" i="1"/>
  <c r="J256" i="1" s="1" a="1"/>
  <c r="J256" i="1" s="1"/>
  <c r="I243" i="1"/>
  <c r="J243" i="1" s="1" a="1"/>
  <c r="J243" i="1" s="1"/>
  <c r="I244" i="1"/>
  <c r="J244" i="1" s="1" a="1"/>
  <c r="J244" i="1" s="1"/>
  <c r="I245" i="1"/>
  <c r="J245" i="1" s="1" a="1"/>
  <c r="J245" i="1" s="1"/>
  <c r="I246" i="1"/>
  <c r="J246" i="1" s="1"/>
  <c r="I247" i="1"/>
  <c r="J247" i="1" s="1" a="1"/>
  <c r="J247" i="1" s="1"/>
  <c r="I248" i="1"/>
  <c r="J248" i="1" s="1" a="1"/>
  <c r="J248" i="1" s="1"/>
  <c r="I249" i="1"/>
  <c r="J249" i="1" s="1" a="1"/>
  <c r="J249" i="1" s="1"/>
  <c r="I250" i="1"/>
  <c r="J250" i="1" s="1" a="1"/>
  <c r="J250" i="1" s="1"/>
  <c r="I251" i="1"/>
  <c r="J251" i="1" s="1" a="1"/>
  <c r="J251" i="1" s="1"/>
  <c r="I252" i="1"/>
  <c r="J252" i="1" s="1" a="1"/>
  <c r="J252" i="1" s="1"/>
  <c r="C883" i="17"/>
  <c r="C865" i="17"/>
  <c r="G35" i="7"/>
  <c r="H35" i="7" s="1"/>
  <c r="G37" i="7"/>
  <c r="H37" i="7" s="1"/>
  <c r="I239" i="1"/>
  <c r="J239" i="1" s="1" a="1"/>
  <c r="J239" i="1" s="1"/>
  <c r="I240" i="1"/>
  <c r="J240" i="1" s="1" a="1"/>
  <c r="J240" i="1" s="1"/>
  <c r="I241" i="1"/>
  <c r="J241" i="1" a="1"/>
  <c r="J241" i="1" s="1"/>
  <c r="I242" i="1"/>
  <c r="J242" i="1" s="1" a="1"/>
  <c r="J242" i="1" s="1"/>
  <c r="I232" i="1"/>
  <c r="J232" i="1" s="1" a="1"/>
  <c r="J232" i="1" s="1"/>
  <c r="I233" i="1"/>
  <c r="J233" i="1" s="1" a="1"/>
  <c r="J233" i="1" s="1"/>
  <c r="I234" i="1"/>
  <c r="J234" i="1" s="1"/>
  <c r="I235" i="1"/>
  <c r="J235" i="1" s="1"/>
  <c r="I236" i="1"/>
  <c r="J236" i="1" s="1" a="1"/>
  <c r="J236" i="1" s="1"/>
  <c r="I237" i="1"/>
  <c r="J237" i="1" s="1" a="1"/>
  <c r="J237" i="1" s="1"/>
  <c r="I238" i="1"/>
  <c r="J238" i="1" s="1" a="1"/>
  <c r="J238" i="1" s="1"/>
  <c r="I226" i="1"/>
  <c r="J226" i="1" s="1" a="1"/>
  <c r="J226" i="1" s="1"/>
  <c r="I227" i="1"/>
  <c r="J227" i="1" s="1" a="1"/>
  <c r="J227" i="1" s="1"/>
  <c r="I228" i="1"/>
  <c r="J228" i="1" s="1" a="1"/>
  <c r="J228" i="1" s="1"/>
  <c r="I229" i="1"/>
  <c r="J229" i="1" s="1" a="1"/>
  <c r="J229" i="1" s="1"/>
  <c r="I230" i="1"/>
  <c r="J230" i="1" s="1" a="1"/>
  <c r="J230" i="1" s="1"/>
  <c r="I231" i="1"/>
  <c r="J231" i="1" s="1" a="1"/>
  <c r="J231" i="1" s="1"/>
  <c r="D113" i="18"/>
  <c r="D114" i="18"/>
  <c r="D115" i="18"/>
  <c r="D116" i="18"/>
  <c r="D117" i="18"/>
  <c r="D118" i="18"/>
  <c r="D119" i="18"/>
  <c r="D120" i="18"/>
  <c r="D121" i="18"/>
  <c r="E113" i="18"/>
  <c r="E114" i="18"/>
  <c r="E115" i="18"/>
  <c r="E116" i="18"/>
  <c r="E117" i="18"/>
  <c r="E118" i="18"/>
  <c r="E119" i="18"/>
  <c r="E120" i="18"/>
  <c r="E121" i="18"/>
  <c r="D93" i="18"/>
  <c r="D94" i="18"/>
  <c r="D95" i="18"/>
  <c r="D96" i="18"/>
  <c r="D97" i="18"/>
  <c r="D98" i="18"/>
  <c r="D99" i="18"/>
  <c r="D100" i="18"/>
  <c r="D101" i="18"/>
  <c r="D102" i="18"/>
  <c r="D103" i="18"/>
  <c r="D104" i="18"/>
  <c r="D105" i="18"/>
  <c r="D106" i="18"/>
  <c r="D107" i="18"/>
  <c r="D108" i="18"/>
  <c r="D109" i="18"/>
  <c r="D110" i="18"/>
  <c r="D111" i="18"/>
  <c r="D112" i="18"/>
  <c r="E93" i="18"/>
  <c r="E94" i="18"/>
  <c r="E95" i="18"/>
  <c r="E96" i="18"/>
  <c r="E97" i="18"/>
  <c r="E98" i="18"/>
  <c r="E99" i="18"/>
  <c r="E100" i="18"/>
  <c r="E101" i="18"/>
  <c r="E102" i="18"/>
  <c r="E103" i="18"/>
  <c r="E104" i="18"/>
  <c r="E105" i="18"/>
  <c r="E106" i="18"/>
  <c r="E107" i="18"/>
  <c r="E108" i="18"/>
  <c r="E109" i="18"/>
  <c r="E110" i="18"/>
  <c r="E111" i="18"/>
  <c r="E112" i="18"/>
  <c r="I807" i="17"/>
  <c r="I840" i="17"/>
  <c r="G34" i="7"/>
  <c r="H34" i="7" s="1"/>
  <c r="F41" i="15"/>
  <c r="G45" i="15"/>
  <c r="H45" i="15" s="1"/>
  <c r="G44" i="15"/>
  <c r="H44" i="15" s="1"/>
  <c r="F43" i="15"/>
  <c r="G43" i="15"/>
  <c r="J93" i="14"/>
  <c r="J94" i="14"/>
  <c r="J95" i="14"/>
  <c r="J96" i="14"/>
  <c r="J97" i="14"/>
  <c r="J98" i="14"/>
  <c r="J99" i="14"/>
  <c r="J100" i="14"/>
  <c r="J101" i="14"/>
  <c r="J102" i="14"/>
  <c r="J103" i="14"/>
  <c r="J104" i="14"/>
  <c r="J105" i="14"/>
  <c r="J106" i="14"/>
  <c r="J107" i="14"/>
  <c r="J108" i="14"/>
  <c r="J109" i="14"/>
  <c r="J110" i="14"/>
  <c r="J111" i="14"/>
  <c r="J112" i="14"/>
  <c r="D93" i="14"/>
  <c r="D94" i="14"/>
  <c r="D95" i="14"/>
  <c r="D96" i="14"/>
  <c r="D97" i="14"/>
  <c r="D98" i="14"/>
  <c r="D99" i="14"/>
  <c r="D100" i="14"/>
  <c r="D101" i="14"/>
  <c r="D102" i="14"/>
  <c r="D103" i="14"/>
  <c r="D104" i="14"/>
  <c r="D105" i="14"/>
  <c r="D106" i="14"/>
  <c r="D107" i="14"/>
  <c r="D108" i="14"/>
  <c r="D109" i="14"/>
  <c r="D110" i="14"/>
  <c r="D111" i="14"/>
  <c r="G33" i="7"/>
  <c r="H33" i="7" s="1"/>
  <c r="I224" i="1"/>
  <c r="J224" i="1" s="1"/>
  <c r="I225" i="1"/>
  <c r="J225" i="1" s="1"/>
  <c r="I221" i="1"/>
  <c r="J221" i="1" s="1"/>
  <c r="I222" i="1"/>
  <c r="J222" i="1" s="1"/>
  <c r="I223" i="1"/>
  <c r="J223" i="1" s="1"/>
  <c r="I216" i="1"/>
  <c r="J216" i="1" a="1"/>
  <c r="J216" i="1" s="1"/>
  <c r="I219" i="1"/>
  <c r="J219" i="1" s="1" a="1"/>
  <c r="J219" i="1" s="1"/>
  <c r="I220" i="1"/>
  <c r="J220" i="1" s="1" a="1"/>
  <c r="J220" i="1" s="1"/>
  <c r="I211" i="1"/>
  <c r="J211" i="1"/>
  <c r="I212" i="1"/>
  <c r="J212" i="1" s="1"/>
  <c r="I208" i="1"/>
  <c r="J208" i="1" s="1" a="1"/>
  <c r="J208" i="1" s="1"/>
  <c r="I209" i="1"/>
  <c r="J209" i="1" s="1" a="1"/>
  <c r="J209" i="1" s="1"/>
  <c r="I210" i="1"/>
  <c r="J210" i="1" s="1" a="1"/>
  <c r="J210" i="1" s="1"/>
  <c r="I213" i="1"/>
  <c r="J213" i="1" s="1" a="1"/>
  <c r="J213" i="1" s="1"/>
  <c r="I214" i="1"/>
  <c r="J214" i="1" s="1" a="1"/>
  <c r="J214" i="1" s="1"/>
  <c r="C677" i="17"/>
  <c r="C657" i="17"/>
  <c r="G38" i="15"/>
  <c r="H38" i="15" s="1"/>
  <c r="G39" i="15"/>
  <c r="H39" i="15" s="1"/>
  <c r="G40" i="15"/>
  <c r="H40" i="15" s="1"/>
  <c r="G41" i="15"/>
  <c r="G42" i="15"/>
  <c r="H42" i="15" s="1"/>
  <c r="B49" i="9" a="1"/>
  <c r="M87" i="9" s="1" a="1"/>
  <c r="M87" i="9" s="1"/>
  <c r="I97" i="1"/>
  <c r="J97" i="1" s="1" a="1"/>
  <c r="J97" i="1" s="1"/>
  <c r="I105" i="1"/>
  <c r="J105" i="1" s="1" a="1"/>
  <c r="J105" i="1" s="1"/>
  <c r="I111" i="1"/>
  <c r="J111" i="1" s="1" a="1"/>
  <c r="J111" i="1" s="1"/>
  <c r="I112" i="1"/>
  <c r="J112" i="1" s="1" a="1"/>
  <c r="J112" i="1" s="1"/>
  <c r="I113" i="1"/>
  <c r="J113" i="1" s="1" a="1"/>
  <c r="J113" i="1" s="1"/>
  <c r="I120" i="1"/>
  <c r="J120" i="1" s="1" a="1"/>
  <c r="J120" i="1" s="1"/>
  <c r="I121" i="1"/>
  <c r="J121" i="1" s="1" a="1"/>
  <c r="J121" i="1" s="1"/>
  <c r="I132" i="1"/>
  <c r="J132" i="1" s="1" a="1"/>
  <c r="J132" i="1" s="1"/>
  <c r="I133" i="1"/>
  <c r="J133" i="1" s="1" a="1"/>
  <c r="J133" i="1" s="1"/>
  <c r="I143" i="1"/>
  <c r="J143" i="1" s="1" a="1"/>
  <c r="J143" i="1" s="1"/>
  <c r="I145" i="1"/>
  <c r="J145" i="1" s="1" a="1"/>
  <c r="J145" i="1" s="1"/>
  <c r="I154" i="1"/>
  <c r="J154" i="1" s="1" a="1"/>
  <c r="J154" i="1" s="1"/>
  <c r="I155" i="1"/>
  <c r="J155" i="1" s="1" a="1"/>
  <c r="J155" i="1" s="1"/>
  <c r="I156" i="1"/>
  <c r="J156" i="1" s="1" a="1"/>
  <c r="J156" i="1" s="1"/>
  <c r="I157" i="1"/>
  <c r="J157" i="1" s="1" a="1"/>
  <c r="J157" i="1" s="1"/>
  <c r="I158" i="1"/>
  <c r="J158" i="1" s="1" a="1"/>
  <c r="J158" i="1" s="1"/>
  <c r="I160" i="1"/>
  <c r="J160" i="1" s="1" a="1"/>
  <c r="J160" i="1" s="1"/>
  <c r="I161" i="1"/>
  <c r="J161" i="1" s="1" a="1"/>
  <c r="J161" i="1" s="1"/>
  <c r="I162" i="1"/>
  <c r="J162" i="1" s="1" a="1"/>
  <c r="J162" i="1" s="1"/>
  <c r="I163" i="1"/>
  <c r="J163" i="1" a="1"/>
  <c r="J163" i="1" s="1"/>
  <c r="I164" i="1"/>
  <c r="J164" i="1" s="1" a="1"/>
  <c r="J164" i="1" s="1"/>
  <c r="I165" i="1"/>
  <c r="J165" i="1" s="1" a="1"/>
  <c r="J165" i="1" s="1"/>
  <c r="I166" i="1"/>
  <c r="J166" i="1" s="1" a="1"/>
  <c r="J166" i="1" s="1"/>
  <c r="I167" i="1"/>
  <c r="J167" i="1" s="1" a="1"/>
  <c r="J167" i="1" s="1"/>
  <c r="I168" i="1"/>
  <c r="J168" i="1" s="1" a="1"/>
  <c r="J168" i="1" s="1"/>
  <c r="I170" i="1"/>
  <c r="J170" i="1" s="1" a="1"/>
  <c r="J170" i="1" s="1"/>
  <c r="I169" i="1"/>
  <c r="J169" i="1" s="1" a="1"/>
  <c r="J169" i="1" s="1"/>
  <c r="I172" i="1"/>
  <c r="J172" i="1" s="1" a="1"/>
  <c r="J172" i="1" s="1"/>
  <c r="I185" i="1"/>
  <c r="J185" i="1" s="1" a="1"/>
  <c r="J185" i="1" s="1"/>
  <c r="I186" i="1"/>
  <c r="J186" i="1" s="1" a="1"/>
  <c r="J186" i="1" s="1"/>
  <c r="I187" i="1"/>
  <c r="J187" i="1" s="1" a="1"/>
  <c r="J187" i="1" s="1"/>
  <c r="I189" i="1"/>
  <c r="J189" i="1" s="1" a="1"/>
  <c r="J189" i="1" s="1"/>
  <c r="I203" i="1"/>
  <c r="J203" i="1" s="1" a="1"/>
  <c r="J203" i="1" s="1"/>
  <c r="I188" i="1"/>
  <c r="J188" i="1" s="1" a="1"/>
  <c r="J188" i="1" s="1"/>
  <c r="I190" i="1"/>
  <c r="J190" i="1" s="1" a="1"/>
  <c r="J190" i="1" s="1"/>
  <c r="I191" i="1"/>
  <c r="J191" i="1" s="1" a="1"/>
  <c r="J191" i="1" s="1"/>
  <c r="I192" i="1"/>
  <c r="J192" i="1" s="1" a="1"/>
  <c r="J192" i="1" s="1"/>
  <c r="I193" i="1"/>
  <c r="J193" i="1" s="1" a="1"/>
  <c r="J193" i="1" s="1"/>
  <c r="I194" i="1"/>
  <c r="J194" i="1" s="1" a="1"/>
  <c r="J194" i="1" s="1"/>
  <c r="I196" i="1"/>
  <c r="J196" i="1" s="1" a="1"/>
  <c r="J196" i="1" s="1"/>
  <c r="I197" i="1"/>
  <c r="J197" i="1" s="1" a="1"/>
  <c r="J197" i="1" s="1"/>
  <c r="I206" i="1"/>
  <c r="J206" i="1" s="1" a="1"/>
  <c r="J206" i="1" s="1"/>
  <c r="I207" i="1"/>
  <c r="J207" i="1" s="1" a="1"/>
  <c r="J207" i="1" s="1"/>
  <c r="I95" i="1"/>
  <c r="J95" i="1" s="1" a="1"/>
  <c r="J95" i="1" s="1"/>
  <c r="I96" i="1"/>
  <c r="J96" i="1" s="1" a="1"/>
  <c r="J96" i="1" s="1"/>
  <c r="I103" i="1"/>
  <c r="J103" i="1" s="1" a="1"/>
  <c r="J103" i="1" s="1"/>
  <c r="I104" i="1"/>
  <c r="J104" i="1" s="1" a="1"/>
  <c r="J104" i="1" s="1"/>
  <c r="I108" i="1"/>
  <c r="J108" i="1" s="1" a="1"/>
  <c r="J108" i="1" s="1"/>
  <c r="I110" i="1"/>
  <c r="J110" i="1" s="1" a="1"/>
  <c r="J110" i="1" s="1"/>
  <c r="I171" i="1"/>
  <c r="J171" i="1" s="1" a="1"/>
  <c r="J171" i="1" s="1"/>
  <c r="I181" i="1"/>
  <c r="J181" i="1" s="1" a="1"/>
  <c r="J181" i="1" s="1"/>
  <c r="I107" i="1"/>
  <c r="J107" i="1" s="1" a="1"/>
  <c r="J107" i="1" s="1"/>
  <c r="I109" i="1"/>
  <c r="J109" i="1" s="1" a="1"/>
  <c r="J109" i="1" s="1"/>
  <c r="I131" i="1"/>
  <c r="J131" i="1" s="1" a="1"/>
  <c r="J131" i="1" s="1"/>
  <c r="I198" i="1"/>
  <c r="J198" i="1" s="1" a="1"/>
  <c r="J198" i="1" s="1"/>
  <c r="R5" i="9" a="1"/>
  <c r="A33" i="20" s="1"/>
  <c r="I98" i="1"/>
  <c r="J98" i="1" s="1" a="1"/>
  <c r="J98" i="1" s="1"/>
  <c r="I100" i="1"/>
  <c r="J100" i="1" s="1" a="1"/>
  <c r="J100" i="1" s="1"/>
  <c r="I106" i="1"/>
  <c r="J106" i="1" s="1" a="1"/>
  <c r="J106" i="1" s="1"/>
  <c r="I93" i="1"/>
  <c r="J93" i="1" s="1" a="1"/>
  <c r="J93" i="1" s="1"/>
  <c r="I94" i="1"/>
  <c r="J94" i="1" s="1" a="1"/>
  <c r="J94" i="1" s="1"/>
  <c r="I99" i="1"/>
  <c r="J99" i="1" s="1" a="1"/>
  <c r="J99" i="1" s="1"/>
  <c r="I140" i="1"/>
  <c r="J140" i="1" s="1" a="1"/>
  <c r="J140" i="1" s="1"/>
  <c r="I117" i="1"/>
  <c r="J117" i="1" s="1" a="1"/>
  <c r="J117" i="1" s="1"/>
  <c r="I205" i="1"/>
  <c r="J205" i="1" s="1" a="1"/>
  <c r="J205" i="1" s="1"/>
  <c r="I137" i="1"/>
  <c r="J137" i="1" s="1" a="1"/>
  <c r="J137" i="1" s="1"/>
  <c r="I134" i="1"/>
  <c r="J134" i="1" s="1" a="1"/>
  <c r="J134" i="1" s="1"/>
  <c r="I142" i="1"/>
  <c r="J142" i="1" s="1" a="1"/>
  <c r="J142" i="1" s="1"/>
  <c r="I144" i="1"/>
  <c r="J144" i="1" s="1" a="1"/>
  <c r="J144" i="1" s="1"/>
  <c r="I202" i="1"/>
  <c r="J202" i="1" s="1" a="1"/>
  <c r="J202" i="1" s="1"/>
  <c r="I201" i="1"/>
  <c r="J201" i="1" s="1" a="1"/>
  <c r="J201" i="1" s="1"/>
  <c r="I141" i="1"/>
  <c r="J141" i="1" s="1" a="1"/>
  <c r="J141" i="1" s="1"/>
  <c r="I122" i="1"/>
  <c r="J122" i="1" s="1" a="1"/>
  <c r="J122" i="1" s="1"/>
  <c r="I123" i="1"/>
  <c r="J123" i="1" s="1" a="1"/>
  <c r="J123" i="1" s="1"/>
  <c r="I124" i="1"/>
  <c r="J124" i="1" s="1" a="1"/>
  <c r="J124" i="1" s="1"/>
  <c r="I125" i="1"/>
  <c r="J125" i="1" s="1" a="1"/>
  <c r="J125" i="1" s="1"/>
  <c r="I126" i="1"/>
  <c r="J126" i="1" s="1" a="1"/>
  <c r="J126" i="1" s="1"/>
  <c r="I127" i="1"/>
  <c r="J127" i="1" a="1"/>
  <c r="J127" i="1" s="1"/>
  <c r="I128" i="1"/>
  <c r="J128" i="1" s="1" a="1"/>
  <c r="J128" i="1" s="1"/>
  <c r="I101" i="1"/>
  <c r="J101" i="1" s="1" a="1"/>
  <c r="J101" i="1" s="1"/>
  <c r="I102" i="1"/>
  <c r="J102" i="1" s="1" a="1"/>
  <c r="J102" i="1" s="1"/>
  <c r="I129" i="1"/>
  <c r="J129" i="1" s="1" a="1"/>
  <c r="J129" i="1" s="1"/>
  <c r="I130" i="1"/>
  <c r="J130" i="1" s="1" a="1"/>
  <c r="J130" i="1" s="1"/>
  <c r="I146" i="1"/>
  <c r="J146" i="1" s="1" a="1"/>
  <c r="J146" i="1" s="1"/>
  <c r="I147" i="1"/>
  <c r="J147" i="1" s="1" a="1"/>
  <c r="J147" i="1" s="1"/>
  <c r="I148" i="1"/>
  <c r="J148" i="1" s="1" a="1"/>
  <c r="J148" i="1" s="1"/>
  <c r="I177" i="1"/>
  <c r="J177" i="1" s="1" a="1"/>
  <c r="J177" i="1" s="1"/>
  <c r="I178" i="1"/>
  <c r="J178" i="1" s="1" a="1"/>
  <c r="J178" i="1" s="1"/>
  <c r="I179" i="1"/>
  <c r="J179" i="1" s="1" a="1"/>
  <c r="J179" i="1" s="1"/>
  <c r="I180" i="1"/>
  <c r="J180" i="1" s="1" a="1"/>
  <c r="J180" i="1" s="1"/>
  <c r="I115" i="1"/>
  <c r="J115" i="1" s="1" a="1"/>
  <c r="J115" i="1" s="1"/>
  <c r="I116" i="1"/>
  <c r="J116" i="1" s="1" a="1"/>
  <c r="J116" i="1" s="1"/>
  <c r="I138" i="1"/>
  <c r="J138" i="1" s="1" a="1"/>
  <c r="J138" i="1" s="1"/>
  <c r="I139" i="1"/>
  <c r="J139" i="1" s="1" a="1"/>
  <c r="J139" i="1" s="1"/>
  <c r="I114" i="1"/>
  <c r="J114" i="1" s="1" a="1"/>
  <c r="J114" i="1" s="1"/>
  <c r="I135" i="1"/>
  <c r="J135" i="1" s="1" a="1"/>
  <c r="J135" i="1" s="1"/>
  <c r="I136" i="1"/>
  <c r="J136" i="1" s="1" a="1"/>
  <c r="J136" i="1" s="1"/>
  <c r="I173" i="1"/>
  <c r="J173" i="1" s="1"/>
  <c r="I174" i="1"/>
  <c r="J174" i="1" s="1"/>
  <c r="I175" i="1"/>
  <c r="J175" i="1" s="1"/>
  <c r="I176" i="1"/>
  <c r="J176" i="1" s="1"/>
  <c r="I118" i="1"/>
  <c r="J118" i="1" s="1" a="1"/>
  <c r="J118" i="1" s="1"/>
  <c r="I119" i="1"/>
  <c r="J119" i="1" s="1" a="1"/>
  <c r="J119" i="1" s="1"/>
  <c r="I204" i="1"/>
  <c r="J204" i="1" s="1" a="1"/>
  <c r="J204" i="1" s="1"/>
  <c r="I149" i="1"/>
  <c r="J149" i="1" a="1"/>
  <c r="J149" i="1" s="1"/>
  <c r="I150" i="1"/>
  <c r="J150" i="1" s="1" a="1"/>
  <c r="J150" i="1" s="1"/>
  <c r="I151" i="1"/>
  <c r="J151" i="1" s="1" a="1"/>
  <c r="J151" i="1" s="1"/>
  <c r="I152" i="1"/>
  <c r="J152" i="1" s="1" a="1"/>
  <c r="J152" i="1" s="1"/>
  <c r="I153" i="1"/>
  <c r="J153" i="1" s="1" a="1"/>
  <c r="J153" i="1" s="1"/>
  <c r="I182" i="1"/>
  <c r="J182" i="1" s="1" a="1"/>
  <c r="J182" i="1" s="1"/>
  <c r="I183" i="1"/>
  <c r="J183" i="1" s="1" a="1"/>
  <c r="J183" i="1" s="1"/>
  <c r="I159" i="1"/>
  <c r="J159" i="1" s="1" a="1"/>
  <c r="J159" i="1" s="1"/>
  <c r="I184" i="1"/>
  <c r="J184" i="1" s="1" a="1"/>
  <c r="J184" i="1" s="1"/>
  <c r="I195" i="1"/>
  <c r="J195" i="1" s="1" a="1"/>
  <c r="J195" i="1" s="1"/>
  <c r="I199" i="1"/>
  <c r="J199" i="1" s="1" a="1"/>
  <c r="J199" i="1" s="1"/>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I200" i="1"/>
  <c r="J200" i="1" s="1" a="1"/>
  <c r="J200" i="1" s="1"/>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D86" i="14"/>
  <c r="D87" i="14"/>
  <c r="D88" i="14"/>
  <c r="D89" i="14"/>
  <c r="D90" i="14"/>
  <c r="D91" i="14"/>
  <c r="D92" i="14"/>
  <c r="J89" i="14"/>
  <c r="J90" i="14"/>
  <c r="J91" i="14"/>
  <c r="J92" i="14"/>
  <c r="H10" i="15"/>
  <c r="F10" i="15"/>
  <c r="G10" i="15"/>
  <c r="G67" i="6"/>
  <c r="D4" i="17"/>
  <c r="D3" i="17"/>
  <c r="C38" i="17"/>
  <c r="C39" i="17"/>
  <c r="D41" i="17"/>
  <c r="C52" i="17"/>
  <c r="C53" i="17"/>
  <c r="E129" i="2"/>
  <c r="F129" i="2"/>
  <c r="H129" i="2" s="1"/>
  <c r="I129" i="2" s="1"/>
  <c r="D129" i="2" s="1"/>
  <c r="E130" i="2"/>
  <c r="F130" i="2"/>
  <c r="E131" i="2"/>
  <c r="F131" i="2"/>
  <c r="E132" i="2"/>
  <c r="F132" i="2"/>
  <c r="E133" i="2"/>
  <c r="F133" i="2"/>
  <c r="H133" i="2" s="1"/>
  <c r="I133" i="2" s="1"/>
  <c r="D133" i="2" s="1"/>
  <c r="E134" i="2"/>
  <c r="F134" i="2"/>
  <c r="H134" i="2" s="1"/>
  <c r="I134" i="2" s="1"/>
  <c r="D134" i="2" s="1"/>
  <c r="E135" i="2"/>
  <c r="F135" i="2"/>
  <c r="G135" i="2" s="1"/>
  <c r="H292" i="1" s="1"/>
  <c r="E136" i="2"/>
  <c r="F136" i="2"/>
  <c r="E137" i="2"/>
  <c r="F137" i="2"/>
  <c r="H137" i="2" s="1"/>
  <c r="E138" i="2"/>
  <c r="F138" i="2"/>
  <c r="G138" i="2"/>
  <c r="H286" i="1" s="1"/>
  <c r="E139" i="2"/>
  <c r="F139" i="2"/>
  <c r="E140" i="2"/>
  <c r="F140" i="2"/>
  <c r="H140" i="2"/>
  <c r="I140" i="2" s="1"/>
  <c r="D140" i="2" s="1"/>
  <c r="E141" i="2"/>
  <c r="F141" i="2"/>
  <c r="H141" i="2" s="1"/>
  <c r="I141" i="2" s="1"/>
  <c r="D141" i="2" s="1"/>
  <c r="E142" i="2"/>
  <c r="F142" i="2"/>
  <c r="H142" i="2" s="1"/>
  <c r="I142" i="2" s="1"/>
  <c r="D142" i="2" s="1"/>
  <c r="E143" i="2"/>
  <c r="F143" i="2"/>
  <c r="H143" i="2" s="1"/>
  <c r="I143" i="2" s="1"/>
  <c r="D143" i="2" s="1"/>
  <c r="E144" i="2"/>
  <c r="F144" i="2"/>
  <c r="H144" i="2" s="1"/>
  <c r="I144" i="2" s="1"/>
  <c r="D144" i="2" s="1"/>
  <c r="E145" i="2"/>
  <c r="F145" i="2"/>
  <c r="H145" i="2" s="1"/>
  <c r="I145" i="2" s="1"/>
  <c r="D145" i="2" s="1"/>
  <c r="E146" i="2"/>
  <c r="F146" i="2"/>
  <c r="E147" i="2"/>
  <c r="F147" i="2"/>
  <c r="H147" i="2" s="1"/>
  <c r="I147" i="2" s="1"/>
  <c r="D147" i="2" s="1"/>
  <c r="G147" i="2"/>
  <c r="H301" i="1" s="1"/>
  <c r="E148" i="2"/>
  <c r="F148" i="2"/>
  <c r="E149" i="2"/>
  <c r="F149" i="2"/>
  <c r="H149" i="2" s="1"/>
  <c r="I149" i="2" s="1"/>
  <c r="D149" i="2" s="1"/>
  <c r="E21" i="7"/>
  <c r="E13" i="7"/>
  <c r="E17" i="7"/>
  <c r="E15" i="7"/>
  <c r="G35" i="15"/>
  <c r="H35" i="15" s="1"/>
  <c r="G36" i="15"/>
  <c r="H36" i="15" s="1"/>
  <c r="G37" i="15"/>
  <c r="H37" i="15" s="1"/>
  <c r="G57" i="6"/>
  <c r="G58" i="6"/>
  <c r="G59" i="6"/>
  <c r="G60" i="6"/>
  <c r="G61" i="6"/>
  <c r="G62" i="6"/>
  <c r="G63" i="6"/>
  <c r="G64" i="6"/>
  <c r="J88" i="14"/>
  <c r="E128" i="2"/>
  <c r="F128" i="2"/>
  <c r="C524" i="17"/>
  <c r="C515" i="17"/>
  <c r="G33" i="15"/>
  <c r="H33" i="15" s="1"/>
  <c r="G34" i="15"/>
  <c r="H34" i="15" s="1"/>
  <c r="J77" i="14"/>
  <c r="J78" i="14"/>
  <c r="J79" i="14"/>
  <c r="J80" i="14"/>
  <c r="J81" i="14"/>
  <c r="J82" i="14"/>
  <c r="J83" i="14"/>
  <c r="J84" i="14"/>
  <c r="J85" i="14"/>
  <c r="J86" i="14"/>
  <c r="J87" i="14"/>
  <c r="D76" i="14"/>
  <c r="D77" i="14"/>
  <c r="D78" i="14"/>
  <c r="D79" i="14"/>
  <c r="D80" i="14"/>
  <c r="D81" i="14"/>
  <c r="D82" i="14"/>
  <c r="D83" i="14"/>
  <c r="D84" i="14"/>
  <c r="D85" i="14"/>
  <c r="D79" i="18"/>
  <c r="D80" i="18"/>
  <c r="D81" i="18"/>
  <c r="D82" i="18"/>
  <c r="D83" i="18"/>
  <c r="D84" i="18"/>
  <c r="D85" i="18"/>
  <c r="D86" i="18"/>
  <c r="D87" i="18"/>
  <c r="D88" i="18"/>
  <c r="D89" i="18"/>
  <c r="D90" i="18"/>
  <c r="D91" i="18"/>
  <c r="D92" i="18"/>
  <c r="E79" i="18"/>
  <c r="E80" i="18"/>
  <c r="E81" i="18"/>
  <c r="E82" i="18"/>
  <c r="E83" i="18"/>
  <c r="E84" i="18"/>
  <c r="E85" i="18"/>
  <c r="E86" i="18"/>
  <c r="E87" i="18"/>
  <c r="E88" i="18"/>
  <c r="E89" i="18"/>
  <c r="E90" i="18"/>
  <c r="E91" i="18"/>
  <c r="E92" i="18"/>
  <c r="D58" i="18"/>
  <c r="D59" i="18"/>
  <c r="D60" i="18"/>
  <c r="D61" i="18"/>
  <c r="D62" i="18"/>
  <c r="D63" i="18"/>
  <c r="D64" i="18"/>
  <c r="D65" i="18"/>
  <c r="D66" i="18"/>
  <c r="D67" i="18"/>
  <c r="D68" i="18"/>
  <c r="D69" i="18"/>
  <c r="D70" i="18"/>
  <c r="D71" i="18"/>
  <c r="D72" i="18"/>
  <c r="D73" i="18"/>
  <c r="D74" i="18"/>
  <c r="D75" i="18"/>
  <c r="D76" i="18"/>
  <c r="D77" i="18"/>
  <c r="D78" i="18"/>
  <c r="E58" i="18"/>
  <c r="E59" i="18"/>
  <c r="E60" i="18"/>
  <c r="E61" i="18"/>
  <c r="E62" i="18"/>
  <c r="E63" i="18"/>
  <c r="E64" i="18"/>
  <c r="E65" i="18"/>
  <c r="E66" i="18"/>
  <c r="E67" i="18"/>
  <c r="E68" i="18"/>
  <c r="E69" i="18"/>
  <c r="E70" i="18"/>
  <c r="E71" i="18"/>
  <c r="E72" i="18"/>
  <c r="E73" i="18"/>
  <c r="E74" i="18"/>
  <c r="E75" i="18"/>
  <c r="E76" i="18"/>
  <c r="E77" i="18"/>
  <c r="E78" i="18"/>
  <c r="D44" i="18"/>
  <c r="D45" i="18"/>
  <c r="D46" i="18"/>
  <c r="D47" i="18"/>
  <c r="D48" i="18"/>
  <c r="D49" i="18"/>
  <c r="D50" i="18"/>
  <c r="D51" i="18"/>
  <c r="D52" i="18"/>
  <c r="D53" i="18"/>
  <c r="D54" i="18"/>
  <c r="D55" i="18"/>
  <c r="D56" i="18"/>
  <c r="D57" i="18"/>
  <c r="E44" i="18"/>
  <c r="E45" i="18"/>
  <c r="E46" i="18"/>
  <c r="E47" i="18"/>
  <c r="E48" i="18"/>
  <c r="E49" i="18"/>
  <c r="E50" i="18"/>
  <c r="E51" i="18"/>
  <c r="E52" i="18"/>
  <c r="E53" i="18"/>
  <c r="E54" i="18"/>
  <c r="E55" i="18"/>
  <c r="E56" i="18"/>
  <c r="E57" i="18"/>
  <c r="G32" i="15"/>
  <c r="H32" i="15" s="1"/>
  <c r="C410" i="17"/>
  <c r="C99" i="23"/>
  <c r="C101" i="23"/>
  <c r="C102" i="23"/>
  <c r="C103" i="23"/>
  <c r="C104" i="23"/>
  <c r="C105" i="23"/>
  <c r="C106" i="23"/>
  <c r="C107" i="23"/>
  <c r="C108" i="23"/>
  <c r="C100" i="23"/>
  <c r="C109" i="23"/>
  <c r="C110" i="23"/>
  <c r="C111" i="23"/>
  <c r="C112" i="23"/>
  <c r="B114" i="23"/>
  <c r="F31" i="15"/>
  <c r="G31" i="15"/>
  <c r="H31" i="15" s="1"/>
  <c r="G30" i="15"/>
  <c r="H30" i="15" s="1"/>
  <c r="F29" i="15"/>
  <c r="G29" i="15"/>
  <c r="D51" i="6"/>
  <c r="B92" i="23"/>
  <c r="C90" i="23"/>
  <c r="C89" i="23"/>
  <c r="C88" i="23"/>
  <c r="C87" i="23"/>
  <c r="C86" i="23"/>
  <c r="C85" i="23"/>
  <c r="C84" i="23"/>
  <c r="C77" i="23"/>
  <c r="C83" i="23"/>
  <c r="C82" i="23"/>
  <c r="C81" i="23"/>
  <c r="C80" i="23"/>
  <c r="C79" i="23"/>
  <c r="C78" i="23"/>
  <c r="B69" i="23"/>
  <c r="C67" i="23"/>
  <c r="C66" i="23"/>
  <c r="C65" i="23"/>
  <c r="C64" i="23"/>
  <c r="C63" i="23"/>
  <c r="C62" i="23"/>
  <c r="C61" i="23"/>
  <c r="C60" i="23"/>
  <c r="C59" i="23"/>
  <c r="C58" i="23"/>
  <c r="C57" i="23"/>
  <c r="C56" i="23"/>
  <c r="C55" i="23"/>
  <c r="C54" i="23"/>
  <c r="B46" i="23"/>
  <c r="C44" i="23"/>
  <c r="C43" i="23"/>
  <c r="C42" i="23"/>
  <c r="C41" i="23"/>
  <c r="C40" i="23"/>
  <c r="C39" i="23"/>
  <c r="C38" i="23"/>
  <c r="C37" i="23"/>
  <c r="C36" i="23"/>
  <c r="C35" i="23"/>
  <c r="C34" i="23"/>
  <c r="C33" i="23"/>
  <c r="C32" i="23"/>
  <c r="C31" i="23"/>
  <c r="B21" i="23"/>
  <c r="C6" i="23"/>
  <c r="C7" i="23"/>
  <c r="C8" i="23"/>
  <c r="C9" i="23"/>
  <c r="C10" i="23"/>
  <c r="C11" i="23"/>
  <c r="C12" i="23"/>
  <c r="C13" i="23"/>
  <c r="C14" i="23"/>
  <c r="C15" i="23"/>
  <c r="C16" i="23"/>
  <c r="C17" i="23"/>
  <c r="C18" i="23"/>
  <c r="C19" i="23"/>
  <c r="G28" i="15"/>
  <c r="H28" i="15" s="1"/>
  <c r="C381" i="17"/>
  <c r="D72" i="14"/>
  <c r="D73" i="14"/>
  <c r="D74" i="14"/>
  <c r="D75" i="14"/>
  <c r="J71" i="14"/>
  <c r="J72" i="14"/>
  <c r="J73" i="14"/>
  <c r="J74" i="14"/>
  <c r="J75" i="14"/>
  <c r="J76" i="14"/>
  <c r="G55" i="6"/>
  <c r="G56" i="6"/>
  <c r="I46" i="6"/>
  <c r="I47" i="6"/>
  <c r="I48" i="6"/>
  <c r="I49" i="6"/>
  <c r="I50" i="6"/>
  <c r="I52" i="6"/>
  <c r="I53" i="6"/>
  <c r="I54" i="6"/>
  <c r="I55" i="6"/>
  <c r="I56" i="6"/>
  <c r="G50" i="6"/>
  <c r="G52" i="6"/>
  <c r="G53" i="6"/>
  <c r="G54" i="6"/>
  <c r="G46" i="6"/>
  <c r="G47" i="6"/>
  <c r="G48" i="6"/>
  <c r="G49" i="6"/>
  <c r="C380" i="17"/>
  <c r="K714" i="17"/>
  <c r="C363" i="17"/>
  <c r="G26" i="15" s="1"/>
  <c r="H26" i="15" s="1"/>
  <c r="G20" i="7"/>
  <c r="H20" i="7" s="1"/>
  <c r="G21" i="7"/>
  <c r="G22" i="7"/>
  <c r="H22" i="7" s="1"/>
  <c r="G23" i="7"/>
  <c r="H23" i="7" s="1"/>
  <c r="G24" i="7"/>
  <c r="H24" i="7" s="1"/>
  <c r="G25" i="7"/>
  <c r="H25" i="7" s="1"/>
  <c r="G26" i="7"/>
  <c r="H26" i="7" s="1"/>
  <c r="G27" i="7"/>
  <c r="H27" i="7" s="1"/>
  <c r="G28" i="7"/>
  <c r="H28" i="7" s="1"/>
  <c r="G29" i="7"/>
  <c r="H29" i="7" s="1"/>
  <c r="G30" i="7"/>
  <c r="H30" i="7" s="1"/>
  <c r="G31" i="7"/>
  <c r="H31" i="7" s="1"/>
  <c r="F27" i="15"/>
  <c r="G24" i="15"/>
  <c r="H24" i="15" s="1"/>
  <c r="G25" i="15"/>
  <c r="H25" i="15" s="1"/>
  <c r="G27" i="15"/>
  <c r="G23" i="15"/>
  <c r="H23" i="15" s="1"/>
  <c r="G21" i="6"/>
  <c r="G22" i="6"/>
  <c r="G23" i="6"/>
  <c r="G24" i="6"/>
  <c r="G25" i="6"/>
  <c r="I21" i="6"/>
  <c r="I22" i="6"/>
  <c r="I23" i="6"/>
  <c r="I24" i="6"/>
  <c r="I25" i="6"/>
  <c r="J43" i="14"/>
  <c r="J44" i="14"/>
  <c r="J45" i="14"/>
  <c r="J46" i="14"/>
  <c r="J47" i="14"/>
  <c r="J48" i="14"/>
  <c r="J49" i="14"/>
  <c r="J50" i="14"/>
  <c r="J51" i="14"/>
  <c r="J52" i="14"/>
  <c r="J53" i="14"/>
  <c r="J54" i="14"/>
  <c r="J55" i="14"/>
  <c r="J56" i="14"/>
  <c r="J57" i="14"/>
  <c r="J58" i="14"/>
  <c r="J59" i="14"/>
  <c r="J60" i="14"/>
  <c r="J61" i="14"/>
  <c r="J62" i="14"/>
  <c r="J63" i="14"/>
  <c r="J64" i="14"/>
  <c r="J66" i="14"/>
  <c r="J67" i="14"/>
  <c r="J68" i="14"/>
  <c r="J69" i="14"/>
  <c r="J70" i="14"/>
  <c r="D68" i="14"/>
  <c r="D69" i="14"/>
  <c r="D70" i="14"/>
  <c r="D71" i="14"/>
  <c r="D42" i="14"/>
  <c r="D43" i="14"/>
  <c r="D44" i="14"/>
  <c r="D45" i="14"/>
  <c r="D46" i="14"/>
  <c r="D47" i="14"/>
  <c r="D48" i="14"/>
  <c r="D49" i="14"/>
  <c r="D50" i="14"/>
  <c r="D51" i="14"/>
  <c r="D52" i="14"/>
  <c r="D53" i="14"/>
  <c r="D54" i="14"/>
  <c r="D55" i="14"/>
  <c r="D56" i="14"/>
  <c r="D57" i="14"/>
  <c r="D58" i="14"/>
  <c r="D59" i="14"/>
  <c r="D60" i="14"/>
  <c r="D61" i="14"/>
  <c r="D62" i="14"/>
  <c r="D63" i="14"/>
  <c r="D64" i="14"/>
  <c r="D65" i="14"/>
  <c r="D66" i="14"/>
  <c r="D67" i="14"/>
  <c r="C275" i="17"/>
  <c r="C269" i="17"/>
  <c r="J65" i="14" s="1"/>
  <c r="C268" i="17"/>
  <c r="G16" i="7"/>
  <c r="H16" i="7" s="1"/>
  <c r="G17" i="7"/>
  <c r="G18" i="7"/>
  <c r="H18" i="7" s="1"/>
  <c r="G19" i="7"/>
  <c r="H19" i="7" s="1"/>
  <c r="G15" i="7"/>
  <c r="G13" i="7"/>
  <c r="G32" i="7"/>
  <c r="H32" i="7" s="1"/>
  <c r="F20" i="15"/>
  <c r="G17" i="15"/>
  <c r="H17" i="15" s="1"/>
  <c r="G18" i="15"/>
  <c r="H18" i="15" s="1"/>
  <c r="G19" i="15"/>
  <c r="H19" i="15" s="1"/>
  <c r="G20" i="15"/>
  <c r="G21" i="15"/>
  <c r="H21" i="15" s="1"/>
  <c r="G22" i="15"/>
  <c r="H22" i="15" s="1"/>
  <c r="I32" i="6"/>
  <c r="I33" i="6"/>
  <c r="I34" i="6"/>
  <c r="I35" i="6"/>
  <c r="I36" i="6"/>
  <c r="I37" i="6"/>
  <c r="I38" i="6"/>
  <c r="I45" i="6"/>
  <c r="G32" i="6"/>
  <c r="G33" i="6"/>
  <c r="G34" i="6"/>
  <c r="G35" i="6"/>
  <c r="G36" i="6"/>
  <c r="G37" i="6"/>
  <c r="G38" i="6"/>
  <c r="G45" i="6"/>
  <c r="I27" i="6"/>
  <c r="I28" i="6"/>
  <c r="I29" i="6"/>
  <c r="I30" i="6"/>
  <c r="I31" i="6"/>
  <c r="G28" i="6"/>
  <c r="G29" i="6"/>
  <c r="G30" i="6"/>
  <c r="G31" i="6"/>
  <c r="G14" i="7"/>
  <c r="H14" i="7" s="1"/>
  <c r="G2" i="7"/>
  <c r="G3" i="7"/>
  <c r="G4" i="7"/>
  <c r="G5" i="7"/>
  <c r="G6" i="7"/>
  <c r="G7" i="7"/>
  <c r="G8" i="7"/>
  <c r="G9" i="7"/>
  <c r="G10" i="7"/>
  <c r="G11" i="7"/>
  <c r="H11" i="7" s="1"/>
  <c r="G12" i="7"/>
  <c r="H12" i="7" s="1"/>
  <c r="F12" i="15"/>
  <c r="F14" i="15"/>
  <c r="F15" i="15"/>
  <c r="G11" i="15"/>
  <c r="H11" i="15" s="1"/>
  <c r="G12" i="15"/>
  <c r="G13" i="15"/>
  <c r="H13" i="15" s="1"/>
  <c r="G14" i="15"/>
  <c r="H14" i="15" s="1"/>
  <c r="G15" i="15"/>
  <c r="G16" i="15"/>
  <c r="H16" i="15" s="1"/>
  <c r="I13" i="6"/>
  <c r="I14" i="6"/>
  <c r="I15" i="6"/>
  <c r="I16" i="6"/>
  <c r="I17" i="6"/>
  <c r="I18" i="6"/>
  <c r="I19" i="6"/>
  <c r="I20" i="6"/>
  <c r="I26" i="6"/>
  <c r="J18" i="14"/>
  <c r="D19" i="18"/>
  <c r="G13" i="6"/>
  <c r="G12" i="6"/>
  <c r="G14" i="6"/>
  <c r="G15" i="6"/>
  <c r="G16" i="6"/>
  <c r="G17" i="6"/>
  <c r="G18" i="6"/>
  <c r="G19" i="6"/>
  <c r="G20" i="6"/>
  <c r="G26" i="6"/>
  <c r="G27" i="6"/>
  <c r="F5" i="15"/>
  <c r="F6" i="15"/>
  <c r="F7" i="15"/>
  <c r="F8" i="15"/>
  <c r="F9" i="15"/>
  <c r="G2" i="21" a="1"/>
  <c r="A31" i="21" s="1"/>
  <c r="B31" i="21" s="1"/>
  <c r="E10" i="7"/>
  <c r="G96" i="6"/>
  <c r="I57" i="6"/>
  <c r="I58" i="6"/>
  <c r="I59" i="6"/>
  <c r="I60" i="6"/>
  <c r="I61" i="6"/>
  <c r="I62" i="6"/>
  <c r="I63" i="6"/>
  <c r="I64" i="6"/>
  <c r="I39" i="6"/>
  <c r="I40" i="6"/>
  <c r="I41" i="6"/>
  <c r="I42" i="6"/>
  <c r="I43" i="6"/>
  <c r="I44" i="6"/>
  <c r="I65" i="6"/>
  <c r="I66" i="6"/>
  <c r="I67" i="6"/>
  <c r="I68" i="6"/>
  <c r="I69" i="6"/>
  <c r="I70" i="6"/>
  <c r="I71" i="6"/>
  <c r="I72" i="6"/>
  <c r="I73" i="6"/>
  <c r="I74" i="6"/>
  <c r="I75" i="6"/>
  <c r="I76" i="6"/>
  <c r="I77" i="6"/>
  <c r="I78" i="6"/>
  <c r="I79" i="6"/>
  <c r="I80" i="6"/>
  <c r="I81" i="6"/>
  <c r="I82" i="6"/>
  <c r="I83" i="6"/>
  <c r="I84" i="6"/>
  <c r="I85" i="6"/>
  <c r="I86" i="6"/>
  <c r="I87" i="6"/>
  <c r="I88" i="6"/>
  <c r="I89" i="6"/>
  <c r="I90" i="6"/>
  <c r="I91" i="6"/>
  <c r="I92" i="6"/>
  <c r="I93" i="6"/>
  <c r="I94" i="6"/>
  <c r="I95" i="6"/>
  <c r="I96" i="6"/>
  <c r="B35" i="20"/>
  <c r="C35" i="20"/>
  <c r="D28" i="18"/>
  <c r="G39" i="6"/>
  <c r="G40" i="6"/>
  <c r="G41" i="6"/>
  <c r="G42" i="6"/>
  <c r="G43" i="6"/>
  <c r="G44" i="6"/>
  <c r="G65" i="6"/>
  <c r="G66"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M2" i="1" a="1"/>
  <c r="M2" i="1" s="1"/>
  <c r="J37" i="14"/>
  <c r="J38" i="14"/>
  <c r="J39" i="14"/>
  <c r="J40" i="14"/>
  <c r="J41" i="14"/>
  <c r="J42" i="14"/>
  <c r="D38" i="14"/>
  <c r="D39" i="14"/>
  <c r="D40" i="14"/>
  <c r="D41" i="14"/>
  <c r="D38" i="18"/>
  <c r="D39" i="18"/>
  <c r="D40" i="18"/>
  <c r="D41" i="18"/>
  <c r="D42" i="18"/>
  <c r="D43" i="18"/>
  <c r="E38" i="18"/>
  <c r="E39" i="18"/>
  <c r="E40" i="18"/>
  <c r="E41" i="18"/>
  <c r="E42" i="18"/>
  <c r="E43" i="18"/>
  <c r="G5" i="15"/>
  <c r="G6" i="15"/>
  <c r="G7" i="15"/>
  <c r="G8" i="15"/>
  <c r="G9" i="15"/>
  <c r="D37" i="14"/>
  <c r="G8" i="6"/>
  <c r="G9" i="6"/>
  <c r="P35" i="7"/>
  <c r="P36" i="7"/>
  <c r="P37" i="7"/>
  <c r="P38" i="7"/>
  <c r="P39" i="7"/>
  <c r="P40" i="7"/>
  <c r="P41" i="7"/>
  <c r="P42" i="7"/>
  <c r="P43" i="7"/>
  <c r="P44" i="7"/>
  <c r="P45" i="7"/>
  <c r="P46" i="7"/>
  <c r="P47" i="7"/>
  <c r="P48" i="7"/>
  <c r="P49" i="7"/>
  <c r="P50" i="7"/>
  <c r="P51" i="7"/>
  <c r="P52" i="7"/>
  <c r="P53" i="7"/>
  <c r="P54" i="7"/>
  <c r="P55" i="7"/>
  <c r="P34" i="7"/>
  <c r="K27" i="15"/>
  <c r="K26" i="15"/>
  <c r="K25" i="15"/>
  <c r="K30" i="15" s="1"/>
  <c r="I36" i="12"/>
  <c r="J35" i="14"/>
  <c r="J36" i="14"/>
  <c r="D35" i="14"/>
  <c r="D36" i="14"/>
  <c r="D35" i="18"/>
  <c r="D36" i="18"/>
  <c r="D37" i="18"/>
  <c r="E35" i="18"/>
  <c r="E36" i="18"/>
  <c r="E37" i="18"/>
  <c r="J25" i="15"/>
  <c r="J30" i="15" s="1"/>
  <c r="J27" i="15"/>
  <c r="E89" i="7"/>
  <c r="E88"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I35" i="12"/>
  <c r="G5" i="6"/>
  <c r="G6" i="6"/>
  <c r="B98" i="9" a="1"/>
  <c r="B98" i="9" s="1"/>
  <c r="E67" i="7"/>
  <c r="E68" i="7"/>
  <c r="E69" i="7"/>
  <c r="E70" i="7"/>
  <c r="E71" i="7"/>
  <c r="E72" i="7"/>
  <c r="E73" i="7"/>
  <c r="E74" i="7"/>
  <c r="E75" i="7"/>
  <c r="E76" i="7"/>
  <c r="E77" i="7"/>
  <c r="E78" i="7"/>
  <c r="E79" i="7"/>
  <c r="E80" i="7"/>
  <c r="E81" i="7"/>
  <c r="E82" i="7"/>
  <c r="E83" i="7"/>
  <c r="E84" i="7"/>
  <c r="E85" i="7"/>
  <c r="E86" i="7"/>
  <c r="E87" i="7"/>
  <c r="E66" i="7"/>
  <c r="E83" i="2"/>
  <c r="F83" i="2"/>
  <c r="H83" i="2" s="1"/>
  <c r="I83" i="2" s="1"/>
  <c r="D83" i="2" s="1"/>
  <c r="E84" i="2"/>
  <c r="F84" i="2"/>
  <c r="H84" i="2" s="1"/>
  <c r="I84" i="2" s="1"/>
  <c r="D84" i="2" s="1"/>
  <c r="E85" i="2"/>
  <c r="F85" i="2"/>
  <c r="E86" i="2"/>
  <c r="F86" i="2"/>
  <c r="E87" i="2"/>
  <c r="F87" i="2"/>
  <c r="E88" i="2"/>
  <c r="F88" i="2"/>
  <c r="H88" i="2" s="1"/>
  <c r="I88" i="2" s="1"/>
  <c r="D88" i="2" s="1"/>
  <c r="E89" i="2"/>
  <c r="F89" i="2"/>
  <c r="H89" i="2" s="1"/>
  <c r="I89" i="2" s="1"/>
  <c r="D89" i="2" s="1"/>
  <c r="E90" i="2"/>
  <c r="F90" i="2"/>
  <c r="H90" i="2" s="1"/>
  <c r="I90" i="2" s="1"/>
  <c r="D90" i="2" s="1"/>
  <c r="E91" i="2"/>
  <c r="F91" i="2"/>
  <c r="H91" i="2" s="1"/>
  <c r="I91" i="2" s="1"/>
  <c r="D91" i="2" s="1"/>
  <c r="E92" i="2"/>
  <c r="G92" i="2" s="1"/>
  <c r="H227" i="1" s="1"/>
  <c r="F92" i="2"/>
  <c r="H92" i="2"/>
  <c r="I92" i="2" s="1"/>
  <c r="D92" i="2" s="1"/>
  <c r="E93" i="2"/>
  <c r="F93" i="2"/>
  <c r="E94" i="2"/>
  <c r="F94" i="2"/>
  <c r="E95" i="2"/>
  <c r="F95" i="2"/>
  <c r="H95" i="2" s="1"/>
  <c r="I95" i="2" s="1"/>
  <c r="D95" i="2" s="1"/>
  <c r="E96" i="2"/>
  <c r="F96" i="2"/>
  <c r="H96" i="2" s="1"/>
  <c r="I96" i="2" s="1"/>
  <c r="D96" i="2" s="1"/>
  <c r="E97" i="2"/>
  <c r="F97" i="2"/>
  <c r="H97" i="2" s="1"/>
  <c r="I97" i="2" s="1"/>
  <c r="D97" i="2" s="1"/>
  <c r="E98" i="2"/>
  <c r="F98" i="2"/>
  <c r="G98" i="2" s="1"/>
  <c r="H234" i="1" s="1"/>
  <c r="E99" i="2"/>
  <c r="F99" i="2"/>
  <c r="H99" i="2" s="1"/>
  <c r="I99" i="2" s="1"/>
  <c r="D99" i="2" s="1"/>
  <c r="E100" i="2"/>
  <c r="F100" i="2"/>
  <c r="H100" i="2" s="1"/>
  <c r="I100" i="2" s="1"/>
  <c r="D100" i="2" s="1"/>
  <c r="E101" i="2"/>
  <c r="G101" i="2" s="1"/>
  <c r="H238" i="1" s="1"/>
  <c r="F101" i="2"/>
  <c r="H101" i="2"/>
  <c r="I101" i="2" s="1"/>
  <c r="D101" i="2" s="1"/>
  <c r="E102" i="2"/>
  <c r="F102" i="2"/>
  <c r="H102" i="2" s="1"/>
  <c r="I102" i="2" s="1"/>
  <c r="D102" i="2" s="1"/>
  <c r="E103" i="2"/>
  <c r="F103" i="2"/>
  <c r="H103" i="2" s="1"/>
  <c r="I103" i="2" s="1"/>
  <c r="D103" i="2" s="1"/>
  <c r="E104" i="2"/>
  <c r="F104" i="2"/>
  <c r="E105" i="2"/>
  <c r="F105" i="2"/>
  <c r="H105" i="2" s="1"/>
  <c r="I105" i="2" s="1"/>
  <c r="D105" i="2" s="1"/>
  <c r="E106" i="2"/>
  <c r="F106" i="2"/>
  <c r="H106" i="2" s="1"/>
  <c r="I106" i="2" s="1"/>
  <c r="D106" i="2" s="1"/>
  <c r="E107" i="2"/>
  <c r="F107" i="2"/>
  <c r="G107" i="2" s="1"/>
  <c r="H245" i="1" s="1"/>
  <c r="E108" i="2"/>
  <c r="F108" i="2"/>
  <c r="H108" i="2" s="1"/>
  <c r="I108" i="2" s="1"/>
  <c r="D108" i="2" s="1"/>
  <c r="E109" i="2"/>
  <c r="F109" i="2"/>
  <c r="E110" i="2"/>
  <c r="F110" i="2"/>
  <c r="H110" i="2"/>
  <c r="I110" i="2" s="1"/>
  <c r="D110" i="2" s="1"/>
  <c r="E111" i="2"/>
  <c r="F111" i="2"/>
  <c r="H111" i="2" s="1"/>
  <c r="I111" i="2" s="1"/>
  <c r="D111" i="2" s="1"/>
  <c r="E112" i="2"/>
  <c r="F112" i="2"/>
  <c r="E113" i="2"/>
  <c r="G113" i="2" s="1"/>
  <c r="H259" i="1" s="1"/>
  <c r="F113" i="2"/>
  <c r="H113" i="2" s="1"/>
  <c r="I113" i="2" s="1"/>
  <c r="D113" i="2" s="1"/>
  <c r="E114" i="2"/>
  <c r="F114" i="2"/>
  <c r="H114" i="2" s="1"/>
  <c r="I114" i="2" s="1"/>
  <c r="D114" i="2" s="1"/>
  <c r="E115" i="2"/>
  <c r="F115" i="2"/>
  <c r="H115" i="2" s="1"/>
  <c r="I115" i="2" s="1"/>
  <c r="D115" i="2" s="1"/>
  <c r="E116" i="2"/>
  <c r="F116" i="2"/>
  <c r="H116" i="2" s="1"/>
  <c r="I116" i="2" s="1"/>
  <c r="D116" i="2" s="1"/>
  <c r="E117" i="2"/>
  <c r="F117" i="2"/>
  <c r="H117" i="2" s="1"/>
  <c r="I117" i="2" s="1"/>
  <c r="D117" i="2" s="1"/>
  <c r="E118" i="2"/>
  <c r="F118" i="2"/>
  <c r="H118" i="2" s="1"/>
  <c r="I118" i="2" s="1"/>
  <c r="D118" i="2" s="1"/>
  <c r="E74" i="2"/>
  <c r="F74" i="2"/>
  <c r="G74" i="2" s="1"/>
  <c r="H199" i="1" s="1"/>
  <c r="E75" i="2"/>
  <c r="F75" i="2"/>
  <c r="H75" i="2" s="1"/>
  <c r="I75" i="2" s="1"/>
  <c r="D75" i="2" s="1"/>
  <c r="E76" i="2"/>
  <c r="F76" i="2"/>
  <c r="G76" i="2" s="1"/>
  <c r="H201" i="1" s="1"/>
  <c r="E77" i="2"/>
  <c r="F77" i="2"/>
  <c r="E78" i="2"/>
  <c r="F78" i="2"/>
  <c r="H78" i="2" s="1"/>
  <c r="I78" i="2" s="1"/>
  <c r="D78" i="2" s="1"/>
  <c r="E79" i="2"/>
  <c r="G79" i="2" s="1"/>
  <c r="H204" i="1" s="1"/>
  <c r="F79" i="2"/>
  <c r="H79" i="2" s="1"/>
  <c r="I79" i="2" s="1"/>
  <c r="D79" i="2" s="1"/>
  <c r="E80" i="2"/>
  <c r="F80" i="2"/>
  <c r="G80" i="2" s="1"/>
  <c r="H205" i="1" s="1"/>
  <c r="E81" i="2"/>
  <c r="F81" i="2"/>
  <c r="E82" i="2"/>
  <c r="F82" i="2"/>
  <c r="H82" i="2" s="1"/>
  <c r="I82" i="2" s="1"/>
  <c r="D82" i="2" s="1"/>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E57" i="2"/>
  <c r="F57" i="2"/>
  <c r="H57" i="2" s="1"/>
  <c r="I57" i="2" s="1"/>
  <c r="D57" i="2" s="1"/>
  <c r="E58" i="2"/>
  <c r="F58" i="2"/>
  <c r="F27" i="2"/>
  <c r="E27" i="2"/>
  <c r="G27" i="2" s="1"/>
  <c r="H124" i="1" s="1"/>
  <c r="E59" i="2"/>
  <c r="F59" i="2"/>
  <c r="F28" i="2"/>
  <c r="H28" i="2" s="1"/>
  <c r="I28" i="2" s="1"/>
  <c r="D28" i="2" s="1"/>
  <c r="E28" i="2"/>
  <c r="E60" i="2"/>
  <c r="F60" i="2"/>
  <c r="H60" i="2" s="1"/>
  <c r="I60" i="2" s="1"/>
  <c r="D60" i="2" s="1"/>
  <c r="E61" i="2"/>
  <c r="F61" i="2"/>
  <c r="F62" i="2"/>
  <c r="G62" i="2" s="1"/>
  <c r="H177" i="1" s="1"/>
  <c r="E62" i="2"/>
  <c r="E63" i="2"/>
  <c r="F63" i="2"/>
  <c r="E64" i="2"/>
  <c r="F64" i="2"/>
  <c r="H64" i="2" s="1"/>
  <c r="I64" i="2" s="1"/>
  <c r="D64" i="2" s="1"/>
  <c r="E65" i="2"/>
  <c r="G65" i="2" s="1"/>
  <c r="H188" i="1" s="1"/>
  <c r="F65" i="2"/>
  <c r="H65" i="2"/>
  <c r="I65" i="2" s="1"/>
  <c r="D65" i="2" s="1"/>
  <c r="E66" i="2"/>
  <c r="F66" i="2"/>
  <c r="E67" i="2"/>
  <c r="G67" i="2" s="1"/>
  <c r="H191" i="1" s="1"/>
  <c r="F67" i="2"/>
  <c r="H67" i="2" s="1"/>
  <c r="I67" i="2" s="1"/>
  <c r="D67" i="2" s="1"/>
  <c r="E68" i="2"/>
  <c r="F68" i="2"/>
  <c r="H68" i="2" s="1"/>
  <c r="I68" i="2" s="1"/>
  <c r="D68" i="2" s="1"/>
  <c r="E69" i="2"/>
  <c r="F69" i="2"/>
  <c r="H69" i="2" s="1"/>
  <c r="I69" i="2" s="1"/>
  <c r="D69" i="2" s="1"/>
  <c r="E70" i="2"/>
  <c r="F70" i="2"/>
  <c r="H70" i="2" s="1"/>
  <c r="I70" i="2" s="1"/>
  <c r="D70" i="2" s="1"/>
  <c r="E71" i="2"/>
  <c r="F71" i="2"/>
  <c r="H71" i="2" s="1"/>
  <c r="I71" i="2" s="1"/>
  <c r="D71" i="2" s="1"/>
  <c r="E72" i="2"/>
  <c r="G72" i="2" s="1"/>
  <c r="H197" i="1" s="1"/>
  <c r="F72" i="2"/>
  <c r="H72" i="2" s="1"/>
  <c r="I72" i="2" s="1"/>
  <c r="D72" i="2" s="1"/>
  <c r="E73" i="2"/>
  <c r="F73" i="2"/>
  <c r="E45" i="2"/>
  <c r="F45" i="2"/>
  <c r="G45" i="2" s="1"/>
  <c r="H147" i="1" s="1"/>
  <c r="E46" i="2"/>
  <c r="F46" i="2"/>
  <c r="H46" i="2" s="1"/>
  <c r="I46" i="2" s="1"/>
  <c r="D46" i="2" s="1"/>
  <c r="E47" i="2"/>
  <c r="F47" i="2"/>
  <c r="E48" i="2"/>
  <c r="F48" i="2"/>
  <c r="F20" i="2"/>
  <c r="H20" i="2" s="1"/>
  <c r="I20" i="2" s="1"/>
  <c r="D20" i="2" s="1"/>
  <c r="E20" i="2"/>
  <c r="E49" i="2"/>
  <c r="F49" i="2"/>
  <c r="H49" i="2" s="1"/>
  <c r="I49" i="2" s="1"/>
  <c r="D49" i="2" s="1"/>
  <c r="F21" i="2"/>
  <c r="E21" i="2"/>
  <c r="E50" i="2"/>
  <c r="F50" i="2"/>
  <c r="H50" i="2" s="1"/>
  <c r="I50" i="2" s="1"/>
  <c r="D50" i="2" s="1"/>
  <c r="E51" i="2"/>
  <c r="F51" i="2"/>
  <c r="H51" i="2"/>
  <c r="I51" i="2" s="1"/>
  <c r="D51" i="2" s="1"/>
  <c r="E52" i="2"/>
  <c r="F52" i="2"/>
  <c r="E53" i="2"/>
  <c r="F53" i="2"/>
  <c r="E54" i="2"/>
  <c r="F54" i="2"/>
  <c r="F24" i="2"/>
  <c r="H24" i="2" s="1"/>
  <c r="I24" i="2" s="1"/>
  <c r="D24" i="2" s="1"/>
  <c r="E24" i="2"/>
  <c r="E55" i="2"/>
  <c r="F55" i="2"/>
  <c r="H55" i="2" s="1"/>
  <c r="I55" i="2" s="1"/>
  <c r="D55" i="2" s="1"/>
  <c r="F25" i="2"/>
  <c r="H25" i="2" s="1"/>
  <c r="I25" i="2" s="1"/>
  <c r="D25" i="2" s="1"/>
  <c r="E25" i="2"/>
  <c r="F26" i="2"/>
  <c r="G26" i="2" s="1"/>
  <c r="H122" i="1" s="1"/>
  <c r="E26" i="2"/>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9" i="14"/>
  <c r="J20" i="14"/>
  <c r="E33" i="2"/>
  <c r="F33" i="2"/>
  <c r="H33" i="2" s="1"/>
  <c r="I33" i="2" s="1"/>
  <c r="D33" i="2" s="1"/>
  <c r="F6" i="2"/>
  <c r="E6" i="2"/>
  <c r="F5" i="2"/>
  <c r="H5" i="2" s="1"/>
  <c r="I5" i="2" s="1"/>
  <c r="D5" i="2" s="1"/>
  <c r="E5" i="2"/>
  <c r="E34" i="2"/>
  <c r="F34" i="2"/>
  <c r="H34" i="2" s="1"/>
  <c r="I34" i="2" s="1"/>
  <c r="D34" i="2" s="1"/>
  <c r="F18" i="2"/>
  <c r="E18" i="2"/>
  <c r="E35" i="2"/>
  <c r="F35" i="2"/>
  <c r="H35" i="2" s="1"/>
  <c r="I35" i="2" s="1"/>
  <c r="D35" i="2" s="1"/>
  <c r="E36" i="2"/>
  <c r="F36" i="2"/>
  <c r="H36" i="2" s="1"/>
  <c r="I36" i="2" s="1"/>
  <c r="D36" i="2" s="1"/>
  <c r="F22" i="2"/>
  <c r="H22" i="2" s="1"/>
  <c r="I22" i="2" s="1"/>
  <c r="D22" i="2" s="1"/>
  <c r="E22" i="2"/>
  <c r="F7" i="2"/>
  <c r="E7" i="2"/>
  <c r="E37" i="2"/>
  <c r="F37" i="2"/>
  <c r="H37" i="2" s="1"/>
  <c r="C93" i="23" s="1"/>
  <c r="E39" i="2"/>
  <c r="F39" i="2"/>
  <c r="H39" i="2" s="1"/>
  <c r="I39" i="2" s="1"/>
  <c r="D39" i="2" s="1"/>
  <c r="E40" i="2"/>
  <c r="F40" i="2"/>
  <c r="E41" i="2"/>
  <c r="F41" i="2"/>
  <c r="G41" i="2" s="1"/>
  <c r="H139" i="1" s="1"/>
  <c r="E42" i="2"/>
  <c r="F42" i="2"/>
  <c r="H42" i="2" s="1"/>
  <c r="I42" i="2" s="1"/>
  <c r="D42" i="2" s="1"/>
  <c r="F43" i="2"/>
  <c r="H43" i="2"/>
  <c r="I43" i="2" s="1"/>
  <c r="D43" i="2" s="1"/>
  <c r="E43" i="2"/>
  <c r="E44" i="2"/>
  <c r="F44" i="2"/>
  <c r="H44" i="2" s="1"/>
  <c r="I44" i="2" s="1"/>
  <c r="D44" i="2" s="1"/>
  <c r="F19" i="2"/>
  <c r="E19" i="2"/>
  <c r="F38" i="2"/>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E13" i="2"/>
  <c r="F23" i="2"/>
  <c r="H23" i="2" s="1"/>
  <c r="I23" i="2" s="1"/>
  <c r="D23" i="2" s="1"/>
  <c r="E23" i="2"/>
  <c r="F15" i="2"/>
  <c r="E15" i="2"/>
  <c r="F16" i="2"/>
  <c r="H16" i="2" s="1"/>
  <c r="I16" i="2" s="1"/>
  <c r="D16" i="2" s="1"/>
  <c r="E16" i="2"/>
  <c r="F17" i="2"/>
  <c r="H17" i="2" s="1"/>
  <c r="I17" i="2" s="1"/>
  <c r="D17" i="2" s="1"/>
  <c r="E17" i="2"/>
  <c r="G17" i="2" s="1"/>
  <c r="H110" i="1" s="1"/>
  <c r="F29" i="2"/>
  <c r="H29" i="2" s="1"/>
  <c r="I29" i="2" s="1"/>
  <c r="D29" i="2" s="1"/>
  <c r="E29" i="2"/>
  <c r="F30" i="2"/>
  <c r="G30" i="2" s="1"/>
  <c r="H127" i="1" s="1"/>
  <c r="F31" i="2"/>
  <c r="E31" i="2"/>
  <c r="F32" i="2"/>
  <c r="F14" i="2"/>
  <c r="E14" i="2"/>
  <c r="E30" i="2"/>
  <c r="E32" i="2"/>
  <c r="N4" i="17"/>
  <c r="F12" i="2"/>
  <c r="H12" i="2" s="1"/>
  <c r="I12" i="2" s="1"/>
  <c r="D12" i="2" s="1"/>
  <c r="E12" i="2"/>
  <c r="F11" i="2"/>
  <c r="H11" i="2" s="1"/>
  <c r="I11" i="2" s="1"/>
  <c r="E11" i="2"/>
  <c r="G11" i="2" s="1"/>
  <c r="H100" i="1" s="1"/>
  <c r="F9" i="2"/>
  <c r="H9" i="2" s="1"/>
  <c r="I9" i="2" s="1"/>
  <c r="D9" i="2" s="1"/>
  <c r="E9" i="2"/>
  <c r="E8" i="2"/>
  <c r="F8" i="2"/>
  <c r="E10" i="2"/>
  <c r="F10" i="2"/>
  <c r="H10" i="2" s="1"/>
  <c r="I10" i="2" s="1"/>
  <c r="D10" i="2" s="1"/>
  <c r="E4" i="2"/>
  <c r="F4" i="2"/>
  <c r="G4" i="2" s="1"/>
  <c r="N3" i="7"/>
  <c r="N5" i="7" s="1"/>
  <c r="E6" i="11"/>
  <c r="D6" i="11"/>
  <c r="F3" i="2"/>
  <c r="J15" i="14"/>
  <c r="B2" i="2"/>
  <c r="H97" i="6"/>
  <c r="H128" i="2"/>
  <c r="I128" i="2" s="1"/>
  <c r="D128" i="2" s="1"/>
  <c r="H125" i="2"/>
  <c r="I125" i="2"/>
  <c r="D125" i="2" s="1"/>
  <c r="H121" i="2"/>
  <c r="I121" i="2" s="1"/>
  <c r="D121" i="2" s="1"/>
  <c r="H119" i="2"/>
  <c r="I119" i="2" s="1"/>
  <c r="D119" i="2" s="1"/>
  <c r="H87" i="2"/>
  <c r="I87" i="2" s="1"/>
  <c r="D87" i="2" s="1"/>
  <c r="G7" i="2"/>
  <c r="H99" i="1" s="1"/>
  <c r="I137" i="2"/>
  <c r="D137" i="2" s="1"/>
  <c r="H58" i="2"/>
  <c r="I58" i="2" s="1"/>
  <c r="D58" i="2" s="1"/>
  <c r="G121" i="2"/>
  <c r="H267" i="1" s="1"/>
  <c r="H31" i="2"/>
  <c r="I31" i="2" s="1"/>
  <c r="D31" i="2" s="1"/>
  <c r="G46" i="2"/>
  <c r="H150" i="1" s="1"/>
  <c r="G118" i="2"/>
  <c r="H263" i="1" s="1"/>
  <c r="H138" i="2"/>
  <c r="I138" i="2" s="1"/>
  <c r="D138" i="2" s="1"/>
  <c r="G134" i="2"/>
  <c r="H291" i="1" s="1"/>
  <c r="G68" i="2"/>
  <c r="H192" i="1" s="1"/>
  <c r="H27" i="2"/>
  <c r="I27" i="2" s="1"/>
  <c r="D27" i="2" s="1"/>
  <c r="H7" i="2"/>
  <c r="I7" i="2" s="1"/>
  <c r="D7" i="2" s="1"/>
  <c r="G120" i="2"/>
  <c r="H265" i="1" s="1"/>
  <c r="G127" i="2"/>
  <c r="H275" i="1" s="1"/>
  <c r="H130" i="2"/>
  <c r="I130" i="2" s="1"/>
  <c r="D130" i="2" s="1"/>
  <c r="H53" i="2"/>
  <c r="I53" i="2" s="1"/>
  <c r="D53" i="2" s="1"/>
  <c r="H30" i="2"/>
  <c r="I30" i="2" s="1"/>
  <c r="D30" i="2" s="1"/>
  <c r="H127" i="2"/>
  <c r="I127" i="2" s="1"/>
  <c r="D127" i="2" s="1"/>
  <c r="G78" i="2"/>
  <c r="H203" i="1" s="1"/>
  <c r="H86" i="2"/>
  <c r="I86" i="2" s="1"/>
  <c r="D86" i="2" s="1"/>
  <c r="G124" i="2"/>
  <c r="H272" i="1" s="1"/>
  <c r="H72" i="1"/>
  <c r="H32" i="1"/>
  <c r="H86" i="1"/>
  <c r="H83" i="1"/>
  <c r="H18" i="1"/>
  <c r="H37" i="1"/>
  <c r="H69" i="1"/>
  <c r="H60" i="1"/>
  <c r="H21" i="1"/>
  <c r="H31" i="1"/>
  <c r="H10" i="1"/>
  <c r="H7" i="1"/>
  <c r="H44" i="1"/>
  <c r="H61" i="1"/>
  <c r="H148" i="2"/>
  <c r="I148" i="2" s="1"/>
  <c r="D148" i="2" s="1"/>
  <c r="H146" i="2"/>
  <c r="I146" i="2" s="1"/>
  <c r="D146" i="2" s="1"/>
  <c r="G108" i="9"/>
  <c r="H67" i="9" a="1"/>
  <c r="H67" i="9" s="1"/>
  <c r="H118" i="9"/>
  <c r="M126" i="9"/>
  <c r="AC33" i="9" s="1" a="1"/>
  <c r="AC33" i="9" s="1"/>
  <c r="G132" i="9"/>
  <c r="W39" i="9" s="1" a="1"/>
  <c r="W39" i="9" s="1"/>
  <c r="H132" i="9"/>
  <c r="X39" i="9" s="1" a="1"/>
  <c r="X39" i="9" s="1"/>
  <c r="H127" i="9"/>
  <c r="X34" i="9" s="1" a="1"/>
  <c r="X34" i="9" s="1"/>
  <c r="C114" i="9"/>
  <c r="S21" i="9" s="1" a="1"/>
  <c r="S21" i="9" s="1"/>
  <c r="M73" i="9" a="1"/>
  <c r="M73" i="9" s="1"/>
  <c r="E135" i="9"/>
  <c r="P132" i="9"/>
  <c r="J130" i="9"/>
  <c r="Z37" i="9" s="1" a="1"/>
  <c r="Z37" i="9" s="1"/>
  <c r="J83" i="9" a="1"/>
  <c r="J83" i="9" s="1"/>
  <c r="N119" i="9"/>
  <c r="AD26" i="9" s="1" a="1"/>
  <c r="AD26" i="9" s="1"/>
  <c r="M52" i="9" a="1"/>
  <c r="M52" i="9" s="1"/>
  <c r="E118" i="9"/>
  <c r="U25" i="9" s="1" a="1"/>
  <c r="U25" i="9" s="1"/>
  <c r="P52" i="9"/>
  <c r="D123" i="9"/>
  <c r="T30" i="9" s="1" a="1"/>
  <c r="T30" i="9" s="1"/>
  <c r="D110" i="9"/>
  <c r="T17" i="9" s="1" a="1"/>
  <c r="T17" i="9" s="1"/>
  <c r="N128" i="9"/>
  <c r="AD35" i="9" s="1" a="1"/>
  <c r="AD35" i="9" s="1"/>
  <c r="D126" i="9"/>
  <c r="T33" i="9" s="1" a="1"/>
  <c r="T33" i="9" s="1"/>
  <c r="J88" i="9" a="1"/>
  <c r="J88" i="9" s="1"/>
  <c r="L77" i="9" a="1"/>
  <c r="L77" i="9" s="1"/>
  <c r="I57" i="9" a="1"/>
  <c r="I57" i="9" s="1"/>
  <c r="M105" i="9"/>
  <c r="I50" i="9" a="1"/>
  <c r="I50" i="9" s="1"/>
  <c r="M86" i="9" a="1"/>
  <c r="M86" i="9" s="1"/>
  <c r="H99" i="9"/>
  <c r="M130" i="9"/>
  <c r="K123" i="9"/>
  <c r="M67" i="9" a="1"/>
  <c r="M67" i="9" s="1"/>
  <c r="K119" i="9"/>
  <c r="AA26" i="9" s="1" a="1"/>
  <c r="AA26" i="9" s="1"/>
  <c r="P54" i="9"/>
  <c r="F102" i="9"/>
  <c r="V9" i="9" s="1" a="1"/>
  <c r="V9" i="9" s="1"/>
  <c r="K61" i="9" a="1"/>
  <c r="K61" i="9" s="1"/>
  <c r="N75" i="9" a="1"/>
  <c r="N75" i="9" s="1"/>
  <c r="I128" i="9"/>
  <c r="Y35" i="9" s="1" a="1"/>
  <c r="Y35" i="9" s="1"/>
  <c r="D111" i="9"/>
  <c r="T18" i="9" s="1" a="1"/>
  <c r="T18" i="9" s="1"/>
  <c r="M84" i="9" a="1"/>
  <c r="M84" i="9" s="1"/>
  <c r="E109" i="9"/>
  <c r="U16" i="9" s="1" a="1"/>
  <c r="U16" i="9" s="1"/>
  <c r="M53" i="9" a="1"/>
  <c r="M53" i="9" s="1"/>
  <c r="D122" i="9"/>
  <c r="T29" i="9" s="1" a="1"/>
  <c r="T29" i="9" s="1"/>
  <c r="K67" i="9" a="1"/>
  <c r="K67" i="9" s="1"/>
  <c r="P121" i="9"/>
  <c r="M115" i="9"/>
  <c r="AC22" i="9" s="1" a="1"/>
  <c r="AC22" i="9" s="1"/>
  <c r="N51" i="9" a="1"/>
  <c r="N51" i="9" s="1"/>
  <c r="I67" i="9" a="1"/>
  <c r="I67" i="9" s="1"/>
  <c r="L78" i="9" a="1"/>
  <c r="L78" i="9" s="1"/>
  <c r="B16" i="9"/>
  <c r="E16" i="9" s="1"/>
  <c r="J87" i="9" a="1"/>
  <c r="J87" i="9" s="1"/>
  <c r="I99" i="9"/>
  <c r="Y6" i="9" s="1" a="1"/>
  <c r="Y6" i="9" s="1"/>
  <c r="N99" i="9"/>
  <c r="AD6" i="9" s="1" a="1"/>
  <c r="AD6" i="9" s="1"/>
  <c r="N116" i="9"/>
  <c r="AD23" i="9" s="1" a="1"/>
  <c r="AD23" i="9" s="1"/>
  <c r="N70" i="9" a="1"/>
  <c r="N70" i="9" s="1"/>
  <c r="F101" i="9"/>
  <c r="V8" i="9" s="1" a="1"/>
  <c r="V8" i="9" s="1"/>
  <c r="J64" i="9" a="1"/>
  <c r="J64" i="9" s="1"/>
  <c r="F103" i="9"/>
  <c r="V10" i="9" s="1" a="1"/>
  <c r="V10" i="9" s="1"/>
  <c r="P103" i="9"/>
  <c r="K68" i="9" a="1"/>
  <c r="K68" i="9" s="1"/>
  <c r="J70" i="9" a="1"/>
  <c r="J70" i="9" s="1"/>
  <c r="L89" i="9" a="1"/>
  <c r="L89" i="9" s="1"/>
  <c r="E107" i="9"/>
  <c r="U14" i="9" s="1" a="1"/>
  <c r="U14" i="9" s="1"/>
  <c r="K72" i="9" a="1"/>
  <c r="K72" i="9" s="1"/>
  <c r="K77" i="9" a="1"/>
  <c r="K77" i="9" s="1"/>
  <c r="I82" i="9" a="1"/>
  <c r="I82" i="9" s="1"/>
  <c r="I63" i="9" a="1"/>
  <c r="I63" i="9" s="1"/>
  <c r="L83" i="9" a="1"/>
  <c r="L83" i="9" s="1"/>
  <c r="L125" i="9"/>
  <c r="AB32" i="9" s="1" a="1"/>
  <c r="AB32" i="9" s="1"/>
  <c r="K59" i="9" a="1"/>
  <c r="K59" i="9" s="1"/>
  <c r="L114" i="9"/>
  <c r="AB21" i="9" s="1" a="1"/>
  <c r="AB21" i="9" s="1"/>
  <c r="K101" i="9"/>
  <c r="AA8" i="9" s="1" a="1"/>
  <c r="AA8" i="9" s="1"/>
  <c r="J69" i="9" a="1"/>
  <c r="J69" i="9" s="1"/>
  <c r="I120" i="9"/>
  <c r="Y27" i="9" s="1" a="1"/>
  <c r="Y27" i="9" s="1"/>
  <c r="X44" i="9" a="1"/>
  <c r="X44" i="9" s="1"/>
  <c r="N105" i="9"/>
  <c r="AD12" i="9" s="1" a="1"/>
  <c r="AD12" i="9" s="1"/>
  <c r="I80" i="9" a="1"/>
  <c r="I80" i="9" s="1"/>
  <c r="F131" i="9"/>
  <c r="V38" i="9" s="1" a="1"/>
  <c r="V38" i="9" s="1"/>
  <c r="D99" i="9"/>
  <c r="T6" i="9" s="1" a="1"/>
  <c r="T6" i="9" s="1"/>
  <c r="M119" i="9"/>
  <c r="AC26" i="9" s="1" a="1"/>
  <c r="AC26" i="9" s="1"/>
  <c r="L123" i="9"/>
  <c r="AB30" i="9" s="1" a="1"/>
  <c r="AB30" i="9" s="1"/>
  <c r="K118" i="9"/>
  <c r="AA25" i="9" s="1" a="1"/>
  <c r="AA25" i="9" s="1"/>
  <c r="I115" i="9"/>
  <c r="Y22" i="9" s="1" a="1"/>
  <c r="Y22" i="9" s="1"/>
  <c r="P114" i="9"/>
  <c r="AF21" i="9" s="1"/>
  <c r="B14" i="20" s="1"/>
  <c r="N133" i="9"/>
  <c r="AD40" i="9" s="1" a="1"/>
  <c r="AD40" i="9" s="1"/>
  <c r="F126" i="9"/>
  <c r="V33" i="9" s="1" a="1"/>
  <c r="V33" i="9" s="1"/>
  <c r="C130" i="9"/>
  <c r="S37" i="9" s="1" a="1"/>
  <c r="S37" i="9" s="1"/>
  <c r="J76" i="9" a="1"/>
  <c r="J76" i="9" s="1"/>
  <c r="P56" i="9"/>
  <c r="H52" i="9" a="1"/>
  <c r="H52" i="9" s="1"/>
  <c r="G133" i="9"/>
  <c r="W40" i="9" s="1" a="1"/>
  <c r="W40" i="9" s="1"/>
  <c r="H54" i="9" a="1"/>
  <c r="H54" i="9" s="1"/>
  <c r="P105" i="9"/>
  <c r="I76" i="9" a="1"/>
  <c r="I76" i="9" s="1"/>
  <c r="G62" i="9" a="1"/>
  <c r="G62" i="9" s="1"/>
  <c r="J115" i="9"/>
  <c r="G104" i="9"/>
  <c r="P63" i="9"/>
  <c r="P117" i="9"/>
  <c r="I114" i="9"/>
  <c r="Y21" i="9" s="1" a="1"/>
  <c r="Y21" i="9" s="1"/>
  <c r="E113" i="9"/>
  <c r="U20" i="9" s="1" a="1"/>
  <c r="U20" i="9" s="1"/>
  <c r="K70" i="9" a="1"/>
  <c r="K70" i="9" s="1"/>
  <c r="L51" i="9" a="1"/>
  <c r="L51" i="9" s="1"/>
  <c r="K85" i="9" a="1"/>
  <c r="K85" i="9" s="1"/>
  <c r="C132" i="9"/>
  <c r="S39" i="9" s="1" a="1"/>
  <c r="S39" i="9" s="1"/>
  <c r="F116" i="9"/>
  <c r="V23" i="9" s="1" a="1"/>
  <c r="V23" i="9" s="1"/>
  <c r="P119" i="9"/>
  <c r="J116" i="9"/>
  <c r="Z23" i="9" s="1" a="1"/>
  <c r="Z23" i="9" s="1"/>
  <c r="C106" i="9"/>
  <c r="S13" i="9" s="1" a="1"/>
  <c r="S13" i="9" s="1"/>
  <c r="P106" i="9"/>
  <c r="G80" i="9" a="1"/>
  <c r="G80" i="9" s="1"/>
  <c r="P129" i="9"/>
  <c r="K103" i="9"/>
  <c r="AA10" i="9" s="1" a="1"/>
  <c r="AA10" i="9" s="1"/>
  <c r="J78" i="9" a="1"/>
  <c r="J78" i="9" s="1"/>
  <c r="M79" i="9" a="1"/>
  <c r="M79" i="9" s="1"/>
  <c r="I87" i="9" a="1"/>
  <c r="I87" i="9" s="1"/>
  <c r="N67" i="9" a="1"/>
  <c r="N67" i="9" s="1"/>
  <c r="P69" i="9"/>
  <c r="M111" i="9"/>
  <c r="AC18" i="9" s="1" a="1"/>
  <c r="AC18" i="9" s="1"/>
  <c r="J112" i="9"/>
  <c r="Z19" i="9" s="1" a="1"/>
  <c r="Z19" i="9" s="1"/>
  <c r="L131" i="9"/>
  <c r="AB38" i="9" s="1" a="1"/>
  <c r="AB38" i="9" s="1"/>
  <c r="H51" i="9" a="1"/>
  <c r="H51" i="9" s="1"/>
  <c r="N109" i="9"/>
  <c r="AD16" i="9" s="1" a="1"/>
  <c r="AD16" i="9" s="1"/>
  <c r="J111" i="9"/>
  <c r="Z18" i="9" s="1" a="1"/>
  <c r="Z18" i="9" s="1"/>
  <c r="M124" i="9"/>
  <c r="AC31" i="9" s="1" a="1"/>
  <c r="AC31" i="9" s="1"/>
  <c r="M71" i="9" a="1"/>
  <c r="M71" i="9" s="1"/>
  <c r="J67" i="9" a="1"/>
  <c r="J67" i="9" s="1"/>
  <c r="N89" i="9" a="1"/>
  <c r="N89" i="9" s="1"/>
  <c r="I133" i="9"/>
  <c r="Y40" i="9" s="1" a="1"/>
  <c r="Y40" i="9" s="1"/>
  <c r="A18" i="21"/>
  <c r="B18" i="21" s="1"/>
  <c r="L115" i="9"/>
  <c r="B5" i="9"/>
  <c r="E5" i="9" s="1"/>
  <c r="I107" i="9"/>
  <c r="Y14" i="9" s="1" a="1"/>
  <c r="Y14" i="9" s="1"/>
  <c r="D105" i="9"/>
  <c r="T12" i="9" s="1" a="1"/>
  <c r="T12" i="9" s="1"/>
  <c r="I100" i="9"/>
  <c r="Y7" i="9" s="1" a="1"/>
  <c r="Y7" i="9" s="1"/>
  <c r="L128" i="9"/>
  <c r="AB35" i="9" s="1" a="1"/>
  <c r="AB35" i="9" s="1"/>
  <c r="D120" i="9"/>
  <c r="T27" i="9" s="1" a="1"/>
  <c r="T27" i="9" s="1"/>
  <c r="I102" i="9"/>
  <c r="Y9" i="9" s="1" a="1"/>
  <c r="Y9" i="9" s="1"/>
  <c r="I62" i="9" a="1"/>
  <c r="I62" i="9" s="1"/>
  <c r="M78" i="9" a="1"/>
  <c r="M78" i="9" s="1"/>
  <c r="B7" i="9"/>
  <c r="E7" i="9" s="1" a="1"/>
  <c r="E7" i="9" s="1"/>
  <c r="J73" i="9" a="1"/>
  <c r="J73" i="9" s="1"/>
  <c r="B13" i="9"/>
  <c r="C13" i="9" s="1"/>
  <c r="E131" i="9"/>
  <c r="U38" i="9" s="1" a="1"/>
  <c r="U38" i="9" s="1"/>
  <c r="G50" i="9" a="1"/>
  <c r="G50" i="9" s="1"/>
  <c r="P110" i="9"/>
  <c r="I104" i="9"/>
  <c r="Y11" i="9" s="1" a="1"/>
  <c r="Y11" i="9" s="1"/>
  <c r="B17" i="9"/>
  <c r="E17" i="9" s="1"/>
  <c r="L109" i="9"/>
  <c r="AB16" i="9" s="1" a="1"/>
  <c r="AB16" i="9" s="1"/>
  <c r="H130" i="9"/>
  <c r="X37" i="9" s="1" a="1"/>
  <c r="X37" i="9" s="1"/>
  <c r="AD44" i="9" a="1"/>
  <c r="AD44" i="9" s="1"/>
  <c r="M58" i="9" a="1"/>
  <c r="M58" i="9" s="1"/>
  <c r="C122" i="9"/>
  <c r="S29" i="9" s="1" a="1"/>
  <c r="S29" i="9" s="1"/>
  <c r="P124" i="9"/>
  <c r="L71" i="9" a="1"/>
  <c r="L71" i="9" s="1"/>
  <c r="I110" i="9"/>
  <c r="Y17" i="9" s="1" a="1"/>
  <c r="Y17" i="9" s="1"/>
  <c r="J56" i="9" a="1"/>
  <c r="J56" i="9" s="1"/>
  <c r="K87" i="9" a="1"/>
  <c r="K87" i="9" s="1"/>
  <c r="I83" i="9" a="1"/>
  <c r="I83" i="9" s="1"/>
  <c r="N129" i="9"/>
  <c r="I60" i="9" a="1"/>
  <c r="I60" i="9" s="1"/>
  <c r="I122" i="9"/>
  <c r="Y29" i="9" s="1" a="1"/>
  <c r="Y29" i="9" s="1"/>
  <c r="N111" i="9"/>
  <c r="AD18" i="9" s="1" a="1"/>
  <c r="AD18" i="9" s="1"/>
  <c r="N71" i="9" a="1"/>
  <c r="N71" i="9" s="1"/>
  <c r="P71" i="9"/>
  <c r="G75" i="9" a="1"/>
  <c r="G75" i="9" s="1"/>
  <c r="G103" i="9"/>
  <c r="H76" i="9" a="1"/>
  <c r="H76" i="9" s="1"/>
  <c r="N126" i="9"/>
  <c r="AD33" i="9" s="1" a="1"/>
  <c r="AD33" i="9" s="1"/>
  <c r="N113" i="9"/>
  <c r="AD20" i="9" s="1" a="1"/>
  <c r="AD20" i="9" s="1"/>
  <c r="I111" i="9"/>
  <c r="Y18" i="9" s="1" a="1"/>
  <c r="Y18" i="9" s="1"/>
  <c r="I71" i="9" a="1"/>
  <c r="I71" i="9" s="1"/>
  <c r="P86" i="9"/>
  <c r="K108" i="9"/>
  <c r="AA15" i="9" s="1" a="1"/>
  <c r="AA15" i="9" s="1"/>
  <c r="H112" i="9"/>
  <c r="X19" i="9" s="1" a="1"/>
  <c r="X19" i="9" s="1"/>
  <c r="M68" i="9" a="1"/>
  <c r="M68" i="9" s="1"/>
  <c r="F105" i="9"/>
  <c r="V12" i="9" s="1" a="1"/>
  <c r="V12" i="9" s="1"/>
  <c r="J128" i="9"/>
  <c r="Z35" i="9" s="1" a="1"/>
  <c r="Z35" i="9" s="1"/>
  <c r="J75" i="9" a="1"/>
  <c r="J75" i="9" s="1"/>
  <c r="H115" i="9"/>
  <c r="G115" i="9"/>
  <c r="N69" i="9" a="1"/>
  <c r="N69" i="9" s="1"/>
  <c r="I85" i="9" a="1"/>
  <c r="I85" i="9" s="1"/>
  <c r="G123" i="9"/>
  <c r="W30" i="9" s="1" a="1"/>
  <c r="W30" i="9" s="1"/>
  <c r="F120" i="9"/>
  <c r="V27" i="9" s="1" a="1"/>
  <c r="V27" i="9" s="1"/>
  <c r="M133" i="9"/>
  <c r="AC40" i="9" s="1" a="1"/>
  <c r="AC40" i="9" s="1"/>
  <c r="L84" i="9" a="1"/>
  <c r="L84" i="9" s="1"/>
  <c r="Z43" i="9" a="1"/>
  <c r="Z43" i="9" s="1"/>
  <c r="N62" i="9" a="1"/>
  <c r="N62" i="9" s="1"/>
  <c r="C113" i="9"/>
  <c r="S20" i="9" s="1" a="1"/>
  <c r="S20" i="9" s="1"/>
  <c r="K79" i="9" a="1"/>
  <c r="K79" i="9" s="1"/>
  <c r="G121" i="9"/>
  <c r="W28" i="9" s="1" a="1"/>
  <c r="W28" i="9" s="1"/>
  <c r="L86" i="9" a="1"/>
  <c r="L86" i="9" s="1"/>
  <c r="P112" i="9"/>
  <c r="H114" i="9"/>
  <c r="X21" i="9" s="1" a="1"/>
  <c r="X21" i="9" s="1"/>
  <c r="G100" i="9"/>
  <c r="N79" i="9" a="1"/>
  <c r="N79" i="9" s="1"/>
  <c r="E111" i="9"/>
  <c r="U18" i="9" s="1" a="1"/>
  <c r="U18" i="9" s="1"/>
  <c r="E101" i="9"/>
  <c r="U8" i="9" s="1" a="1"/>
  <c r="U8" i="9" s="1"/>
  <c r="J89" i="9" a="1"/>
  <c r="J89" i="9" s="1"/>
  <c r="E125" i="9"/>
  <c r="U32" i="9" s="1" a="1"/>
  <c r="U32" i="9" s="1"/>
  <c r="L72" i="9" a="1"/>
  <c r="L72" i="9" s="1"/>
  <c r="L73" i="9" a="1"/>
  <c r="L73" i="9" s="1"/>
  <c r="I81" i="9" a="1"/>
  <c r="I81" i="9" s="1"/>
  <c r="P61" i="9"/>
  <c r="N59" i="9" a="1"/>
  <c r="N59" i="9" s="1"/>
  <c r="H83" i="9" a="1"/>
  <c r="H83" i="9" s="1"/>
  <c r="F104" i="9"/>
  <c r="V11" i="9" s="1" a="1"/>
  <c r="V11" i="9" s="1"/>
  <c r="L58" i="9" a="1"/>
  <c r="L58" i="9" s="1"/>
  <c r="D113" i="9"/>
  <c r="T20" i="9" s="1" a="1"/>
  <c r="T20" i="9" s="1"/>
  <c r="G129" i="9"/>
  <c r="W36" i="9" s="1" a="1"/>
  <c r="W36" i="9" s="1"/>
  <c r="M59" i="9" a="1"/>
  <c r="M59" i="9" s="1"/>
  <c r="H111" i="9"/>
  <c r="X18" i="9" s="1" a="1"/>
  <c r="X18" i="9" s="1"/>
  <c r="AA43" i="9" a="1"/>
  <c r="AA43" i="9" s="1"/>
  <c r="D135" i="9"/>
  <c r="T42" i="9" s="1" a="1"/>
  <c r="T42" i="9" s="1"/>
  <c r="E106" i="9"/>
  <c r="U13" i="9" s="1" a="1"/>
  <c r="U13" i="9" s="1"/>
  <c r="N124" i="9"/>
  <c r="AD31" i="9" s="1" a="1"/>
  <c r="AD31" i="9" s="1"/>
  <c r="N130" i="9"/>
  <c r="AD37" i="9" s="1" a="1"/>
  <c r="AD37" i="9" s="1"/>
  <c r="H61" i="9" a="1"/>
  <c r="H61" i="9" s="1"/>
  <c r="M77" i="9" a="1"/>
  <c r="M77" i="9" s="1"/>
  <c r="L118" i="9"/>
  <c r="AB25" i="9" s="1" a="1"/>
  <c r="AB25" i="9" s="1"/>
  <c r="I74" i="9" a="1"/>
  <c r="I74" i="9" s="1"/>
  <c r="D131" i="9"/>
  <c r="T38" i="9" s="1" a="1"/>
  <c r="T38" i="9" s="1"/>
  <c r="C131" i="9"/>
  <c r="S38" i="9" s="1" a="1"/>
  <c r="S38" i="9" s="1"/>
  <c r="A38" i="21"/>
  <c r="B38" i="21" s="1"/>
  <c r="J65" i="9" a="1"/>
  <c r="J65" i="9" s="1"/>
  <c r="H110" i="9"/>
  <c r="X17" i="9" s="1" a="1"/>
  <c r="X17" i="9" s="1"/>
  <c r="I53" i="9" a="1"/>
  <c r="I53" i="9" s="1"/>
  <c r="I72" i="9" a="1"/>
  <c r="I72" i="9" s="1"/>
  <c r="G52" i="9" a="1"/>
  <c r="G52" i="9" s="1"/>
  <c r="E100" i="9"/>
  <c r="U7" i="9" s="1" a="1"/>
  <c r="U7" i="9" s="1"/>
  <c r="B11" i="9"/>
  <c r="E11" i="9" s="1"/>
  <c r="P82" i="9"/>
  <c r="G107" i="9"/>
  <c r="W14" i="9" s="1" a="1"/>
  <c r="W14" i="9" s="1"/>
  <c r="C99" i="9"/>
  <c r="S6" i="9" s="1" a="1"/>
  <c r="S6" i="9" s="1"/>
  <c r="P73" i="9"/>
  <c r="I112" i="9"/>
  <c r="Y19" i="9" s="1" a="1"/>
  <c r="Y19" i="9" s="1"/>
  <c r="E114" i="9"/>
  <c r="U21" i="9" s="1" a="1"/>
  <c r="U21" i="9" s="1"/>
  <c r="F128" i="9"/>
  <c r="V35" i="9" s="1" a="1"/>
  <c r="V35" i="9" s="1"/>
  <c r="A36" i="21"/>
  <c r="B36" i="21" s="1"/>
  <c r="A30" i="21"/>
  <c r="B30" i="21" s="1"/>
  <c r="A26" i="21"/>
  <c r="B26" i="21" s="1"/>
  <c r="A41" i="21"/>
  <c r="B41" i="21" s="1"/>
  <c r="A19" i="21"/>
  <c r="B19" i="21" s="1"/>
  <c r="A17" i="21"/>
  <c r="B17" i="21" s="1"/>
  <c r="N64" i="9" a="1"/>
  <c r="N64" i="9" s="1"/>
  <c r="G120" i="9"/>
  <c r="W27" i="9" s="1" a="1"/>
  <c r="W27" i="9" s="1"/>
  <c r="G64" i="9" a="1"/>
  <c r="G64" i="9" s="1"/>
  <c r="I105" i="9"/>
  <c r="Y12" i="9" s="1" a="1"/>
  <c r="Y12" i="9" s="1"/>
  <c r="D102" i="9"/>
  <c r="T9" i="9" s="1" a="1"/>
  <c r="T9" i="9" s="1"/>
  <c r="M57" i="9" a="1"/>
  <c r="M57" i="9" s="1"/>
  <c r="F108" i="9"/>
  <c r="V15" i="9" s="1" a="1"/>
  <c r="V15" i="9" s="1"/>
  <c r="C105" i="9"/>
  <c r="S12" i="9" s="1" a="1"/>
  <c r="S12" i="9" s="1"/>
  <c r="M60" i="9" a="1"/>
  <c r="M60" i="9" s="1"/>
  <c r="J122" i="9"/>
  <c r="Z29" i="9" s="1" a="1"/>
  <c r="Z29" i="9" s="1"/>
  <c r="B10" i="9"/>
  <c r="C10" i="9" s="1"/>
  <c r="J50" i="9" a="1"/>
  <c r="J50" i="9" s="1"/>
  <c r="E127" i="9"/>
  <c r="U34" i="9" s="1" a="1"/>
  <c r="U34" i="9" s="1"/>
  <c r="M82" i="9" a="1"/>
  <c r="M82" i="9" s="1"/>
  <c r="C112" i="9"/>
  <c r="S19" i="9" s="1" a="1"/>
  <c r="S19" i="9" s="1"/>
  <c r="G68" i="9" a="1"/>
  <c r="G68" i="9" s="1"/>
  <c r="M64" i="9" a="1"/>
  <c r="M64" i="9" s="1"/>
  <c r="I68" i="9" a="1"/>
  <c r="I68" i="9" s="1"/>
  <c r="K78" i="9" a="1"/>
  <c r="K78" i="9" s="1"/>
  <c r="N88" i="9" a="1"/>
  <c r="N88" i="9" s="1"/>
  <c r="M50" i="9" a="1"/>
  <c r="M50" i="9" s="1"/>
  <c r="L108" i="9"/>
  <c r="G110" i="9"/>
  <c r="W17" i="9" s="1" a="1"/>
  <c r="W17" i="9" s="1"/>
  <c r="G134" i="9"/>
  <c r="N56" i="9" a="1"/>
  <c r="N56" i="9" s="1"/>
  <c r="J134" i="9"/>
  <c r="Z41" i="9" s="1" a="1"/>
  <c r="Z41" i="9" s="1"/>
  <c r="F119" i="9"/>
  <c r="V26" i="9" s="1" a="1"/>
  <c r="V26" i="9" s="1"/>
  <c r="F109" i="9"/>
  <c r="V16" i="9" s="1" a="1"/>
  <c r="V16" i="9" s="1"/>
  <c r="I108" i="9"/>
  <c r="Y15" i="9" s="1" a="1"/>
  <c r="Y15" i="9" s="1"/>
  <c r="P70" i="9"/>
  <c r="H131" i="9"/>
  <c r="I118" i="9"/>
  <c r="Y25" i="9" s="1" a="1"/>
  <c r="Y25" i="9" s="1"/>
  <c r="B14" i="9"/>
  <c r="E14" i="9" s="1"/>
  <c r="D119" i="9"/>
  <c r="T26" i="9" s="1" a="1"/>
  <c r="T26" i="9" s="1"/>
  <c r="K102" i="9"/>
  <c r="AA9" i="9" s="1" a="1"/>
  <c r="AA9" i="9" s="1"/>
  <c r="AB43" i="9" a="1"/>
  <c r="AB43" i="9" s="1"/>
  <c r="I61" i="9" a="1"/>
  <c r="I61" i="9" s="1"/>
  <c r="C120" i="9"/>
  <c r="S27" i="9" s="1" a="1"/>
  <c r="S27" i="9" s="1"/>
  <c r="K62" i="9" a="1"/>
  <c r="K62" i="9" s="1"/>
  <c r="G60" i="9" a="1"/>
  <c r="G60" i="9" s="1"/>
  <c r="P60" i="9"/>
  <c r="D118" i="9"/>
  <c r="T25" i="9" s="1" a="1"/>
  <c r="T25" i="9" s="1"/>
  <c r="L74" i="9" a="1"/>
  <c r="L74" i="9" s="1"/>
  <c r="P85" i="9"/>
  <c r="I116" i="9"/>
  <c r="Y23" i="9" s="1" a="1"/>
  <c r="Y23" i="9" s="1"/>
  <c r="Y43" i="9" a="1"/>
  <c r="Y43" i="9" s="1"/>
  <c r="K53" i="9" a="1"/>
  <c r="K53" i="9" s="1"/>
  <c r="L56" i="9" a="1"/>
  <c r="L56" i="9" s="1"/>
  <c r="P123" i="9"/>
  <c r="K86" i="9" a="1"/>
  <c r="K86" i="9" s="1"/>
  <c r="J60" i="9" a="1"/>
  <c r="J60" i="9" s="1"/>
  <c r="M63" i="9" a="1"/>
  <c r="M63" i="9" s="1"/>
  <c r="K71" i="9" a="1"/>
  <c r="K71" i="9" s="1"/>
  <c r="I131" i="9"/>
  <c r="Y38" i="9" s="1" a="1"/>
  <c r="Y38" i="9" s="1"/>
  <c r="H120" i="9"/>
  <c r="P115" i="9"/>
  <c r="P57" i="9"/>
  <c r="L68" i="9" a="1"/>
  <c r="L68" i="9" s="1"/>
  <c r="D130" i="9"/>
  <c r="T37" i="9" s="1" a="1"/>
  <c r="T37" i="9" s="1"/>
  <c r="H63" i="9" a="1"/>
  <c r="H63" i="9" s="1"/>
  <c r="G101" i="9"/>
  <c r="W8" i="9" s="1" a="1"/>
  <c r="W8" i="9" s="1"/>
  <c r="J105" i="9"/>
  <c r="Z12" i="9" s="1" a="1"/>
  <c r="Z12" i="9" s="1"/>
  <c r="M65" i="9" a="1"/>
  <c r="M65" i="9" s="1"/>
  <c r="P107" i="9"/>
  <c r="AF14" i="9" s="1"/>
  <c r="B11" i="20" s="1"/>
  <c r="M120" i="9"/>
  <c r="AC27" i="9" s="1" a="1"/>
  <c r="AC27" i="9" s="1"/>
  <c r="P68" i="9"/>
  <c r="H119" i="9"/>
  <c r="X26" i="9" s="1" a="1"/>
  <c r="X26" i="9" s="1"/>
  <c r="I135" i="9"/>
  <c r="Y42" i="9" s="1" a="1"/>
  <c r="Y42" i="9" s="1"/>
  <c r="D134" i="9"/>
  <c r="T41" i="9" s="1" a="1"/>
  <c r="T41" i="9" s="1"/>
  <c r="D101" i="9"/>
  <c r="T8" i="9" s="1" a="1"/>
  <c r="T8" i="9" s="1"/>
  <c r="I70" i="9" a="1"/>
  <c r="I70" i="9" s="1"/>
  <c r="L130" i="9"/>
  <c r="AB37" i="9" s="1" a="1"/>
  <c r="AB37" i="9" s="1"/>
  <c r="D121" i="9"/>
  <c r="T28" i="9" s="1" a="1"/>
  <c r="T28" i="9" s="1"/>
  <c r="L63" i="9" a="1"/>
  <c r="L63" i="9" s="1"/>
  <c r="D108" i="9"/>
  <c r="T15" i="9" s="1" a="1"/>
  <c r="T15" i="9" s="1"/>
  <c r="G54" i="9" a="1"/>
  <c r="G54" i="9" s="1"/>
  <c r="D100" i="9"/>
  <c r="T7" i="9" s="1" a="1"/>
  <c r="T7" i="9" s="1"/>
  <c r="M70" i="9" a="1"/>
  <c r="M70" i="9" s="1"/>
  <c r="E104" i="9"/>
  <c r="L104" i="9"/>
  <c r="AB11" i="9" s="1" a="1"/>
  <c r="AB11" i="9" s="1"/>
  <c r="G70" i="9" a="1"/>
  <c r="G70" i="9" s="1"/>
  <c r="L81" i="9" a="1"/>
  <c r="L81" i="9" s="1"/>
  <c r="G61" i="9" a="1"/>
  <c r="G61" i="9" s="1"/>
  <c r="J79" i="9" a="1"/>
  <c r="J79" i="9" s="1"/>
  <c r="L135" i="9"/>
  <c r="AB42" i="9" s="1" a="1"/>
  <c r="AB42" i="9" s="1"/>
  <c r="D129" i="9"/>
  <c r="T36" i="9" s="1" a="1"/>
  <c r="T36" i="9" s="1"/>
  <c r="P88" i="9"/>
  <c r="L106" i="9"/>
  <c r="AB13" i="9" s="1" a="1"/>
  <c r="AB13" i="9" s="1"/>
  <c r="K131" i="9"/>
  <c r="AA38" i="9" s="1" a="1"/>
  <c r="AA38" i="9" s="1"/>
  <c r="F134" i="9"/>
  <c r="V41" i="9" s="1" a="1"/>
  <c r="V41" i="9" s="1"/>
  <c r="E103" i="9"/>
  <c r="U10" i="9" s="1" a="1"/>
  <c r="U10" i="9" s="1"/>
  <c r="P62" i="9"/>
  <c r="D128" i="9"/>
  <c r="T35" i="9" s="1" a="1"/>
  <c r="T35" i="9" s="1"/>
  <c r="K106" i="9"/>
  <c r="AA13" i="9" s="1" a="1"/>
  <c r="AA13" i="9" s="1"/>
  <c r="I113" i="9"/>
  <c r="Y20" i="9" s="1" a="1"/>
  <c r="Y20" i="9" s="1"/>
  <c r="M85" i="9" a="1"/>
  <c r="M85" i="9" s="1"/>
  <c r="I64" i="9" a="1"/>
  <c r="I64" i="9" s="1"/>
  <c r="N85" i="9" a="1"/>
  <c r="N85" i="9" s="1"/>
  <c r="F107" i="9"/>
  <c r="V14" i="9" s="1" a="1"/>
  <c r="V14" i="9" s="1"/>
  <c r="L117" i="9"/>
  <c r="AB24" i="9" s="1" a="1"/>
  <c r="AB24" i="9" s="1"/>
  <c r="M134" i="9"/>
  <c r="AC41" i="9" s="1" a="1"/>
  <c r="AC41" i="9" s="1"/>
  <c r="M109" i="9"/>
  <c r="AC16" i="9" s="1" a="1"/>
  <c r="AC16" i="9" s="1"/>
  <c r="E115" i="9"/>
  <c r="U22" i="9" s="1" a="1"/>
  <c r="U22" i="9" s="1"/>
  <c r="N72" i="9" a="1"/>
  <c r="N72" i="9" s="1"/>
  <c r="N112" i="9"/>
  <c r="AD19" i="9" s="1" a="1"/>
  <c r="AD19" i="9" s="1"/>
  <c r="M62" i="9" a="1"/>
  <c r="M62" i="9" s="1"/>
  <c r="E124" i="9"/>
  <c r="U31" i="9" s="1" a="1"/>
  <c r="U31" i="9" s="1"/>
  <c r="F114" i="9"/>
  <c r="V21" i="9" s="1" a="1"/>
  <c r="V21" i="9" s="1"/>
  <c r="N102" i="9"/>
  <c r="AD9" i="9" s="1" a="1"/>
  <c r="AD9" i="9" s="1"/>
  <c r="J117" i="9"/>
  <c r="Z24" i="9" s="1" a="1"/>
  <c r="Z24" i="9" s="1"/>
  <c r="G106" i="9"/>
  <c r="W13" i="9" s="1" a="1"/>
  <c r="W13" i="9" s="1"/>
  <c r="G63" i="9" a="1"/>
  <c r="G63" i="9" s="1"/>
  <c r="M104" i="9"/>
  <c r="AC11" i="9" s="1" a="1"/>
  <c r="AC11" i="9" s="1"/>
  <c r="D103" i="9"/>
  <c r="T10" i="9" s="1" a="1"/>
  <c r="T10" i="9" s="1"/>
  <c r="L112" i="9"/>
  <c r="AB19" i="9" s="1" a="1"/>
  <c r="AB19" i="9" s="1"/>
  <c r="P65" i="9"/>
  <c r="E133" i="9"/>
  <c r="U40" i="9" s="1" a="1"/>
  <c r="U40" i="9" s="1"/>
  <c r="M112" i="9"/>
  <c r="AC19" i="9" s="1" a="1"/>
  <c r="AC19" i="9" s="1"/>
  <c r="K74" i="9" a="1"/>
  <c r="K74" i="9" s="1"/>
  <c r="N86" i="9" a="1"/>
  <c r="N86" i="9" s="1"/>
  <c r="K52" i="9" a="1"/>
  <c r="K52" i="9" s="1"/>
  <c r="W43" i="9" a="1"/>
  <c r="W43" i="9" s="1"/>
  <c r="P78" i="9"/>
  <c r="E134" i="9"/>
  <c r="U41" i="9" s="1" a="1"/>
  <c r="U41" i="9" s="1"/>
  <c r="J61" i="9" a="1"/>
  <c r="J61" i="9" s="1"/>
  <c r="G124" i="9"/>
  <c r="W31" i="9" s="1" a="1"/>
  <c r="W31" i="9" s="1"/>
  <c r="P104" i="9"/>
  <c r="F106" i="9"/>
  <c r="V13" i="9" s="1" a="1"/>
  <c r="V13" i="9" s="1"/>
  <c r="D107" i="9"/>
  <c r="T14" i="9" s="1" a="1"/>
  <c r="T14" i="9" s="1"/>
  <c r="L120" i="9"/>
  <c r="AB27" i="9" s="1" a="1"/>
  <c r="AB27" i="9" s="1"/>
  <c r="I134" i="9"/>
  <c r="Y41" i="9" s="1" a="1"/>
  <c r="Y41" i="9" s="1"/>
  <c r="I69" i="9" a="1"/>
  <c r="I69" i="9" s="1"/>
  <c r="C103" i="9"/>
  <c r="S10" i="9" s="1" a="1"/>
  <c r="S10" i="9" s="1"/>
  <c r="D104" i="9"/>
  <c r="G53" i="9" a="1"/>
  <c r="G53" i="9" s="1"/>
  <c r="I124" i="9"/>
  <c r="Y31" i="9" s="1" a="1"/>
  <c r="Y31" i="9" s="1"/>
  <c r="K111" i="9"/>
  <c r="AA18" i="9" s="1" a="1"/>
  <c r="AA18" i="9" s="1"/>
  <c r="I109" i="9"/>
  <c r="Y16" i="9" s="1" a="1"/>
  <c r="Y16" i="9" s="1"/>
  <c r="M75" i="9" a="1"/>
  <c r="M75" i="9" s="1"/>
  <c r="J118" i="9"/>
  <c r="Z25" i="9" s="1" a="1"/>
  <c r="Z25" i="9" s="1"/>
  <c r="N104" i="9"/>
  <c r="AD11" i="9" s="1" a="1"/>
  <c r="AD11" i="9" s="1"/>
  <c r="F117" i="9"/>
  <c r="V24" i="9" s="1" a="1"/>
  <c r="V24" i="9" s="1"/>
  <c r="F122" i="9"/>
  <c r="V29" i="9" s="1" a="1"/>
  <c r="V29" i="9" s="1"/>
  <c r="K58" i="9" a="1"/>
  <c r="K58" i="9" s="1"/>
  <c r="H104" i="9"/>
  <c r="X11" i="9" s="1" a="1"/>
  <c r="X11" i="9" s="1"/>
  <c r="L121" i="9"/>
  <c r="AB28" i="9" s="1" a="1"/>
  <c r="AB28" i="9" s="1"/>
  <c r="C115" i="9"/>
  <c r="S22" i="9" s="1" a="1"/>
  <c r="S22" i="9" s="1"/>
  <c r="L76" i="9" a="1"/>
  <c r="L76" i="9" s="1"/>
  <c r="M76" i="9" a="1"/>
  <c r="M76" i="9" s="1"/>
  <c r="M117" i="9"/>
  <c r="AC24" i="9" s="1" a="1"/>
  <c r="AC24" i="9" s="1"/>
  <c r="L64" i="9" a="1"/>
  <c r="L64" i="9" s="1"/>
  <c r="I129" i="9"/>
  <c r="Y36" i="9" s="1" a="1"/>
  <c r="Y36" i="9" s="1"/>
  <c r="H103" i="9"/>
  <c r="X10" i="9" s="1" a="1"/>
  <c r="X10" i="9" s="1"/>
  <c r="L54" i="9" a="1"/>
  <c r="L54" i="9" s="1"/>
  <c r="C129" i="9"/>
  <c r="S36" i="9" s="1" a="1"/>
  <c r="S36" i="9" s="1"/>
  <c r="J107" i="9"/>
  <c r="Z14" i="9" s="1" a="1"/>
  <c r="Z14" i="9" s="1"/>
  <c r="J108" i="9"/>
  <c r="Z15" i="9" s="1" a="1"/>
  <c r="Z15" i="9" s="1"/>
  <c r="H60" i="9" a="1"/>
  <c r="H60" i="9" s="1"/>
  <c r="E128" i="9"/>
  <c r="U35" i="9" s="1" a="1"/>
  <c r="U35" i="9" s="1"/>
  <c r="K80" i="9" a="1"/>
  <c r="K80" i="9" s="1"/>
  <c r="N65" i="9" a="1"/>
  <c r="N65" i="9" s="1"/>
  <c r="N106" i="9"/>
  <c r="AD13" i="9" s="1" a="1"/>
  <c r="AD13" i="9" s="1"/>
  <c r="I117" i="9"/>
  <c r="L110" i="9"/>
  <c r="AB17" i="9" s="1" a="1"/>
  <c r="AB17" i="9" s="1"/>
  <c r="G128" i="9"/>
  <c r="W35" i="9" s="1" a="1"/>
  <c r="W35" i="9" s="1"/>
  <c r="K82" i="9" a="1"/>
  <c r="K82" i="9" s="1"/>
  <c r="J125" i="9"/>
  <c r="Z32" i="9" s="1" a="1"/>
  <c r="Z32" i="9" s="1"/>
  <c r="M128" i="9"/>
  <c r="AC35" i="9" s="1" a="1"/>
  <c r="AC35" i="9" s="1"/>
  <c r="H68" i="9" a="1"/>
  <c r="H68" i="9" s="1"/>
  <c r="K65" i="9" a="1"/>
  <c r="K65" i="9" s="1"/>
  <c r="M108" i="9"/>
  <c r="AC15" i="9" s="1" a="1"/>
  <c r="AC15" i="9" s="1"/>
  <c r="L116" i="9"/>
  <c r="AB23" i="9" s="1" a="1"/>
  <c r="AB23" i="9" s="1"/>
  <c r="J132" i="9"/>
  <c r="Z39" i="9" s="1" a="1"/>
  <c r="Z39" i="9" s="1"/>
  <c r="P77" i="9"/>
  <c r="J101" i="9"/>
  <c r="Z8" i="9" s="1" a="1"/>
  <c r="Z8" i="9" s="1"/>
  <c r="C109" i="9"/>
  <c r="S16" i="9" s="1" a="1"/>
  <c r="S16" i="9" s="1"/>
  <c r="P113" i="9"/>
  <c r="P53" i="9"/>
  <c r="E102" i="9"/>
  <c r="U9" i="9" s="1" a="1"/>
  <c r="U9" i="9" s="1"/>
  <c r="G71" i="9" a="1"/>
  <c r="G71" i="9" s="1"/>
  <c r="E130" i="9"/>
  <c r="U37" i="9" s="1" a="1"/>
  <c r="U37" i="9" s="1"/>
  <c r="J124" i="9"/>
  <c r="Z31" i="9" s="1" a="1"/>
  <c r="Z31" i="9" s="1"/>
  <c r="H79" i="9" a="1"/>
  <c r="H79" i="9" s="1"/>
  <c r="AC44" i="9" a="1"/>
  <c r="AC44" i="9" s="1"/>
  <c r="K81" i="9" a="1"/>
  <c r="K81" i="9" s="1"/>
  <c r="M123" i="9"/>
  <c r="AC30" i="9" s="1" a="1"/>
  <c r="AC30" i="9" s="1"/>
  <c r="H135" i="9"/>
  <c r="M114" i="9"/>
  <c r="AC21" i="9" s="1" a="1"/>
  <c r="AC21" i="9" s="1"/>
  <c r="K50" i="9" a="1"/>
  <c r="K50" i="9" s="1"/>
  <c r="E129" i="9"/>
  <c r="U36" i="9" s="1" a="1"/>
  <c r="U36" i="9" s="1"/>
  <c r="I101" i="9"/>
  <c r="Y8" i="9" s="1" a="1"/>
  <c r="Y8" i="9" s="1"/>
  <c r="H70" i="9" a="1"/>
  <c r="H70" i="9" s="1"/>
  <c r="E120" i="9"/>
  <c r="U27" i="9" s="1" a="1"/>
  <c r="U27" i="9" s="1"/>
  <c r="L75" i="9" a="1"/>
  <c r="L75" i="9" s="1"/>
  <c r="J68" i="9" a="1"/>
  <c r="J68" i="9" s="1"/>
  <c r="M107" i="9"/>
  <c r="AC14" i="9" s="1" a="1"/>
  <c r="AC14" i="9" s="1"/>
  <c r="J86" i="9" a="1"/>
  <c r="J86" i="9" s="1"/>
  <c r="L133" i="9"/>
  <c r="AB40" i="9" s="1" a="1"/>
  <c r="AB40" i="9" s="1"/>
  <c r="J53" i="9" a="1"/>
  <c r="J53" i="9" s="1"/>
  <c r="I89" i="9" a="1"/>
  <c r="I89" i="9" s="1"/>
  <c r="I119" i="9"/>
  <c r="Y26" i="9" s="1" a="1"/>
  <c r="Y26" i="9" s="1"/>
  <c r="N73" i="9" a="1"/>
  <c r="N73" i="9" s="1"/>
  <c r="J84" i="9" a="1"/>
  <c r="J84" i="9" s="1"/>
  <c r="G65" i="9" a="1"/>
  <c r="G65" i="9" s="1"/>
  <c r="N50" i="9" a="1"/>
  <c r="N50" i="9" s="1"/>
  <c r="M51" i="9" a="1"/>
  <c r="M51" i="9" s="1"/>
  <c r="K114" i="9"/>
  <c r="AA21" i="9" s="1" a="1"/>
  <c r="AA21" i="9" s="1"/>
  <c r="K99" i="9"/>
  <c r="AA6" i="9" s="1" a="1"/>
  <c r="AA6" i="9" s="1"/>
  <c r="L55" i="9" a="1"/>
  <c r="L55" i="9" s="1"/>
  <c r="N68" i="9" a="1"/>
  <c r="N68" i="9" s="1"/>
  <c r="K66" i="9" a="1"/>
  <c r="K66" i="9" s="1"/>
  <c r="N77" i="9" a="1"/>
  <c r="N77" i="9" s="1"/>
  <c r="F132" i="9"/>
  <c r="V39" i="9" s="1" a="1"/>
  <c r="V39" i="9" s="1"/>
  <c r="N87" i="9" a="1"/>
  <c r="N87" i="9" s="1"/>
  <c r="N120" i="9"/>
  <c r="L50" i="9" a="1"/>
  <c r="L50" i="9" s="1"/>
  <c r="P81" i="9"/>
  <c r="I125" i="9"/>
  <c r="Y32" i="9" s="1" a="1"/>
  <c r="Y32" i="9" s="1"/>
  <c r="M129" i="9"/>
  <c r="AC36" i="9" s="1" a="1"/>
  <c r="AC36" i="9" s="1"/>
  <c r="J129" i="9"/>
  <c r="Z36" i="9" s="1" a="1"/>
  <c r="Z36" i="9" s="1"/>
  <c r="N83" i="9" a="1"/>
  <c r="N83" i="9" s="1"/>
  <c r="AA44" i="9" a="1"/>
  <c r="AA44" i="9" s="1"/>
  <c r="N100" i="9"/>
  <c r="AD7" i="9" s="1" a="1"/>
  <c r="AD7" i="9" s="1"/>
  <c r="K75" i="9" a="1"/>
  <c r="K75" i="9" s="1"/>
  <c r="P67" i="9"/>
  <c r="K116" i="9"/>
  <c r="AA23" i="9" s="1" a="1"/>
  <c r="AA23" i="9" s="1"/>
  <c r="N53" i="9" a="1"/>
  <c r="N53" i="9" s="1"/>
  <c r="C123" i="9"/>
  <c r="S30" i="9" s="1" a="1"/>
  <c r="S30" i="9" s="1"/>
  <c r="J54" i="9" a="1"/>
  <c r="J54" i="9" s="1"/>
  <c r="M131" i="9"/>
  <c r="AC38" i="9" s="1" a="1"/>
  <c r="AC38" i="9" s="1"/>
  <c r="F123" i="9"/>
  <c r="V30" i="9" s="1" a="1"/>
  <c r="V30" i="9" s="1"/>
  <c r="J127" i="9"/>
  <c r="Z34" i="9" s="1" a="1"/>
  <c r="Z34" i="9" s="1"/>
  <c r="AB44" i="9" a="1"/>
  <c r="AB44" i="9" s="1"/>
  <c r="D114" i="9"/>
  <c r="T21" i="9" s="1" a="1"/>
  <c r="T21" i="9" s="1"/>
  <c r="N54" i="9" a="1"/>
  <c r="N54" i="9" s="1"/>
  <c r="H125" i="9"/>
  <c r="X32" i="9" s="1" a="1"/>
  <c r="X32" i="9" s="1"/>
  <c r="K133" i="9"/>
  <c r="AA40" i="9" s="1" a="1"/>
  <c r="AA40" i="9" s="1"/>
  <c r="I78" i="9" a="1"/>
  <c r="I78" i="9" s="1"/>
  <c r="B49" i="9"/>
  <c r="K49" i="9" s="1" a="1"/>
  <c r="K49" i="9" s="1"/>
  <c r="G84" i="9" a="1"/>
  <c r="G84" i="9" s="1"/>
  <c r="M99" i="9"/>
  <c r="AC6" i="9" s="1" a="1"/>
  <c r="AC6" i="9" s="1"/>
  <c r="C111" i="9"/>
  <c r="S18" i="9" s="1" a="1"/>
  <c r="S18" i="9" s="1"/>
  <c r="F111" i="9"/>
  <c r="V18" i="9" s="1" a="1"/>
  <c r="V18" i="9" s="1"/>
  <c r="H106" i="9"/>
  <c r="M72" i="9" a="1"/>
  <c r="M72" i="9" s="1"/>
  <c r="D125" i="9"/>
  <c r="T32" i="9" s="1" a="1"/>
  <c r="T32" i="9" s="1"/>
  <c r="H124" i="9"/>
  <c r="X31" i="9" s="1" a="1"/>
  <c r="X31" i="9" s="1"/>
  <c r="N132" i="9"/>
  <c r="AD39" i="9" s="1" a="1"/>
  <c r="AD39" i="9" s="1"/>
  <c r="I65" i="9" a="1"/>
  <c r="I65" i="9" s="1"/>
  <c r="P87" i="9"/>
  <c r="J131" i="9"/>
  <c r="G76" i="9" a="1"/>
  <c r="G76" i="9" s="1"/>
  <c r="I127" i="9"/>
  <c r="Y34" i="9" s="1" a="1"/>
  <c r="Y34" i="9" s="1"/>
  <c r="Y44" i="9" a="1"/>
  <c r="Y44" i="9" s="1"/>
  <c r="H75" i="9" a="1"/>
  <c r="H75" i="9" s="1"/>
  <c r="C117" i="9"/>
  <c r="S24" i="9" s="1" a="1"/>
  <c r="S24" i="9" s="1"/>
  <c r="G135" i="9"/>
  <c r="J100" i="9"/>
  <c r="Z7" i="9" a="1"/>
  <c r="Z7" i="9" s="1"/>
  <c r="L126" i="9"/>
  <c r="AB33" i="9" s="1" a="1"/>
  <c r="AB33" i="9" s="1"/>
  <c r="K57" i="9" a="1"/>
  <c r="K57" i="9" s="1"/>
  <c r="N58" i="9" a="1"/>
  <c r="N58" i="9" s="1"/>
  <c r="H56" i="9" a="1"/>
  <c r="H56" i="9" s="1"/>
  <c r="M83" i="9" a="1"/>
  <c r="M83" i="9" s="1"/>
  <c r="P116" i="9"/>
  <c r="P64" i="9"/>
  <c r="L127" i="9"/>
  <c r="AB34" i="9" s="1" a="1"/>
  <c r="AB34" i="9" s="1"/>
  <c r="M116" i="9"/>
  <c r="AC23" i="9" s="1" a="1"/>
  <c r="AC23" i="9" s="1"/>
  <c r="J121" i="9"/>
  <c r="Z28" i="9" s="1" a="1"/>
  <c r="Z28" i="9" s="1"/>
  <c r="C133" i="9"/>
  <c r="S40" i="9" s="1" a="1"/>
  <c r="S40" i="9" s="1"/>
  <c r="E105" i="9"/>
  <c r="U12" i="9" s="1" a="1"/>
  <c r="U12" i="9" s="1"/>
  <c r="I75" i="9" a="1"/>
  <c r="I75" i="9" s="1"/>
  <c r="F130" i="9"/>
  <c r="V37" i="9" a="1"/>
  <c r="V37" i="9" s="1"/>
  <c r="H74" i="9" a="1"/>
  <c r="H74" i="9" s="1"/>
  <c r="N121" i="9"/>
  <c r="AD28" i="9" s="1" a="1"/>
  <c r="AD28" i="9" s="1"/>
  <c r="P108" i="9"/>
  <c r="L129" i="9"/>
  <c r="K84" i="9" a="1"/>
  <c r="K84" i="9" s="1"/>
  <c r="K134" i="9"/>
  <c r="AA41" i="9" s="1" a="1"/>
  <c r="AA41" i="9" s="1"/>
  <c r="K54" i="9" a="1"/>
  <c r="K54" i="9" s="1"/>
  <c r="C100" i="9"/>
  <c r="S7" i="9" s="1" a="1"/>
  <c r="S7" i="9" s="1"/>
  <c r="E117" i="9"/>
  <c r="U24" i="9" s="1" a="1"/>
  <c r="U24" i="9" s="1"/>
  <c r="P58" i="9"/>
  <c r="E99" i="9"/>
  <c r="U6" i="9" s="1" a="1"/>
  <c r="U6" i="9" s="1"/>
  <c r="H129" i="9"/>
  <c r="F118" i="9"/>
  <c r="V25" i="9" s="1" a="1"/>
  <c r="V25" i="9" s="1"/>
  <c r="M132" i="9"/>
  <c r="AC39" i="9" s="1" a="1"/>
  <c r="AC39" i="9" s="1"/>
  <c r="J80" i="9" a="1"/>
  <c r="J80" i="9" s="1"/>
  <c r="G105" i="9"/>
  <c r="W12" i="9" s="1" a="1"/>
  <c r="W12" i="9" s="1"/>
  <c r="B18" i="9"/>
  <c r="C18" i="9" s="1"/>
  <c r="H72" i="9" a="1"/>
  <c r="H72" i="9" s="1"/>
  <c r="AD43" i="9" a="1"/>
  <c r="AD43" i="9" s="1"/>
  <c r="K100" i="9"/>
  <c r="AA7" i="9" s="1" a="1"/>
  <c r="AA7" i="9" s="1"/>
  <c r="P109" i="9"/>
  <c r="AF16" i="9" s="1"/>
  <c r="B12" i="20" s="1"/>
  <c r="G116" i="9"/>
  <c r="W23" i="9" s="1" a="1"/>
  <c r="W23" i="9" s="1"/>
  <c r="L67" i="9" a="1"/>
  <c r="L67" i="9" s="1"/>
  <c r="P122" i="9"/>
  <c r="P66" i="9"/>
  <c r="N110" i="9"/>
  <c r="AD17" i="9" s="1" a="1"/>
  <c r="AD17" i="9" s="1"/>
  <c r="J113" i="9"/>
  <c r="Z20" i="9" s="1" a="1"/>
  <c r="Z20" i="9" s="1"/>
  <c r="J63" i="9" a="1"/>
  <c r="J63" i="9" s="1"/>
  <c r="A8" i="21"/>
  <c r="B8" i="21" s="1"/>
  <c r="I54" i="9" a="1"/>
  <c r="I54" i="9" s="1"/>
  <c r="D115" i="9"/>
  <c r="T22" i="9" s="1" a="1"/>
  <c r="T22" i="9" s="1"/>
  <c r="N115" i="9"/>
  <c r="B12" i="9"/>
  <c r="E12" i="9" s="1"/>
  <c r="B9" i="9"/>
  <c r="C9" i="9" s="1"/>
  <c r="C101" i="9"/>
  <c r="S8" i="9" s="1" a="1"/>
  <c r="S8" i="9" s="1"/>
  <c r="P84" i="9"/>
  <c r="G109" i="9"/>
  <c r="W16" i="9" s="1" a="1"/>
  <c r="W16" i="9" s="1"/>
  <c r="J71" i="9" a="1"/>
  <c r="J71" i="9" s="1"/>
  <c r="F99" i="9"/>
  <c r="V6" i="9" s="1" a="1"/>
  <c r="V6" i="9" s="1"/>
  <c r="M80" i="9" a="1"/>
  <c r="M80" i="9" s="1"/>
  <c r="D133" i="9"/>
  <c r="T40" i="9" s="1" a="1"/>
  <c r="T40" i="9" s="1"/>
  <c r="E132" i="9"/>
  <c r="U39" i="9" s="1" a="1"/>
  <c r="U39" i="9" s="1"/>
  <c r="L65" i="9" a="1"/>
  <c r="L65" i="9" s="1"/>
  <c r="K122" i="9"/>
  <c r="AA29" i="9" s="1" a="1"/>
  <c r="AA29" i="9" s="1"/>
  <c r="L88" i="9" a="1"/>
  <c r="L88" i="9" s="1"/>
  <c r="AC37" i="9" a="1"/>
  <c r="AC37" i="9" s="1"/>
  <c r="G89" i="9" a="1"/>
  <c r="G89" i="9" s="1"/>
  <c r="C134" i="9"/>
  <c r="S41" i="9" s="1" a="1"/>
  <c r="S41" i="9" s="1"/>
  <c r="K73" i="9" a="1"/>
  <c r="K73" i="9" s="1"/>
  <c r="P99" i="9"/>
  <c r="G57" i="9" a="1"/>
  <c r="G57" i="9" s="1"/>
  <c r="L100" i="9"/>
  <c r="AB7" i="9" s="1" a="1"/>
  <c r="AB7" i="9" s="1"/>
  <c r="K128" i="9"/>
  <c r="AA35" i="9" s="1" a="1"/>
  <c r="AA35" i="9" s="1"/>
  <c r="N74" i="9" a="1"/>
  <c r="N74" i="9" s="1"/>
  <c r="G58" i="9" a="1"/>
  <c r="G58" i="9" s="1"/>
  <c r="G56" i="9" a="1"/>
  <c r="G56" i="9" s="1"/>
  <c r="G117" i="9"/>
  <c r="W24" i="9" s="1" a="1"/>
  <c r="W24" i="9" s="1"/>
  <c r="H134" i="9"/>
  <c r="H122" i="9"/>
  <c r="X29" i="9" a="1"/>
  <c r="X29" i="9" s="1"/>
  <c r="N63" i="9" a="1"/>
  <c r="N63" i="9" s="1"/>
  <c r="J123" i="9"/>
  <c r="Z30" i="9" s="1" a="1"/>
  <c r="Z30" i="9" s="1"/>
  <c r="J72" i="9" a="1"/>
  <c r="J72" i="9" s="1"/>
  <c r="N127" i="9"/>
  <c r="I84" i="9" a="1"/>
  <c r="I84" i="9" s="1"/>
  <c r="M106" i="9"/>
  <c r="AC13" i="9" a="1"/>
  <c r="AC13" i="9" s="1"/>
  <c r="N123" i="9"/>
  <c r="AD30" i="9" s="1" a="1"/>
  <c r="AD30" i="9" s="1"/>
  <c r="P128" i="9"/>
  <c r="G122" i="9"/>
  <c r="W29" i="9" s="1" a="1"/>
  <c r="W29" i="9" s="1"/>
  <c r="M127" i="9"/>
  <c r="AC34" i="9" s="1" a="1"/>
  <c r="AC34" i="9" s="1"/>
  <c r="H77" i="9" a="1"/>
  <c r="H77" i="9" s="1"/>
  <c r="P75" i="9"/>
  <c r="G83" i="9" a="1"/>
  <c r="G83" i="9" s="1"/>
  <c r="P102" i="9"/>
  <c r="J114" i="9"/>
  <c r="L53" i="9" a="1"/>
  <c r="L53" i="9" s="1"/>
  <c r="H58" i="9" a="1"/>
  <c r="H58" i="9" s="1"/>
  <c r="D109" i="9"/>
  <c r="T16" i="9" s="1" a="1"/>
  <c r="T16" i="9" s="1"/>
  <c r="M55" i="9" a="1"/>
  <c r="M55" i="9" s="1"/>
  <c r="H73" i="9" a="1"/>
  <c r="H73" i="9" s="1"/>
  <c r="J85" i="9" a="1"/>
  <c r="J85" i="9" s="1"/>
  <c r="P100" i="9"/>
  <c r="H102" i="9"/>
  <c r="X9" i="9" s="1" a="1"/>
  <c r="X9" i="9" s="1"/>
  <c r="I66" i="9" a="1"/>
  <c r="I66" i="9" s="1"/>
  <c r="A34" i="21"/>
  <c r="B34" i="21" s="1"/>
  <c r="K109" i="9"/>
  <c r="AA16" i="9" s="1" a="1"/>
  <c r="AA16" i="9" s="1"/>
  <c r="K127" i="9"/>
  <c r="AA34" i="9" s="1" a="1"/>
  <c r="AA34" i="9" s="1"/>
  <c r="H123" i="9"/>
  <c r="X30" i="9" s="1" a="1"/>
  <c r="X30" i="9" s="1"/>
  <c r="N107" i="9"/>
  <c r="AD14" i="9" s="1" a="1"/>
  <c r="AD14" i="9" s="1"/>
  <c r="J99" i="9"/>
  <c r="Z6" i="9" s="1" a="1"/>
  <c r="Z6" i="9" s="1"/>
  <c r="N122" i="9"/>
  <c r="AD29" i="9" s="1" a="1"/>
  <c r="AD29" i="9" s="1"/>
  <c r="J52" i="9" a="1"/>
  <c r="J52" i="9" s="1"/>
  <c r="N55" i="9" a="1"/>
  <c r="N55" i="9" s="1"/>
  <c r="H108" i="9"/>
  <c r="L85" i="9" a="1"/>
  <c r="L85" i="9" s="1"/>
  <c r="L60" i="9" a="1"/>
  <c r="L60" i="9" s="1"/>
  <c r="N84" i="9" a="1"/>
  <c r="N84" i="9" s="1"/>
  <c r="I106" i="9"/>
  <c r="Y13" i="9" s="1" a="1"/>
  <c r="Y13" i="9" s="1"/>
  <c r="L134" i="9"/>
  <c r="AB41" i="9" s="1" a="1"/>
  <c r="AB41" i="9" s="1"/>
  <c r="J135" i="9"/>
  <c r="Z42" i="9" s="1" a="1"/>
  <c r="Z42" i="9" s="1"/>
  <c r="M102" i="9"/>
  <c r="AC9" i="9" s="1" a="1"/>
  <c r="AC9" i="9" s="1"/>
  <c r="H126" i="9"/>
  <c r="X33" i="9" s="1" a="1"/>
  <c r="X33" i="9" s="1"/>
  <c r="H45" i="2"/>
  <c r="I45" i="2" s="1"/>
  <c r="D45" i="2" s="1"/>
  <c r="H109" i="2"/>
  <c r="I109" i="2" s="1"/>
  <c r="D109" i="2" s="1"/>
  <c r="H139" i="2"/>
  <c r="I139" i="2"/>
  <c r="D139" i="2" s="1"/>
  <c r="N6" i="17"/>
  <c r="C11" i="9"/>
  <c r="E13" i="9"/>
  <c r="C5" i="9"/>
  <c r="N98" i="9"/>
  <c r="AD5" i="9" s="1" a="1"/>
  <c r="AD5" i="9" s="1"/>
  <c r="K98" i="9"/>
  <c r="AA5" i="9" s="1" a="1"/>
  <c r="AA5" i="9" s="1"/>
  <c r="C70" i="23"/>
  <c r="C2" i="2"/>
  <c r="G66" i="2" l="1"/>
  <c r="H190" i="1" s="1"/>
  <c r="G61" i="2"/>
  <c r="H181" i="1" s="1"/>
  <c r="G94" i="2"/>
  <c r="H230" i="1" s="1"/>
  <c r="G139" i="2"/>
  <c r="H287" i="1" s="1"/>
  <c r="L3" i="22"/>
  <c r="G190" i="2"/>
  <c r="G185" i="2"/>
  <c r="G180" i="2"/>
  <c r="G174" i="2"/>
  <c r="G169" i="2"/>
  <c r="G164" i="2"/>
  <c r="G158" i="2"/>
  <c r="H317" i="1" s="1"/>
  <c r="G6" i="2"/>
  <c r="H117" i="1" s="1"/>
  <c r="A38" i="20"/>
  <c r="AF23" i="9"/>
  <c r="B8" i="20" s="1"/>
  <c r="A7" i="20"/>
  <c r="G38" i="2"/>
  <c r="G36" i="2"/>
  <c r="H155" i="1" s="1"/>
  <c r="G51" i="2"/>
  <c r="G184" i="2"/>
  <c r="G168" i="2"/>
  <c r="G144" i="2"/>
  <c r="H297" i="1" s="1"/>
  <c r="AF9" i="9"/>
  <c r="B33" i="20" s="1"/>
  <c r="A21" i="20"/>
  <c r="AF30" i="9"/>
  <c r="B15" i="20" s="1"/>
  <c r="G88" i="2"/>
  <c r="H216" i="1" s="1"/>
  <c r="A8" i="20"/>
  <c r="A27" i="20"/>
  <c r="G50" i="2"/>
  <c r="H157" i="1" s="1"/>
  <c r="G109" i="2"/>
  <c r="H247" i="1" s="1"/>
  <c r="H43" i="15"/>
  <c r="G150" i="2"/>
  <c r="H306" i="1" s="1"/>
  <c r="A25" i="20"/>
  <c r="A29" i="20"/>
  <c r="G32" i="2"/>
  <c r="H128" i="1" s="1"/>
  <c r="AF7" i="9"/>
  <c r="B29" i="20" s="1"/>
  <c r="AF6" i="9"/>
  <c r="B6" i="20" s="1"/>
  <c r="G105" i="2"/>
  <c r="H235" i="1" s="1"/>
  <c r="G9" i="2"/>
  <c r="H96" i="1" s="1"/>
  <c r="G23" i="2"/>
  <c r="H119" i="1" s="1"/>
  <c r="G54" i="2"/>
  <c r="H183" i="1" s="1"/>
  <c r="G97" i="2"/>
  <c r="H233" i="1" s="1"/>
  <c r="G85" i="2"/>
  <c r="H213" i="1" s="1"/>
  <c r="AF20" i="9"/>
  <c r="B37" i="20" s="1"/>
  <c r="G37" i="2"/>
  <c r="A39" i="20"/>
  <c r="A20" i="20"/>
  <c r="AF15" i="9"/>
  <c r="B4" i="20" s="1"/>
  <c r="A16" i="20"/>
  <c r="AF22" i="9"/>
  <c r="B9" i="20" s="1"/>
  <c r="AF19" i="9"/>
  <c r="B38" i="20" s="1"/>
  <c r="AF36" i="9"/>
  <c r="B17" i="20" s="1"/>
  <c r="A13" i="20"/>
  <c r="A4" i="20"/>
  <c r="A37" i="20"/>
  <c r="A40" i="20"/>
  <c r="H4" i="2"/>
  <c r="I4" i="2" s="1"/>
  <c r="D4" i="2" s="1"/>
  <c r="AF29" i="9"/>
  <c r="B28" i="20" s="1"/>
  <c r="AF11" i="9"/>
  <c r="B5" i="20" s="1"/>
  <c r="G53" i="2"/>
  <c r="G20" i="2"/>
  <c r="H114" i="1" s="1"/>
  <c r="G140" i="2"/>
  <c r="H288" i="1" s="1"/>
  <c r="AF35" i="9"/>
  <c r="B39" i="20" s="1"/>
  <c r="A34" i="20"/>
  <c r="AF13" i="9"/>
  <c r="B20" i="20" s="1"/>
  <c r="A28" i="20"/>
  <c r="H168" i="1"/>
  <c r="H158" i="1"/>
  <c r="H165" i="1"/>
  <c r="H166" i="1"/>
  <c r="G19" i="2"/>
  <c r="H113" i="1" s="1"/>
  <c r="H19" i="2"/>
  <c r="I19" i="2" s="1"/>
  <c r="D19" i="2" s="1"/>
  <c r="H81" i="2"/>
  <c r="I81" i="2" s="1"/>
  <c r="D81" i="2" s="1"/>
  <c r="G81" i="2"/>
  <c r="H207" i="1" s="1"/>
  <c r="H131" i="2"/>
  <c r="I131" i="2" s="1"/>
  <c r="D131" i="2" s="1"/>
  <c r="G131" i="2"/>
  <c r="H279" i="1" s="1"/>
  <c r="H18" i="2"/>
  <c r="I18" i="2" s="1"/>
  <c r="D18" i="2" s="1"/>
  <c r="G18" i="2"/>
  <c r="G51" i="6"/>
  <c r="I51" i="6"/>
  <c r="AC43" i="9" a="1"/>
  <c r="AC43" i="9" s="1"/>
  <c r="B4" i="9"/>
  <c r="C4" i="9" s="1"/>
  <c r="H134" i="1"/>
  <c r="H144" i="1"/>
  <c r="L79" i="9" a="1"/>
  <c r="L79" i="9" s="1"/>
  <c r="G67" i="9" a="1"/>
  <c r="G67" i="9" s="1"/>
  <c r="J109" i="9"/>
  <c r="Z16" i="9" s="1" a="1"/>
  <c r="Z16" i="9" s="1"/>
  <c r="K125" i="9"/>
  <c r="AA32" i="9" s="1" a="1"/>
  <c r="AA32" i="9" s="1"/>
  <c r="J57" i="9" a="1"/>
  <c r="J57" i="9" s="1"/>
  <c r="J59" i="9" a="1"/>
  <c r="J59" i="9" s="1"/>
  <c r="P101" i="9"/>
  <c r="H113" i="9"/>
  <c r="X20" i="9" s="1" a="1"/>
  <c r="X20" i="9" s="1"/>
  <c r="K130" i="9"/>
  <c r="AA37" i="9" s="1" a="1"/>
  <c r="AA37" i="9" s="1"/>
  <c r="I51" i="9" a="1"/>
  <c r="I51" i="9" s="1"/>
  <c r="M118" i="9"/>
  <c r="AC25" i="9" s="1" a="1"/>
  <c r="AC25" i="9" s="1"/>
  <c r="D112" i="9"/>
  <c r="T19" i="9" s="1" a="1"/>
  <c r="T19" i="9" s="1"/>
  <c r="P72" i="9"/>
  <c r="G74" i="9" a="1"/>
  <c r="G74" i="9" s="1"/>
  <c r="J110" i="9"/>
  <c r="Z17" i="9" s="1" a="1"/>
  <c r="Z17" i="9" s="1"/>
  <c r="F121" i="9"/>
  <c r="V28" i="9" s="1" a="1"/>
  <c r="V28" i="9" s="1"/>
  <c r="N108" i="9"/>
  <c r="AD15" i="9" s="1" a="1"/>
  <c r="AD15" i="9" s="1"/>
  <c r="H89" i="9" a="1"/>
  <c r="H89" i="9" s="1"/>
  <c r="H13" i="2"/>
  <c r="I13" i="2" s="1"/>
  <c r="D13" i="2" s="1"/>
  <c r="G13" i="2"/>
  <c r="H102" i="1" s="1"/>
  <c r="H319" i="1"/>
  <c r="H15" i="1"/>
  <c r="H26" i="1"/>
  <c r="H85" i="1"/>
  <c r="H3" i="1"/>
  <c r="H2" i="1"/>
  <c r="H74" i="1"/>
  <c r="H76" i="1"/>
  <c r="H51" i="1"/>
  <c r="H17" i="1"/>
  <c r="H55" i="1"/>
  <c r="H29" i="1"/>
  <c r="H50" i="1"/>
  <c r="H64" i="1"/>
  <c r="H53" i="1"/>
  <c r="H12" i="1"/>
  <c r="H9" i="1"/>
  <c r="H328" i="1"/>
  <c r="H343" i="1"/>
  <c r="H23" i="1"/>
  <c r="H342" i="1"/>
  <c r="H25" i="1"/>
  <c r="H30" i="1"/>
  <c r="H38" i="1"/>
  <c r="H42" i="1"/>
  <c r="H16" i="1"/>
  <c r="H329" i="1"/>
  <c r="H344" i="1"/>
  <c r="H84" i="1"/>
  <c r="H52" i="1"/>
  <c r="H59" i="1"/>
  <c r="H36" i="1"/>
  <c r="H28" i="1"/>
  <c r="H68" i="1"/>
  <c r="H47" i="1"/>
  <c r="H65" i="1"/>
  <c r="H58" i="1"/>
  <c r="H41" i="1"/>
  <c r="H11" i="1"/>
  <c r="H24" i="1"/>
  <c r="H66" i="1"/>
  <c r="H13" i="1"/>
  <c r="H45" i="1"/>
  <c r="H34" i="1"/>
  <c r="H73" i="1"/>
  <c r="H49" i="1"/>
  <c r="H67" i="1"/>
  <c r="H20" i="1"/>
  <c r="H48" i="1"/>
  <c r="H71" i="1"/>
  <c r="H46" i="1"/>
  <c r="H35" i="1"/>
  <c r="H5" i="1"/>
  <c r="H341" i="1"/>
  <c r="H57" i="1"/>
  <c r="H82" i="1"/>
  <c r="H14" i="1"/>
  <c r="H63" i="1"/>
  <c r="H77" i="1"/>
  <c r="H33" i="1"/>
  <c r="H70" i="1"/>
  <c r="H75" i="1"/>
  <c r="H6" i="1"/>
  <c r="H8" i="1"/>
  <c r="H22" i="1"/>
  <c r="H79" i="1"/>
  <c r="H27" i="1"/>
  <c r="H43" i="1"/>
  <c r="H40" i="1"/>
  <c r="H56" i="1"/>
  <c r="H78" i="1"/>
  <c r="H62" i="1"/>
  <c r="H54" i="1"/>
  <c r="H19" i="1"/>
  <c r="H81" i="1"/>
  <c r="H4" i="1"/>
  <c r="H39" i="1"/>
  <c r="G112" i="2"/>
  <c r="H112" i="2"/>
  <c r="I112" i="2" s="1"/>
  <c r="D112" i="2" s="1"/>
  <c r="I86" i="9" a="1"/>
  <c r="I86" i="9" s="1"/>
  <c r="D106" i="9"/>
  <c r="T13" i="9" s="1" a="1"/>
  <c r="T13" i="9" s="1"/>
  <c r="J103" i="9"/>
  <c r="Z10" i="9" s="1" a="1"/>
  <c r="Z10" i="9" s="1"/>
  <c r="N103" i="9"/>
  <c r="AD10" i="9" s="1" a="1"/>
  <c r="AD10" i="9" s="1"/>
  <c r="I130" i="9"/>
  <c r="Y37" i="9" s="1" a="1"/>
  <c r="Y37" i="9" s="1"/>
  <c r="P127" i="9"/>
  <c r="M100" i="9"/>
  <c r="AC7" i="9" s="1" a="1"/>
  <c r="AC7" i="9" s="1"/>
  <c r="G79" i="9" a="1"/>
  <c r="G79" i="9" s="1"/>
  <c r="N118" i="9"/>
  <c r="AD25" i="9" s="1" a="1"/>
  <c r="AD25" i="9" s="1"/>
  <c r="L102" i="9"/>
  <c r="AB9" i="9" s="1" a="1"/>
  <c r="AB9" i="9" s="1"/>
  <c r="G72" i="9" a="1"/>
  <c r="G72" i="9" s="1"/>
  <c r="M61" i="9" a="1"/>
  <c r="M61" i="9" s="1"/>
  <c r="C126" i="9"/>
  <c r="S33" i="9" s="1" a="1"/>
  <c r="S33" i="9" s="1"/>
  <c r="K104" i="9"/>
  <c r="AA11" i="9" s="1" a="1"/>
  <c r="AA11" i="9" s="1"/>
  <c r="P125" i="9"/>
  <c r="C104" i="9"/>
  <c r="I59" i="9" a="1"/>
  <c r="I59" i="9" s="1"/>
  <c r="G130" i="9"/>
  <c r="J102" i="9"/>
  <c r="Z9" i="9" s="1" a="1"/>
  <c r="Z9" i="9" s="1"/>
  <c r="B15" i="9"/>
  <c r="E15" i="9" s="1"/>
  <c r="F125" i="9"/>
  <c r="V32" i="9" s="1" a="1"/>
  <c r="V32" i="9" s="1"/>
  <c r="F113" i="9"/>
  <c r="V20" i="9" s="1" a="1"/>
  <c r="V20" i="9" s="1"/>
  <c r="L113" i="9"/>
  <c r="AB20" i="9" s="1" a="1"/>
  <c r="AB20" i="9" s="1"/>
  <c r="K51" i="9" a="1"/>
  <c r="K51" i="9" s="1"/>
  <c r="H107" i="9"/>
  <c r="X14" i="9" s="1" a="1"/>
  <c r="X14" i="9" s="1"/>
  <c r="H133" i="9"/>
  <c r="N134" i="9"/>
  <c r="AD41" i="9" s="1" a="1"/>
  <c r="AD41" i="9" s="1"/>
  <c r="H64" i="9" a="1"/>
  <c r="H64" i="9" s="1"/>
  <c r="J119" i="9"/>
  <c r="Z26" i="9" s="1" a="1"/>
  <c r="Z26" i="9" s="1"/>
  <c r="L122" i="9"/>
  <c r="M135" i="9"/>
  <c r="AC42" i="9" s="1" a="1"/>
  <c r="AC42" i="9" s="1"/>
  <c r="N76" i="9" a="1"/>
  <c r="N76" i="9" s="1"/>
  <c r="K120" i="9"/>
  <c r="AA27" i="9" s="1" a="1"/>
  <c r="AA27" i="9" s="1"/>
  <c r="G73" i="9" a="1"/>
  <c r="G73" i="9" s="1"/>
  <c r="L107" i="9"/>
  <c r="AB14" i="9" s="1" a="1"/>
  <c r="AB14" i="9" s="1"/>
  <c r="M110" i="9"/>
  <c r="AC17" i="9" s="1" a="1"/>
  <c r="AC17" i="9" s="1"/>
  <c r="H55" i="9" a="1"/>
  <c r="H55" i="9" s="1"/>
  <c r="D132" i="9"/>
  <c r="T39" i="9" s="1" a="1"/>
  <c r="T39" i="9" s="1"/>
  <c r="K63" i="9" a="1"/>
  <c r="K63" i="9" s="1"/>
  <c r="J55" i="9" a="1"/>
  <c r="J55" i="9" s="1"/>
  <c r="N114" i="9"/>
  <c r="AD21" i="9" s="1" a="1"/>
  <c r="AD21" i="9" s="1"/>
  <c r="H121" i="9"/>
  <c r="X28" i="9" s="1" a="1"/>
  <c r="X28" i="9" s="1"/>
  <c r="B3" i="9"/>
  <c r="C135" i="9"/>
  <c r="S42" i="9" s="1" a="1"/>
  <c r="S42" i="9" s="1"/>
  <c r="K124" i="9"/>
  <c r="AA31" i="9" s="1" a="1"/>
  <c r="AA31" i="9" s="1"/>
  <c r="K110" i="9"/>
  <c r="AA17" i="9" s="1" a="1"/>
  <c r="AA17" i="9" s="1"/>
  <c r="J81" i="9" a="1"/>
  <c r="J81" i="9" s="1"/>
  <c r="M88" i="9" a="1"/>
  <c r="M88" i="9" s="1"/>
  <c r="I88" i="9" a="1"/>
  <c r="I88" i="9" s="1"/>
  <c r="L70" i="9" a="1"/>
  <c r="L70" i="9" s="1"/>
  <c r="F129" i="9"/>
  <c r="V36" i="9" s="1" a="1"/>
  <c r="V36" i="9" s="1"/>
  <c r="H116" i="9"/>
  <c r="X23" i="9" s="1" a="1"/>
  <c r="X23" i="9" s="1"/>
  <c r="P59" i="9"/>
  <c r="L61" i="9" a="1"/>
  <c r="L61" i="9" s="1"/>
  <c r="C128" i="9"/>
  <c r="S35" i="9" s="1" a="1"/>
  <c r="S35" i="9" s="1"/>
  <c r="J104" i="9"/>
  <c r="Z11" i="9" s="1" a="1"/>
  <c r="Z11" i="9" s="1"/>
  <c r="I55" i="9" a="1"/>
  <c r="I55" i="9" s="1"/>
  <c r="L132" i="9"/>
  <c r="AB39" i="9" s="1" a="1"/>
  <c r="AB39" i="9" s="1"/>
  <c r="C116" i="9"/>
  <c r="S23" i="9" s="1" a="1"/>
  <c r="S23" i="9" s="1"/>
  <c r="P50" i="9"/>
  <c r="M122" i="9"/>
  <c r="AC29" i="9" s="1" a="1"/>
  <c r="AC29" i="9" s="1"/>
  <c r="K135" i="9"/>
  <c r="AA42" i="9" s="1" a="1"/>
  <c r="AA42" i="9" s="1"/>
  <c r="K55" i="9" a="1"/>
  <c r="K55" i="9" s="1"/>
  <c r="F133" i="9"/>
  <c r="V40" i="9" s="1" a="1"/>
  <c r="V40" i="9" s="1"/>
  <c r="K69" i="9" a="1"/>
  <c r="K69" i="9" s="1"/>
  <c r="E110" i="9"/>
  <c r="U17" i="9" s="1" a="1"/>
  <c r="U17" i="9" s="1"/>
  <c r="B8" i="9"/>
  <c r="B6" i="9"/>
  <c r="C6" i="9" s="1"/>
  <c r="G118" i="9"/>
  <c r="J58" i="9" a="1"/>
  <c r="J58" i="9" s="1"/>
  <c r="M81" i="9" a="1"/>
  <c r="M81" i="9" s="1"/>
  <c r="M113" i="9"/>
  <c r="AC20" i="9" s="1" a="1"/>
  <c r="AC20" i="9" s="1"/>
  <c r="I52" i="9" a="1"/>
  <c r="I52" i="9" s="1"/>
  <c r="H109" i="9"/>
  <c r="X16" i="9" s="1" a="1"/>
  <c r="X16" i="9" s="1"/>
  <c r="K126" i="9"/>
  <c r="AA33" i="9" s="1" a="1"/>
  <c r="AA33" i="9" s="1"/>
  <c r="K83" i="9" a="1"/>
  <c r="K83" i="9" s="1"/>
  <c r="P130" i="9"/>
  <c r="M54" i="9" a="1"/>
  <c r="M54" i="9" s="1"/>
  <c r="L105" i="9"/>
  <c r="AB12" i="9" s="1" a="1"/>
  <c r="AB12" i="9" s="1"/>
  <c r="I77" i="9" a="1"/>
  <c r="I77" i="9" s="1"/>
  <c r="P51" i="9"/>
  <c r="G77" i="9" a="1"/>
  <c r="G77" i="9" s="1"/>
  <c r="N135" i="9"/>
  <c r="AD42" i="9" s="1" a="1"/>
  <c r="AD42" i="9" s="1"/>
  <c r="K60" i="9" a="1"/>
  <c r="K60" i="9" s="1"/>
  <c r="H117" i="9"/>
  <c r="X24" i="9" s="1" a="1"/>
  <c r="X24" i="9" s="1"/>
  <c r="F135" i="9"/>
  <c r="V42" i="9" s="1" a="1"/>
  <c r="V42" i="9" s="1"/>
  <c r="G131" i="9"/>
  <c r="G127" i="9"/>
  <c r="W34" i="9" s="1" a="1"/>
  <c r="W34" i="9" s="1"/>
  <c r="J77" i="9" a="1"/>
  <c r="J77" i="9" s="1"/>
  <c r="I103" i="9"/>
  <c r="Y10" i="9" s="1" a="1"/>
  <c r="Y10" i="9" s="1"/>
  <c r="I126" i="9"/>
  <c r="Y33" i="9" s="1" a="1"/>
  <c r="Y33" i="9" s="1"/>
  <c r="L124" i="9"/>
  <c r="AB31" i="9" s="1" a="1"/>
  <c r="AB31" i="9" s="1"/>
  <c r="E116" i="9"/>
  <c r="U23" i="9" s="1" a="1"/>
  <c r="U23" i="9" s="1"/>
  <c r="C121" i="9"/>
  <c r="S28" i="9" s="1" a="1"/>
  <c r="S28" i="9" s="1"/>
  <c r="I73" i="9" a="1"/>
  <c r="I73" i="9" s="1"/>
  <c r="P74" i="9"/>
  <c r="L99" i="9"/>
  <c r="AB6" i="9" s="1" a="1"/>
  <c r="AB6" i="9" s="1"/>
  <c r="L111" i="9"/>
  <c r="AB18" i="9" s="1" a="1"/>
  <c r="AB18" i="9" s="1"/>
  <c r="E112" i="9"/>
  <c r="U19" i="9" s="1" a="1"/>
  <c r="U19" i="9" s="1"/>
  <c r="G99" i="9"/>
  <c r="W6" i="9" s="1" a="1"/>
  <c r="W6" i="9" s="1"/>
  <c r="K117" i="9"/>
  <c r="AA24" i="9" s="1" a="1"/>
  <c r="AA24" i="9" s="1"/>
  <c r="K76" i="9" a="1"/>
  <c r="K76" i="9" s="1"/>
  <c r="K89" i="9" a="1"/>
  <c r="K89" i="9" s="1"/>
  <c r="P118" i="9"/>
  <c r="AF25" i="9" s="1"/>
  <c r="B16" i="20" s="1"/>
  <c r="N61" i="9" a="1"/>
  <c r="N61" i="9" s="1"/>
  <c r="F100" i="9"/>
  <c r="V7" i="9" s="1" a="1"/>
  <c r="V7" i="9" s="1"/>
  <c r="H78" i="9" a="1"/>
  <c r="H78" i="9" s="1"/>
  <c r="H81" i="9" a="1"/>
  <c r="H81" i="9" s="1"/>
  <c r="K112" i="9"/>
  <c r="AA19" i="9" s="1" a="1"/>
  <c r="AA19" i="9" s="1"/>
  <c r="K132" i="9"/>
  <c r="AA39" i="9" s="1" a="1"/>
  <c r="AA39" i="9" s="1"/>
  <c r="M101" i="9"/>
  <c r="AC8" i="9" s="1" a="1"/>
  <c r="AC8" i="9" s="1"/>
  <c r="E108" i="9"/>
  <c r="U15" i="9" s="1" a="1"/>
  <c r="U15" i="9" s="1"/>
  <c r="J126" i="9"/>
  <c r="Z33" i="9" s="1" a="1"/>
  <c r="Z33" i="9" s="1"/>
  <c r="C118" i="9"/>
  <c r="S25" i="9" s="1" a="1"/>
  <c r="S25" i="9" s="1"/>
  <c r="G126" i="9"/>
  <c r="W33" i="9" s="1" a="1"/>
  <c r="W33" i="9" s="1"/>
  <c r="K121" i="9"/>
  <c r="AA28" i="9" s="1" a="1"/>
  <c r="AA28" i="9" s="1"/>
  <c r="P55" i="9"/>
  <c r="N81" i="9" a="1"/>
  <c r="N81" i="9" s="1"/>
  <c r="M74" i="9" a="1"/>
  <c r="M74" i="9" s="1"/>
  <c r="H128" i="9"/>
  <c r="X35" i="9" s="1" a="1"/>
  <c r="X35" i="9" s="1"/>
  <c r="I58" i="9" a="1"/>
  <c r="I58" i="9" s="1"/>
  <c r="J74" i="9" a="1"/>
  <c r="J74" i="9" s="1"/>
  <c r="F124" i="9"/>
  <c r="V31" i="9" s="1" a="1"/>
  <c r="V31" i="9" s="1"/>
  <c r="C124" i="9"/>
  <c r="S31" i="9" s="1" a="1"/>
  <c r="S31" i="9" s="1"/>
  <c r="C110" i="9"/>
  <c r="G102" i="9"/>
  <c r="W9" i="9" s="1" a="1"/>
  <c r="W9" i="9" s="1"/>
  <c r="K129" i="9"/>
  <c r="P111" i="9"/>
  <c r="L57" i="9" a="1"/>
  <c r="L57" i="9" s="1"/>
  <c r="N125" i="9"/>
  <c r="AD32" i="9" s="1" a="1"/>
  <c r="AD32" i="9" s="1"/>
  <c r="N131" i="9"/>
  <c r="AD38" i="9" s="1" a="1"/>
  <c r="AD38" i="9" s="1"/>
  <c r="G125" i="9"/>
  <c r="W32" i="9" s="1" a="1"/>
  <c r="W32" i="9" s="1"/>
  <c r="F127" i="9"/>
  <c r="V34" i="9" s="1" a="1"/>
  <c r="V34" i="9" s="1"/>
  <c r="G114" i="9"/>
  <c r="W21" i="9" s="1" a="1"/>
  <c r="W21" i="9" s="1"/>
  <c r="D116" i="9"/>
  <c r="T23" i="9" s="1" a="1"/>
  <c r="T23" i="9" s="1"/>
  <c r="H101" i="9"/>
  <c r="X8" i="9" s="1" a="1"/>
  <c r="X8" i="9" s="1"/>
  <c r="H62" i="9" a="1"/>
  <c r="H62" i="9" s="1"/>
  <c r="D127" i="9"/>
  <c r="T34" i="9" s="1" a="1"/>
  <c r="T34" i="9" s="1"/>
  <c r="G111" i="9"/>
  <c r="W18" i="9" s="1" a="1"/>
  <c r="W18" i="9" s="1"/>
  <c r="AE18" i="9" s="1"/>
  <c r="E122" i="9"/>
  <c r="U29" i="9" s="1" a="1"/>
  <c r="U29" i="9" s="1"/>
  <c r="G119" i="9"/>
  <c r="W26" i="9" s="1" a="1"/>
  <c r="W26" i="9" s="1"/>
  <c r="K56" i="9" a="1"/>
  <c r="K56" i="9" s="1"/>
  <c r="L103" i="9"/>
  <c r="AB10" i="9" s="1" a="1"/>
  <c r="AB10" i="9" s="1"/>
  <c r="E126" i="9"/>
  <c r="U33" i="9" s="1" a="1"/>
  <c r="U33" i="9" s="1"/>
  <c r="N82" i="9" a="1"/>
  <c r="N82" i="9" s="1"/>
  <c r="N57" i="9" a="1"/>
  <c r="N57" i="9" s="1"/>
  <c r="H105" i="9"/>
  <c r="X12" i="9" s="1" a="1"/>
  <c r="X12" i="9" s="1"/>
  <c r="H53" i="9" a="1"/>
  <c r="H53" i="9" s="1"/>
  <c r="O53" i="9" s="1"/>
  <c r="Q53" i="9" s="1"/>
  <c r="AB29" i="9" a="1"/>
  <c r="AB29" i="9" s="1"/>
  <c r="I37" i="2"/>
  <c r="D37" i="2" s="1"/>
  <c r="H40" i="2"/>
  <c r="I40" i="2" s="1"/>
  <c r="D40" i="2" s="1"/>
  <c r="G40" i="2"/>
  <c r="H138" i="1" s="1"/>
  <c r="H27" i="15"/>
  <c r="J22" i="22"/>
  <c r="G154" i="2"/>
  <c r="G117" i="2"/>
  <c r="H262" i="1" s="1"/>
  <c r="H54" i="2"/>
  <c r="I54" i="2" s="1"/>
  <c r="D54" i="2" s="1"/>
  <c r="F50" i="15"/>
  <c r="H20" i="15"/>
  <c r="L12" i="22"/>
  <c r="G48" i="2"/>
  <c r="H152" i="1" s="1"/>
  <c r="G58" i="2"/>
  <c r="H175" i="1" s="1"/>
  <c r="C92" i="23"/>
  <c r="C94" i="23" s="1"/>
  <c r="G191" i="2"/>
  <c r="G187" i="2"/>
  <c r="G183" i="2"/>
  <c r="G179" i="2"/>
  <c r="G175" i="2"/>
  <c r="G171" i="2"/>
  <c r="G167" i="2"/>
  <c r="G163" i="2"/>
  <c r="J66" i="9" a="1"/>
  <c r="J66" i="9" s="1"/>
  <c r="G33" i="2"/>
  <c r="H148" i="1" s="1"/>
  <c r="G47" i="2"/>
  <c r="H151" i="1" s="1"/>
  <c r="G71" i="2"/>
  <c r="H196" i="1" s="1"/>
  <c r="G57" i="2"/>
  <c r="H172" i="1" s="1"/>
  <c r="G102" i="2"/>
  <c r="H239" i="1" s="1"/>
  <c r="G91" i="2"/>
  <c r="H226" i="1" s="1"/>
  <c r="G137" i="2"/>
  <c r="H284" i="1" s="1"/>
  <c r="L8" i="22"/>
  <c r="G152" i="2"/>
  <c r="H309" i="1" s="1"/>
  <c r="G60" i="2"/>
  <c r="H179" i="1" s="1"/>
  <c r="G39" i="2"/>
  <c r="H137" i="1" s="1"/>
  <c r="G55" i="2"/>
  <c r="H163" i="1" s="1"/>
  <c r="G56" i="2"/>
  <c r="H171" i="1" s="1"/>
  <c r="G116" i="2"/>
  <c r="H260" i="1" s="1"/>
  <c r="G146" i="2"/>
  <c r="H300" i="1" s="1"/>
  <c r="G130" i="2"/>
  <c r="H278" i="1" s="1"/>
  <c r="H71" i="9" a="1"/>
  <c r="H71" i="9" s="1"/>
  <c r="L18" i="22"/>
  <c r="L6" i="22"/>
  <c r="H189" i="2"/>
  <c r="I189" i="2" s="1"/>
  <c r="D189" i="2" s="1"/>
  <c r="H185" i="2"/>
  <c r="I185" i="2" s="1"/>
  <c r="D185" i="2" s="1"/>
  <c r="H181" i="2"/>
  <c r="I181" i="2" s="1"/>
  <c r="D181" i="2" s="1"/>
  <c r="H177" i="2"/>
  <c r="I177" i="2" s="1"/>
  <c r="D177" i="2" s="1"/>
  <c r="H173" i="2"/>
  <c r="I173" i="2" s="1"/>
  <c r="D173" i="2" s="1"/>
  <c r="H169" i="2"/>
  <c r="I169" i="2" s="1"/>
  <c r="D169" i="2" s="1"/>
  <c r="H165" i="2"/>
  <c r="I165" i="2" s="1"/>
  <c r="D165" i="2" s="1"/>
  <c r="H161" i="2"/>
  <c r="I161" i="2" s="1"/>
  <c r="D161" i="2" s="1"/>
  <c r="H156" i="2"/>
  <c r="I156" i="2" s="1"/>
  <c r="D156" i="2" s="1"/>
  <c r="K312" i="1"/>
  <c r="G70" i="2"/>
  <c r="H206" i="1" s="1"/>
  <c r="C46" i="23"/>
  <c r="C48" i="23" s="1"/>
  <c r="G43" i="2"/>
  <c r="H141" i="1" s="1"/>
  <c r="C6" i="8"/>
  <c r="C21" i="23"/>
  <c r="C69" i="23"/>
  <c r="C71" i="23" s="1"/>
  <c r="C114" i="23"/>
  <c r="C116" i="23" s="1"/>
  <c r="H94" i="2"/>
  <c r="I94" i="2" s="1"/>
  <c r="D94" i="2" s="1"/>
  <c r="K6" i="6"/>
  <c r="C4" i="8" s="1"/>
  <c r="G73" i="2"/>
  <c r="H198" i="1" s="1"/>
  <c r="G59" i="2"/>
  <c r="H178" i="1" s="1"/>
  <c r="G93" i="2"/>
  <c r="H228" i="1" s="1"/>
  <c r="I97" i="6"/>
  <c r="G119" i="2"/>
  <c r="G16" i="2"/>
  <c r="H108" i="1" s="1"/>
  <c r="G63" i="2"/>
  <c r="H195" i="1" s="1"/>
  <c r="G87" i="2"/>
  <c r="H215" i="1" s="1"/>
  <c r="I345" i="1" a="1"/>
  <c r="I345" i="1" s="1"/>
  <c r="E13" i="8" s="1"/>
  <c r="E10" i="9"/>
  <c r="C14" i="9"/>
  <c r="A11" i="21"/>
  <c r="B11" i="21" s="1"/>
  <c r="E98" i="9"/>
  <c r="T5" i="9" s="1" a="1"/>
  <c r="T5" i="9" s="1"/>
  <c r="C15" i="9"/>
  <c r="D98" i="9"/>
  <c r="L49" i="9" a="1"/>
  <c r="L49" i="9" s="1"/>
  <c r="A9" i="21"/>
  <c r="B9" i="21" s="1"/>
  <c r="L98" i="9"/>
  <c r="J49" i="9" a="1"/>
  <c r="J49" i="9" s="1"/>
  <c r="C12" i="19" a="1"/>
  <c r="C12" i="19" s="1"/>
  <c r="H135" i="1"/>
  <c r="H136" i="1"/>
  <c r="H162" i="1"/>
  <c r="H160" i="1"/>
  <c r="H261" i="1"/>
  <c r="H253" i="1"/>
  <c r="H254" i="1"/>
  <c r="H255" i="1"/>
  <c r="H256" i="1"/>
  <c r="G111" i="2"/>
  <c r="H252" i="1" s="1"/>
  <c r="H169" i="1"/>
  <c r="G106" i="2"/>
  <c r="H244" i="1" s="1"/>
  <c r="H98" i="1"/>
  <c r="G52" i="2"/>
  <c r="H159" i="1" s="1"/>
  <c r="H63" i="2"/>
  <c r="I63" i="2" s="1"/>
  <c r="D63" i="2" s="1"/>
  <c r="G104" i="2"/>
  <c r="H242" i="1" s="1"/>
  <c r="G86" i="2"/>
  <c r="H214" i="1" s="1"/>
  <c r="G136" i="2"/>
  <c r="H293" i="1" s="1"/>
  <c r="H41" i="15"/>
  <c r="L11" i="22"/>
  <c r="G159" i="2"/>
  <c r="G155" i="2"/>
  <c r="H312" i="1" s="1"/>
  <c r="H330" i="1"/>
  <c r="L10" i="22"/>
  <c r="G151" i="2"/>
  <c r="H307" i="1" s="1"/>
  <c r="T11" i="9" a="1"/>
  <c r="T11" i="9" s="1"/>
  <c r="G95" i="2"/>
  <c r="H231" i="1" s="1"/>
  <c r="H73" i="2"/>
  <c r="I73" i="2" s="1"/>
  <c r="D73" i="2" s="1"/>
  <c r="G28" i="2"/>
  <c r="H125" i="1" s="1"/>
  <c r="G103" i="2"/>
  <c r="H241" i="1" s="1"/>
  <c r="G90" i="2"/>
  <c r="P56" i="7"/>
  <c r="G129" i="2"/>
  <c r="H276" i="1" s="1"/>
  <c r="H158" i="2"/>
  <c r="I158" i="2" s="1"/>
  <c r="D158" i="2" s="1"/>
  <c r="H154" i="2"/>
  <c r="I154" i="2" s="1"/>
  <c r="D154" i="2" s="1"/>
  <c r="H327" i="1"/>
  <c r="E8" i="9"/>
  <c r="H257" i="1"/>
  <c r="G123" i="2"/>
  <c r="H94" i="1"/>
  <c r="G97" i="6"/>
  <c r="G31" i="2"/>
  <c r="H123" i="1" s="1"/>
  <c r="G15" i="2"/>
  <c r="G42" i="2"/>
  <c r="H140" i="1" s="1"/>
  <c r="H48" i="2"/>
  <c r="I48" i="2" s="1"/>
  <c r="D48" i="2" s="1"/>
  <c r="G69" i="2"/>
  <c r="H193" i="1" s="1"/>
  <c r="H59" i="2"/>
  <c r="I59" i="2" s="1"/>
  <c r="D59" i="2" s="1"/>
  <c r="G108" i="2"/>
  <c r="H246" i="1" s="1"/>
  <c r="H98" i="2"/>
  <c r="I98" i="2" s="1"/>
  <c r="D98" i="2" s="1"/>
  <c r="H85" i="2"/>
  <c r="I85" i="2" s="1"/>
  <c r="D85" i="2" s="1"/>
  <c r="L19" i="22"/>
  <c r="L7" i="22"/>
  <c r="H326" i="1"/>
  <c r="G14" i="2"/>
  <c r="H106" i="1" s="1"/>
  <c r="H266" i="1"/>
  <c r="H93" i="1"/>
  <c r="G122" i="2"/>
  <c r="H280" i="1" s="1"/>
  <c r="H325" i="1"/>
  <c r="U11" i="9" a="1"/>
  <c r="U11" i="9" s="1"/>
  <c r="A21" i="21"/>
  <c r="B21" i="21" s="1"/>
  <c r="H285" i="1"/>
  <c r="G34" i="2"/>
  <c r="H131" i="1" s="1"/>
  <c r="G24" i="2"/>
  <c r="H120" i="1" s="1"/>
  <c r="H62" i="2"/>
  <c r="I62" i="2" s="1"/>
  <c r="D62" i="2" s="1"/>
  <c r="G110" i="2"/>
  <c r="H250" i="1" s="1"/>
  <c r="H15" i="15"/>
  <c r="G149" i="2"/>
  <c r="H305" i="1" s="1"/>
  <c r="G143" i="2"/>
  <c r="H296" i="1" s="1"/>
  <c r="G133" i="2"/>
  <c r="H290" i="1" s="1"/>
  <c r="L17" i="22"/>
  <c r="L5" i="22"/>
  <c r="G157" i="2"/>
  <c r="G153" i="2"/>
  <c r="H310" i="1" s="1"/>
  <c r="H324" i="1"/>
  <c r="S11" i="9" a="1"/>
  <c r="S11" i="9" s="1"/>
  <c r="G115" i="2"/>
  <c r="H258" i="1" s="1"/>
  <c r="H142" i="1"/>
  <c r="G89" i="2"/>
  <c r="H222" i="1" s="1"/>
  <c r="G125" i="2"/>
  <c r="H273" i="1" s="1"/>
  <c r="L16" i="22"/>
  <c r="L4" i="22"/>
  <c r="H335" i="1"/>
  <c r="H323" i="1"/>
  <c r="H38" i="2"/>
  <c r="I38" i="2" s="1"/>
  <c r="D38" i="2" s="1"/>
  <c r="H182" i="1"/>
  <c r="H56" i="2"/>
  <c r="I56" i="2" s="1"/>
  <c r="D56" i="2" s="1"/>
  <c r="H61" i="2"/>
  <c r="I61" i="2" s="1"/>
  <c r="D61" i="2" s="1"/>
  <c r="G44" i="2"/>
  <c r="H143" i="1" s="1"/>
  <c r="G5" i="2"/>
  <c r="H220" i="1" s="1"/>
  <c r="G64" i="2"/>
  <c r="H186" i="1" s="1"/>
  <c r="E92" i="7"/>
  <c r="G148" i="2"/>
  <c r="H304" i="1" s="1"/>
  <c r="G142" i="2"/>
  <c r="H295" i="1" s="1"/>
  <c r="G132" i="2"/>
  <c r="H283" i="1" s="1"/>
  <c r="G59" i="9" a="1"/>
  <c r="G59" i="9" s="1"/>
  <c r="L15" i="22"/>
  <c r="H334" i="1"/>
  <c r="H322" i="1"/>
  <c r="H47" i="2"/>
  <c r="G22" i="2"/>
  <c r="H118" i="1" s="1"/>
  <c r="H12" i="15"/>
  <c r="H333" i="1"/>
  <c r="H321" i="1"/>
  <c r="C17" i="9"/>
  <c r="G49" i="2"/>
  <c r="H153" i="1" s="1"/>
  <c r="G75" i="2"/>
  <c r="G10" i="2"/>
  <c r="H111" i="1" s="1"/>
  <c r="G29" i="2"/>
  <c r="H126" i="1" s="1"/>
  <c r="G25" i="2"/>
  <c r="H154" i="1" s="1"/>
  <c r="G21" i="2"/>
  <c r="H115" i="1" s="1"/>
  <c r="G100" i="2"/>
  <c r="H237" i="1" s="1"/>
  <c r="G83" i="2"/>
  <c r="H210" i="1" s="1"/>
  <c r="H29" i="15"/>
  <c r="G141" i="2"/>
  <c r="H298" i="1" s="1"/>
  <c r="H332" i="1"/>
  <c r="H320" i="1"/>
  <c r="E9" i="9"/>
  <c r="E6" i="9"/>
  <c r="H164" i="1"/>
  <c r="H135" i="2"/>
  <c r="I135" i="2" s="1"/>
  <c r="D135" i="2" s="1"/>
  <c r="G35" i="2"/>
  <c r="G8" i="2"/>
  <c r="H95" i="1" s="1"/>
  <c r="G77" i="2"/>
  <c r="H202" i="1" s="1"/>
  <c r="H104" i="2"/>
  <c r="I104" i="2" s="1"/>
  <c r="D104" i="2" s="1"/>
  <c r="G96" i="2"/>
  <c r="G128" i="2"/>
  <c r="H277" i="1" s="1"/>
  <c r="G145" i="2"/>
  <c r="H299" i="1" s="1"/>
  <c r="H331" i="1"/>
  <c r="I98" i="9"/>
  <c r="Y5" i="9" s="1" a="1"/>
  <c r="Y5" i="9" s="1"/>
  <c r="E18" i="9"/>
  <c r="H98" i="9"/>
  <c r="O114" i="9"/>
  <c r="Q114" i="9" s="1"/>
  <c r="F98" i="9"/>
  <c r="O124" i="9"/>
  <c r="Q124" i="9" s="1"/>
  <c r="C8" i="9"/>
  <c r="X38" i="9" a="1"/>
  <c r="X38" i="9" s="1"/>
  <c r="P98" i="9"/>
  <c r="AF5" i="9" s="1"/>
  <c r="B2" i="20" s="1"/>
  <c r="J98" i="9"/>
  <c r="Z5" i="9" s="1" a="1"/>
  <c r="Z5" i="9" s="1"/>
  <c r="F49" i="9" a="1"/>
  <c r="F49" i="9" s="1"/>
  <c r="B2" i="9"/>
  <c r="E2" i="9" s="1"/>
  <c r="C12" i="9"/>
  <c r="I49" i="9" a="1"/>
  <c r="I49" i="9" s="1"/>
  <c r="O108" i="9"/>
  <c r="Q108" i="9" s="1"/>
  <c r="C9" i="8"/>
  <c r="H17" i="7"/>
  <c r="H13" i="7"/>
  <c r="N5" i="17"/>
  <c r="C1535" i="17"/>
  <c r="K4" i="17" s="1"/>
  <c r="D1535" i="17"/>
  <c r="K5" i="17" s="1"/>
  <c r="C7" i="8"/>
  <c r="H15" i="7"/>
  <c r="H21" i="7"/>
  <c r="C5" i="8"/>
  <c r="E49" i="7"/>
  <c r="H10" i="7"/>
  <c r="K22" i="22"/>
  <c r="I37" i="12"/>
  <c r="E190" i="18"/>
  <c r="C43" i="12"/>
  <c r="D190" i="18"/>
  <c r="D206" i="14"/>
  <c r="C10" i="8" s="1"/>
  <c r="J207" i="14"/>
  <c r="C12" i="8" s="1"/>
  <c r="C16" i="10"/>
  <c r="C12" i="10"/>
  <c r="G49" i="7"/>
  <c r="G50" i="15"/>
  <c r="H268" i="1"/>
  <c r="H314" i="1"/>
  <c r="H315" i="1"/>
  <c r="H109" i="1"/>
  <c r="H107" i="1"/>
  <c r="H311" i="1"/>
  <c r="H313" i="1"/>
  <c r="H174" i="1"/>
  <c r="H269" i="1"/>
  <c r="H264" i="1"/>
  <c r="H97" i="1"/>
  <c r="H121" i="1"/>
  <c r="H308" i="1"/>
  <c r="H103" i="1"/>
  <c r="H232" i="1"/>
  <c r="H248" i="1"/>
  <c r="G84" i="2"/>
  <c r="H251" i="1"/>
  <c r="H161" i="1"/>
  <c r="H26" i="2"/>
  <c r="I26" i="2" s="1"/>
  <c r="D26" i="2" s="1"/>
  <c r="H145" i="1"/>
  <c r="G12" i="2"/>
  <c r="H101" i="1" s="1"/>
  <c r="H14" i="2"/>
  <c r="I14" i="2" s="1"/>
  <c r="D14" i="2" s="1"/>
  <c r="H6" i="2"/>
  <c r="I6" i="2" s="1"/>
  <c r="D6" i="2" s="1"/>
  <c r="H52" i="2"/>
  <c r="I52" i="2" s="1"/>
  <c r="D52" i="2" s="1"/>
  <c r="H80" i="2"/>
  <c r="I80" i="2" s="1"/>
  <c r="D80" i="2" s="1"/>
  <c r="H77" i="2"/>
  <c r="I77" i="2" s="1"/>
  <c r="D77" i="2" s="1"/>
  <c r="H74" i="2"/>
  <c r="I74" i="2" s="1"/>
  <c r="D74" i="2" s="1"/>
  <c r="G114" i="2"/>
  <c r="H249" i="1" s="1"/>
  <c r="H136" i="2"/>
  <c r="I136" i="2" s="1"/>
  <c r="D136" i="2" s="1"/>
  <c r="G126" i="2"/>
  <c r="H185" i="1"/>
  <c r="H133" i="1"/>
  <c r="G82" i="2"/>
  <c r="H208" i="1" s="1"/>
  <c r="H32" i="2"/>
  <c r="I32" i="2" s="1"/>
  <c r="D32" i="2" s="1"/>
  <c r="H41" i="2"/>
  <c r="I41" i="2" s="1"/>
  <c r="D41" i="2" s="1"/>
  <c r="H21" i="2"/>
  <c r="I21" i="2" s="1"/>
  <c r="D21" i="2" s="1"/>
  <c r="H66" i="2"/>
  <c r="I66" i="2" s="1"/>
  <c r="D66" i="2" s="1"/>
  <c r="H107" i="2"/>
  <c r="I107" i="2" s="1"/>
  <c r="D107" i="2" s="1"/>
  <c r="H93" i="2"/>
  <c r="I93" i="2" s="1"/>
  <c r="D93" i="2" s="1"/>
  <c r="H187" i="1"/>
  <c r="H15" i="2"/>
  <c r="I15" i="2" s="1"/>
  <c r="D15" i="2" s="1"/>
  <c r="H8" i="2"/>
  <c r="I8" i="2" s="1"/>
  <c r="D8" i="2" s="1"/>
  <c r="G99" i="2"/>
  <c r="H76" i="2"/>
  <c r="I76" i="2" s="1"/>
  <c r="D76" i="2" s="1"/>
  <c r="H149" i="1"/>
  <c r="H150" i="2"/>
  <c r="I150" i="2" s="1"/>
  <c r="D150" i="2" s="1"/>
  <c r="H294" i="1"/>
  <c r="H146" i="1"/>
  <c r="H132" i="2"/>
  <c r="I132" i="2" s="1"/>
  <c r="D132" i="2" s="1"/>
  <c r="H59" i="9" a="1"/>
  <c r="H59" i="9" s="1"/>
  <c r="L66" i="9" a="1"/>
  <c r="L66" i="9" s="1"/>
  <c r="J82" i="9" a="1"/>
  <c r="J82" i="9" s="1"/>
  <c r="X40" i="9" a="1"/>
  <c r="X40" i="9" s="1"/>
  <c r="W15" i="9" a="1"/>
  <c r="W15" i="9" s="1"/>
  <c r="H84" i="9" a="1"/>
  <c r="H84" i="9" s="1"/>
  <c r="O84" i="9" s="1"/>
  <c r="Q84" i="9" s="1"/>
  <c r="X27" i="9" a="1"/>
  <c r="X27" i="9" s="1"/>
  <c r="G86" i="9" a="1"/>
  <c r="G86" i="9" s="1"/>
  <c r="C16" i="9"/>
  <c r="Z21" i="9" a="1"/>
  <c r="Z21" i="9" s="1"/>
  <c r="AE21" i="9" s="1"/>
  <c r="AG21" i="9" s="1"/>
  <c r="C14" i="20" s="1"/>
  <c r="O134" i="9"/>
  <c r="A24" i="21"/>
  <c r="B24" i="21" s="1"/>
  <c r="A6" i="21"/>
  <c r="B6" i="21" s="1"/>
  <c r="A33" i="21"/>
  <c r="B33" i="21" s="1"/>
  <c r="A16" i="21"/>
  <c r="B16" i="21" s="1"/>
  <c r="A32" i="21"/>
  <c r="B32" i="21" s="1"/>
  <c r="O128" i="9"/>
  <c r="Q128" i="9" s="1"/>
  <c r="A42" i="21"/>
  <c r="B42" i="21" s="1"/>
  <c r="A39" i="21"/>
  <c r="B39" i="21" s="1"/>
  <c r="G2" i="21"/>
  <c r="A2" i="21" s="1"/>
  <c r="B2" i="21" s="1"/>
  <c r="A5" i="21"/>
  <c r="B5" i="21" s="1"/>
  <c r="A12" i="21"/>
  <c r="B12" i="21" s="1"/>
  <c r="C107" i="9"/>
  <c r="S14" i="9" s="1" a="1"/>
  <c r="S14" i="9" s="1"/>
  <c r="M89" i="9" a="1"/>
  <c r="M89" i="9" s="1"/>
  <c r="O89" i="9" s="1"/>
  <c r="A15" i="21"/>
  <c r="B15" i="21" s="1"/>
  <c r="M103" i="9"/>
  <c r="AC10" i="9" s="1" a="1"/>
  <c r="AC10" i="9" s="1"/>
  <c r="E123" i="9"/>
  <c r="U30" i="9" s="1" a="1"/>
  <c r="U30" i="9" s="1"/>
  <c r="N52" i="9" a="1"/>
  <c r="N52" i="9" s="1"/>
  <c r="P76" i="9"/>
  <c r="K105" i="9"/>
  <c r="AA12" i="9" s="1" a="1"/>
  <c r="AA12" i="9" s="1"/>
  <c r="E119" i="9"/>
  <c r="U26" i="9" s="1" a="1"/>
  <c r="U26" i="9" s="1"/>
  <c r="C127" i="9"/>
  <c r="S34" i="9" s="1" a="1"/>
  <c r="S34" i="9" s="1"/>
  <c r="J106" i="9"/>
  <c r="Z13" i="9" s="1" a="1"/>
  <c r="Z13" i="9" s="1"/>
  <c r="L119" i="9"/>
  <c r="AB26" i="9" s="1" a="1"/>
  <c r="AB26" i="9" s="1"/>
  <c r="AE26" i="9" s="1"/>
  <c r="H65" i="9" a="1"/>
  <c r="H65" i="9" s="1"/>
  <c r="O65" i="9" s="1"/>
  <c r="Q65" i="9" s="1"/>
  <c r="P135" i="9"/>
  <c r="AF42" i="9" s="1"/>
  <c r="B10" i="20" s="1"/>
  <c r="F112" i="9"/>
  <c r="V19" i="9" s="1" a="1"/>
  <c r="V19" i="9" s="1"/>
  <c r="P83" i="9"/>
  <c r="A3" i="21"/>
  <c r="B3" i="21" s="1"/>
  <c r="A29" i="21"/>
  <c r="B29" i="21" s="1"/>
  <c r="J133" i="9"/>
  <c r="Z40" i="9" s="1" a="1"/>
  <c r="Z40" i="9" s="1"/>
  <c r="M69" i="9" a="1"/>
  <c r="M69" i="9" s="1"/>
  <c r="G113" i="9"/>
  <c r="W20" i="9" s="1" a="1"/>
  <c r="W20" i="9" s="1"/>
  <c r="I132" i="9"/>
  <c r="Y39" i="9" s="1" a="1"/>
  <c r="Y39" i="9" s="1"/>
  <c r="AE39" i="9" s="1"/>
  <c r="J62" i="9" a="1"/>
  <c r="J62" i="9" s="1"/>
  <c r="C119" i="9"/>
  <c r="S26" i="9" s="1" a="1"/>
  <c r="S26" i="9" s="1"/>
  <c r="D124" i="9"/>
  <c r="T31" i="9" s="1" a="1"/>
  <c r="T31" i="9" s="1"/>
  <c r="M121" i="9"/>
  <c r="AC28" i="9" s="1" a="1"/>
  <c r="AC28" i="9" s="1"/>
  <c r="H100" i="9"/>
  <c r="X7" i="9" s="1" a="1"/>
  <c r="X7" i="9" s="1"/>
  <c r="L82" i="9" a="1"/>
  <c r="L82" i="9" s="1"/>
  <c r="AC12" i="9" a="1"/>
  <c r="AC12" i="9" s="1"/>
  <c r="M66" i="9" a="1"/>
  <c r="M66" i="9" s="1"/>
  <c r="L101" i="9"/>
  <c r="AB8" i="9" s="1" a="1"/>
  <c r="AB8" i="9" s="1"/>
  <c r="K115" i="9"/>
  <c r="AA22" i="9" s="1" a="1"/>
  <c r="AA22" i="9" s="1"/>
  <c r="M125" i="9"/>
  <c r="AC32" i="9" s="1" a="1"/>
  <c r="AC32" i="9" s="1"/>
  <c r="AE32" i="9" s="1"/>
  <c r="K64" i="9" a="1"/>
  <c r="K64" i="9" s="1"/>
  <c r="O64" i="9" s="1"/>
  <c r="Q64" i="9" s="1"/>
  <c r="AA36" i="9" a="1"/>
  <c r="AA36" i="9" s="1"/>
  <c r="E121" i="9"/>
  <c r="U28" i="9" s="1" a="1"/>
  <c r="U28" i="9" s="1"/>
  <c r="F110" i="9"/>
  <c r="V17" i="9" s="1" a="1"/>
  <c r="V17" i="9" s="1"/>
  <c r="I121" i="9"/>
  <c r="Y28" i="9" s="1" a="1"/>
  <c r="Y28" i="9" s="1"/>
  <c r="K88" i="9" a="1"/>
  <c r="K88" i="9" s="1"/>
  <c r="G82" i="9" a="1"/>
  <c r="G82" i="9" s="1"/>
  <c r="N80" i="9" a="1"/>
  <c r="N80" i="9" s="1"/>
  <c r="AB22" i="9" a="1"/>
  <c r="AB22" i="9" s="1"/>
  <c r="O126" i="9"/>
  <c r="O105" i="9"/>
  <c r="Q105" i="9" s="1"/>
  <c r="A27" i="21"/>
  <c r="B27" i="21" s="1"/>
  <c r="A10" i="21"/>
  <c r="B10" i="21" s="1"/>
  <c r="A22" i="21"/>
  <c r="B22" i="21" s="1"/>
  <c r="A14" i="21"/>
  <c r="B14" i="21" s="1"/>
  <c r="A40" i="21"/>
  <c r="B40" i="21" s="1"/>
  <c r="A20" i="21"/>
  <c r="B20" i="21" s="1"/>
  <c r="A7" i="21"/>
  <c r="B7" i="21" s="1"/>
  <c r="A25" i="21"/>
  <c r="B25" i="21" s="1"/>
  <c r="P134" i="9"/>
  <c r="AF41" i="9" s="1"/>
  <c r="B26" i="20" s="1"/>
  <c r="H88" i="9" a="1"/>
  <c r="H88" i="9" s="1"/>
  <c r="G112" i="9"/>
  <c r="J120" i="9"/>
  <c r="Z27" i="9" s="1" a="1"/>
  <c r="Z27" i="9" s="1"/>
  <c r="L62" i="9" a="1"/>
  <c r="L62" i="9" s="1"/>
  <c r="AA30" i="9" a="1"/>
  <c r="AA30" i="9" s="1"/>
  <c r="N101" i="9"/>
  <c r="AD8" i="9" s="1" a="1"/>
  <c r="AD8" i="9" s="1"/>
  <c r="P126" i="9"/>
  <c r="AF33" i="9" s="1"/>
  <c r="B24" i="20" s="1"/>
  <c r="P131" i="9"/>
  <c r="C108" i="9"/>
  <c r="S15" i="9" s="1" a="1"/>
  <c r="S15" i="9" s="1"/>
  <c r="U42" i="9" a="1"/>
  <c r="U42" i="9" s="1"/>
  <c r="P120" i="9"/>
  <c r="AF27" i="9" s="1"/>
  <c r="B19" i="20" s="1"/>
  <c r="I79" i="9" a="1"/>
  <c r="I79" i="9" s="1"/>
  <c r="O79" i="9" s="1"/>
  <c r="K113" i="9"/>
  <c r="AA20" i="9" s="1" a="1"/>
  <c r="AA20" i="9" s="1"/>
  <c r="G78" i="9" a="1"/>
  <c r="G78" i="9" s="1"/>
  <c r="C102" i="9"/>
  <c r="S9" i="9" s="1" a="1"/>
  <c r="S9" i="9" s="1"/>
  <c r="M56" i="9" a="1"/>
  <c r="M56" i="9" s="1"/>
  <c r="N60" i="9" a="1"/>
  <c r="N60" i="9" s="1"/>
  <c r="O60" i="9" s="1"/>
  <c r="Q60" i="9" s="1"/>
  <c r="A13" i="21"/>
  <c r="B13" i="21" s="1"/>
  <c r="A35" i="21"/>
  <c r="B35" i="21" s="1"/>
  <c r="A37" i="21"/>
  <c r="B37" i="21" s="1"/>
  <c r="J51" i="9" a="1"/>
  <c r="J51" i="9" s="1"/>
  <c r="X15" i="9" a="1"/>
  <c r="X15" i="9" s="1"/>
  <c r="O135" i="9"/>
  <c r="O104" i="9"/>
  <c r="Q104" i="9" s="1"/>
  <c r="A28" i="21"/>
  <c r="B28" i="21" s="1"/>
  <c r="A4" i="21"/>
  <c r="B4" i="21" s="1"/>
  <c r="A23" i="21"/>
  <c r="B23" i="21" s="1"/>
  <c r="E4" i="9"/>
  <c r="G88" i="9" a="1"/>
  <c r="G88" i="9" s="1"/>
  <c r="W44" i="9" a="1"/>
  <c r="W44" i="9" s="1"/>
  <c r="W22" i="9" a="1"/>
  <c r="W22" i="9" s="1"/>
  <c r="O71" i="9"/>
  <c r="Q71" i="9" s="1"/>
  <c r="N66" i="9" a="1"/>
  <c r="N66" i="9" s="1"/>
  <c r="O54" i="9"/>
  <c r="Q54" i="9" s="1"/>
  <c r="Z38" i="9" a="1"/>
  <c r="Z38" i="9" s="1"/>
  <c r="AE16" i="9"/>
  <c r="AG16" i="9" s="1"/>
  <c r="C12" i="20" s="1"/>
  <c r="X6" i="9" a="1"/>
  <c r="X6" i="9" s="1"/>
  <c r="O77" i="9"/>
  <c r="Q77" i="9" s="1"/>
  <c r="AE17" i="9"/>
  <c r="O76" i="9"/>
  <c r="O61" i="9"/>
  <c r="Q61" i="9" s="1"/>
  <c r="G55" i="9" a="1"/>
  <c r="G55" i="9" s="1"/>
  <c r="O55" i="9" s="1"/>
  <c r="W11" i="9" a="1"/>
  <c r="W11" i="9" s="1"/>
  <c r="AE11" i="9" s="1"/>
  <c r="O67" i="9"/>
  <c r="Q67" i="9" s="1"/>
  <c r="W41" i="9" a="1"/>
  <c r="W41" i="9" s="1"/>
  <c r="G85" i="9" a="1"/>
  <c r="G85" i="9" s="1"/>
  <c r="AB15" i="9" a="1"/>
  <c r="AB15" i="9" s="1"/>
  <c r="L59" i="9" a="1"/>
  <c r="L59" i="9" s="1"/>
  <c r="X25" i="9" a="1"/>
  <c r="X25" i="9" s="1"/>
  <c r="H69" i="9" a="1"/>
  <c r="H69" i="9" s="1"/>
  <c r="L80" i="9" a="1"/>
  <c r="L80" i="9" s="1"/>
  <c r="AB36" i="9" a="1"/>
  <c r="AB36" i="9" s="1"/>
  <c r="X36" i="9" a="1"/>
  <c r="X36" i="9" s="1"/>
  <c r="H80" i="9" a="1"/>
  <c r="H80" i="9" s="1"/>
  <c r="H87" i="9" a="1"/>
  <c r="H87" i="9" s="1"/>
  <c r="X43" i="9" a="1"/>
  <c r="X43" i="9" s="1"/>
  <c r="G69" i="9" a="1"/>
  <c r="G69" i="9" s="1"/>
  <c r="W25" i="9" a="1"/>
  <c r="W25" i="9" s="1"/>
  <c r="K345" i="1"/>
  <c r="J345" i="1" a="1"/>
  <c r="J345" i="1" s="1"/>
  <c r="G51" i="9" a="1"/>
  <c r="G51" i="9" s="1"/>
  <c r="W7" i="9" a="1"/>
  <c r="W7" i="9" s="1"/>
  <c r="O70" i="9"/>
  <c r="Q70" i="9" s="1"/>
  <c r="H57" i="9" a="1"/>
  <c r="H57" i="9" s="1"/>
  <c r="X13" i="9" a="1"/>
  <c r="X13" i="9" s="1"/>
  <c r="AE13" i="9" s="1"/>
  <c r="H86" i="9" a="1"/>
  <c r="H86" i="9" s="1"/>
  <c r="X42" i="9" a="1"/>
  <c r="X42" i="9" s="1"/>
  <c r="X41" i="9" a="1"/>
  <c r="X41" i="9" s="1"/>
  <c r="H85" i="9" a="1"/>
  <c r="H85" i="9" s="1"/>
  <c r="O75" i="9"/>
  <c r="Q75" i="9" s="1"/>
  <c r="G81" i="9" a="1"/>
  <c r="G81" i="9" s="1"/>
  <c r="O81" i="9" s="1"/>
  <c r="Q81" i="9" s="1"/>
  <c r="W37" i="9" a="1"/>
  <c r="W37" i="9" s="1"/>
  <c r="AE37" i="9" s="1"/>
  <c r="AD34" i="9" a="1"/>
  <c r="AD34" i="9" s="1"/>
  <c r="N78" i="9" a="1"/>
  <c r="N78" i="9" s="1"/>
  <c r="O122" i="9"/>
  <c r="Q122" i="9" s="1"/>
  <c r="O130" i="9"/>
  <c r="Q130" i="9" s="1"/>
  <c r="O63" i="9"/>
  <c r="Q63" i="9" s="1"/>
  <c r="O110" i="9"/>
  <c r="Q110" i="9" s="1"/>
  <c r="AF17" i="9"/>
  <c r="B31" i="20" s="1"/>
  <c r="AF24" i="9"/>
  <c r="B40" i="20" s="1"/>
  <c r="AF18" i="9"/>
  <c r="B18" i="20" s="1"/>
  <c r="A10" i="20"/>
  <c r="A6" i="20"/>
  <c r="AE33" i="9"/>
  <c r="AE23" i="9"/>
  <c r="AG23" i="9" s="1"/>
  <c r="C8" i="20" s="1"/>
  <c r="O116" i="9"/>
  <c r="Q116" i="9" s="1"/>
  <c r="N49" i="9" a="1"/>
  <c r="N49" i="9" s="1"/>
  <c r="O132" i="9"/>
  <c r="Q132" i="9" s="1"/>
  <c r="H49" i="9" a="1"/>
  <c r="H49" i="9" s="1"/>
  <c r="O131" i="9"/>
  <c r="M49" i="9" a="1"/>
  <c r="M49" i="9" s="1"/>
  <c r="O73" i="9"/>
  <c r="Q73" i="9" s="1"/>
  <c r="Y24" i="9" a="1"/>
  <c r="Y24" i="9" s="1"/>
  <c r="W10" i="9" a="1"/>
  <c r="W10" i="9" s="1"/>
  <c r="AF10" i="9"/>
  <c r="B27" i="20" s="1"/>
  <c r="AF34" i="9"/>
  <c r="B7" i="20" s="1"/>
  <c r="S17" i="9" a="1"/>
  <c r="S17" i="9" s="1"/>
  <c r="A17" i="20"/>
  <c r="P89" i="9"/>
  <c r="L87" i="9" a="1"/>
  <c r="L87" i="9" s="1"/>
  <c r="A15" i="20"/>
  <c r="C7" i="9"/>
  <c r="A22" i="20"/>
  <c r="AF12" i="9"/>
  <c r="B23" i="20" s="1"/>
  <c r="A35" i="20"/>
  <c r="H82" i="9" a="1"/>
  <c r="H82" i="9" s="1"/>
  <c r="O68" i="9"/>
  <c r="Q68" i="9" s="1"/>
  <c r="AF8" i="9"/>
  <c r="B22" i="20" s="1"/>
  <c r="D117" i="9"/>
  <c r="T24" i="9" s="1" a="1"/>
  <c r="T24" i="9" s="1"/>
  <c r="L52" i="9" a="1"/>
  <c r="L52" i="9" s="1"/>
  <c r="P79" i="9"/>
  <c r="L69" i="9" a="1"/>
  <c r="L69" i="9" s="1"/>
  <c r="G87" i="9" a="1"/>
  <c r="G87" i="9" s="1"/>
  <c r="N117" i="9"/>
  <c r="AD24" i="9" s="1" a="1"/>
  <c r="AD24" i="9" s="1"/>
  <c r="P80" i="9"/>
  <c r="K107" i="9"/>
  <c r="AA14" i="9" s="1" a="1"/>
  <c r="AA14" i="9" s="1"/>
  <c r="AE14" i="9" s="1"/>
  <c r="AG14" i="9" s="1"/>
  <c r="C11" i="20" s="1"/>
  <c r="P133" i="9"/>
  <c r="AF40" i="9" s="1"/>
  <c r="B25" i="20" s="1"/>
  <c r="C125" i="9"/>
  <c r="S32" i="9" s="1" a="1"/>
  <c r="S32" i="9" s="1"/>
  <c r="O102" i="9"/>
  <c r="Q102" i="9" s="1"/>
  <c r="O109" i="9"/>
  <c r="Q109" i="9" s="1"/>
  <c r="AE35" i="9"/>
  <c r="AG35" i="9" s="1"/>
  <c r="C39" i="20" s="1"/>
  <c r="AF26" i="9"/>
  <c r="B32" i="20" s="1"/>
  <c r="I123" i="9"/>
  <c r="Y30" i="9" s="1" a="1"/>
  <c r="Y30" i="9" s="1"/>
  <c r="Z44" i="9" a="1"/>
  <c r="Z44" i="9" s="1"/>
  <c r="F115" i="9"/>
  <c r="V22" i="9" s="1" a="1"/>
  <c r="V22" i="9" s="1"/>
  <c r="I56" i="9" a="1"/>
  <c r="I56" i="9" s="1"/>
  <c r="V5" i="9" a="1"/>
  <c r="V5" i="9" s="1"/>
  <c r="M98" i="9"/>
  <c r="AC5" i="9" s="1" a="1"/>
  <c r="AC5" i="9" s="1"/>
  <c r="G98" i="9"/>
  <c r="W5" i="9" s="1" a="1"/>
  <c r="W5" i="9" s="1"/>
  <c r="E49" i="9" a="1"/>
  <c r="E49" i="9" s="1"/>
  <c r="O118" i="9"/>
  <c r="Q118" i="9" s="1"/>
  <c r="AD36" i="9" a="1"/>
  <c r="AD36" i="9" s="1"/>
  <c r="AF28" i="9"/>
  <c r="B30" i="20" s="1"/>
  <c r="AF39" i="9"/>
  <c r="B34" i="20" s="1"/>
  <c r="AF32" i="9"/>
  <c r="B13" i="20" s="1"/>
  <c r="A11" i="20"/>
  <c r="A31" i="20"/>
  <c r="O83" i="9"/>
  <c r="AE9" i="9"/>
  <c r="O72" i="9"/>
  <c r="D49" i="9" a="1"/>
  <c r="D49" i="9" s="1"/>
  <c r="AD27" i="9" a="1"/>
  <c r="AD27" i="9" s="1"/>
  <c r="AF31" i="9"/>
  <c r="B36" i="20" s="1"/>
  <c r="A30" i="20"/>
  <c r="R5" i="9"/>
  <c r="A5" i="20"/>
  <c r="A26" i="20"/>
  <c r="A24" i="20"/>
  <c r="G66" i="9" a="1"/>
  <c r="G66" i="9" s="1"/>
  <c r="AD22" i="9" a="1"/>
  <c r="AD22" i="9" s="1"/>
  <c r="AF37" i="9"/>
  <c r="B21" i="20" s="1"/>
  <c r="A9" i="20"/>
  <c r="A18" i="20"/>
  <c r="Z22" i="9" a="1"/>
  <c r="Z22" i="9" s="1"/>
  <c r="A32" i="20"/>
  <c r="W38" i="9" a="1"/>
  <c r="W38" i="9" s="1"/>
  <c r="W42" i="9" a="1"/>
  <c r="W42" i="9" s="1"/>
  <c r="AF38" i="9"/>
  <c r="B3" i="20" s="1"/>
  <c r="A12" i="20"/>
  <c r="A19" i="20"/>
  <c r="A23" i="20"/>
  <c r="H50" i="9" a="1"/>
  <c r="H50" i="9" s="1"/>
  <c r="O50" i="9" s="1"/>
  <c r="A36" i="20"/>
  <c r="A14" i="20"/>
  <c r="A3" i="20"/>
  <c r="O58" i="9"/>
  <c r="Q58" i="9" s="1"/>
  <c r="AE29" i="9"/>
  <c r="AG29" i="9" s="1"/>
  <c r="C28" i="20" s="1"/>
  <c r="O129" i="9"/>
  <c r="Q129" i="9" s="1"/>
  <c r="O127" i="9"/>
  <c r="Q127" i="9" s="1"/>
  <c r="O74" i="9"/>
  <c r="O106" i="9"/>
  <c r="Q106" i="9" s="1"/>
  <c r="AE31" i="9"/>
  <c r="AB5" i="9" a="1"/>
  <c r="AB5" i="9" s="1"/>
  <c r="P49" i="9"/>
  <c r="X5" i="9" a="1"/>
  <c r="X5" i="9" s="1"/>
  <c r="G49" i="9" a="1"/>
  <c r="G49" i="9" s="1"/>
  <c r="C49" i="9" a="1"/>
  <c r="C49" i="9" s="1"/>
  <c r="C98" i="9"/>
  <c r="S5" i="9" s="1" a="1"/>
  <c r="S5" i="9" s="1"/>
  <c r="H66" i="9" a="1"/>
  <c r="H66" i="9" s="1"/>
  <c r="X22" i="9" a="1"/>
  <c r="X22" i="9" s="1"/>
  <c r="D2" i="2"/>
  <c r="AG9" i="9" l="1"/>
  <c r="C33" i="20" s="1"/>
  <c r="AG11" i="9"/>
  <c r="C5" i="20" s="1"/>
  <c r="AG13" i="9"/>
  <c r="C20" i="20" s="1"/>
  <c r="O111" i="9"/>
  <c r="Q111" i="9" s="1"/>
  <c r="H167" i="1"/>
  <c r="H173" i="1"/>
  <c r="O57" i="9"/>
  <c r="Q57" i="9" s="1"/>
  <c r="H104" i="1"/>
  <c r="H176" i="1"/>
  <c r="O119" i="9"/>
  <c r="Q119" i="9" s="1"/>
  <c r="O100" i="9"/>
  <c r="Q100" i="9" s="1"/>
  <c r="AE34" i="9"/>
  <c r="H116" i="1"/>
  <c r="H302" i="1"/>
  <c r="H180" i="1"/>
  <c r="O99" i="9"/>
  <c r="Q99" i="9" s="1"/>
  <c r="U5" i="9" a="1"/>
  <c r="U5" i="9" s="1"/>
  <c r="AE6" i="9"/>
  <c r="AG6" i="9" s="1"/>
  <c r="C6" i="20" s="1"/>
  <c r="H170" i="1"/>
  <c r="Q72" i="9"/>
  <c r="Q50" i="9"/>
  <c r="Q74" i="9"/>
  <c r="H50" i="15"/>
  <c r="E12" i="8"/>
  <c r="E6" i="8"/>
  <c r="E8" i="8"/>
  <c r="E4" i="8"/>
  <c r="Q55" i="9"/>
  <c r="AE40" i="9"/>
  <c r="H129" i="1"/>
  <c r="E9" i="8"/>
  <c r="H219" i="1"/>
  <c r="H209" i="1"/>
  <c r="L22" i="22"/>
  <c r="O121" i="9"/>
  <c r="Q121" i="9" s="1"/>
  <c r="Q131" i="9"/>
  <c r="H194" i="1"/>
  <c r="E3" i="9"/>
  <c r="C3" i="9"/>
  <c r="H130" i="1"/>
  <c r="H184" i="1"/>
  <c r="H156" i="1"/>
  <c r="H112" i="1"/>
  <c r="E5" i="8"/>
  <c r="E7" i="8"/>
  <c r="E10" i="8"/>
  <c r="C22" i="23"/>
  <c r="C23" i="23" s="1"/>
  <c r="I47" i="2"/>
  <c r="D47" i="2" s="1"/>
  <c r="H243" i="1"/>
  <c r="H132" i="1"/>
  <c r="H189" i="1"/>
  <c r="H271" i="1"/>
  <c r="H270" i="1"/>
  <c r="O103" i="9"/>
  <c r="Q103" i="9" s="1"/>
  <c r="H318" i="1"/>
  <c r="H316" i="1"/>
  <c r="H289" i="1"/>
  <c r="H303" i="1"/>
  <c r="H200" i="1"/>
  <c r="Q126" i="9"/>
  <c r="H105" i="1"/>
  <c r="H221" i="1"/>
  <c r="H223" i="1"/>
  <c r="O59" i="9"/>
  <c r="Q59" i="9" s="1"/>
  <c r="H224" i="1"/>
  <c r="H229" i="1"/>
  <c r="H225" i="1"/>
  <c r="AE28" i="9"/>
  <c r="AG28" i="9" s="1"/>
  <c r="C30" i="20" s="1"/>
  <c r="O123" i="9"/>
  <c r="Q123" i="9" s="1"/>
  <c r="O82" i="9"/>
  <c r="Q82" i="9" s="1"/>
  <c r="C2" i="9"/>
  <c r="O133" i="9"/>
  <c r="O101" i="9"/>
  <c r="Q101" i="9" s="1"/>
  <c r="AE38" i="9"/>
  <c r="AG38" i="9" s="1"/>
  <c r="C3" i="20" s="1"/>
  <c r="AE12" i="9"/>
  <c r="AG12" i="9" s="1"/>
  <c r="C23" i="20" s="1"/>
  <c r="N7" i="17"/>
  <c r="P7" i="17" s="1"/>
  <c r="K6" i="17"/>
  <c r="F1535" i="17"/>
  <c r="H49" i="7"/>
  <c r="F190" i="18"/>
  <c r="Q76" i="9"/>
  <c r="C11" i="8"/>
  <c r="AG26" i="9"/>
  <c r="C32" i="20" s="1"/>
  <c r="Q83" i="9"/>
  <c r="H236" i="1"/>
  <c r="H240" i="1"/>
  <c r="H211" i="1"/>
  <c r="H212" i="1"/>
  <c r="H282" i="1"/>
  <c r="H274" i="1"/>
  <c r="H281" i="1"/>
  <c r="O56" i="9"/>
  <c r="Q56" i="9" s="1"/>
  <c r="AE8" i="9"/>
  <c r="AG8" i="9" s="1"/>
  <c r="C22" i="20" s="1"/>
  <c r="AE20" i="9"/>
  <c r="AG20" i="9" s="1"/>
  <c r="C37" i="20" s="1"/>
  <c r="O86" i="9"/>
  <c r="Q86" i="9" s="1"/>
  <c r="O62" i="9"/>
  <c r="Q62" i="9" s="1"/>
  <c r="AE27" i="9"/>
  <c r="AG27" i="9" s="1"/>
  <c r="C19" i="20" s="1"/>
  <c r="AE7" i="9"/>
  <c r="AG7" i="9" s="1"/>
  <c r="C29" i="20" s="1"/>
  <c r="O51" i="9"/>
  <c r="Q51" i="9" s="1"/>
  <c r="AE15" i="9"/>
  <c r="AG15" i="9" s="1"/>
  <c r="C4" i="20" s="1"/>
  <c r="AE10" i="9"/>
  <c r="AG10" i="9" s="1"/>
  <c r="C27" i="20" s="1"/>
  <c r="AE36" i="9"/>
  <c r="AG36" i="9" s="1"/>
  <c r="C17" i="20" s="1"/>
  <c r="O88" i="9"/>
  <c r="Q88" i="9" s="1"/>
  <c r="O52" i="9"/>
  <c r="Q52" i="9" s="1"/>
  <c r="Q89" i="9"/>
  <c r="O78" i="9"/>
  <c r="Q78" i="9" s="1"/>
  <c r="AG34" i="9"/>
  <c r="C7" i="20" s="1"/>
  <c r="AG33" i="9"/>
  <c r="C24" i="20" s="1"/>
  <c r="O98" i="9"/>
  <c r="Q98" i="9" s="1"/>
  <c r="AG37" i="9"/>
  <c r="C21" i="20" s="1"/>
  <c r="O115" i="9"/>
  <c r="Q115" i="9" s="1"/>
  <c r="AE30" i="9"/>
  <c r="AG30" i="9" s="1"/>
  <c r="C15" i="20" s="1"/>
  <c r="AE25" i="9"/>
  <c r="AG25" i="9" s="1"/>
  <c r="C16" i="20" s="1"/>
  <c r="O112" i="9"/>
  <c r="Q112" i="9" s="1"/>
  <c r="W19" i="9" a="1"/>
  <c r="W19" i="9" s="1"/>
  <c r="AE19" i="9" s="1"/>
  <c r="AG19" i="9" s="1"/>
  <c r="C38" i="20" s="1"/>
  <c r="O120" i="9"/>
  <c r="Q120" i="9" s="1"/>
  <c r="O125" i="9"/>
  <c r="Q125" i="9" s="1"/>
  <c r="O113" i="9"/>
  <c r="Q113" i="9" s="1"/>
  <c r="AE24" i="9"/>
  <c r="AG24" i="9" s="1"/>
  <c r="C40" i="20" s="1"/>
  <c r="O80" i="9"/>
  <c r="Q80" i="9" s="1"/>
  <c r="AE42" i="9"/>
  <c r="AG42" i="9" s="1"/>
  <c r="C10" i="20" s="1"/>
  <c r="O66" i="9"/>
  <c r="Q66" i="9" s="1"/>
  <c r="O49" i="9"/>
  <c r="Q49" i="9" s="1"/>
  <c r="AE41" i="9"/>
  <c r="AG41" i="9" s="1"/>
  <c r="C26" i="20" s="1"/>
  <c r="D12" i="19" a="1"/>
  <c r="D12" i="19" s="1"/>
  <c r="E12" i="19" s="1"/>
  <c r="D10" i="19" a="1"/>
  <c r="D10" i="19" s="1"/>
  <c r="A2" i="20"/>
  <c r="D14" i="19" a="1"/>
  <c r="D14" i="19" s="1"/>
  <c r="E14" i="19" s="1"/>
  <c r="E18" i="19" a="1"/>
  <c r="E18" i="19" s="1"/>
  <c r="D8" i="19" a="1"/>
  <c r="D8" i="19" s="1"/>
  <c r="AG31" i="9"/>
  <c r="C36" i="20" s="1"/>
  <c r="AG18" i="9"/>
  <c r="C18" i="20" s="1"/>
  <c r="O87" i="9"/>
  <c r="Q87" i="9" s="1"/>
  <c r="AG39" i="9"/>
  <c r="C34" i="20" s="1"/>
  <c r="AG32" i="9"/>
  <c r="C13" i="20" s="1"/>
  <c r="AE22" i="9"/>
  <c r="AG22" i="9" s="1"/>
  <c r="C9" i="20" s="1"/>
  <c r="O85" i="9"/>
  <c r="Q85" i="9" s="1"/>
  <c r="O117" i="9"/>
  <c r="Q117" i="9" s="1"/>
  <c r="O107" i="9"/>
  <c r="Q107" i="9" s="1"/>
  <c r="AG40" i="9"/>
  <c r="C25" i="20" s="1"/>
  <c r="AG17" i="9"/>
  <c r="C31" i="20" s="1"/>
  <c r="AE5" i="9"/>
  <c r="AG5" i="9" s="1"/>
  <c r="Q79" i="9"/>
  <c r="O69" i="9"/>
  <c r="Q69" i="9" s="1"/>
  <c r="C19" i="10" l="1"/>
  <c r="E20" i="19" a="1"/>
  <c r="E20" i="19" s="1"/>
  <c r="C14" i="8"/>
  <c r="C4" i="10" s="1"/>
  <c r="C15" i="10" s="1"/>
  <c r="C17" i="10" s="1"/>
  <c r="E11" i="8"/>
  <c r="E14" i="8" s="1"/>
  <c r="AL5" i="9"/>
  <c r="C2" i="20"/>
  <c r="C21" i="9"/>
  <c r="C23" i="9"/>
  <c r="C3" i="10" s="1"/>
  <c r="C11" i="10" s="1"/>
  <c r="C13" i="10" s="1"/>
  <c r="E16" i="19"/>
  <c r="C21" i="10" l="1"/>
  <c r="C5" i="10"/>
  <c r="F21" i="10" s="1"/>
  <c r="L1538" i="17"/>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<sst xmlns="http://schemas.openxmlformats.org/spreadsheetml/2006/main" count="6046" uniqueCount="1148">
  <si>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</si>
  <si>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</si>
  <si>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</si>
  <si>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</si>
  <si>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</si>
  <si>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</si>
  <si>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</si>
  <si>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</si>
  <si>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</si>
  <si>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</si>
  <si>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</si>
  <si>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</si>
  <si>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</si>
  <si>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</si>
  <si>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</si>
  <si>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</si>
  <si>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</si>
  <si>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</si>
  <si>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</si>
  <si>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</si>
  <si>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</si>
  <si>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</si>
  <si>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</si>
  <si>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</si>
  <si>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</si>
  <si>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</si>
  <si>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</si>
  <si>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</si>
  <si>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</si>
  <si>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</si>
  <si>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</si>
  <si>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</si>
  <si>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</si>
  <si>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</si>
  <si>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</si>
  <si>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</si>
  <si>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</si>
  <si>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</si>
  <si>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</si>
  <si>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</si>
  <si>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</si>
  <si>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</si>
  <si>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</si>
  <si>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</si>
  <si>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</si>
  <si>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</si>
  <si>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</si>
  <si>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</si>
  <si>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</si>
  <si>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</si>
  <si>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</si>
  <si>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</si>
  <si>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</si>
  <si>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</si>
  <si>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</si>
  <si>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</si>
  <si>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</si>
  <si>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</si>
  <si>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</si>
  <si>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</si>
  <si>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</si>
  <si>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</si>
  <si>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</si>
  <si>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</si>
  <si>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</si>
  <si>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</si>
  <si>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</si>
  <si>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</si>
  <si>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</si>
  <si>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</si>
  <si>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</si>
  <si>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</si>
  <si>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</si>
  <si>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</si>
  <si>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</si>
  <si>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</si>
  <si>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</si>
  <si>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</si>
  <si>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</si>
  <si>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</si>
  <si>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</si>
  <si>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</si>
  <si>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</si>
  <si>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</si>
  <si>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</si>
  <si>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</si>
  <si>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</si>
  <si>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</si>
  <si>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</si>
  <si>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</si>
  <si>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</si>
  <si>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</si>
  <si>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</si>
  <si>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</si>
  <si>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</si>
  <si>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</si>
  <si>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</si>
  <si>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</si>
  <si>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</si>
  <si>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</si>
  <si>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</si>
  <si>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</si>
  <si>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</si>
  <si>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</si>
  <si>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</si>
  <si>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</si>
  <si>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</si>
  <si>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</si>
  <si>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</si>
  <si>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</si>
  <si>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</si>
  <si>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</si>
  <si>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</si>
  <si>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</si>
  <si>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</si>
  <si>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</si>
  <si>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</si>
  <si>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</si>
  <si>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</si>
  <si>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</si>
  <si>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</si>
  <si>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</si>
  <si>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</si>
  <si>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</si>
  <si>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</si>
  <si>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</si>
  <si>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</si>
  <si>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</si>
  <si>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</si>
  <si>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</si>
  <si>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</si>
  <si>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</si>
  <si>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</si>
  <si>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</si>
  <si>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</si>
  <si>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</si>
  <si>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</si>
  <si>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</si>
  <si>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</si>
  <si>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</si>
  <si>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</si>
  <si>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</si>
  <si>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</si>
  <si>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</si>
  <si>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</si>
  <si>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</si>
  <si>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</si>
  <si>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</si>
  <si>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</si>
  <si>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</si>
  <si>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</si>
  <si>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</si>
  <si>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</si>
  <si>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</si>
  <si>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</si>
  <si>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</si>
  <si>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</si>
  <si>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</si>
  <si>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</si>
  <si>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</si>
  <si>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</si>
  <si>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</si>
  <si>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</si>
  <si>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</si>
  <si>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</si>
  <si>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</si>
  <si>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</si>
  <si>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</si>
  <si>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</si>
  <si>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</si>
  <si>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</si>
  <si>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</si>
  <si>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</si>
  <si>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</si>
  <si>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</si>
  <si>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</si>
  <si>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</si>
  <si>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</si>
  <si>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</si>
  <si>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</si>
  <si>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</si>
  <si>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</si>
  <si>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</si>
  <si>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</si>
  <si>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</si>
  <si>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</si>
  <si>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</si>
  <si>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</si>
  <si>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</si>
  <si>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</si>
  <si>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</si>
  <si>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</si>
  <si>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</si>
  <si>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</si>
  <si>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</si>
  <si>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</si>
  <si>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</si>
  <si>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</si>
  <si>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</si>
  <si>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</si>
  <si>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</si>
  <si>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</si>
  <si>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</si>
  <si>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</si>
  <si>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</si>
  <si>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</si>
  <si>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</si>
  <si>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</si>
  <si>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</si>
  <si>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</si>
  <si>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</si>
  <si>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</si>
  <si>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</si>
  <si>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</si>
  <si>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</si>
  <si>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</si>
  <si>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</si>
  <si>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</si>
  <si>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</si>
  <si>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Arb Dasti</t>
  </si>
  <si>
    <t>Dasti</t>
  </si>
  <si>
    <t>Aslam Multani</t>
  </si>
  <si>
    <t>Malik zaheer</t>
  </si>
  <si>
    <t>Ejaz sahab</t>
  </si>
  <si>
    <t>Shengtai</t>
  </si>
  <si>
    <t>Rehman Ali</t>
  </si>
  <si>
    <t>Shani Badshah</t>
  </si>
  <si>
    <t>MAK dyes</t>
  </si>
  <si>
    <t>Lot Number</t>
  </si>
  <si>
    <t>Gazana</t>
  </si>
  <si>
    <t>Zahid Ejaz</t>
  </si>
  <si>
    <t>Crinkle</t>
  </si>
  <si>
    <t>Amjad Sohail</t>
  </si>
  <si>
    <t>chamki</t>
  </si>
  <si>
    <t>Temp</t>
  </si>
  <si>
    <t>Ahmad shafique</t>
  </si>
  <si>
    <t>Badshah</t>
  </si>
  <si>
    <t>loom</t>
  </si>
  <si>
    <t>kataan</t>
  </si>
  <si>
    <t>952/2</t>
  </si>
  <si>
    <t>Freight</t>
  </si>
  <si>
    <t>Faisal Dyes</t>
  </si>
  <si>
    <t>Ahmad Shafique</t>
  </si>
  <si>
    <t>Hafiz qureshi</t>
  </si>
  <si>
    <t>misc</t>
  </si>
  <si>
    <t>Hafiz Shawl</t>
  </si>
  <si>
    <t>Building Acc</t>
  </si>
  <si>
    <t>wazir dyes</t>
  </si>
  <si>
    <t>Crescent dyes</t>
  </si>
  <si>
    <t>Zaheer shah wood</t>
  </si>
  <si>
    <t>Faizan transport</t>
  </si>
  <si>
    <t>amjad wood</t>
  </si>
  <si>
    <t>Khubaib</t>
  </si>
  <si>
    <t>salary</t>
  </si>
  <si>
    <t>petrol 464</t>
  </si>
  <si>
    <t>package</t>
  </si>
  <si>
    <t>dyes</t>
  </si>
  <si>
    <t>irfan punjabi</t>
  </si>
  <si>
    <t>Faizan Kamoki</t>
  </si>
  <si>
    <t>Diesel</t>
  </si>
  <si>
    <t>Amjad fitter</t>
  </si>
  <si>
    <t>Ashraf Guard</t>
  </si>
  <si>
    <t>Ashfaq sahab boiler theka</t>
  </si>
  <si>
    <t>Jc</t>
  </si>
  <si>
    <t>Payment</t>
  </si>
  <si>
    <t>unloading</t>
  </si>
  <si>
    <t>mama</t>
  </si>
  <si>
    <t>payment</t>
  </si>
  <si>
    <t>General</t>
  </si>
  <si>
    <t>advance salary</t>
  </si>
  <si>
    <t>aslam</t>
  </si>
  <si>
    <t>cash</t>
  </si>
  <si>
    <t>copper</t>
  </si>
  <si>
    <t>KK fabrics</t>
  </si>
  <si>
    <t>custom</t>
  </si>
  <si>
    <t>Billing (Custom)</t>
  </si>
  <si>
    <t>Billing Custom</t>
  </si>
  <si>
    <t>bsc</t>
  </si>
  <si>
    <t>Khalid sahab</t>
  </si>
  <si>
    <t>sajad khan</t>
  </si>
  <si>
    <t>Raaz fabrics</t>
  </si>
  <si>
    <t>nuts</t>
  </si>
  <si>
    <t>mazdoor</t>
  </si>
  <si>
    <t>optix</t>
  </si>
  <si>
    <t>bolts</t>
  </si>
  <si>
    <t>pindi das</t>
  </si>
  <si>
    <t>nasir opt</t>
  </si>
  <si>
    <t>raksha karaya</t>
  </si>
  <si>
    <t>Tanveer sb</t>
  </si>
  <si>
    <t>karaya</t>
  </si>
  <si>
    <t>adjustment</t>
  </si>
  <si>
    <t>rods</t>
  </si>
  <si>
    <t>TID:562667</t>
  </si>
  <si>
    <t>monfort</t>
  </si>
  <si>
    <t>khalid sb package</t>
  </si>
  <si>
    <t>TID:639064</t>
  </si>
  <si>
    <t>TID:638703</t>
  </si>
  <si>
    <t>cash-&gt;abid looms</t>
  </si>
  <si>
    <t>loom ac</t>
  </si>
  <si>
    <t>Bajwa//salary</t>
  </si>
  <si>
    <t>tire</t>
  </si>
  <si>
    <t>TID:484568</t>
  </si>
  <si>
    <t>TID:018126</t>
  </si>
  <si>
    <t>against cash</t>
  </si>
  <si>
    <t>TID:331316</t>
  </si>
  <si>
    <t>Petrol azm697</t>
  </si>
  <si>
    <t>grocceries</t>
  </si>
  <si>
    <t>TID:702623</t>
  </si>
  <si>
    <t>unicolor</t>
  </si>
  <si>
    <t>abdullah groccery</t>
  </si>
  <si>
    <t>cylinder</t>
  </si>
  <si>
    <t>tid:830448</t>
  </si>
  <si>
    <t>excavation</t>
  </si>
  <si>
    <t>TID:087404</t>
  </si>
  <si>
    <t>TID:571979</t>
  </si>
  <si>
    <t>abid ghafoor</t>
  </si>
  <si>
    <t>starch</t>
  </si>
  <si>
    <t>TID:1229322</t>
  </si>
  <si>
    <t>jc</t>
  </si>
  <si>
    <t>TID:991133</t>
  </si>
  <si>
    <t>JC</t>
  </si>
  <si>
    <t>bike+loader</t>
  </si>
  <si>
    <t>Diesel 30l</t>
  </si>
  <si>
    <t>dyes transport</t>
  </si>
  <si>
    <t>bill NILl</t>
  </si>
  <si>
    <t>ball valve</t>
  </si>
  <si>
    <t>3 din</t>
  </si>
  <si>
    <t>pva+np9</t>
  </si>
  <si>
    <t>TID:698371</t>
  </si>
  <si>
    <t>TID:712499</t>
  </si>
  <si>
    <t>Kluber</t>
  </si>
  <si>
    <t>Babar wood</t>
  </si>
  <si>
    <t>TID:906577</t>
  </si>
  <si>
    <t>loader</t>
  </si>
  <si>
    <t>Khalid sb Apr 10th</t>
  </si>
  <si>
    <t>TID:390444</t>
  </si>
  <si>
    <t>TID:989700</t>
  </si>
  <si>
    <t>yarn transport</t>
  </si>
  <si>
    <t>TID:971496</t>
  </si>
  <si>
    <t>TID:194758</t>
  </si>
  <si>
    <t>TID:880579</t>
  </si>
  <si>
    <t>TID:754017</t>
  </si>
  <si>
    <t>petrol 464'</t>
  </si>
  <si>
    <t>TID:673014</t>
  </si>
  <si>
    <t>TID:686582</t>
  </si>
  <si>
    <t>TID:663499</t>
  </si>
  <si>
    <t>environment</t>
  </si>
  <si>
    <t>abid master</t>
  </si>
  <si>
    <t>Mazdoor 8 din</t>
  </si>
  <si>
    <t>khalid sb exp</t>
  </si>
  <si>
    <t>medicine khalid sb</t>
  </si>
  <si>
    <t>mursaleen</t>
  </si>
  <si>
    <t>bp26+np9</t>
  </si>
  <si>
    <t xml:space="preserve">general </t>
  </si>
  <si>
    <t>2137+2138</t>
  </si>
  <si>
    <t>TID:155611</t>
  </si>
  <si>
    <t>TID:264635</t>
  </si>
  <si>
    <t>rashan</t>
  </si>
  <si>
    <t>Bill NILL 10/4</t>
  </si>
  <si>
    <t>TID:242367</t>
  </si>
  <si>
    <t>TID:945970</t>
  </si>
  <si>
    <t>Cash-Freight</t>
  </si>
  <si>
    <t>chemical karaya</t>
  </si>
  <si>
    <t>finish</t>
  </si>
  <si>
    <t>TID:004432</t>
  </si>
  <si>
    <t>aslam multani</t>
  </si>
  <si>
    <t>stationary</t>
  </si>
  <si>
    <t>Faizan kamoki</t>
  </si>
  <si>
    <t>TID:964595</t>
  </si>
  <si>
    <t>TID:324169</t>
  </si>
  <si>
    <t>TID:396977</t>
  </si>
  <si>
    <t>pva</t>
  </si>
  <si>
    <t>shengtai</t>
  </si>
  <si>
    <t>elkey bolts</t>
  </si>
  <si>
    <t>TID:326122</t>
  </si>
  <si>
    <t>TID:340911</t>
  </si>
  <si>
    <t>TID:516344</t>
  </si>
  <si>
    <t>TID:994176</t>
  </si>
  <si>
    <t>Sajad khan</t>
  </si>
  <si>
    <t>aqeel abbas</t>
  </si>
  <si>
    <t>TID:914411</t>
  </si>
  <si>
    <t>Arshad-uni</t>
  </si>
  <si>
    <t>STarch</t>
  </si>
  <si>
    <t>TID:337814</t>
  </si>
  <si>
    <t>Starch karaya</t>
  </si>
  <si>
    <t>oil change</t>
  </si>
  <si>
    <t>dasti</t>
  </si>
  <si>
    <t>pharmacy</t>
  </si>
  <si>
    <t>SHAFT</t>
  </si>
  <si>
    <t>TID:664920</t>
  </si>
  <si>
    <t>Mtag</t>
  </si>
  <si>
    <t>khalid sahab</t>
  </si>
  <si>
    <t>Atta</t>
  </si>
  <si>
    <t>TID:349095</t>
  </si>
  <si>
    <t>Aslam multani</t>
  </si>
  <si>
    <t>Ubaid</t>
  </si>
  <si>
    <t>Master tanveer</t>
  </si>
  <si>
    <t>Advance master tanveer</t>
  </si>
  <si>
    <t>MZ karaya</t>
  </si>
  <si>
    <t>tape</t>
  </si>
  <si>
    <t xml:space="preserve"> </t>
  </si>
  <si>
    <t>hooria laptop</t>
  </si>
  <si>
    <t>lights x3</t>
  </si>
  <si>
    <t>TID:456265</t>
  </si>
  <si>
    <t>abd laptop</t>
  </si>
  <si>
    <t>TID:959052</t>
  </si>
  <si>
    <t>Ghulam Abbas</t>
  </si>
  <si>
    <t>TID:908223</t>
  </si>
  <si>
    <t>TID:740139</t>
  </si>
  <si>
    <t>TID:673380</t>
  </si>
  <si>
    <t>TID:836616</t>
  </si>
  <si>
    <t>Ashfaq sahab ID fan</t>
  </si>
  <si>
    <t>babar wood</t>
  </si>
  <si>
    <t>TID:942506</t>
  </si>
  <si>
    <t>March bill</t>
  </si>
  <si>
    <t>ball valves</t>
  </si>
  <si>
    <t>Cash reciept#493</t>
  </si>
  <si>
    <t>TID:189620</t>
  </si>
  <si>
    <t>Dyes//11/4/26</t>
  </si>
  <si>
    <t>TID:587339</t>
  </si>
  <si>
    <t>TID:136539</t>
  </si>
  <si>
    <t>TID:104141</t>
  </si>
  <si>
    <t>jazzcash</t>
  </si>
  <si>
    <t>Ashraf guard</t>
  </si>
  <si>
    <t>H3R x2</t>
  </si>
  <si>
    <t>Haroon wood</t>
  </si>
  <si>
    <t>bearings</t>
  </si>
  <si>
    <t>seals</t>
  </si>
  <si>
    <t>nut kablay</t>
  </si>
  <si>
    <t>TID:015229</t>
  </si>
  <si>
    <t>TID:353370</t>
  </si>
  <si>
    <t>KK+HQ</t>
  </si>
  <si>
    <t>generator meter</t>
  </si>
  <si>
    <t>5k+5k 464</t>
  </si>
  <si>
    <t>carborator</t>
  </si>
  <si>
    <t>dori</t>
  </si>
  <si>
    <t>30L x2</t>
  </si>
  <si>
    <t>Waqas ADM</t>
  </si>
  <si>
    <t>kora karaya</t>
  </si>
  <si>
    <t>Fans x3 + capacitors</t>
  </si>
  <si>
    <t>groccery overcharge</t>
  </si>
  <si>
    <t>Rauf Khan</t>
  </si>
  <si>
    <t>2178+2149</t>
  </si>
  <si>
    <t>2139-b</t>
  </si>
  <si>
    <t>2145-b</t>
  </si>
  <si>
    <t>Kapra adjust BSC</t>
  </si>
  <si>
    <t>Shani Badshah kapra adjust</t>
  </si>
  <si>
    <t>satin</t>
  </si>
  <si>
    <t>bulbs</t>
  </si>
  <si>
    <t>chalk</t>
  </si>
  <si>
    <t>TID:920574</t>
  </si>
  <si>
    <t>TID:831830</t>
  </si>
  <si>
    <t>697 chaabi</t>
  </si>
  <si>
    <t>TID:499789</t>
  </si>
  <si>
    <t>TID:954169</t>
  </si>
  <si>
    <t>TID:152359</t>
  </si>
  <si>
    <t>azhar pva</t>
  </si>
  <si>
    <t>Diesel//paid 27/4</t>
  </si>
  <si>
    <t>125k bank + 75k cash</t>
  </si>
  <si>
    <t>TID:217686</t>
  </si>
  <si>
    <t>Exhaust 10'</t>
  </si>
  <si>
    <t>exhaust 4'</t>
  </si>
  <si>
    <t>Dyes karaya</t>
  </si>
  <si>
    <t>loom dhaga karaya</t>
  </si>
  <si>
    <t>TID:375442</t>
  </si>
  <si>
    <t>raksha</t>
  </si>
  <si>
    <t>oil</t>
  </si>
  <si>
    <t>TID:838126</t>
  </si>
  <si>
    <t>Diesel 90l</t>
  </si>
  <si>
    <t>bank deposit</t>
  </si>
  <si>
    <t>TID:827936</t>
  </si>
  <si>
    <t>TID:402179</t>
  </si>
  <si>
    <t>TID:630862</t>
  </si>
  <si>
    <t>TID:386282</t>
  </si>
  <si>
    <t>TID:180942</t>
  </si>
  <si>
    <t>TID:906536</t>
  </si>
  <si>
    <t>aurangzeb wood</t>
  </si>
  <si>
    <t>TID:533530</t>
  </si>
  <si>
    <t>Naeem elec</t>
  </si>
  <si>
    <t>TID:597402</t>
  </si>
  <si>
    <t>AC repair// mahir</t>
  </si>
  <si>
    <t>load khalid sb</t>
  </si>
  <si>
    <t>AZM Ac repair</t>
  </si>
  <si>
    <t>shoaib</t>
  </si>
  <si>
    <t>TID:709631</t>
  </si>
  <si>
    <t>TID:561868</t>
  </si>
  <si>
    <t>Black x2</t>
  </si>
  <si>
    <t>BP26+disp pdr</t>
  </si>
  <si>
    <t>transport</t>
  </si>
  <si>
    <t>NP9</t>
  </si>
  <si>
    <t>Silai cones x18</t>
  </si>
  <si>
    <t>TID:568913</t>
  </si>
  <si>
    <t>TID:355856</t>
  </si>
  <si>
    <t>Shahid qasayi</t>
  </si>
  <si>
    <t>Reciept #807</t>
  </si>
  <si>
    <t>farhan gari</t>
  </si>
  <si>
    <t>4 pheray</t>
  </si>
  <si>
    <t>degi plate</t>
  </si>
  <si>
    <t>UBL</t>
  </si>
  <si>
    <t>TID:485743</t>
  </si>
  <si>
    <t>Farhaan ali</t>
  </si>
  <si>
    <t>Dyes cost per meter</t>
  </si>
  <si>
    <t>Rubine</t>
  </si>
  <si>
    <t>Navy</t>
  </si>
  <si>
    <t>F3Bs</t>
  </si>
  <si>
    <t>SE2R</t>
  </si>
  <si>
    <t>Scarlet</t>
  </si>
  <si>
    <t>yellow 4g</t>
  </si>
  <si>
    <t>violet 3R</t>
  </si>
  <si>
    <t>violet 5R</t>
  </si>
  <si>
    <t>GSL</t>
  </si>
  <si>
    <t>yellow 10GF</t>
  </si>
  <si>
    <t>Lot #</t>
  </si>
  <si>
    <t>yellow GG</t>
  </si>
  <si>
    <t>Total Meters</t>
  </si>
  <si>
    <t>DCM</t>
  </si>
  <si>
    <t>2185+2187</t>
  </si>
  <si>
    <t>Yousaf wood</t>
  </si>
  <si>
    <t>inch tape</t>
  </si>
  <si>
    <t>env</t>
  </si>
  <si>
    <t>Starch x15</t>
  </si>
  <si>
    <t>parts</t>
  </si>
  <si>
    <t xml:space="preserve">package </t>
  </si>
  <si>
    <t>BSc</t>
  </si>
  <si>
    <t>TID:373803</t>
  </si>
  <si>
    <t>building acc</t>
  </si>
  <si>
    <t>khalid sb adjust</t>
  </si>
  <si>
    <t>AS traders</t>
  </si>
  <si>
    <t>Kora karaya</t>
  </si>
  <si>
    <t>Shahid qasai</t>
  </si>
  <si>
    <t>ACM salman zaffar</t>
  </si>
  <si>
    <t>2177+2180</t>
  </si>
  <si>
    <t>Taha transfer</t>
  </si>
  <si>
    <t>TID:707987</t>
  </si>
  <si>
    <t>Starch x12</t>
  </si>
  <si>
    <t>atta</t>
  </si>
  <si>
    <t>TID:153556</t>
  </si>
  <si>
    <t>TID:084512</t>
  </si>
  <si>
    <t>khalid sb</t>
  </si>
  <si>
    <t>farhaan ali</t>
  </si>
  <si>
    <t>Cash deposit</t>
  </si>
  <si>
    <t>mtag</t>
  </si>
  <si>
    <t>Atta x15</t>
  </si>
  <si>
    <t>TID:759108</t>
  </si>
  <si>
    <t>TID:437834</t>
  </si>
  <si>
    <t>qasai</t>
  </si>
  <si>
    <t>welding pipe</t>
  </si>
  <si>
    <t>100k cash 400k cheque</t>
  </si>
  <si>
    <t>uni 100k+400k cheque</t>
  </si>
  <si>
    <t>Oil boiler bhatti</t>
  </si>
  <si>
    <t>TID:081610</t>
  </si>
  <si>
    <t>TID:842327</t>
  </si>
  <si>
    <t>TID:121107</t>
  </si>
  <si>
    <t xml:space="preserve">raksha </t>
  </si>
  <si>
    <t>Imtiaz opt</t>
  </si>
  <si>
    <t>Rauf khan kora</t>
  </si>
  <si>
    <t>dastanay</t>
  </si>
  <si>
    <t>ibraheem fees</t>
  </si>
  <si>
    <t>20k transfer + 40k cash</t>
  </si>
  <si>
    <t>Freight (50+50)</t>
  </si>
  <si>
    <t>TID:281693</t>
  </si>
  <si>
    <t>looms</t>
  </si>
  <si>
    <t>TID:769550</t>
  </si>
  <si>
    <t>TID:158006</t>
  </si>
  <si>
    <t>Bp26</t>
  </si>
  <si>
    <t>Shampoo ect</t>
  </si>
  <si>
    <t>50+18.9</t>
  </si>
  <si>
    <t>factory device</t>
  </si>
  <si>
    <t>Madina dyes</t>
  </si>
  <si>
    <t>Black/rubine/ softner</t>
  </si>
  <si>
    <t>Akbar sb</t>
  </si>
  <si>
    <t>elec</t>
  </si>
  <si>
    <t>TID:507716</t>
  </si>
  <si>
    <t>TID:496015</t>
  </si>
  <si>
    <t>2181-b</t>
  </si>
  <si>
    <t>TID:843833</t>
  </si>
  <si>
    <t>TID:839802</t>
  </si>
  <si>
    <t>TID:068999</t>
  </si>
  <si>
    <t>TID:594410</t>
  </si>
  <si>
    <t>TID:771558</t>
  </si>
  <si>
    <t>Khalid sb</t>
  </si>
  <si>
    <t>cash//bsc</t>
  </si>
  <si>
    <t>TID:721779</t>
  </si>
  <si>
    <t>TID:520311</t>
  </si>
  <si>
    <t>Starch x5</t>
  </si>
  <si>
    <t>Transport adjust</t>
  </si>
  <si>
    <t>Awais folding</t>
  </si>
  <si>
    <t>Kora transport</t>
  </si>
  <si>
    <t>paint</t>
  </si>
  <si>
    <t>TID:933304</t>
  </si>
  <si>
    <t>300+50 farhan+qasai</t>
  </si>
  <si>
    <t>TID:188625</t>
  </si>
  <si>
    <t>TID:111391</t>
  </si>
  <si>
    <t>TID:354705</t>
  </si>
  <si>
    <t>TID:983104</t>
  </si>
  <si>
    <t>bearing</t>
  </si>
  <si>
    <t>Bulbs x5 ghar</t>
  </si>
  <si>
    <t>TID:116434</t>
  </si>
  <si>
    <t>Bajwa</t>
  </si>
  <si>
    <t>Taha se lekr 25k</t>
  </si>
  <si>
    <t>TID:713962</t>
  </si>
  <si>
    <t>Khubaib cash PESHAWAR</t>
  </si>
  <si>
    <t>khubaib</t>
  </si>
  <si>
    <t>khubaib(40-35)</t>
  </si>
  <si>
    <t>starch x4</t>
  </si>
  <si>
    <t>TID:471902</t>
  </si>
  <si>
    <t>Dyes//954</t>
  </si>
  <si>
    <t>Dyes//962+Payment</t>
  </si>
  <si>
    <t>Dyes//959</t>
  </si>
  <si>
    <t>Dyes//945</t>
  </si>
  <si>
    <t>Dyes//972</t>
  </si>
  <si>
    <t>2159-swiss</t>
  </si>
  <si>
    <t>RD</t>
  </si>
  <si>
    <t>2204-2206</t>
  </si>
  <si>
    <t>2169-b</t>
  </si>
  <si>
    <t>2183-swiss</t>
  </si>
  <si>
    <t>TID:686777</t>
  </si>
  <si>
    <t>Black+NP9</t>
  </si>
  <si>
    <t>Feb Balance</t>
  </si>
  <si>
    <t>Feb Salary</t>
  </si>
  <si>
    <t>March Salary</t>
  </si>
  <si>
    <t>Omer Feb</t>
  </si>
  <si>
    <t>Omer March</t>
  </si>
  <si>
    <t>Electricty</t>
  </si>
  <si>
    <t>LESCO April</t>
  </si>
  <si>
    <t>Custom</t>
  </si>
  <si>
    <t>SUM</t>
  </si>
  <si>
    <t>farhaan ali 200k</t>
  </si>
  <si>
    <t>Qasai</t>
  </si>
  <si>
    <t>TID:227977</t>
  </si>
  <si>
    <t>Ghulam murtaza</t>
  </si>
  <si>
    <t>ghulam murtaza generator</t>
  </si>
  <si>
    <t>TID:688917</t>
  </si>
  <si>
    <t>TID:673144</t>
  </si>
  <si>
    <t>TID:994302</t>
  </si>
  <si>
    <t>yamin operator</t>
  </si>
  <si>
    <t>Rauf khan</t>
  </si>
  <si>
    <t>TID:224306</t>
  </si>
  <si>
    <t>TID:338527</t>
  </si>
  <si>
    <t>kashif folding</t>
  </si>
  <si>
    <t>Qurbani 300k</t>
  </si>
  <si>
    <t>Waseem helper old</t>
  </si>
  <si>
    <t>muhammad asif</t>
  </si>
  <si>
    <t>munawar</t>
  </si>
  <si>
    <t>TID:234300</t>
  </si>
  <si>
    <t>Garari</t>
  </si>
  <si>
    <t>grease</t>
  </si>
  <si>
    <t>ATM</t>
  </si>
  <si>
    <t>petrol</t>
  </si>
  <si>
    <t>pharmacy+groccery</t>
  </si>
  <si>
    <t>ahmad exp</t>
  </si>
  <si>
    <t>Salary cash</t>
  </si>
  <si>
    <t>Khalid sb //50k complete</t>
  </si>
  <si>
    <t>khalid sb advance May2nd</t>
  </si>
  <si>
    <t>shafique ansari</t>
  </si>
  <si>
    <t>170 cheque+ 30k cash</t>
  </si>
  <si>
    <t>ACM salman Zaffar</t>
  </si>
  <si>
    <t>Cheque //irfan punjabi</t>
  </si>
  <si>
    <t>receipt #829</t>
  </si>
  <si>
    <t>Naveed/mubashar old</t>
  </si>
  <si>
    <t>TID:961409</t>
  </si>
  <si>
    <t>TID:214728</t>
  </si>
  <si>
    <t>glue</t>
  </si>
  <si>
    <t>TID:567205</t>
  </si>
  <si>
    <t>Khalid sb  May 2</t>
  </si>
  <si>
    <t>Naeem electric</t>
  </si>
  <si>
    <t>hafiz qureshi</t>
  </si>
  <si>
    <t>HQ</t>
  </si>
  <si>
    <t>105k+95K</t>
  </si>
  <si>
    <t>TID:418276</t>
  </si>
  <si>
    <t>CL9 oil</t>
  </si>
  <si>
    <t>KFC</t>
  </si>
  <si>
    <t>cheque</t>
  </si>
  <si>
    <t>salman zaffar cheque</t>
  </si>
  <si>
    <t>kaleem ullah</t>
  </si>
  <si>
    <t>rauf khan</t>
  </si>
  <si>
    <t>TID:401272</t>
  </si>
  <si>
    <t>brush pin repairing</t>
  </si>
  <si>
    <t>pins brush repairing</t>
  </si>
  <si>
    <t>TID:756198</t>
  </si>
  <si>
    <t>TID:335935</t>
  </si>
  <si>
    <t>loader 9l</t>
  </si>
  <si>
    <t>GSL-4G</t>
  </si>
  <si>
    <t>TID:894952</t>
  </si>
  <si>
    <t>TID:218272</t>
  </si>
  <si>
    <t>overloads</t>
  </si>
  <si>
    <t>Black x4</t>
  </si>
  <si>
    <t>TID:972909</t>
  </si>
  <si>
    <t>Mazdoor x2 mistri x2</t>
  </si>
  <si>
    <t>Khalid sb medicine</t>
  </si>
  <si>
    <t>Raksha karaya</t>
  </si>
  <si>
    <t>Faisal PVA</t>
  </si>
  <si>
    <t>faisal PVA</t>
  </si>
  <si>
    <t>abid sb</t>
  </si>
  <si>
    <t>Sand 1qsc @7800</t>
  </si>
  <si>
    <t>TID:768214</t>
  </si>
  <si>
    <t>Haseen khan</t>
  </si>
  <si>
    <t>TID:435183</t>
  </si>
  <si>
    <t>TID:376671</t>
  </si>
  <si>
    <t>shakir</t>
  </si>
  <si>
    <t>ghulam abbas</t>
  </si>
  <si>
    <t>Ashfaq sahab boiler theka may1</t>
  </si>
  <si>
    <t>Bricks//arshad</t>
  </si>
  <si>
    <t>TID:453259</t>
  </si>
  <si>
    <t>NILL-</t>
  </si>
  <si>
    <t>30bags</t>
  </si>
  <si>
    <t>TID:605560</t>
  </si>
  <si>
    <t>Mazdoor x2 mistri x3</t>
  </si>
  <si>
    <t>Sabir</t>
  </si>
  <si>
    <t>TID:912321</t>
  </si>
  <si>
    <t>300cash + 100k transfer</t>
  </si>
  <si>
    <t>TID:618833</t>
  </si>
  <si>
    <t>petrol 697</t>
  </si>
  <si>
    <t>TID:530602</t>
  </si>
  <si>
    <t>Dye</t>
  </si>
  <si>
    <t>rubine + scarlet</t>
  </si>
  <si>
    <t>3 atta</t>
  </si>
  <si>
    <t>TID:916990</t>
  </si>
  <si>
    <t>TID:515839</t>
  </si>
  <si>
    <t>TID:814277</t>
  </si>
  <si>
    <t>TID:569822</t>
  </si>
  <si>
    <t>NILLL</t>
  </si>
  <si>
    <t>khubaib old</t>
  </si>
  <si>
    <t>imran</t>
  </si>
  <si>
    <t>old</t>
  </si>
  <si>
    <t>yamin</t>
  </si>
  <si>
    <t>2500-b</t>
  </si>
  <si>
    <t>--</t>
  </si>
  <si>
    <t>2500-c</t>
  </si>
  <si>
    <t>reciept #85//against maal -BSC</t>
  </si>
  <si>
    <t>Rauf Khan//against maal</t>
  </si>
  <si>
    <t>2228+2229</t>
  </si>
  <si>
    <t>&lt;30/03/2026</t>
  </si>
  <si>
    <t>Mar</t>
  </si>
  <si>
    <t>Apr</t>
  </si>
  <si>
    <t>May</t>
  </si>
  <si>
    <t>Jun</t>
  </si>
  <si>
    <t>01-Jun</t>
  </si>
  <si>
    <t>02-Jun</t>
  </si>
  <si>
    <t>03-Jun</t>
  </si>
  <si>
    <t>04-Jun</t>
  </si>
  <si>
    <t>05-Jun</t>
  </si>
  <si>
    <t>06-Jun</t>
  </si>
  <si>
    <t>07-Jun</t>
  </si>
  <si>
    <t>08-Jun</t>
  </si>
  <si>
    <t>09-Jun</t>
  </si>
  <si>
    <t>10-Jun</t>
  </si>
  <si>
    <t>11-Jun</t>
  </si>
  <si>
    <t>13-Jun</t>
  </si>
  <si>
    <t>14-Jun</t>
  </si>
  <si>
    <t>15-Jun</t>
  </si>
  <si>
    <t>16-Jun</t>
  </si>
  <si>
    <t>17-Jun</t>
  </si>
  <si>
    <t>Rubine+4G+black</t>
  </si>
  <si>
    <t>atta x3</t>
  </si>
  <si>
    <t>aqeel fitter</t>
  </si>
  <si>
    <t>waheed sb</t>
  </si>
  <si>
    <t>waqas</t>
  </si>
  <si>
    <t>TID:721717</t>
  </si>
  <si>
    <t>shoppers</t>
  </si>
  <si>
    <t>TID:463276</t>
  </si>
  <si>
    <t>Gauges</t>
  </si>
  <si>
    <t>nuts x2</t>
  </si>
  <si>
    <t>challan loader unofficial</t>
  </si>
  <si>
    <t>TID:698150</t>
  </si>
  <si>
    <t>TID:314767</t>
  </si>
  <si>
    <t>zaheer shah wood</t>
  </si>
  <si>
    <t>TID:279114</t>
  </si>
  <si>
    <t>TID:650100</t>
  </si>
  <si>
    <t>TID:990920</t>
  </si>
  <si>
    <t>Ashfaq sahab boiler theka may2</t>
  </si>
  <si>
    <t>TID:612923</t>
  </si>
  <si>
    <t>Copper</t>
  </si>
  <si>
    <t>loader+bike</t>
  </si>
  <si>
    <t>Sagheer 4360/57</t>
  </si>
  <si>
    <t>TID:410542</t>
  </si>
  <si>
    <t>Moeez badshah</t>
  </si>
  <si>
    <t>LESCO</t>
  </si>
  <si>
    <t>belt</t>
  </si>
  <si>
    <t>2200 old mazdoor</t>
  </si>
  <si>
    <t>Sewerage</t>
  </si>
  <si>
    <t>unicolour</t>
  </si>
  <si>
    <t>816// reciept #844</t>
  </si>
  <si>
    <t>19-Jun</t>
  </si>
  <si>
    <t>20-Jun</t>
  </si>
  <si>
    <t>21-Jun</t>
  </si>
  <si>
    <t>22-Jun</t>
  </si>
  <si>
    <t>2216-b</t>
  </si>
  <si>
    <t>yamin opt</t>
  </si>
  <si>
    <t>cylinderr</t>
  </si>
  <si>
    <t>Baqaya</t>
  </si>
  <si>
    <t>TID:465206</t>
  </si>
  <si>
    <t>raaz fabrics</t>
  </si>
  <si>
    <t>jet depart</t>
  </si>
  <si>
    <t>TID:501614</t>
  </si>
  <si>
    <t>TID:026980</t>
  </si>
  <si>
    <t>Stenter patti</t>
  </si>
  <si>
    <t>TD:590789</t>
  </si>
  <si>
    <t>TID:061027</t>
  </si>
  <si>
    <t>TID:638921</t>
  </si>
  <si>
    <t>Boiler docs//ashfaq sb</t>
  </si>
  <si>
    <t>TID:427321</t>
  </si>
  <si>
    <t>Khalid sb June1</t>
  </si>
  <si>
    <t>groccery</t>
  </si>
  <si>
    <t>Wajid//khubaib</t>
  </si>
  <si>
    <t>TID:487574</t>
  </si>
  <si>
    <t>TID:643796</t>
  </si>
  <si>
    <t>TID:866605</t>
  </si>
  <si>
    <t>bajwa</t>
  </si>
  <si>
    <t>Taha exp</t>
  </si>
  <si>
    <t>rula</t>
  </si>
  <si>
    <t>TID:794961</t>
  </si>
  <si>
    <t>khubaib eid</t>
  </si>
  <si>
    <t>TID:335915</t>
  </si>
  <si>
    <t>TID:310840</t>
  </si>
  <si>
    <t>Lifter/Mazdoor</t>
  </si>
  <si>
    <t>muhammad sami</t>
  </si>
  <si>
    <t>TID:377426</t>
  </si>
  <si>
    <t>TID:998682</t>
  </si>
  <si>
    <t>Rana Kamran</t>
  </si>
  <si>
    <t>TID:511381</t>
  </si>
  <si>
    <t>Bricks</t>
  </si>
  <si>
    <t>TID:501832</t>
  </si>
  <si>
    <t xml:space="preserve">Env </t>
  </si>
  <si>
    <t>Exhaust//mama</t>
  </si>
  <si>
    <t>TID:160646</t>
  </si>
  <si>
    <t>TEMP</t>
  </si>
  <si>
    <t>TID:813554</t>
  </si>
  <si>
    <t>TID:984756</t>
  </si>
  <si>
    <t>TID:058016</t>
  </si>
  <si>
    <t>Zubair driver 3k</t>
  </si>
  <si>
    <t>NILL</t>
  </si>
  <si>
    <t>Haseen Khan</t>
  </si>
  <si>
    <t>Cash reserve</t>
  </si>
  <si>
    <t>TID:367220</t>
  </si>
  <si>
    <t>TID:535168</t>
  </si>
  <si>
    <t>insulation rule</t>
  </si>
  <si>
    <t>tapes</t>
  </si>
  <si>
    <t>Dyes//New party</t>
  </si>
  <si>
    <t>TID:773231</t>
  </si>
  <si>
    <t>Khalid sb 5000+2000</t>
  </si>
  <si>
    <t>Tahir pins//12890 left</t>
  </si>
  <si>
    <t>clips</t>
  </si>
  <si>
    <t>TID:532267</t>
  </si>
  <si>
    <t>TID:679625</t>
  </si>
  <si>
    <t>Ashfaq sahab boiler theka June1</t>
  </si>
  <si>
    <t>Khalid sb package</t>
  </si>
  <si>
    <t>Litter x2 + pliers</t>
  </si>
  <si>
    <t>Cheque</t>
  </si>
  <si>
    <t>Clear</t>
  </si>
  <si>
    <t>salman zaffar</t>
  </si>
  <si>
    <t>rana kamran</t>
  </si>
  <si>
    <t>2241+2169+2237</t>
  </si>
  <si>
    <t>23-Jun</t>
  </si>
  <si>
    <t>24-Jun</t>
  </si>
  <si>
    <t>25-Jun</t>
  </si>
  <si>
    <t>27-Jun</t>
  </si>
  <si>
    <t>28-Jun</t>
  </si>
  <si>
    <t>29-Jun</t>
  </si>
  <si>
    <t>30-Jun</t>
  </si>
  <si>
    <t>Jul</t>
  </si>
  <si>
    <t>Transport  adjust</t>
  </si>
  <si>
    <t>Cash BSC</t>
  </si>
  <si>
    <t>Waheed sb</t>
  </si>
  <si>
    <t>Ghulam mustafa opt</t>
  </si>
  <si>
    <t>abdullah</t>
  </si>
  <si>
    <t>Khalid Sb</t>
  </si>
  <si>
    <t>TID:480337</t>
  </si>
  <si>
    <t>4 terminal</t>
  </si>
  <si>
    <t>garari x4</t>
  </si>
  <si>
    <t>Ball Valve</t>
  </si>
  <si>
    <t>Compressor</t>
  </si>
  <si>
    <t>Petrol 697</t>
  </si>
  <si>
    <t>TID:106949</t>
  </si>
  <si>
    <t>TID:363337</t>
  </si>
  <si>
    <t>TID:061243</t>
  </si>
  <si>
    <t>Cash//compressor</t>
  </si>
  <si>
    <t>Shah dyes karaya</t>
  </si>
  <si>
    <t>TID:646482</t>
  </si>
  <si>
    <t>TID:537686</t>
  </si>
  <si>
    <t>TID:945929</t>
  </si>
  <si>
    <t>sariya</t>
  </si>
  <si>
    <t>TID:926651</t>
  </si>
  <si>
    <t>atta x2</t>
  </si>
  <si>
    <t>valve repair</t>
  </si>
  <si>
    <t>bike petrol</t>
  </si>
  <si>
    <t>Aslam helper</t>
  </si>
  <si>
    <t>Taha Dasti</t>
  </si>
  <si>
    <t>TID:755560</t>
  </si>
  <si>
    <t>12-Jun</t>
  </si>
  <si>
    <t>2245+2247</t>
  </si>
  <si>
    <t>2239+2240</t>
  </si>
  <si>
    <t>Bablu</t>
  </si>
  <si>
    <t>dyes+payment//996</t>
  </si>
  <si>
    <t>Cheque 7/8/26</t>
  </si>
  <si>
    <t>Ansari cheque TEMPORARY</t>
  </si>
  <si>
    <t>Shah Toll plaza</t>
  </si>
  <si>
    <t>stationary//Registers x4</t>
  </si>
  <si>
    <t>elfie+screws</t>
  </si>
  <si>
    <t>Mazdoor old Balance</t>
  </si>
  <si>
    <t>Atta x10</t>
  </si>
  <si>
    <t>Sheikh Naveed</t>
  </si>
  <si>
    <t>Imran jet depart</t>
  </si>
  <si>
    <t>Sabir stenter/folding</t>
  </si>
  <si>
    <t>Khalid sb June2 + 3500 Tempcash</t>
  </si>
  <si>
    <t>Jojo dyes</t>
  </si>
  <si>
    <t>2245+2246</t>
  </si>
  <si>
    <t>2227-b</t>
  </si>
  <si>
    <t>freight</t>
  </si>
  <si>
    <t>Bill Nill//TID:905758</t>
  </si>
  <si>
    <t>mtag 697</t>
  </si>
  <si>
    <t>folding pulley</t>
  </si>
  <si>
    <t>12 cones silai</t>
  </si>
  <si>
    <t>B73 belts x2</t>
  </si>
  <si>
    <t>Electrical</t>
  </si>
  <si>
    <t>Malik Salman</t>
  </si>
  <si>
    <t>TID:470437</t>
  </si>
  <si>
    <t>pulley size+ caterpin</t>
  </si>
  <si>
    <t>Rana kamran</t>
  </si>
  <si>
    <t>Bulbs x3</t>
  </si>
  <si>
    <t>Khalid sb medicines</t>
  </si>
  <si>
    <t>TID:975224</t>
  </si>
  <si>
    <t>mazdoor theka</t>
  </si>
  <si>
    <t>1000 engineoil+ 1000 petrol bike</t>
  </si>
  <si>
    <t>TID:100601</t>
  </si>
  <si>
    <t>TID:670541</t>
  </si>
  <si>
    <t>TID:956381</t>
  </si>
  <si>
    <t>TID:699359</t>
  </si>
  <si>
    <t>Rehan Butt</t>
  </si>
  <si>
    <t>2236-b</t>
  </si>
  <si>
    <t>akbar sb salary</t>
  </si>
  <si>
    <t>akbar sb</t>
  </si>
  <si>
    <t>bank</t>
  </si>
  <si>
    <t>TID:727147</t>
  </si>
  <si>
    <t>TID:244810</t>
  </si>
  <si>
    <t>optix bill</t>
  </si>
  <si>
    <t>Rehan butt</t>
  </si>
  <si>
    <t>puncture</t>
  </si>
  <si>
    <t>led chips x2</t>
  </si>
  <si>
    <t>fan copper wind</t>
  </si>
  <si>
    <t>9882 meters</t>
  </si>
  <si>
    <t>Scale fix</t>
  </si>
  <si>
    <t>Production</t>
  </si>
  <si>
    <t>Machines</t>
  </si>
  <si>
    <t>Cheque 21/7/26</t>
  </si>
  <si>
    <t>Cheque 28/7/26</t>
  </si>
  <si>
    <t>Cheque 5/8/26</t>
  </si>
  <si>
    <t>Shafique ansari cheques x3</t>
  </si>
  <si>
    <t>circuits</t>
  </si>
  <si>
    <t>Dilawar</t>
  </si>
  <si>
    <t>drill bits</t>
  </si>
  <si>
    <t>TID:658829</t>
  </si>
  <si>
    <t>wiper 697</t>
  </si>
  <si>
    <t>Sand</t>
  </si>
  <si>
    <t>garden pipe 40ft</t>
  </si>
  <si>
    <t>Groccery</t>
  </si>
  <si>
    <t>TID:403712</t>
  </si>
  <si>
    <t>TID:326679</t>
  </si>
  <si>
    <t>sabir hospital</t>
  </si>
  <si>
    <t>TID:861088</t>
  </si>
  <si>
    <t>TID:317638</t>
  </si>
  <si>
    <t>cash deposit</t>
  </si>
  <si>
    <t>TID:742490</t>
  </si>
  <si>
    <t>petrol bike</t>
  </si>
  <si>
    <t>Dyes + payment</t>
  </si>
  <si>
    <t>TID:277821</t>
  </si>
  <si>
    <t>Cement x25/1540</t>
  </si>
  <si>
    <t>petrol loader</t>
  </si>
  <si>
    <t>TID:680237</t>
  </si>
  <si>
    <t>haseen</t>
  </si>
  <si>
    <t>TID:607672</t>
  </si>
  <si>
    <t>TID:695200</t>
  </si>
  <si>
    <t>TID:563147</t>
  </si>
  <si>
    <t>Malik salman</t>
  </si>
  <si>
    <t>TID:340417</t>
  </si>
  <si>
    <t>TID:840566</t>
  </si>
  <si>
    <t>motor coil</t>
  </si>
  <si>
    <t>TID:738882</t>
  </si>
  <si>
    <t>mistri</t>
  </si>
  <si>
    <t>TID:076341</t>
  </si>
  <si>
    <t>TID:356139</t>
  </si>
  <si>
    <t>electricity</t>
  </si>
  <si>
    <t>june bill</t>
  </si>
  <si>
    <t>belcha</t>
  </si>
  <si>
    <t>TID:748765</t>
  </si>
  <si>
    <t>Waseem hassan //cleared</t>
  </si>
  <si>
    <t>naveed helper</t>
  </si>
  <si>
    <t>springley</t>
  </si>
  <si>
    <t>bill Nill</t>
  </si>
  <si>
    <t>phera</t>
  </si>
  <si>
    <t>TID:281147</t>
  </si>
  <si>
    <t>Anayat</t>
  </si>
  <si>
    <t>shoaib folding</t>
  </si>
  <si>
    <t>omer phankaman</t>
  </si>
  <si>
    <t>sajad helper</t>
  </si>
  <si>
    <t>sajad silai</t>
  </si>
  <si>
    <t>ali hassan helper</t>
  </si>
  <si>
    <t>Ashfaq sahab boiler theka June2</t>
  </si>
  <si>
    <t>imtiaz opt</t>
  </si>
  <si>
    <t>TID:955316</t>
  </si>
  <si>
    <t>master waheed</t>
  </si>
  <si>
    <t>TID:495166</t>
  </si>
  <si>
    <t>TID:504286</t>
  </si>
  <si>
    <t>water pump</t>
  </si>
  <si>
    <t>pipes etc</t>
  </si>
  <si>
    <t>TID:387514</t>
  </si>
  <si>
    <t>TID:532218</t>
  </si>
  <si>
    <t>petrol pump</t>
  </si>
  <si>
    <t>Khalid opt</t>
  </si>
  <si>
    <t>TID:737451</t>
  </si>
  <si>
    <t>Khalid sb July1//Nill</t>
  </si>
  <si>
    <t>TID:651959</t>
  </si>
  <si>
    <t>TID:352317</t>
  </si>
  <si>
    <t>TID:717203</t>
  </si>
  <si>
    <t>464 mechanic</t>
  </si>
  <si>
    <t>Amjad fitter//june2 nill</t>
  </si>
  <si>
    <t>TID:891510</t>
  </si>
  <si>
    <t>usama jet</t>
  </si>
  <si>
    <t>Khubaib//june2 nill</t>
  </si>
  <si>
    <t>Haseen //june2 nill</t>
  </si>
  <si>
    <t>TID:552498</t>
  </si>
  <si>
    <t>wiper etc</t>
  </si>
  <si>
    <t>TID:506815</t>
  </si>
  <si>
    <t>TID:984910</t>
  </si>
  <si>
    <t>Rafiq jet</t>
  </si>
  <si>
    <t>imran jet</t>
  </si>
  <si>
    <t>shahid munir jet</t>
  </si>
  <si>
    <t>haji shahid jet</t>
  </si>
  <si>
    <t>babar jet</t>
  </si>
  <si>
    <t>np9+disp pdr</t>
  </si>
  <si>
    <t>2255+2236</t>
  </si>
  <si>
    <t>amjad sohail</t>
  </si>
  <si>
    <t>super kataan</t>
  </si>
  <si>
    <t>2265+2275</t>
  </si>
  <si>
    <t>malik salman</t>
  </si>
  <si>
    <t>markers x2</t>
  </si>
  <si>
    <t>ashraf guard</t>
  </si>
  <si>
    <t>mursaleen guard</t>
  </si>
  <si>
    <t>kluber oil</t>
  </si>
  <si>
    <t>kharcha helper</t>
  </si>
  <si>
    <t>HQ 100k</t>
  </si>
  <si>
    <t>Waleed</t>
  </si>
  <si>
    <t>Waleed 100k</t>
  </si>
  <si>
    <t>cones</t>
  </si>
  <si>
    <t>Cheque 33026830</t>
  </si>
  <si>
    <t>TID:357492</t>
  </si>
  <si>
    <t>TID:956125</t>
  </si>
  <si>
    <t>TID:339708</t>
  </si>
  <si>
    <t>Babar/H shahid</t>
  </si>
  <si>
    <t>TID:889393</t>
  </si>
  <si>
    <t>TID:098377</t>
  </si>
  <si>
    <t>TID:269500</t>
  </si>
  <si>
    <t>Asghar cook</t>
  </si>
  <si>
    <t>silai machine</t>
  </si>
  <si>
    <t>60A breaker</t>
  </si>
  <si>
    <t>zong arb</t>
  </si>
  <si>
    <t>bike service</t>
  </si>
  <si>
    <t>belts</t>
  </si>
  <si>
    <t>TID:533914</t>
  </si>
  <si>
    <t>waqas adm</t>
  </si>
  <si>
    <t>scale</t>
  </si>
  <si>
    <t>faizan adj</t>
  </si>
  <si>
    <t>TID:015869</t>
  </si>
  <si>
    <t xml:space="preserve">Haseen </t>
  </si>
  <si>
    <t>Munawar//june2 nill</t>
  </si>
  <si>
    <t>TID:606257</t>
  </si>
  <si>
    <t>mazdoor 12hr</t>
  </si>
  <si>
    <t>Aug</t>
  </si>
  <si>
    <t>camera stenter</t>
  </si>
  <si>
    <t>loom dhaga</t>
  </si>
  <si>
    <t>master akbar</t>
  </si>
  <si>
    <t>Amjad fitter//july1</t>
  </si>
  <si>
    <t>Zahid ali//15500 left</t>
  </si>
  <si>
    <t>TID:479677</t>
  </si>
  <si>
    <t>HT oil</t>
  </si>
  <si>
    <t>juice x2</t>
  </si>
  <si>
    <t>oil boiler coil</t>
  </si>
  <si>
    <t>boiler yusuf</t>
  </si>
  <si>
    <t>yusuf boiler</t>
  </si>
  <si>
    <t>coil transport</t>
  </si>
  <si>
    <t>lpg</t>
  </si>
  <si>
    <t>TID:004346</t>
  </si>
  <si>
    <t>crane</t>
  </si>
  <si>
    <t>meter boiler</t>
  </si>
  <si>
    <t>valves stc</t>
  </si>
  <si>
    <t>TID:304377</t>
  </si>
  <si>
    <t>TID:817574</t>
  </si>
  <si>
    <t>grinder</t>
  </si>
  <si>
    <t>khubaib NILL</t>
  </si>
  <si>
    <t>TID:044935</t>
  </si>
  <si>
    <t>TID:327952</t>
  </si>
  <si>
    <t>hooria</t>
  </si>
  <si>
    <t>amjad fitter//july1 Nill</t>
  </si>
  <si>
    <t>Amjad fitter//july 2</t>
  </si>
  <si>
    <t>boiler coil zephyr</t>
  </si>
  <si>
    <t>TID:139608</t>
  </si>
  <si>
    <t>istri</t>
  </si>
  <si>
    <t>cement</t>
  </si>
  <si>
    <t>TID:624586</t>
  </si>
  <si>
    <t>TID:830678</t>
  </si>
  <si>
    <t>TID:597749</t>
  </si>
  <si>
    <t>TID:991963</t>
  </si>
  <si>
    <t>Cash bsc</t>
  </si>
  <si>
    <t>lights 464</t>
  </si>
  <si>
    <t>Ali hasan helper</t>
  </si>
  <si>
    <t>risen</t>
  </si>
  <si>
    <t>Raaz</t>
  </si>
  <si>
    <t>temp gun</t>
  </si>
  <si>
    <t>Master ashfaq</t>
  </si>
  <si>
    <t>brush repair tahir</t>
  </si>
  <si>
    <t>amjad fitter</t>
  </si>
  <si>
    <t>arsalan driver</t>
  </si>
  <si>
    <t>kfc</t>
  </si>
  <si>
    <t>April Salary</t>
  </si>
  <si>
    <t>May Salary</t>
  </si>
  <si>
    <t>June Salary</t>
  </si>
  <si>
    <t>July Salary</t>
  </si>
  <si>
    <t>Omer April</t>
  </si>
  <si>
    <t>Omer May</t>
  </si>
  <si>
    <t>Omer June</t>
  </si>
  <si>
    <t>Omer July</t>
  </si>
  <si>
    <t>36789 @ 59</t>
  </si>
  <si>
    <t>36789 @ 59 Rauf khan</t>
  </si>
  <si>
    <t>TID:445845</t>
  </si>
  <si>
    <t>ghulam abbas july1 (15k left)</t>
  </si>
  <si>
    <t>kora transport</t>
  </si>
  <si>
    <t>pipe</t>
  </si>
  <si>
    <t>boiler pipe</t>
  </si>
  <si>
    <t>sheet</t>
  </si>
  <si>
    <t>Malik zaheer cd</t>
  </si>
  <si>
    <t>ss bolts</t>
  </si>
  <si>
    <t>flench</t>
  </si>
  <si>
    <t>ss bolts + flench</t>
  </si>
  <si>
    <t>Valves boiler</t>
  </si>
  <si>
    <t>TID:499770</t>
  </si>
  <si>
    <t>mazdoor x4</t>
  </si>
  <si>
    <t>kharcha shafique ansari</t>
  </si>
  <si>
    <t>Rana hassan (july 2)</t>
  </si>
  <si>
    <t>Ali raza afzaal (july2)</t>
  </si>
  <si>
    <t>Munawar opt (july 2)</t>
  </si>
  <si>
    <t>Faheem (july 2)</t>
  </si>
  <si>
    <t>Sajid (july2)</t>
  </si>
  <si>
    <t>NILL (Mostly)</t>
  </si>
  <si>
    <t>Waheed sb (july1)</t>
  </si>
  <si>
    <t>Master Akbar (july2)</t>
  </si>
  <si>
    <t>Khalid sb (July2 Nill)</t>
  </si>
  <si>
    <t>khalid sb (5000-exp)</t>
  </si>
  <si>
    <t>Cash safety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</si>
</sst>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5"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
      <u/>
      <sz val="11"/>
      <color theme="10"/>
      <name val="Aptos Narrow"/>
      <family val="2"/>
      <scheme val="minor"/>
    </font>
  </fonts>
  <fills count="15">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1" tint="0.249977111117893"/>
        <bgColor indexed="64"/>
      </patternFill>
    </fill>
    <fill>
      <patternFill patternType="solid">
        <fgColor theme="0" tint="-0.34998626667073579"/>
        <bgColor indexed="64"/>
      </patternFill>
    </fill>
    <fill>
      <patternFill patternType="solid">
        <fgColor theme="0" tint="-0.249977111117893"/>
        <bgColor indexed="64"/>
      </patternFill>
    </fill>
    <fill>
      <patternFill patternType="solid">
        <fgColor theme="9"/>
        <bgColor indexed="64"/>
      </patternFill>
    </fill>
    <fill>
      <patternFill patternType="solid">
        <fgColor theme="0"/>
        <bgColor indexed="64"/>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
      <left/>
      <right style="thin">
        <color theme="4" tint="0.39997558519241921"/>
      </right>
      <top style="double">
        <color theme="4"/>
      </top>
      <bottom style="thin">
        <color theme="4" tint="0.39997558519241921"/>
      </bottom>
      <diagonal/>
    </border>
  </borders>
  <cellStyleXfs count="3">
    <xf numFmtId="0" fontId="0" fillId="0" borderId="0"/>
    <xf numFmtId="43" fontId="6" fillId="0" borderId="0" applyFont="0" applyFill="0" applyBorder="0" applyAlignment="0" applyProtection="0"/>
    <xf numFmtId="0" fontId="14" fillId="0" borderId="0" applyNumberFormat="0" applyFill="0" applyBorder="0" applyAlignment="0" applyProtection="0"/>
  </cellStyleXfs>
  <cellXfs count="181">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0" fontId="1" fillId="0" borderId="1" xfId="1" applyNumberFormat="1" applyFont="1" applyBorder="1"/>
    <xf numFmtId="165" fontId="1" fillId="0" borderId="1" xfId="1" applyNumberFormat="1" applyFont="1" applyBorder="1"/>
    <xf numFmtId="0" fontId="0" fillId="0" borderId="0" xfId="0" applyAlignment="1">
      <alignment horizontal="center"/>
    </xf>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0" fillId="0" borderId="0" xfId="1" applyNumberFormat="1" applyFont="1"/>
    <xf numFmtId="165" fontId="1" fillId="0" borderId="0" xfId="1" applyNumberFormat="1" applyFont="1"/>
    <xf numFmtId="165" fontId="0"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0" fontId="1" fillId="0" borderId="0" xfId="1" applyNumberFormat="1" applyFont="1" applyBorder="1"/>
    <xf numFmtId="165" fontId="1" fillId="0" borderId="0" xfId="1" applyNumberFormat="1" applyFont="1" applyBorder="1"/>
    <xf numFmtId="43" fontId="12" fillId="10" borderId="23" xfId="0" applyNumberFormat="1" applyFont="1" applyFill="1" applyBorder="1"/>
    <xf numFmtId="0" fontId="0" fillId="11" borderId="0" xfId="0" applyFill="1"/>
    <xf numFmtId="0" fontId="0" fillId="11" borderId="0" xfId="0" applyFill="1" applyAlignment="1">
      <alignment horizontal="center"/>
    </xf>
    <xf numFmtId="16" fontId="0" fillId="12" borderId="0" xfId="1" applyNumberFormat="1" applyFont="1" applyFill="1"/>
    <xf numFmtId="0" fontId="1" fillId="12" borderId="0" xfId="1" applyNumberFormat="1" applyFont="1" applyFill="1"/>
    <xf numFmtId="0" fontId="0" fillId="12" borderId="0" xfId="1" applyNumberFormat="1" applyFont="1" applyFill="1"/>
    <xf numFmtId="164" fontId="0" fillId="12" borderId="0" xfId="1" applyNumberFormat="1" applyFont="1" applyFill="1"/>
    <xf numFmtId="165" fontId="1" fillId="12" borderId="0" xfId="1" applyNumberFormat="1" applyFont="1" applyFill="1"/>
    <xf numFmtId="165" fontId="0" fillId="12" borderId="0" xfId="1" applyNumberFormat="1" applyFont="1" applyFill="1"/>
    <xf numFmtId="0" fontId="0" fillId="7" borderId="0" xfId="0" applyFill="1"/>
    <xf numFmtId="0" fontId="0" fillId="13" borderId="0" xfId="0" applyFill="1"/>
    <xf numFmtId="0" fontId="1" fillId="0" borderId="27" xfId="0" applyFont="1" applyBorder="1"/>
    <xf numFmtId="0" fontId="1" fillId="11" borderId="0" xfId="1" applyNumberFormat="1" applyFont="1" applyFill="1"/>
    <xf numFmtId="164" fontId="0" fillId="11" borderId="0" xfId="1" applyNumberFormat="1" applyFont="1" applyFill="1"/>
    <xf numFmtId="0" fontId="0" fillId="7" borderId="0" xfId="1" applyNumberFormat="1" applyFont="1" applyFill="1"/>
    <xf numFmtId="164" fontId="0" fillId="7" borderId="0" xfId="1" applyNumberFormat="1" applyFont="1" applyFill="1"/>
    <xf numFmtId="165" fontId="0" fillId="7" borderId="0" xfId="1" applyNumberFormat="1" applyFont="1" applyFill="1"/>
    <xf numFmtId="14" fontId="0" fillId="11" borderId="8" xfId="0" applyNumberFormat="1" applyFill="1" applyBorder="1"/>
    <xf numFmtId="43" fontId="1" fillId="0" borderId="0" xfId="1" applyFont="1"/>
    <xf numFmtId="0" fontId="1" fillId="3" borderId="0" xfId="0" applyFont="1" applyFill="1"/>
    <xf numFmtId="0" fontId="0" fillId="14" borderId="0" xfId="0" applyFill="1"/>
    <xf numFmtId="164" fontId="0" fillId="14" borderId="0" xfId="1" applyNumberFormat="1" applyFont="1" applyFill="1" applyBorder="1"/>
    <xf numFmtId="16" fontId="0" fillId="0" borderId="0" xfId="0" applyNumberFormat="1" applyAlignment="1">
      <alignment horizontal="center"/>
    </xf>
    <xf numFmtId="16" fontId="0" fillId="7" borderId="0" xfId="1" applyNumberFormat="1" applyFont="1" applyFill="1"/>
    <xf numFmtId="0" fontId="1" fillId="7" borderId="0" xfId="1" applyNumberFormat="1" applyFont="1" applyFill="1"/>
    <xf numFmtId="165" fontId="1" fillId="7" borderId="0" xfId="1" applyNumberFormat="1" applyFont="1" applyFill="1"/>
    <xf numFmtId="164" fontId="0" fillId="0" borderId="0" xfId="1" quotePrefix="1" applyNumberFormat="1" applyFont="1"/>
    <xf numFmtId="16" fontId="0" fillId="0" borderId="1" xfId="1" applyNumberFormat="1" applyFont="1" applyBorder="1"/>
    <xf numFmtId="14" fontId="1" fillId="0" borderId="0" xfId="1" applyNumberFormat="1" applyFont="1" applyBorder="1"/>
    <xf numFmtId="16" fontId="0" fillId="11" borderId="1" xfId="1" applyNumberFormat="1" applyFont="1" applyFill="1" applyBorder="1"/>
    <xf numFmtId="16" fontId="0" fillId="12" borderId="1" xfId="1" applyNumberFormat="1" applyFont="1" applyFill="1" applyBorder="1"/>
    <xf numFmtId="0" fontId="1" fillId="0" borderId="26" xfId="1" applyNumberFormat="1" applyFont="1" applyBorder="1"/>
    <xf numFmtId="0" fontId="0" fillId="0" borderId="1" xfId="1" applyNumberFormat="1" applyFont="1" applyBorder="1"/>
    <xf numFmtId="0" fontId="0" fillId="11" borderId="1" xfId="1" applyNumberFormat="1" applyFont="1" applyFill="1" applyBorder="1"/>
    <xf numFmtId="0" fontId="0" fillId="12" borderId="1" xfId="1" applyNumberFormat="1" applyFont="1" applyFill="1" applyBorder="1"/>
    <xf numFmtId="0" fontId="0" fillId="0" borderId="3" xfId="1" applyNumberFormat="1" applyFont="1" applyBorder="1"/>
    <xf numFmtId="16" fontId="1" fillId="0" borderId="0" xfId="1" applyNumberFormat="1" applyFont="1" applyBorder="1"/>
    <xf numFmtId="164" fontId="1" fillId="0" borderId="0" xfId="1" applyNumberFormat="1" applyFont="1" applyFill="1" applyBorder="1"/>
    <xf numFmtId="164" fontId="0" fillId="11" borderId="1" xfId="1" applyNumberFormat="1" applyFont="1" applyFill="1" applyBorder="1"/>
    <xf numFmtId="164" fontId="0" fillId="0" borderId="3" xfId="1" applyNumberFormat="1" applyFont="1" applyBorder="1"/>
    <xf numFmtId="165" fontId="1" fillId="11" borderId="1" xfId="1" applyNumberFormat="1" applyFont="1" applyFill="1" applyBorder="1"/>
    <xf numFmtId="165" fontId="0" fillId="0" borderId="3" xfId="1" applyNumberFormat="1" applyFont="1" applyBorder="1"/>
    <xf numFmtId="165" fontId="0" fillId="11" borderId="1" xfId="1" applyNumberFormat="1" applyFont="1" applyFill="1" applyBorder="1"/>
    <xf numFmtId="165" fontId="0" fillId="12" borderId="3" xfId="1" applyNumberFormat="1" applyFont="1" applyFill="1" applyBorder="1"/>
    <xf numFmtId="0" fontId="0" fillId="0" borderId="0" xfId="1" applyNumberFormat="1" applyFont="1" applyBorder="1"/>
    <xf numFmtId="165" fontId="0" fillId="0" borderId="0" xfId="1" applyNumberFormat="1" applyFont="1" applyBorder="1"/>
    <xf numFmtId="16" fontId="0" fillId="11" borderId="0" xfId="1" applyNumberFormat="1" applyFont="1" applyFill="1"/>
    <xf numFmtId="0" fontId="0" fillId="11" borderId="0" xfId="1" applyNumberFormat="1" applyFont="1" applyFill="1"/>
    <xf numFmtId="165" fontId="1" fillId="11" borderId="0" xfId="1" applyNumberFormat="1" applyFont="1" applyFill="1"/>
    <xf numFmtId="165" fontId="0" fillId="11" borderId="0" xfId="1" applyNumberFormat="1" applyFont="1" applyFill="1"/>
    <xf numFmtId="0" fontId="0" fillId="0" borderId="0" xfId="1" applyNumberFormat="1" applyFont="1" applyFill="1"/>
    <xf numFmtId="164" fontId="0" fillId="0" borderId="0" xfId="1" applyNumberFormat="1" applyFont="1" applyFill="1"/>
    <xf numFmtId="0" fontId="1" fillId="0" borderId="0" xfId="1" applyNumberFormat="1" applyFont="1" applyFill="1"/>
    <xf numFmtId="165" fontId="1" fillId="0" borderId="0" xfId="1" applyNumberFormat="1" applyFont="1" applyFill="1"/>
    <xf numFmtId="16" fontId="0" fillId="0" borderId="0" xfId="1" applyNumberFormat="1" applyFont="1" applyFill="1"/>
    <xf numFmtId="0" fontId="14" fillId="0" borderId="0" xfId="2"/>
    <xf numFmtId="17" fontId="0" fillId="0" borderId="0" xfId="0" applyNumberFormat="1"/>
    <xf numFmtId="14" fontId="0" fillId="0" borderId="8" xfId="0" applyNumberFormat="1" applyFont="1" applyBorder="1"/>
    <xf numFmtId="0" fontId="0" fillId="0" borderId="0" xfId="0" applyBorder="1"/>
    <xf numFmtId="0" fontId="0" fillId="0" borderId="0" xfId="0" applyBorder="1" applyAlignment="1">
      <alignment horizontal="center"/>
    </xf>
  </cellXfs>
  <cellStyles count="3">
    <cellStyle name="Comma" xfId="1" builtinId="3"/>
    <cellStyle name="Hyperlink" xfId="2" builtinId="8"/>
    <cellStyle name="Normal" xfId="0" builtinId="0"/>
  </cellStyles>
  <dxfs count="146">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0" formatCode="General"/>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6.xml"/><Relationship Id="rId39" Type="http://schemas.openxmlformats.org/officeDocument/2006/relationships/sheetMetadata" Target="metadata.xml"/><Relationship Id="rId21" Type="http://schemas.openxmlformats.org/officeDocument/2006/relationships/pivotCacheDefinition" Target="pivotCache/pivotCacheDefinition1.xml"/><Relationship Id="rId34" Type="http://schemas.microsoft.com/office/2007/relationships/slicerCache" Target="slicerCaches/slicerCache8.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1.xml"/><Relationship Id="rId29" Type="http://schemas.microsoft.com/office/2007/relationships/slicerCache" Target="slicerCaches/slicerCache3.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microsoft.com/office/2007/relationships/slicerCache" Target="slicerCaches/slicerCache6.xml"/><Relationship Id="rId37" Type="http://schemas.openxmlformats.org/officeDocument/2006/relationships/styles" Target="style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microsoft.com/office/2007/relationships/slicerCache" Target="slicerCaches/slicerCache2.xml"/><Relationship Id="rId36"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07/relationships/slicerCache" Target="slicerCaches/slicerCache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microsoft.com/office/2007/relationships/slicerCache" Target="slicerCaches/slicerCache1.xml"/><Relationship Id="rId30" Type="http://schemas.microsoft.com/office/2007/relationships/slicerCache" Target="slicerCaches/slicerCache4.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microsoft.com/office/2007/relationships/slicerCache" Target="slicerCaches/slicerCache7.xml"/><Relationship Id="rId38" Type="http://schemas.openxmlformats.org/officeDocument/2006/relationships/sharedStrings" Target="sharedStrings.xml"/></Relationships>
</file>

<file path=xl/drawings/_rels/drawing2.x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526990</xdr:colOff>
      <xdr:row>346</xdr:row>
      <xdr:rowOff>30355</xdr:rowOff>
    </xdr:from>
    <xdr:to>
      <xdr:col>3</xdr:col>
      <xdr:colOff>981180</xdr:colOff>
      <xdr:row>354</xdr:row>
      <xdr:rowOff>88754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2763140" y="64095327"/>
              <a:ext cx="1871367" cy="153967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oneCell">
    <xdr:from>
      <xdr:col>10</xdr:col>
      <xdr:colOff>0</xdr:colOff>
      <xdr:row>11</xdr:row>
      <xdr:rowOff>0</xdr:rowOff>
    </xdr:from>
    <xdr:to>
      <xdr:col>11</xdr:col>
      <xdr:colOff>7620</xdr:colOff>
      <xdr:row>23</xdr:row>
      <xdr:rowOff>7620</xdr:rowOff>
    </xdr:to>
    <xdr:pic>
      <xdr:nvPicPr>
        <xdr:cNvPr id="3" name="Picture 2">
          <a:extLst>
            <a:ext uri="{FF2B5EF4-FFF2-40B4-BE49-F238E27FC236}">
              <a16:creationId xmlns:a16="http://schemas.microsoft.com/office/drawing/2014/main" id="{9A4B395E-1827-C9B4-62A8-69FACEE0748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31780" y="2026920"/>
          <a:ext cx="1379220" cy="22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713041</xdr:colOff>
      <xdr:row>7</xdr:row>
      <xdr:rowOff>44451</xdr:rowOff>
    </xdr:from>
    <xdr:to>
      <xdr:col>13</xdr:col>
      <xdr:colOff>556879</xdr:colOff>
      <xdr:row>11</xdr:row>
      <xdr:rowOff>143419</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408155</xdr:colOff>
      <xdr:row>12</xdr:row>
      <xdr:rowOff>136208</xdr:rowOff>
    </xdr:from>
    <xdr:to>
      <xdr:col>14</xdr:col>
      <xdr:colOff>688809</xdr:colOff>
      <xdr:row>21</xdr:row>
      <xdr:rowOff>83243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26448</xdr:colOff>
      <xdr:row>7</xdr:row>
      <xdr:rowOff>0</xdr:rowOff>
    </xdr:from>
    <xdr:to>
      <xdr:col>16</xdr:col>
      <xdr:colOff>122110</xdr:colOff>
      <xdr:row>13</xdr:row>
      <xdr:rowOff>44255</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10591871" y="1288075"/>
              <a:ext cx="1920066" cy="113743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438578</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February.xlsx" TargetMode="External"/><Relationship Id="rId1" Type="http://schemas.openxmlformats.org/officeDocument/2006/relationships/externalLinkPath" Target="Factory_Khata_Februa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Gray Khata"/>
      <sheetName val="Wood"/>
      <sheetName val="Cashbook"/>
      <sheetName val="Dyes"/>
      <sheetName val="Finish"/>
      <sheetName val="Electricity"/>
      <sheetName val="Miscellaneous"/>
      <sheetName val="Salary Acc"/>
      <sheetName val="Dc-m"/>
      <sheetName val="pivot "/>
      <sheetName val="Running Acc"/>
      <sheetName val="Balance"/>
      <sheetName val="Cashflow"/>
    </sheetNames>
    <sheetDataSet>
      <sheetData sheetId="0">
        <row r="5">
          <cell r="R5" t="str">
            <v>BSC</v>
          </cell>
          <cell r="S5">
            <v>4346513.8824000005</v>
          </cell>
          <cell r="T5">
            <v>3974500.6239941483</v>
          </cell>
          <cell r="U5">
            <v>3126686.9809802491</v>
          </cell>
          <cell r="V5">
            <v>654441.2948061449</v>
          </cell>
          <cell r="W5">
            <v>31266869.809802495</v>
          </cell>
          <cell r="X5">
            <v>8419380.9436722752</v>
          </cell>
          <cell r="Y5">
            <v>0</v>
          </cell>
          <cell r="Z5">
            <v>0</v>
          </cell>
          <cell r="AA5">
            <v>0</v>
          </cell>
          <cell r="AB5">
            <v>2127095.8302852963</v>
          </cell>
          <cell r="AC5">
            <v>0</v>
          </cell>
          <cell r="AD5">
            <v>0</v>
          </cell>
          <cell r="AF5">
            <v>19750734</v>
          </cell>
        </row>
        <row r="6">
          <cell r="R6" t="str">
            <v>Ejaz Sahab</v>
          </cell>
          <cell r="S6">
            <v>649279</v>
          </cell>
          <cell r="T6">
            <v>593707.93708851503</v>
          </cell>
          <cell r="U6">
            <v>148145.57425018289</v>
          </cell>
          <cell r="V6">
            <v>445562.36283833213</v>
          </cell>
          <cell r="W6">
            <v>1481455.7425018288</v>
          </cell>
          <cell r="X6">
            <v>5733166.6057059262</v>
          </cell>
          <cell r="Y6">
            <v>0</v>
          </cell>
          <cell r="Z6">
            <v>0</v>
          </cell>
          <cell r="AA6">
            <v>0</v>
          </cell>
          <cell r="AB6">
            <v>0</v>
          </cell>
          <cell r="AC6">
            <v>0</v>
          </cell>
          <cell r="AD6">
            <v>0</v>
          </cell>
          <cell r="AF6">
            <v>7053987</v>
          </cell>
        </row>
        <row r="7">
          <cell r="R7" t="str">
            <v>Arshad</v>
          </cell>
          <cell r="S7">
            <v>967227</v>
          </cell>
          <cell r="T7">
            <v>884443.1236283835</v>
          </cell>
          <cell r="U7">
            <v>718917.33723482082</v>
          </cell>
          <cell r="V7">
            <v>165525.78639356254</v>
          </cell>
          <cell r="W7">
            <v>7189173.372348208</v>
          </cell>
          <cell r="X7">
            <v>2137040.9656181419</v>
          </cell>
          <cell r="Y7">
            <v>0</v>
          </cell>
          <cell r="Z7">
            <v>0</v>
          </cell>
          <cell r="AA7">
            <v>0</v>
          </cell>
          <cell r="AB7">
            <v>0</v>
          </cell>
          <cell r="AC7">
            <v>0</v>
          </cell>
          <cell r="AD7">
            <v>0</v>
          </cell>
          <cell r="AF7">
            <v>9177501</v>
          </cell>
        </row>
        <row r="8">
          <cell r="R8" t="str">
            <v>Shehzad Kamoki</v>
          </cell>
          <cell r="S8">
            <v>143457</v>
          </cell>
          <cell r="T8">
            <v>131178.67593269935</v>
          </cell>
          <cell r="U8">
            <v>131178.67593269935</v>
          </cell>
          <cell r="V8">
            <v>0</v>
          </cell>
          <cell r="W8">
            <v>1354241.9972933433</v>
          </cell>
          <cell r="X8">
            <v>0</v>
          </cell>
          <cell r="Y8">
            <v>0</v>
          </cell>
          <cell r="Z8">
            <v>0</v>
          </cell>
          <cell r="AA8">
            <v>0</v>
          </cell>
          <cell r="AB8">
            <v>0</v>
          </cell>
          <cell r="AC8">
            <v>0</v>
          </cell>
          <cell r="AD8">
            <v>0</v>
          </cell>
          <cell r="AF8">
            <v>1353710</v>
          </cell>
        </row>
        <row r="9">
          <cell r="R9" t="str">
            <v>Sufi Nawaz Sahab</v>
          </cell>
          <cell r="S9">
            <v>1212967</v>
          </cell>
          <cell r="T9">
            <v>1109150.5120702267</v>
          </cell>
          <cell r="U9">
            <v>599330.65106071695</v>
          </cell>
          <cell r="V9">
            <v>485823.88441843458</v>
          </cell>
          <cell r="W9">
            <v>5408917.8595464528</v>
          </cell>
          <cell r="X9">
            <v>5829886.6130212145</v>
          </cell>
          <cell r="Y9">
            <v>0</v>
          </cell>
          <cell r="Z9">
            <v>239959.76591075349</v>
          </cell>
          <cell r="AA9">
            <v>0</v>
          </cell>
          <cell r="AB9">
            <v>0</v>
          </cell>
          <cell r="AC9">
            <v>0</v>
          </cell>
          <cell r="AD9">
            <v>0</v>
          </cell>
          <cell r="AF9">
            <v>11478764</v>
          </cell>
        </row>
        <row r="10">
          <cell r="R10" t="str">
            <v>Sajad Khan</v>
          </cell>
          <cell r="S10">
            <v>1135029</v>
          </cell>
          <cell r="T10">
            <v>1037883.1382589615</v>
          </cell>
          <cell r="U10">
            <v>1005535.8449158743</v>
          </cell>
          <cell r="V10">
            <v>0</v>
          </cell>
          <cell r="W10">
            <v>10055358.449158743</v>
          </cell>
          <cell r="X10">
            <v>0</v>
          </cell>
          <cell r="Y10">
            <v>71359.729334308722</v>
          </cell>
          <cell r="Z10">
            <v>0</v>
          </cell>
          <cell r="AA10">
            <v>322297.00073152891</v>
          </cell>
          <cell r="AB10">
            <v>0</v>
          </cell>
          <cell r="AC10">
            <v>0</v>
          </cell>
          <cell r="AD10">
            <v>0</v>
          </cell>
          <cell r="AF10">
            <v>10284871</v>
          </cell>
        </row>
        <row r="11">
          <cell r="R11" t="str">
            <v>Raaz Fabrics</v>
          </cell>
          <cell r="S11">
            <v>203303</v>
          </cell>
          <cell r="T11">
            <v>185902.52377468912</v>
          </cell>
          <cell r="U11">
            <v>185902.52377468912</v>
          </cell>
          <cell r="V11">
            <v>0</v>
          </cell>
          <cell r="W11">
            <v>1859025.2377468913</v>
          </cell>
          <cell r="X11">
            <v>0</v>
          </cell>
          <cell r="Y11">
            <v>0</v>
          </cell>
          <cell r="Z11">
            <v>0</v>
          </cell>
          <cell r="AA11">
            <v>0</v>
          </cell>
          <cell r="AB11">
            <v>0</v>
          </cell>
          <cell r="AC11">
            <v>0</v>
          </cell>
          <cell r="AD11">
            <v>0</v>
          </cell>
          <cell r="AF11">
            <v>1726321</v>
          </cell>
        </row>
        <row r="12">
          <cell r="R12" t="str">
            <v>Azam</v>
          </cell>
          <cell r="S12">
            <v>749236</v>
          </cell>
          <cell r="T12">
            <v>685109.72933430877</v>
          </cell>
          <cell r="U12">
            <v>501118.32479882962</v>
          </cell>
          <cell r="V12">
            <v>183991.40453547917</v>
          </cell>
          <cell r="W12">
            <v>5011183.2479882967</v>
          </cell>
          <cell r="X12">
            <v>2391888.2589612291</v>
          </cell>
          <cell r="Y12">
            <v>0</v>
          </cell>
          <cell r="Z12">
            <v>0</v>
          </cell>
          <cell r="AA12">
            <v>0</v>
          </cell>
          <cell r="AB12">
            <v>0</v>
          </cell>
          <cell r="AC12">
            <v>0</v>
          </cell>
          <cell r="AD12">
            <v>0</v>
          </cell>
          <cell r="AF12">
            <v>7402540</v>
          </cell>
        </row>
        <row r="13">
          <cell r="R13" t="str">
            <v>Ubaidullah</v>
          </cell>
          <cell r="S13">
            <v>173534</v>
          </cell>
          <cell r="T13">
            <v>158681.41916605708</v>
          </cell>
          <cell r="U13">
            <v>46132.955376737387</v>
          </cell>
          <cell r="V13">
            <v>112548.46378931969</v>
          </cell>
          <cell r="W13">
            <v>461329.5537673739</v>
          </cell>
          <cell r="X13">
            <v>1448134.6013167519</v>
          </cell>
          <cell r="Y13">
            <v>0</v>
          </cell>
          <cell r="Z13">
            <v>0</v>
          </cell>
          <cell r="AA13">
            <v>0</v>
          </cell>
          <cell r="AB13">
            <v>0</v>
          </cell>
          <cell r="AC13">
            <v>0</v>
          </cell>
          <cell r="AD13">
            <v>0</v>
          </cell>
          <cell r="AF13">
            <v>1908190</v>
          </cell>
        </row>
        <row r="14">
          <cell r="R14" t="str">
            <v>Ashraf Zia</v>
          </cell>
          <cell r="S14">
            <v>23305</v>
          </cell>
          <cell r="T14">
            <v>21310.35113386979</v>
          </cell>
          <cell r="U14">
            <v>21310.35113386979</v>
          </cell>
          <cell r="V14">
            <v>0</v>
          </cell>
          <cell r="W14">
            <v>255724.21360643749</v>
          </cell>
          <cell r="X14">
            <v>0</v>
          </cell>
          <cell r="Y14">
            <v>0</v>
          </cell>
          <cell r="Z14">
            <v>0</v>
          </cell>
          <cell r="AA14">
            <v>0</v>
          </cell>
          <cell r="AB14">
            <v>0</v>
          </cell>
          <cell r="AC14">
            <v>0</v>
          </cell>
          <cell r="AD14">
            <v>0</v>
          </cell>
          <cell r="AF14">
            <v>130000</v>
          </cell>
        </row>
        <row r="15">
          <cell r="R15" t="str">
            <v>Hafiz Qureshi</v>
          </cell>
          <cell r="S15">
            <v>637981</v>
          </cell>
          <cell r="T15">
            <v>583376.92026335048</v>
          </cell>
          <cell r="U15">
            <v>583376.92026335048</v>
          </cell>
          <cell r="V15">
            <v>0</v>
          </cell>
          <cell r="W15">
            <v>5833769.2026335048</v>
          </cell>
          <cell r="X15">
            <v>0</v>
          </cell>
          <cell r="Y15">
            <v>0</v>
          </cell>
          <cell r="Z15">
            <v>0</v>
          </cell>
          <cell r="AA15">
            <v>0</v>
          </cell>
          <cell r="AB15">
            <v>0</v>
          </cell>
          <cell r="AC15">
            <v>0</v>
          </cell>
          <cell r="AD15">
            <v>0</v>
          </cell>
          <cell r="AF15">
            <v>5539259</v>
          </cell>
        </row>
        <row r="16">
          <cell r="R16" t="str">
            <v>Badshah Fabrics</v>
          </cell>
          <cell r="S16">
            <v>681314</v>
          </cell>
          <cell r="T16">
            <v>623001.09729334316</v>
          </cell>
          <cell r="U16">
            <v>481526.15215801029</v>
          </cell>
          <cell r="V16">
            <v>141474.94513533285</v>
          </cell>
          <cell r="W16">
            <v>4861679.7732260432</v>
          </cell>
          <cell r="X16">
            <v>1776019.5683979518</v>
          </cell>
          <cell r="Y16">
            <v>0</v>
          </cell>
          <cell r="Z16">
            <v>0</v>
          </cell>
          <cell r="AA16">
            <v>0</v>
          </cell>
          <cell r="AB16">
            <v>0</v>
          </cell>
          <cell r="AC16">
            <v>0</v>
          </cell>
          <cell r="AD16">
            <v>0</v>
          </cell>
          <cell r="AF16">
            <v>6545761</v>
          </cell>
        </row>
        <row r="17">
          <cell r="R17" t="str">
            <v>Gauhar Kashif</v>
          </cell>
          <cell r="S17">
            <v>132768</v>
          </cell>
          <cell r="T17">
            <v>121404.53547915144</v>
          </cell>
          <cell r="U17">
            <v>121404.53547915144</v>
          </cell>
          <cell r="V17">
            <v>0</v>
          </cell>
          <cell r="W17">
            <v>1214045.3547915143</v>
          </cell>
          <cell r="X17">
            <v>0</v>
          </cell>
          <cell r="Y17">
            <v>0</v>
          </cell>
          <cell r="Z17">
            <v>0</v>
          </cell>
          <cell r="AA17">
            <v>0</v>
          </cell>
          <cell r="AB17">
            <v>0</v>
          </cell>
          <cell r="AC17">
            <v>0</v>
          </cell>
          <cell r="AD17">
            <v>0</v>
          </cell>
          <cell r="AF17">
            <v>1214045</v>
          </cell>
        </row>
        <row r="18">
          <cell r="R18" t="str">
            <v>Amjad 7up</v>
          </cell>
          <cell r="S18">
            <v>52914</v>
          </cell>
          <cell r="T18">
            <v>48385.149963423559</v>
          </cell>
          <cell r="U18">
            <v>48385.149963423559</v>
          </cell>
          <cell r="V18">
            <v>0</v>
          </cell>
          <cell r="W18">
            <v>483851.49963423557</v>
          </cell>
          <cell r="X18">
            <v>0</v>
          </cell>
          <cell r="Y18">
            <v>0</v>
          </cell>
          <cell r="Z18">
            <v>0</v>
          </cell>
          <cell r="AA18">
            <v>0</v>
          </cell>
          <cell r="AB18">
            <v>0</v>
          </cell>
          <cell r="AC18">
            <v>0</v>
          </cell>
          <cell r="AD18">
            <v>0</v>
          </cell>
          <cell r="AF18">
            <v>480000</v>
          </cell>
        </row>
        <row r="19">
          <cell r="R19" t="str">
            <v>Hazrat Khan</v>
          </cell>
          <cell r="S19">
            <v>9750</v>
          </cell>
          <cell r="T19">
            <v>8915.5084125822978</v>
          </cell>
          <cell r="U19">
            <v>8915.5084125822978</v>
          </cell>
          <cell r="V19">
            <v>0</v>
          </cell>
          <cell r="W19">
            <v>89155.084125822978</v>
          </cell>
          <cell r="X19">
            <v>0</v>
          </cell>
          <cell r="Y19">
            <v>0</v>
          </cell>
          <cell r="Z19">
            <v>0</v>
          </cell>
          <cell r="AA19">
            <v>0</v>
          </cell>
          <cell r="AB19">
            <v>0</v>
          </cell>
          <cell r="AC19">
            <v>0</v>
          </cell>
          <cell r="AD19">
            <v>0</v>
          </cell>
          <cell r="AF19">
            <v>95000</v>
          </cell>
        </row>
        <row r="20">
          <cell r="R20" t="str">
            <v>Haseeb Shamsi</v>
          </cell>
          <cell r="S20">
            <v>61975</v>
          </cell>
          <cell r="T20">
            <v>56670.629114850046</v>
          </cell>
          <cell r="U20">
            <v>47437.820043891741</v>
          </cell>
          <cell r="V20">
            <v>9232.809070958303</v>
          </cell>
          <cell r="W20">
            <v>474378.20043891744</v>
          </cell>
          <cell r="X20">
            <v>120026.51792245793</v>
          </cell>
          <cell r="Y20">
            <v>0</v>
          </cell>
          <cell r="Z20">
            <v>0</v>
          </cell>
          <cell r="AA20">
            <v>0</v>
          </cell>
          <cell r="AB20">
            <v>0</v>
          </cell>
          <cell r="AC20">
            <v>0</v>
          </cell>
          <cell r="AD20">
            <v>0</v>
          </cell>
          <cell r="AF20">
            <v>594405</v>
          </cell>
        </row>
        <row r="21">
          <cell r="R21" t="str">
            <v>Faizan</v>
          </cell>
          <cell r="S21">
            <v>565150</v>
          </cell>
          <cell r="T21">
            <v>516779.44403803954</v>
          </cell>
          <cell r="U21">
            <v>0</v>
          </cell>
          <cell r="V21">
            <v>513809.43672275054</v>
          </cell>
          <cell r="W21">
            <v>30000</v>
          </cell>
          <cell r="X21">
            <v>6679522.6773957582</v>
          </cell>
          <cell r="Y21">
            <v>44550.109729334312</v>
          </cell>
          <cell r="Z21">
            <v>0</v>
          </cell>
          <cell r="AA21">
            <v>0</v>
          </cell>
          <cell r="AB21">
            <v>0</v>
          </cell>
          <cell r="AC21">
            <v>0</v>
          </cell>
          <cell r="AD21">
            <v>0</v>
          </cell>
          <cell r="AF21">
            <v>6728187</v>
          </cell>
        </row>
        <row r="22">
          <cell r="R22" t="str">
            <v>Shafique Ansari</v>
          </cell>
          <cell r="S22">
            <v>82290</v>
          </cell>
          <cell r="T22">
            <v>75246.891002194592</v>
          </cell>
          <cell r="U22">
            <v>64300.475493782011</v>
          </cell>
          <cell r="V22">
            <v>7565.8376005852242</v>
          </cell>
          <cell r="W22">
            <v>643004.75493782014</v>
          </cell>
          <cell r="X22">
            <v>98355.888807607917</v>
          </cell>
          <cell r="Y22">
            <v>0</v>
          </cell>
          <cell r="Z22">
            <v>94656.181419166067</v>
          </cell>
          <cell r="AA22">
            <v>0</v>
          </cell>
          <cell r="AB22">
            <v>0</v>
          </cell>
          <cell r="AC22">
            <v>0</v>
          </cell>
          <cell r="AD22">
            <v>0</v>
          </cell>
          <cell r="AF22">
            <v>835660</v>
          </cell>
        </row>
        <row r="23">
          <cell r="R23" t="str">
            <v>Amjad sohail</v>
          </cell>
          <cell r="S23">
            <v>501155</v>
          </cell>
          <cell r="T23">
            <v>458261.70446232625</v>
          </cell>
          <cell r="U23">
            <v>362820.04389173369</v>
          </cell>
          <cell r="V23">
            <v>95441.660570592547</v>
          </cell>
          <cell r="W23">
            <v>3628200.4389173379</v>
          </cell>
          <cell r="X23">
            <v>1240741.5874177031</v>
          </cell>
          <cell r="Y23">
            <v>0</v>
          </cell>
          <cell r="Z23">
            <v>0</v>
          </cell>
          <cell r="AA23">
            <v>0</v>
          </cell>
          <cell r="AB23">
            <v>0</v>
          </cell>
          <cell r="AC23">
            <v>0</v>
          </cell>
          <cell r="AD23">
            <v>0</v>
          </cell>
          <cell r="AF23">
            <v>4417830</v>
          </cell>
        </row>
        <row r="24">
          <cell r="R24" t="str">
            <v>Salman Zaffar</v>
          </cell>
          <cell r="S24">
            <v>344332</v>
          </cell>
          <cell r="T24">
            <v>314861.00950987567</v>
          </cell>
          <cell r="U24">
            <v>72939.831748354074</v>
          </cell>
          <cell r="V24">
            <v>31409.107534747625</v>
          </cell>
          <cell r="W24">
            <v>729398.31748354062</v>
          </cell>
          <cell r="X24">
            <v>408318.39795171918</v>
          </cell>
          <cell r="Y24">
            <v>0</v>
          </cell>
          <cell r="Z24">
            <v>0</v>
          </cell>
          <cell r="AA24">
            <v>161653.2553035845</v>
          </cell>
          <cell r="AB24">
            <v>1970409.6561814193</v>
          </cell>
          <cell r="AC24">
            <v>0</v>
          </cell>
          <cell r="AD24">
            <v>0</v>
          </cell>
          <cell r="AF24">
            <v>3296025</v>
          </cell>
        </row>
        <row r="25">
          <cell r="R25" t="str">
            <v>Shahid Qasayi</v>
          </cell>
          <cell r="S25">
            <v>394284</v>
          </cell>
          <cell r="T25">
            <v>360537.67373811267</v>
          </cell>
          <cell r="U25">
            <v>310998.53694220923</v>
          </cell>
          <cell r="V25">
            <v>0</v>
          </cell>
          <cell r="W25">
            <v>3109985.3694220926</v>
          </cell>
          <cell r="X25">
            <v>0</v>
          </cell>
          <cell r="Y25">
            <v>0</v>
          </cell>
          <cell r="Z25">
            <v>0</v>
          </cell>
          <cell r="AA25">
            <v>23767.373811265548</v>
          </cell>
          <cell r="AB25">
            <v>523143.74542794435</v>
          </cell>
          <cell r="AC25">
            <v>0</v>
          </cell>
          <cell r="AD25">
            <v>0</v>
          </cell>
          <cell r="AF25">
            <v>3645477</v>
          </cell>
        </row>
        <row r="26">
          <cell r="R26" t="str">
            <v>Hameed corporation</v>
          </cell>
          <cell r="S26">
            <v>46404</v>
          </cell>
          <cell r="T26">
            <v>42432.333577176301</v>
          </cell>
          <cell r="U26">
            <v>42432.333577176301</v>
          </cell>
          <cell r="V26">
            <v>0</v>
          </cell>
          <cell r="W26">
            <v>424323.335771763</v>
          </cell>
          <cell r="X26">
            <v>0</v>
          </cell>
          <cell r="Y26">
            <v>0</v>
          </cell>
          <cell r="Z26">
            <v>0</v>
          </cell>
          <cell r="AA26">
            <v>0</v>
          </cell>
          <cell r="AB26">
            <v>0</v>
          </cell>
          <cell r="AC26">
            <v>0</v>
          </cell>
          <cell r="AD26">
            <v>0</v>
          </cell>
          <cell r="AF26">
            <v>424323</v>
          </cell>
        </row>
        <row r="27">
          <cell r="R27" t="str">
            <v>ibraheem behraam</v>
          </cell>
          <cell r="S27">
            <v>136857</v>
          </cell>
          <cell r="T27">
            <v>125143.56254572056</v>
          </cell>
          <cell r="U27">
            <v>0</v>
          </cell>
          <cell r="V27">
            <v>125143.56254572056</v>
          </cell>
          <cell r="W27">
            <v>0</v>
          </cell>
          <cell r="X27">
            <v>1626866.3130943675</v>
          </cell>
          <cell r="Y27">
            <v>0</v>
          </cell>
          <cell r="Z27">
            <v>0</v>
          </cell>
          <cell r="AA27">
            <v>0</v>
          </cell>
          <cell r="AB27">
            <v>0</v>
          </cell>
          <cell r="AC27">
            <v>0</v>
          </cell>
          <cell r="AD27">
            <v>0</v>
          </cell>
          <cell r="AF27">
            <v>1595500</v>
          </cell>
        </row>
        <row r="28">
          <cell r="R28" t="str">
            <v>Zia-ullah karachi</v>
          </cell>
          <cell r="S28">
            <v>13622</v>
          </cell>
          <cell r="T28">
            <v>12456.108266276518</v>
          </cell>
          <cell r="U28">
            <v>12456.108266276518</v>
          </cell>
          <cell r="V28">
            <v>0</v>
          </cell>
          <cell r="W28">
            <v>124561.08266276518</v>
          </cell>
          <cell r="X28">
            <v>0</v>
          </cell>
          <cell r="Y28">
            <v>0</v>
          </cell>
          <cell r="Z28">
            <v>0</v>
          </cell>
          <cell r="AA28">
            <v>0</v>
          </cell>
          <cell r="AB28">
            <v>0</v>
          </cell>
          <cell r="AC28">
            <v>0</v>
          </cell>
          <cell r="AD28">
            <v>0</v>
          </cell>
          <cell r="AF28">
            <v>124560</v>
          </cell>
        </row>
        <row r="29">
          <cell r="R29" t="str">
            <v>ZA</v>
          </cell>
          <cell r="S29">
            <v>32399</v>
          </cell>
          <cell r="T29">
            <v>29626.005852231167</v>
          </cell>
          <cell r="U29">
            <v>0</v>
          </cell>
          <cell r="V29">
            <v>29626.005852231167</v>
          </cell>
          <cell r="W29">
            <v>0</v>
          </cell>
          <cell r="X29">
            <v>385138.07607900514</v>
          </cell>
          <cell r="Y29">
            <v>0</v>
          </cell>
          <cell r="Z29">
            <v>0</v>
          </cell>
          <cell r="AA29">
            <v>0</v>
          </cell>
          <cell r="AB29">
            <v>0</v>
          </cell>
          <cell r="AC29">
            <v>0</v>
          </cell>
          <cell r="AD29">
            <v>0</v>
          </cell>
          <cell r="AF29">
            <v>385000</v>
          </cell>
        </row>
        <row r="30">
          <cell r="R30" t="str">
            <v>Ahmad Javaid</v>
          </cell>
          <cell r="S30">
            <v>12745</v>
          </cell>
          <cell r="T30">
            <v>11654.16971470373</v>
          </cell>
          <cell r="U30">
            <v>0</v>
          </cell>
          <cell r="V30">
            <v>0</v>
          </cell>
          <cell r="W30">
            <v>0</v>
          </cell>
          <cell r="X30">
            <v>0</v>
          </cell>
          <cell r="Y30">
            <v>0</v>
          </cell>
          <cell r="Z30">
            <v>0</v>
          </cell>
          <cell r="AA30">
            <v>0</v>
          </cell>
          <cell r="AB30">
            <v>0</v>
          </cell>
          <cell r="AC30">
            <v>151504.2062911485</v>
          </cell>
          <cell r="AD30">
            <v>0</v>
          </cell>
          <cell r="AF30">
            <v>130000</v>
          </cell>
        </row>
        <row r="31">
          <cell r="R31" t="str">
            <v>Shani Badshah</v>
          </cell>
          <cell r="S31">
            <v>312320</v>
          </cell>
          <cell r="T31">
            <v>285588.88076079008</v>
          </cell>
          <cell r="U31">
            <v>198861.55815654719</v>
          </cell>
          <cell r="V31">
            <v>86727.322604242872</v>
          </cell>
          <cell r="W31">
            <v>1988615.5815654721</v>
          </cell>
          <cell r="X31">
            <v>1127455.1938551574</v>
          </cell>
          <cell r="Y31">
            <v>0</v>
          </cell>
          <cell r="Z31">
            <v>0</v>
          </cell>
          <cell r="AA31">
            <v>0</v>
          </cell>
          <cell r="AB31">
            <v>0</v>
          </cell>
          <cell r="AC31">
            <v>0</v>
          </cell>
          <cell r="AD31">
            <v>0</v>
          </cell>
          <cell r="AF31">
            <v>2440000</v>
          </cell>
        </row>
        <row r="32">
          <cell r="R32" t="str">
            <v>Rehman Ali</v>
          </cell>
          <cell r="S32">
            <v>50131</v>
          </cell>
          <cell r="T32">
            <v>45840.343818580841</v>
          </cell>
          <cell r="U32">
            <v>0</v>
          </cell>
          <cell r="V32">
            <v>45840.343818580841</v>
          </cell>
          <cell r="W32">
            <v>0</v>
          </cell>
          <cell r="X32">
            <v>595924.46964155091</v>
          </cell>
          <cell r="Y32">
            <v>0</v>
          </cell>
          <cell r="Z32">
            <v>0</v>
          </cell>
          <cell r="AA32">
            <v>0</v>
          </cell>
          <cell r="AB32">
            <v>0</v>
          </cell>
          <cell r="AC32">
            <v>0</v>
          </cell>
          <cell r="AD32">
            <v>0</v>
          </cell>
          <cell r="AF32">
            <v>550000</v>
          </cell>
        </row>
        <row r="33">
          <cell r="R33" t="str">
            <v>Ahmad Shafique</v>
          </cell>
          <cell r="S33">
            <v>53541</v>
          </cell>
          <cell r="T33">
            <v>48958.485735186543</v>
          </cell>
          <cell r="U33">
            <v>0</v>
          </cell>
          <cell r="V33">
            <v>48958.485735186543</v>
          </cell>
          <cell r="W33">
            <v>0</v>
          </cell>
          <cell r="X33">
            <v>636460.3145574251</v>
          </cell>
          <cell r="Y33">
            <v>0</v>
          </cell>
          <cell r="Z33">
            <v>0</v>
          </cell>
          <cell r="AA33">
            <v>0</v>
          </cell>
          <cell r="AB33">
            <v>0</v>
          </cell>
          <cell r="AC33">
            <v>0</v>
          </cell>
          <cell r="AD33">
            <v>0</v>
          </cell>
          <cell r="AF33">
            <v>636000</v>
          </cell>
        </row>
        <row r="34">
          <cell r="R34" t="str">
            <v>Hafiz Shawl</v>
          </cell>
          <cell r="S34">
            <v>4283</v>
          </cell>
          <cell r="T34">
            <v>3916.4228237015363</v>
          </cell>
          <cell r="U34">
            <v>0</v>
          </cell>
          <cell r="V34">
            <v>1321.3240673006585</v>
          </cell>
          <cell r="W34">
            <v>0</v>
          </cell>
          <cell r="X34">
            <v>15855.888807607902</v>
          </cell>
          <cell r="Y34">
            <v>0</v>
          </cell>
          <cell r="Z34">
            <v>0</v>
          </cell>
          <cell r="AA34">
            <v>0</v>
          </cell>
          <cell r="AB34">
            <v>0</v>
          </cell>
          <cell r="AC34">
            <v>0</v>
          </cell>
          <cell r="AD34">
            <v>51636.795903438193</v>
          </cell>
          <cell r="AF34">
            <v>55855</v>
          </cell>
        </row>
        <row r="35">
          <cell r="R35" t="str">
            <v>Zahid Ejaz</v>
          </cell>
          <cell r="S35">
            <v>16060</v>
          </cell>
          <cell r="T35">
            <v>14685.442574981713</v>
          </cell>
          <cell r="U35">
            <v>14685.442574981713</v>
          </cell>
          <cell r="V35">
            <v>0</v>
          </cell>
          <cell r="W35">
            <v>161539.86832479882</v>
          </cell>
          <cell r="X35">
            <v>0</v>
          </cell>
          <cell r="Y35">
            <v>0</v>
          </cell>
          <cell r="Z35">
            <v>0</v>
          </cell>
          <cell r="AA35">
            <v>0</v>
          </cell>
          <cell r="AB35">
            <v>0</v>
          </cell>
          <cell r="AC35">
            <v>0</v>
          </cell>
          <cell r="AD35">
            <v>0</v>
          </cell>
          <cell r="AF35">
            <v>169278</v>
          </cell>
        </row>
        <row r="36">
          <cell r="R36" t="str">
            <v>Faizan Kamoki</v>
          </cell>
          <cell r="S36">
            <v>237742</v>
          </cell>
          <cell r="T36">
            <v>217393.92831016827</v>
          </cell>
          <cell r="U36">
            <v>0</v>
          </cell>
          <cell r="V36">
            <v>157432.33357717632</v>
          </cell>
          <cell r="W36">
            <v>0</v>
          </cell>
          <cell r="X36">
            <v>2046620.336503292</v>
          </cell>
          <cell r="Y36">
            <v>0</v>
          </cell>
          <cell r="Z36">
            <v>0</v>
          </cell>
          <cell r="AA36">
            <v>0</v>
          </cell>
          <cell r="AB36">
            <v>659577.54206291155</v>
          </cell>
          <cell r="AC36">
            <v>0</v>
          </cell>
          <cell r="AD36">
            <v>0</v>
          </cell>
          <cell r="AF36">
            <v>2526791.4930504756</v>
          </cell>
        </row>
        <row r="37">
          <cell r="R37" t="str">
            <v>KK fabrics</v>
          </cell>
          <cell r="S37">
            <v>28166</v>
          </cell>
          <cell r="T37">
            <v>25755.30358449159</v>
          </cell>
          <cell r="U37">
            <v>25755.30358449159</v>
          </cell>
          <cell r="V37">
            <v>0</v>
          </cell>
          <cell r="W37">
            <v>257553.0358449159</v>
          </cell>
          <cell r="X37">
            <v>0</v>
          </cell>
          <cell r="Y37">
            <v>0</v>
          </cell>
          <cell r="Z37">
            <v>0</v>
          </cell>
          <cell r="AA37">
            <v>0</v>
          </cell>
          <cell r="AB37">
            <v>0</v>
          </cell>
          <cell r="AC37">
            <v>0</v>
          </cell>
          <cell r="AD37">
            <v>0</v>
          </cell>
          <cell r="AF37">
            <v>257000</v>
          </cell>
        </row>
        <row r="38">
          <cell r="S38">
            <v>0</v>
          </cell>
          <cell r="T38">
            <v>0</v>
          </cell>
          <cell r="U38">
            <v>0</v>
          </cell>
          <cell r="V38">
            <v>0</v>
          </cell>
          <cell r="W38">
            <v>0</v>
          </cell>
          <cell r="X38">
            <v>0</v>
          </cell>
          <cell r="Y38">
            <v>0</v>
          </cell>
          <cell r="Z38">
            <v>0</v>
          </cell>
          <cell r="AA38">
            <v>0</v>
          </cell>
          <cell r="AB38">
            <v>0</v>
          </cell>
          <cell r="AC38">
            <v>0</v>
          </cell>
          <cell r="AD38">
            <v>0</v>
          </cell>
          <cell r="AF38">
            <v>0</v>
          </cell>
        </row>
        <row r="39">
          <cell r="S39">
            <v>0</v>
          </cell>
          <cell r="T39">
            <v>0</v>
          </cell>
          <cell r="U39">
            <v>0</v>
          </cell>
          <cell r="V39">
            <v>0</v>
          </cell>
          <cell r="W39">
            <v>0</v>
          </cell>
          <cell r="X39">
            <v>0</v>
          </cell>
          <cell r="Y39">
            <v>0</v>
          </cell>
          <cell r="Z39">
            <v>0</v>
          </cell>
          <cell r="AA39">
            <v>0</v>
          </cell>
          <cell r="AB39">
            <v>0</v>
          </cell>
          <cell r="AC39">
            <v>0</v>
          </cell>
          <cell r="AD39">
            <v>0</v>
          </cell>
          <cell r="AF39">
            <v>0</v>
          </cell>
        </row>
        <row r="40">
          <cell r="S40">
            <v>0</v>
          </cell>
          <cell r="T40">
            <v>0</v>
          </cell>
          <cell r="U40">
            <v>0</v>
          </cell>
          <cell r="V40">
            <v>0</v>
          </cell>
          <cell r="W40">
            <v>0</v>
          </cell>
          <cell r="X40">
            <v>0</v>
          </cell>
          <cell r="Y40">
            <v>0</v>
          </cell>
          <cell r="Z40">
            <v>0</v>
          </cell>
          <cell r="AA40">
            <v>0</v>
          </cell>
          <cell r="AB40">
            <v>0</v>
          </cell>
          <cell r="AC40">
            <v>0</v>
          </cell>
          <cell r="AD40">
            <v>0</v>
          </cell>
          <cell r="AF40">
            <v>0</v>
          </cell>
        </row>
      </sheetData>
      <sheetData sheetId="1" refreshError="1"/>
      <sheetData sheetId="2" refreshError="1"/>
      <sheetData sheetId="3" refreshError="1"/>
      <sheetData sheetId="4" refreshError="1"/>
      <sheetData sheetId="5" refreshError="1"/>
      <sheetData sheetId="6" refreshError="1"/>
      <sheetData sheetId="7" refreshError="1"/>
      <sheetData sheetId="8">
        <row r="5">
          <cell r="N5">
            <v>287050.22951719165</v>
          </cell>
        </row>
        <row r="6">
          <cell r="N6">
            <v>-610916</v>
          </cell>
        </row>
      </sheetData>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42.774920370372" createdVersion="8" refreshedVersion="8" minRefreshableVersion="3" recordCount="343" xr:uid="{46CBB50D-3613-4E5B-8212-DD0313DCD05A}">
  <cacheSource type="worksheet">
    <worksheetSource name="Table1"/>
  </cacheSource>
  <cacheFields count="14">
    <cacheField name="Date" numFmtId="0">
      <sharedItems containsNonDate="0" containsDate="1" containsString="0" containsBlank="1" minDate="2026-03-30T00:00:00" maxDate="2026-08-08T00:00:00"/>
    </cacheField>
    <cacheField name="Party Name" numFmtId="0">
      <sharedItems containsBlank="1" count="50">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Shani Badshah"/>
        <s v="Rehman Ali"/>
        <s v="Ahmad Shafique"/>
        <s v="Hafiz Shawl"/>
        <s v="Zahid Ejaz"/>
        <s v="Faizan Kamoki"/>
        <s v="KK fabrics"/>
        <s v="Rauf Khan"/>
        <m/>
        <s v="Farhaan ali"/>
        <s v="ACM salman zaffar"/>
        <s v="Moeez badshah"/>
        <s v="Bablu"/>
        <s v="Sheikh Naveed"/>
        <s v="malik salman"/>
        <s v="Rehan Butt"/>
        <s v="zaid ejaz" u="1"/>
        <s v="Reject" u="1"/>
        <s v="YING" u="1"/>
        <s v="Meow" u="1"/>
        <s v="Umer Sb" u="1"/>
        <s v="-" u="1"/>
        <s v="Sajjad" u="1"/>
        <s v="Haji Ejaz" u="1"/>
      </sharedItems>
    </cacheField>
    <cacheField name="Bill Number" numFmtId="0">
      <sharedItems containsBlank="1" containsMixedTypes="1" containsNumber="1" containsInteger="1" minValue="1613" maxValue="1838"/>
    </cacheField>
    <cacheField name="Quality" numFmtId="0">
      <sharedItems containsBlank="1"/>
    </cacheField>
    <cacheField name="Shipment Number" numFmtId="164">
      <sharedItems containsBlank="1" containsMixedTypes="1" containsNumber="1" containsInteger="1" minValue="1558" maxValue="17000" count="643">
        <m/>
        <s v="2137+2138"/>
        <n v="2151"/>
        <n v="2153"/>
        <n v="2148"/>
        <n v="2136"/>
        <n v="2134"/>
        <n v="2117"/>
        <n v="2131"/>
        <n v="2146"/>
        <n v="2152"/>
        <n v="2162"/>
        <n v="2135"/>
        <n v="2154"/>
        <n v="2158"/>
        <n v="2155"/>
        <n v="2128"/>
        <n v="2166"/>
        <n v="2165"/>
        <s v="2178+2149"/>
        <n v="2147"/>
        <n v="2144"/>
        <s v="2139-b"/>
        <n v="2143"/>
        <n v="2142"/>
        <n v="2140"/>
        <n v="2141"/>
        <s v="2145-b"/>
        <n v="2167"/>
        <n v="2171"/>
        <n v="2178"/>
        <n v="2150"/>
        <n v="2172"/>
        <n v="2170"/>
        <n v="2157"/>
        <n v="2177"/>
        <n v="2180"/>
        <n v="2156"/>
        <n v="2168"/>
        <n v="2149"/>
        <n v="2164"/>
        <n v="2185"/>
        <n v="2186"/>
        <n v="2190"/>
        <n v="2187"/>
        <n v="2169"/>
        <n v="2191"/>
        <n v="2188"/>
        <n v="2193"/>
        <n v="2181"/>
        <n v="2195"/>
        <n v="2192"/>
        <n v="2182"/>
        <s v="2181-b"/>
        <n v="2176"/>
        <n v="2173"/>
        <n v="2200"/>
        <n v="2194"/>
        <n v="2198"/>
        <n v="2197"/>
        <n v="2161"/>
        <n v="2175"/>
        <n v="2163"/>
        <n v="2160"/>
        <s v="2159-swiss"/>
        <s v="-"/>
        <n v="2179"/>
        <n v="2196"/>
        <n v="2202"/>
        <n v="2199"/>
        <s v="RD"/>
        <s v="2204-2206"/>
        <s v="2169-b"/>
        <n v="2500"/>
        <n v="2205"/>
        <n v="2207"/>
        <s v="2183-swiss"/>
        <n v="2203"/>
        <n v="2210"/>
        <n v="2214"/>
        <n v="2215"/>
        <n v="2213"/>
        <n v="1639"/>
        <n v="1636"/>
        <n v="2109"/>
        <n v="2208"/>
        <n v="2201"/>
        <s v="2500-b"/>
        <n v="2211"/>
        <n v="2212"/>
        <n v="2220"/>
        <n v="2219"/>
        <n v="2222"/>
        <s v="--"/>
        <n v="2216"/>
        <n v="2223"/>
        <n v="2227"/>
        <n v="2217"/>
        <s v="2500-c"/>
        <n v="2225"/>
        <s v="2228+2229"/>
        <n v="2209"/>
        <n v="2242"/>
        <n v="2232"/>
        <n v="2221"/>
        <n v="2230"/>
        <s v="2216-b"/>
        <n v="2231"/>
        <n v="1965"/>
        <n v="2243"/>
        <n v="2237"/>
        <s v="2241+2169+2237"/>
        <n v="2244"/>
        <n v="2238"/>
        <s v="2245+2247"/>
        <s v="2239+2240"/>
        <n v="2184"/>
        <n v="2247"/>
        <n v="2249"/>
        <n v="2236"/>
        <n v="2239"/>
        <n v="2250"/>
        <n v="2251"/>
        <n v="2252"/>
        <s v="2227-b"/>
        <s v="2245+2246"/>
        <n v="2256"/>
        <s v="2236-b"/>
        <n v="2259"/>
        <n v="2267"/>
        <n v="2269"/>
        <n v="2245"/>
        <s v="2255+2236"/>
        <n v="2261"/>
        <n v="2260"/>
        <n v="2254"/>
        <n v="2253"/>
        <n v="2262"/>
        <n v="2257"/>
        <n v="2258"/>
        <s v="2265+2275"/>
        <n v="2271"/>
        <n v="2278"/>
        <n v="2276"/>
        <n v="2264"/>
        <n v="2272"/>
        <n v="2268"/>
        <n v="2277"/>
        <n v="2266"/>
        <n v="2283"/>
        <n v="2289"/>
        <n v="2282"/>
        <n v="2288"/>
        <n v="2280"/>
        <n v="2273"/>
        <n v="2100" u="1"/>
        <n v="2080" u="1"/>
        <n v="2058" u="1"/>
        <n v="2069" u="1"/>
        <n v="1809" u="1"/>
        <n v="2060" u="1"/>
        <n v="2085" u="1"/>
        <n v="2078" u="1"/>
        <n v="2040" u="1"/>
        <n v="2049" u="1"/>
        <n v="2095" u="1"/>
        <n v="2082" u="1"/>
        <n v="2035" u="1"/>
        <n v="2102" u="1"/>
        <n v="2089" u="1"/>
        <n v="2101" u="1"/>
        <n v="2084" u="1"/>
        <n v="2103" u="1"/>
        <n v="2096" u="1"/>
        <n v="2105" u="1"/>
        <n v="2104" u="1"/>
        <n v="2088" u="1"/>
        <n v="1996" u="1"/>
        <n v="2113" u="1"/>
        <n v="2107" u="1"/>
        <n v="2108" u="1"/>
        <n v="2114" u="1"/>
        <n v="2110" u="1"/>
        <n v="2106" u="1"/>
        <n v="2119" u="1"/>
        <n v="2112" u="1"/>
        <n v="2115" u="1"/>
        <n v="1980" u="1"/>
        <n v="2093" u="1"/>
        <n v="2121" u="1"/>
        <n v="2127" u="1"/>
        <n v="2118" u="1"/>
        <n v="2111" u="1"/>
        <n v="1810" u="1"/>
        <n v="1743" u="1"/>
        <n v="2125" u="1"/>
        <n v="1702" u="1"/>
        <n v="1742" u="1"/>
        <n v="1775" u="1"/>
        <n v="2126" u="1"/>
        <n v="2120" u="1"/>
        <n v="2123" u="1"/>
        <n v="2122" u="1"/>
        <n v="2116" u="1"/>
        <n v="2130" u="1"/>
        <n v="2129" u="1"/>
        <n v="2132" u="1"/>
        <n v="2097" u="1"/>
        <n v="2139" u="1"/>
        <n v="2045" u="1"/>
        <n v="2098" u="1"/>
        <n v="2081" u="1"/>
        <n v="2133" u="1"/>
        <n v="2145" u="1"/>
        <n v="2024" u="1"/>
        <n v="2023" u="1"/>
        <n v="2025" u="1"/>
        <n v="2039" u="1"/>
        <n v="2037" u="1"/>
        <n v="2026" u="1"/>
        <n v="2041" u="1"/>
        <n v="2006" u="1"/>
        <n v="2020" u="1"/>
        <n v="2034" u="1"/>
        <n v="2046" u="1"/>
        <n v="2033" u="1"/>
        <n v="2032" u="1"/>
        <n v="2021" u="1"/>
        <n v="2052" u="1"/>
        <n v="1989" u="1"/>
        <n v="2012" u="1"/>
        <n v="2015" u="1"/>
        <n v="2061" u="1"/>
        <n v="1978" u="1"/>
        <n v="2043" u="1"/>
        <n v="2044" u="1"/>
        <n v="2050" u="1"/>
        <n v="2059" u="1"/>
        <n v="2051" u="1"/>
        <n v="2042" u="1"/>
        <n v="2036" u="1"/>
        <n v="2057" u="1"/>
        <n v="2056" u="1"/>
        <n v="2065" u="1"/>
        <n v="2053" u="1"/>
        <n v="2068" u="1"/>
        <n v="2067" u="1"/>
        <n v="2047" u="1"/>
        <n v="2055" u="1"/>
        <n v="2087" u="1"/>
        <n v="2077" u="1"/>
        <n v="2076" u="1"/>
        <n v="2070" u="1"/>
        <n v="1990" u="1"/>
        <n v="2064" u="1"/>
        <n v="2062" u="1"/>
        <n v="2063" u="1"/>
        <n v="2072" u="1"/>
        <n v="2091" u="1"/>
        <n v="2090" u="1"/>
        <n v="2083" u="1"/>
        <n v="2073" u="1"/>
        <n v="1977" u="1"/>
        <n v="2094" u="1"/>
        <n v="2079" u="1"/>
        <n v="2066" u="1"/>
        <n v="2099" u="1"/>
        <n v="1979" u="1"/>
        <n v="1976" u="1"/>
        <n v="2048" u="1"/>
        <n v="2075" u="1"/>
        <n v="2074" u="1"/>
        <n v="1971" u="1"/>
        <n v="1951" u="1"/>
        <n v="1934" u="1"/>
        <n v="1924" u="1"/>
        <n v="1835" u="1"/>
        <n v="1628" u="1"/>
        <n v="1958" u="1"/>
        <n v="1987" u="1"/>
        <n v="1974" u="1"/>
        <n v="1972" u="1"/>
        <n v="1982" u="1"/>
        <n v="1986" u="1"/>
        <n v="1981" u="1"/>
        <n v="1954" u="1"/>
        <n v="1948" u="1"/>
        <n v="1947" u="1"/>
        <n v="1985" u="1"/>
        <n v="1983" u="1"/>
        <n v="1984" u="1"/>
        <n v="1993"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Blank="1" containsMixedTypes="1" containsNumber="1" containsInteger="1" minValue="1209" maxValue="107006"/>
    </cacheField>
    <cacheField name="Tiyaar/gaz" numFmtId="164">
      <sharedItems containsString="0" containsBlank="1" containsNumber="1" containsInteger="1" minValue="51" maxValue="53438"/>
    </cacheField>
    <cacheField name="shortage %" numFmtId="165">
      <sharedItems containsBlank="1" containsMixedTypes="1" containsNumber="1" minValue="-5.0674587415249448" maxValue="98.905027997558122"/>
    </cacheField>
    <cacheField name="tiyar/meters" numFmtId="165">
      <sharedItems containsString="0" containsBlank="1" containsNumber="1" minValue="0" maxValue="3126686.9809802491"/>
    </cacheField>
    <cacheField name="billing" numFmtId="165">
      <sharedItems containsString="0" containsBlank="1" containsNumber="1" minValue="0" maxValue="31266869.809802495"/>
    </cacheField>
    <cacheField name="Total Billing" numFmtId="0">
      <sharedItems containsString="0" containsBlank="1" containsNumber="1" minValue="133035.84491587419" maxValue="133035.84491587419"/>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42.774921064818" createdVersion="8" refreshedVersion="8" minRefreshableVersion="3" recordCount="45" xr:uid="{376A650C-1F79-4049-BC45-E34989F046B2}">
  <cacheSource type="worksheet">
    <worksheetSource name="Table2"/>
  </cacheSource>
  <cacheFields count="8">
    <cacheField name="Date" numFmtId="14">
      <sharedItems containsNonDate="0" containsDate="1" containsString="0" containsBlank="1" minDate="2026-03-30T00:00:00" maxDate="2026-07-17T00:00:00"/>
    </cacheField>
    <cacheField name="Party Name" numFmtId="14">
      <sharedItems containsBlank="1" count="12">
        <s v="Finish"/>
        <m/>
        <s v="AS Traders"/>
        <s v="Abid ghafoor"/>
        <s v="Madina Dyes"/>
        <s v="Shengtai"/>
        <s v="azhar pva"/>
        <s v="Faisal PVA"/>
        <s v="Faysal Akraam" u="1"/>
        <s v="new party" u="1"/>
        <s v="-" u="1"/>
        <s v="Faysal" u="1"/>
      </sharedItems>
    </cacheField>
    <cacheField name="Item" numFmtId="0">
      <sharedItems containsBlank="1"/>
    </cacheField>
    <cacheField name="Boxes" numFmtId="0">
      <sharedItems containsNonDate="0" containsString="0" containsBlank="1"/>
    </cacheField>
    <cacheField name="Quantity" numFmtId="0">
      <sharedItems containsNonDate="0" containsString="0" containsBlank="1"/>
    </cacheField>
    <cacheField name="Price" numFmtId="0">
      <sharedItems containsSemiMixedTypes="0" containsString="0" containsNumber="1" containsInteger="1" minValue="0" maxValue="170500"/>
    </cacheField>
    <cacheField name="Paid" numFmtId="0">
      <sharedItems containsSemiMixedTypes="0" containsString="0" containsNumber="1" containsInteger="1" minValue="0" maxValue="312000"/>
    </cacheField>
    <cacheField name="Balance" numFmtId="0">
      <sharedItems containsString="0" containsBlank="1" containsNumber="1" containsInteger="1" minValue="-312000" maxValue="31200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42.774921412034" createdVersion="8" refreshedVersion="8" minRefreshableVersion="3" recordCount="95" xr:uid="{3E5C2981-ACF5-44A9-8567-B1D65DB3A8D2}">
  <cacheSource type="worksheet">
    <worksheetSource name="Table3"/>
  </cacheSource>
  <cacheFields count="9">
    <cacheField name="Date" numFmtId="14">
      <sharedItems containsNonDate="0" containsDate="1" containsString="0" containsBlank="1" minDate="2026-03-17T00:00:00" maxDate="2026-07-17T00:00:00" count="41">
        <d v="2026-03-30T00:00:00"/>
        <d v="2026-03-17T00:00:00"/>
        <d v="2026-04-10T00:00:00"/>
        <d v="2026-04-14T00:00:00"/>
        <d v="2026-04-15T00:00:00"/>
        <d v="2026-04-17T00:00:00"/>
        <m/>
        <d v="2026-04-19T00:00:00"/>
        <d v="2026-04-18T00:00:00"/>
        <d v="2026-04-21T00:00:00"/>
        <d v="2026-04-23T00:00:00"/>
        <d v="2026-04-24T00:00:00"/>
        <d v="2026-04-25T00:00:00"/>
        <d v="2026-04-30T00:00:00"/>
        <d v="2026-05-02T00:00:00"/>
        <d v="2026-05-05T00:00:00"/>
        <d v="2026-05-06T00:00:00"/>
        <d v="2026-05-07T00:00:00"/>
        <d v="2026-05-09T00:00:00"/>
        <d v="2026-05-10T00:00:00"/>
        <d v="2026-05-11T00:00:00"/>
        <d v="2026-05-12T00:00:00"/>
        <d v="2026-05-14T00:00:00"/>
        <d v="2026-06-10T00:00:00"/>
        <d v="2026-06-11T00:00:00"/>
        <d v="2026-06-12T00:00:00"/>
        <d v="2026-06-13T00:00:00"/>
        <d v="2026-06-14T00:00:00"/>
        <d v="2026-06-17T00:00:00"/>
        <d v="2026-06-19T00:00:00"/>
        <d v="2026-06-21T00:00:00"/>
        <d v="2026-06-22T00:00:00"/>
        <d v="2026-06-24T00:00:00"/>
        <d v="2026-07-02T00:00:00"/>
        <d v="2026-07-04T00:00:00"/>
        <d v="2026-07-08T00:00:00"/>
        <d v="2026-07-09T00:00:00"/>
        <d v="2026-07-10T00:00:00"/>
        <d v="2026-07-12T00:00:00"/>
        <d v="2026-07-14T00:00:00"/>
        <d v="2026-07-16T00:00:00"/>
      </sharedItems>
    </cacheField>
    <cacheField name="Party Name" numFmtId="0">
      <sharedItems containsBlank="1" count="20">
        <s v="Aqib"/>
        <s v="Malik zaheer"/>
        <s v="aslam Multani"/>
        <s v="Rafaqat"/>
        <s v="Kaleem ullah"/>
        <s v="Ishaq"/>
        <s v="Aurangzeb"/>
        <s v="Irfan Punjabi"/>
        <s v="Amjad wood"/>
        <s v="Rana Babar"/>
        <s v="Zaheer shah wood"/>
        <s v="babar wood"/>
        <m/>
        <s v="Haroon wood"/>
        <s v="aurangzeb wood"/>
        <s v="Yousaf wood"/>
        <s v="rana kamran"/>
        <s v="jaranwala" u="1"/>
        <s v="Shamil" u="1"/>
        <s v="Aqib Freight" u="1"/>
      </sharedItems>
    </cacheField>
    <cacheField name="Vehicle Number" numFmtId="0">
      <sharedItems containsBlank="1" containsMixedTypes="1" containsNumber="1" containsInteger="1" minValue="31" maxValue="9940" count="58">
        <s v="Closing Balance CF"/>
        <m/>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5" maxValue="482"/>
    </cacheField>
    <cacheField name="Rate" numFmtId="164">
      <sharedItems containsString="0" containsBlank="1" containsNumber="1" containsInteger="1" minValue="580" maxValue="1200"/>
    </cacheField>
    <cacheField name="Rent" numFmtId="164">
      <sharedItems containsString="0" containsBlank="1" containsNumber="1" containsInteger="1" minValue="24000" maxValue="100000"/>
    </cacheField>
    <cacheField name="Total" numFmtId="164">
      <sharedItems containsString="0" containsBlank="1" containsNumber="1" containsInteger="1" minValue="0" maxValue="499200"/>
    </cacheField>
    <cacheField name="Paid" numFmtId="164">
      <sharedItems containsString="0" containsBlank="1" containsNumber="1" containsInteger="1" minValue="0" maxValue="0"/>
    </cacheField>
    <cacheField name="balance" numFmtId="164">
      <sharedItems containsSemiMixedTypes="0" containsString="0" containsNumber="1" containsInteger="1" minValue="0" maxValue="1730359"/>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42.774921759257" createdVersion="8" refreshedVersion="8" minRefreshableVersion="3" recordCount="45" xr:uid="{AC867DCC-CE64-4D1A-827D-F1F3EE10EE4E}">
  <cacheSource type="worksheet">
    <worksheetSource name="Table8"/>
  </cacheSource>
  <cacheFields count="9">
    <cacheField name="Date" numFmtId="0">
      <sharedItems containsNonDate="0" containsDate="1" containsString="0" containsBlank="1" minDate="2026-02-20T00:00:00" maxDate="2026-08-04T00:00:00" count="32">
        <d v="2026-03-30T00:00:00"/>
        <d v="2026-02-20T00:00:00"/>
        <d v="2026-04-04T00:00:00"/>
        <d v="2026-04-08T00:00:00"/>
        <d v="2026-04-15T00:00:00"/>
        <d v="2026-04-18T00:00:00"/>
        <d v="2026-04-22T00:00:00"/>
        <d v="2026-04-23T00:00:00"/>
        <m/>
        <d v="2026-04-27T00:00:00"/>
        <d v="2026-05-02T00:00:00"/>
        <d v="2026-05-06T00:00:00"/>
        <d v="2026-05-09T00:00:00"/>
        <d v="2026-05-14T00:00:00"/>
        <d v="2026-05-11T00:00:00"/>
        <d v="2026-05-19T00:00:00"/>
        <d v="2026-05-21T00:00:00"/>
        <d v="2026-05-22T00:00:00"/>
        <d v="2026-05-23T00:00:00"/>
        <d v="2026-06-08T00:00:00"/>
        <d v="2026-06-09T00:00:00"/>
        <d v="2026-06-16T00:00:00"/>
        <d v="2026-06-19T00:00:00"/>
        <d v="2026-06-22T00:00:00"/>
        <d v="2026-06-23T00:00:00"/>
        <d v="2026-07-04T00:00:00"/>
        <d v="2026-07-05T00:00:00"/>
        <d v="2026-07-09T00:00:00"/>
        <d v="2026-07-16T00:00:00"/>
        <d v="2026-07-24T00:00:00"/>
        <d v="2026-08-01T00:00:00"/>
        <d v="2026-08-03T00:00:00"/>
      </sharedItems>
    </cacheField>
    <cacheField name="Chemical Name" numFmtId="0">
      <sharedItems containsBlank="1"/>
    </cacheField>
    <cacheField name="Boxes" numFmtId="0">
      <sharedItems containsBlank="1" containsMixedTypes="1" containsNumber="1" containsInteger="1" minValue="3" maxValue="10"/>
    </cacheField>
    <cacheField name="Rate" numFmtId="0">
      <sharedItems containsNonDate="0" containsString="0" containsBlank="1"/>
    </cacheField>
    <cacheField name="Price" numFmtId="0">
      <sharedItems containsString="0" containsBlank="1" containsNumber="1" containsInteger="1" minValue="0" maxValue="542500"/>
    </cacheField>
    <cacheField name="Party" numFmtId="0">
      <sharedItems containsBlank="1" count="16">
        <s v="Unicolour"/>
        <s v="madina dyes"/>
        <s v="General Dyes"/>
        <s v="Shafi Dyes"/>
        <s v="MAK dyes"/>
        <s v="wazir dyes"/>
        <s v="Crescent dyes"/>
        <s v="Faisal Dyes"/>
        <s v="dyes"/>
        <m/>
        <s v="Jojo dyes"/>
        <s v="Navy" u="1"/>
        <s v="13 carton" u="1"/>
        <s v="usman shafiq Dyes" u="1"/>
        <s v="Al madina" u="1"/>
        <s v="-" u="1"/>
      </sharedItems>
    </cacheField>
    <cacheField name="Paid" numFmtId="0">
      <sharedItems containsSemiMixedTypes="0" containsString="0" containsNumber="1" containsInteger="1" minValue="0" maxValue="406000"/>
    </cacheField>
    <cacheField name="Balance" numFmtId="0">
      <sharedItems containsSemiMixedTypes="0" containsString="0" containsNumber="1" containsInteger="1" minValue="-406000" maxValue="80187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42.774921990742" createdVersion="8" refreshedVersion="8" minRefreshableVersion="3" recordCount="17" xr:uid="{C9337D87-FB7F-43A5-B835-F515E859066B}">
  <cacheSource type="worksheet">
    <worksheetSource name="Table4"/>
  </cacheSource>
  <cacheFields count="4">
    <cacheField name="Party Name" numFmtId="0">
      <sharedItems count="17">
        <s v="BSC"/>
        <s v="Ejaz Sahab"/>
        <s v="Arshad"/>
        <s v="Shehzad Kamoki"/>
        <s v="Sufi Nawaz Sahab"/>
        <s v="Sajad Khan"/>
        <s v="Raaz Fabrics"/>
        <s v="Azam"/>
        <s v="Ubaidullah"/>
        <s v="Ashraf Zia"/>
        <s v="Hafiz Qureshi"/>
        <s v="Badshah Fabrics"/>
        <s v="Gauhar Kashif"/>
        <s v="Amjad 7up"/>
        <s v="Hazrat Khan"/>
        <s v="Haseeb Shamsi"/>
        <s v="Faizan"/>
      </sharedItems>
    </cacheField>
    <cacheField name="Tiyaar" numFmtId="1">
      <sharedItems containsSemiMixedTypes="0" containsString="0" containsNumber="1" minValue="0" maxValue="1067194.5866861742"/>
    </cacheField>
    <cacheField name="Rate" numFmtId="0">
      <sharedItems containsString="0" containsBlank="1" containsNumber="1" minValue="10" maxValue="12"/>
    </cacheField>
    <cacheField name="Total" numFmtId="164">
      <sharedItems containsSemiMixedTypes="0" containsString="0" containsNumber="1" minValue="0" maxValue="9800459.034381859"/>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42.774922337965" createdVersion="8" refreshedVersion="8" minRefreshableVersion="3" recordCount="1341" xr:uid="{B5BDFB73-D93A-4A7A-8149-666BC190B09B}">
  <cacheSource type="worksheet">
    <worksheetSource name="Table14"/>
  </cacheSource>
  <cacheFields count="9">
    <cacheField name="Date" numFmtId="14">
      <sharedItems containsNonDate="0" containsDate="1" containsString="0" containsBlank="1" minDate="2026-03-30T00:00:00" maxDate="2026-08-06T00:00:00" count="122">
        <d v="2026-03-30T00:00:00"/>
        <d v="2026-04-01T00:00:00"/>
        <d v="2026-04-02T00:00:00"/>
        <d v="2026-04-03T00:00:00"/>
        <d v="2026-04-04T00:00:00"/>
        <d v="2026-04-06T00:00:00"/>
        <d v="2026-04-07T00:00:00"/>
        <d v="2026-04-08T00:00:00"/>
        <d v="2026-04-09T00:00:00"/>
        <d v="2026-04-10T00:00:00"/>
        <d v="2026-04-11T00:00:00"/>
        <d v="2026-04-12T00:00:00"/>
        <d v="2026-04-13T00:00:00"/>
        <d v="2026-04-14T00:00:00"/>
        <d v="2026-04-15T00:00:00"/>
        <d v="2026-04-16T00:00:00"/>
        <d v="2026-04-17T00:00:00"/>
        <d v="2026-04-18T00:00:00"/>
        <d v="2026-04-19T00:00:00"/>
        <d v="2026-04-20T00:00:00"/>
        <d v="2026-04-21T00:00:00"/>
        <d v="2026-04-22T00:00:00"/>
        <d v="2026-04-23T00:00:00"/>
        <d v="2026-04-24T00:00:00"/>
        <d v="2026-04-25T00:00:00"/>
        <d v="2026-04-26T00:00:00"/>
        <d v="2026-04-27T00:00:00"/>
        <d v="2026-04-28T00:00:00"/>
        <d v="2026-04-29T00:00:00"/>
        <d v="2026-04-30T00:00:00"/>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9T00:00:00"/>
        <d v="2026-05-30T00:00:00"/>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9T00:00:00"/>
        <d v="2026-06-20T00:00:00"/>
        <d v="2026-06-21T00:00:00"/>
        <d v="2026-06-22T00:00:00"/>
        <d v="2026-06-23T00:00:00"/>
        <d v="2026-06-24T00:00:00"/>
        <d v="2026-06-25T00:00:00"/>
        <d v="2026-06-27T00:00:00"/>
        <d v="2026-06-28T00:00:00"/>
        <d v="2026-06-29T00:00:00"/>
        <d v="2026-06-30T00:00:00"/>
        <d v="2026-07-01T00:00:00"/>
        <d v="2026-07-02T00:00:00"/>
        <d v="2026-07-03T00:00:00"/>
        <d v="2026-07-04T00:00:00"/>
        <d v="2026-07-05T00:00:00"/>
        <d v="2026-07-06T00:00:00"/>
        <d v="2026-07-07T00:00:00"/>
        <d v="2026-07-08T00:00:00"/>
        <d v="2026-07-09T00:00:00"/>
        <d v="2026-07-10T00:00:00"/>
        <d v="2026-07-11T00:00:00"/>
        <d v="2026-07-12T00:00:00"/>
        <d v="2026-07-13T00:00:00"/>
        <d v="2026-07-14T00:00:00"/>
        <d v="2026-07-15T00:00:00"/>
        <d v="2026-07-16T00:00:00"/>
        <d v="2026-07-17T00:00:00"/>
        <d v="2026-07-18T00:00:00"/>
        <d v="2026-07-19T00:00:00"/>
        <d v="2026-07-20T00:00:00"/>
        <d v="2026-07-21T00:00:00"/>
        <d v="2026-07-23T00:00:00"/>
        <d v="2026-07-24T00:00:00"/>
        <d v="2026-07-25T00:00:00"/>
        <d v="2026-07-26T00:00:00"/>
        <d v="2026-07-27T00:00:00"/>
        <d v="2026-07-28T00:00:00"/>
        <d v="2026-07-30T00:00:00"/>
        <d v="2026-07-31T00:00:00"/>
        <d v="2026-08-01T00:00:00"/>
        <d v="2026-08-02T00:00:00"/>
        <d v="2026-08-03T00:00:00"/>
        <d v="2026-08-04T00:00:00"/>
        <d v="2026-08-05T00:00:00"/>
        <m/>
      </sharedItems>
      <fieldGroup par="8"/>
    </cacheField>
    <cacheField name="Party" numFmtId="0">
      <sharedItems containsBlank="1"/>
    </cacheField>
    <cacheField name="Debit" numFmtId="164">
      <sharedItems containsString="0" containsBlank="1" containsNumber="1" minValue="140" maxValue="1467298"/>
    </cacheField>
    <cacheField name="Credit" numFmtId="164">
      <sharedItems containsBlank="1" containsMixedTypes="1" containsNumber="1" minValue="-610916" maxValue="1184000"/>
    </cacheField>
    <cacheField name="Description" numFmtId="0">
      <sharedItems containsDate="1" containsBlank="1" containsMixedTypes="1" minDate="2026-04-11T00:00:00" maxDate="2026-04-12T00:00:00"/>
    </cacheField>
    <cacheField name="Mode" numFmtId="0">
      <sharedItems containsBlank="1"/>
    </cacheField>
    <cacheField name="Withdrawal" numFmtId="0">
      <sharedItems containsNonDate="0" containsString="0" containsBlank="1"/>
    </cacheField>
    <cacheField name="Days (Date)" numFmtId="0" databaseField="0">
      <fieldGroup base="0">
        <rangePr groupBy="days" startDate="2026-03-30T00:00:00" endDate="2026-08-06T00:00:00"/>
        <groupItems count="368">
          <s v="&lt;30/03/2026"/>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t"/>
          <s v="02-Sept"/>
          <s v="03-Sept"/>
          <s v="04-Sept"/>
          <s v="05-Sept"/>
          <s v="06-Sept"/>
          <s v="07-Sept"/>
          <s v="08-Sept"/>
          <s v="09-Sept"/>
          <s v="10-Sept"/>
          <s v="11-Sept"/>
          <s v="12-Sept"/>
          <s v="13-Sept"/>
          <s v="14-Sept"/>
          <s v="15-Sept"/>
          <s v="16-Sept"/>
          <s v="17-Sept"/>
          <s v="18-Sept"/>
          <s v="19-Sept"/>
          <s v="20-Sept"/>
          <s v="21-Sept"/>
          <s v="22-Sept"/>
          <s v="23-Sept"/>
          <s v="24-Sept"/>
          <s v="25-Sept"/>
          <s v="26-Sept"/>
          <s v="27-Sept"/>
          <s v="28-Sept"/>
          <s v="29-Sept"/>
          <s v="30-Sept"/>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6/08/2026"/>
        </groupItems>
      </fieldGroup>
    </cacheField>
    <cacheField name="Months (Date)" numFmtId="0" databaseField="0">
      <fieldGroup base="0">
        <rangePr groupBy="months" startDate="2026-03-30T00:00:00" endDate="2026-08-06T00:00:00"/>
        <groupItems count="14">
          <s v="&lt;30/03/2026"/>
          <s v="Jan"/>
          <s v="Feb"/>
          <s v="Mar"/>
          <s v="Apr"/>
          <s v="May"/>
          <s v="Jun"/>
          <s v="Jul"/>
          <s v="Aug"/>
          <s v="Sept"/>
          <s v="Oct"/>
          <s v="Nov"/>
          <s v="Dec"/>
          <s v="&gt;06/08/2026"/>
        </groupItems>
      </fieldGroup>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3">
  <r>
    <d v="2026-03-30T00:00:00"/>
    <x v="0"/>
    <s v="Closing CF"/>
    <s v="Chamki"/>
    <x v="0"/>
    <m/>
    <m/>
    <e v="#DIV/0!"/>
    <n v="3126686.9809802491"/>
    <n v="31266869.809802495"/>
    <m/>
  </r>
  <r>
    <d v="2026-03-30T00:00:00"/>
    <x v="1"/>
    <s v="Closing CF"/>
    <s v="Chamki"/>
    <x v="0"/>
    <m/>
    <m/>
    <e v="#DIV/0!"/>
    <n v="148145.57425018289"/>
    <n v="1481455.7425018288"/>
    <m/>
  </r>
  <r>
    <d v="2026-03-30T00:00:00"/>
    <x v="2"/>
    <s v="Closing CF"/>
    <s v="Chamki"/>
    <x v="0"/>
    <m/>
    <m/>
    <e v="#DIV/0!"/>
    <n v="718917.33723482082"/>
    <n v="7189173.372348208"/>
    <m/>
  </r>
  <r>
    <d v="2026-03-30T00:00:00"/>
    <x v="3"/>
    <s v="Closing CF"/>
    <s v="Chamki"/>
    <x v="0"/>
    <m/>
    <m/>
    <e v="#DIV/0!"/>
    <n v="131178.67593269935"/>
    <n v="1354241.9972933433"/>
    <m/>
  </r>
  <r>
    <d v="2026-03-30T00:00:00"/>
    <x v="4"/>
    <s v="Closing CF"/>
    <s v="Chamki"/>
    <x v="0"/>
    <m/>
    <m/>
    <e v="#DIV/0!"/>
    <n v="599330.65106071695"/>
    <n v="5408917.8595464528"/>
    <m/>
  </r>
  <r>
    <d v="2026-03-30T00:00:00"/>
    <x v="5"/>
    <s v="Closing CF"/>
    <s v="Chamki"/>
    <x v="0"/>
    <m/>
    <m/>
    <e v="#DIV/0!"/>
    <n v="1005535.8449158743"/>
    <n v="10055358.449158743"/>
    <m/>
  </r>
  <r>
    <d v="2026-03-30T00:00:00"/>
    <x v="6"/>
    <s v="Closing CF"/>
    <s v="Chamki"/>
    <x v="0"/>
    <m/>
    <m/>
    <e v="#DIV/0!"/>
    <n v="185902.52377468912"/>
    <n v="1859025.2377468913"/>
    <m/>
  </r>
  <r>
    <d v="2026-03-30T00:00:00"/>
    <x v="7"/>
    <s v="Closing CF"/>
    <s v="Chamki"/>
    <x v="0"/>
    <m/>
    <m/>
    <e v="#DIV/0!"/>
    <n v="501118.32479882962"/>
    <n v="5011183.2479882967"/>
    <m/>
  </r>
  <r>
    <d v="2026-03-30T00:00:00"/>
    <x v="8"/>
    <s v="Closing CF"/>
    <s v="Chamki"/>
    <x v="0"/>
    <m/>
    <m/>
    <e v="#DIV/0!"/>
    <n v="46132.955376737387"/>
    <n v="461329.5537673739"/>
    <m/>
  </r>
  <r>
    <d v="2026-03-30T00:00:00"/>
    <x v="9"/>
    <s v="Closing CF"/>
    <s v="Chamki"/>
    <x v="0"/>
    <m/>
    <m/>
    <e v="#DIV/0!"/>
    <n v="21310.35113386979"/>
    <n v="255724.21360643749"/>
    <m/>
  </r>
  <r>
    <d v="2026-03-30T00:00:00"/>
    <x v="10"/>
    <s v="Closing CF"/>
    <s v="Chamki"/>
    <x v="0"/>
    <m/>
    <m/>
    <e v="#DIV/0!"/>
    <n v="583376.92026335048"/>
    <n v="5833769.2026335048"/>
    <m/>
  </r>
  <r>
    <d v="2026-03-30T00:00:00"/>
    <x v="11"/>
    <s v="Closing CF"/>
    <s v="Chamki"/>
    <x v="0"/>
    <m/>
    <m/>
    <e v="#DIV/0!"/>
    <n v="481526.15215801029"/>
    <n v="4861679.7732260432"/>
    <m/>
  </r>
  <r>
    <d v="2026-03-30T00:00:00"/>
    <x v="12"/>
    <s v="Closing CF"/>
    <s v="Chamki"/>
    <x v="0"/>
    <m/>
    <m/>
    <e v="#DIV/0!"/>
    <n v="121404.53547915144"/>
    <n v="1214045.3547915143"/>
    <m/>
  </r>
  <r>
    <d v="2026-03-30T00:00:00"/>
    <x v="13"/>
    <s v="Closing CF"/>
    <s v="Chamki"/>
    <x v="0"/>
    <m/>
    <m/>
    <e v="#DIV/0!"/>
    <n v="48385.149963423559"/>
    <n v="483851.49963423557"/>
    <m/>
  </r>
  <r>
    <d v="2026-03-30T00:00:00"/>
    <x v="14"/>
    <s v="Closing CF"/>
    <s v="Chamki"/>
    <x v="0"/>
    <m/>
    <m/>
    <e v="#DIV/0!"/>
    <n v="8915.5084125822978"/>
    <n v="89155.084125822978"/>
    <m/>
  </r>
  <r>
    <d v="2026-03-30T00:00:00"/>
    <x v="15"/>
    <s v="Closing CF"/>
    <s v="Chamki"/>
    <x v="0"/>
    <m/>
    <m/>
    <e v="#DIV/0!"/>
    <n v="47437.820043891741"/>
    <n v="474378.20043891744"/>
    <m/>
  </r>
  <r>
    <d v="2026-03-30T00:00:00"/>
    <x v="16"/>
    <s v="Closing CF"/>
    <s v="Chamki"/>
    <x v="0"/>
    <m/>
    <m/>
    <e v="#DIV/0!"/>
    <n v="0"/>
    <n v="30000"/>
    <m/>
  </r>
  <r>
    <d v="2026-03-30T00:00:00"/>
    <x v="17"/>
    <s v="Closing CF"/>
    <s v="Chamki"/>
    <x v="0"/>
    <m/>
    <m/>
    <e v="#DIV/0!"/>
    <n v="64300.475493782011"/>
    <n v="643004.75493782014"/>
    <m/>
  </r>
  <r>
    <d v="2026-03-30T00:00:00"/>
    <x v="18"/>
    <s v="Closing CF"/>
    <s v="Chamki"/>
    <x v="0"/>
    <m/>
    <m/>
    <e v="#DIV/0!"/>
    <n v="362820.04389173369"/>
    <n v="3628200.4389173379"/>
    <m/>
  </r>
  <r>
    <d v="2026-03-30T00:00:00"/>
    <x v="19"/>
    <s v="Closing CF"/>
    <s v="Chamki"/>
    <x v="0"/>
    <m/>
    <m/>
    <e v="#DIV/0!"/>
    <n v="72939.831748354074"/>
    <n v="729398.31748354062"/>
    <m/>
  </r>
  <r>
    <d v="2026-03-30T00:00:00"/>
    <x v="20"/>
    <s v="Closing CF"/>
    <s v="Chamki"/>
    <x v="0"/>
    <m/>
    <m/>
    <e v="#DIV/0!"/>
    <n v="310998.53694220923"/>
    <n v="3109985.3694220926"/>
    <m/>
  </r>
  <r>
    <d v="2026-03-30T00:00:00"/>
    <x v="21"/>
    <s v="Closing CF"/>
    <s v="Chamki"/>
    <x v="0"/>
    <m/>
    <m/>
    <e v="#DIV/0!"/>
    <n v="42432.333577176301"/>
    <n v="424323.335771763"/>
    <m/>
  </r>
  <r>
    <d v="2026-03-30T00:00:00"/>
    <x v="22"/>
    <s v="Closing CF"/>
    <s v="Chamki"/>
    <x v="0"/>
    <m/>
    <m/>
    <e v="#DIV/0!"/>
    <n v="0"/>
    <n v="0"/>
    <m/>
  </r>
  <r>
    <d v="2026-03-30T00:00:00"/>
    <x v="23"/>
    <s v="Closing CF"/>
    <s v="Chamki"/>
    <x v="0"/>
    <m/>
    <m/>
    <e v="#DIV/0!"/>
    <n v="12456.108266276518"/>
    <n v="124561.08266276518"/>
    <m/>
  </r>
  <r>
    <d v="2026-03-30T00:00:00"/>
    <x v="24"/>
    <s v="Closing CF"/>
    <s v="Chamki"/>
    <x v="0"/>
    <m/>
    <m/>
    <e v="#DIV/0!"/>
    <n v="0"/>
    <n v="0"/>
    <m/>
  </r>
  <r>
    <d v="2026-03-30T00:00:00"/>
    <x v="25"/>
    <s v="Closing CF"/>
    <s v="Chamki"/>
    <x v="0"/>
    <m/>
    <m/>
    <e v="#DIV/0!"/>
    <n v="0"/>
    <n v="0"/>
    <m/>
  </r>
  <r>
    <d v="2026-03-30T00:00:00"/>
    <x v="26"/>
    <s v="Closing CF"/>
    <s v="Chamki"/>
    <x v="0"/>
    <m/>
    <m/>
    <e v="#DIV/0!"/>
    <n v="198861.55815654719"/>
    <n v="1988615.5815654721"/>
    <m/>
  </r>
  <r>
    <d v="2026-03-30T00:00:00"/>
    <x v="27"/>
    <s v="Closing CF"/>
    <s v="Chamki"/>
    <x v="0"/>
    <m/>
    <m/>
    <e v="#DIV/0!"/>
    <n v="0"/>
    <n v="0"/>
    <m/>
  </r>
  <r>
    <d v="2026-03-30T00:00:00"/>
    <x v="28"/>
    <s v="Closing CF"/>
    <s v="Chamki"/>
    <x v="0"/>
    <m/>
    <m/>
    <e v="#DIV/0!"/>
    <n v="0"/>
    <n v="0"/>
    <m/>
  </r>
  <r>
    <d v="2026-03-30T00:00:00"/>
    <x v="29"/>
    <s v="Closing CF"/>
    <s v="Chamki"/>
    <x v="0"/>
    <m/>
    <m/>
    <e v="#DIV/0!"/>
    <n v="0"/>
    <n v="0"/>
    <m/>
  </r>
  <r>
    <d v="2026-03-30T00:00:00"/>
    <x v="30"/>
    <s v="Closing CF"/>
    <s v="Chamki"/>
    <x v="0"/>
    <m/>
    <m/>
    <e v="#DIV/0!"/>
    <n v="14685.442574981713"/>
    <n v="161539.86832479882"/>
    <m/>
  </r>
  <r>
    <d v="2026-03-30T00:00:00"/>
    <x v="31"/>
    <s v="Closing CF"/>
    <s v="Chamki"/>
    <x v="0"/>
    <m/>
    <m/>
    <e v="#DIV/0!"/>
    <n v="0"/>
    <n v="0"/>
    <m/>
  </r>
  <r>
    <d v="2026-03-30T00:00:00"/>
    <x v="32"/>
    <s v="Closing CF"/>
    <s v="Chamki"/>
    <x v="0"/>
    <m/>
    <m/>
    <e v="#DIV/0!"/>
    <n v="25755.30358449159"/>
    <n v="257553.0358449159"/>
    <m/>
  </r>
  <r>
    <d v="2026-03-30T00:00:00"/>
    <x v="0"/>
    <s v="Closing CF"/>
    <s v="Silky"/>
    <x v="0"/>
    <m/>
    <m/>
    <e v="#DIV/0!"/>
    <n v="654441.2948061449"/>
    <n v="8419380.9436722752"/>
    <m/>
  </r>
  <r>
    <d v="2026-03-30T00:00:00"/>
    <x v="1"/>
    <s v="Closing CF"/>
    <s v="Silky"/>
    <x v="0"/>
    <m/>
    <m/>
    <e v="#DIV/0!"/>
    <n v="445562.36283833213"/>
    <n v="5733166.6057059262"/>
    <m/>
  </r>
  <r>
    <d v="2026-03-30T00:00:00"/>
    <x v="2"/>
    <s v="Closing CF"/>
    <s v="Silky"/>
    <x v="0"/>
    <m/>
    <m/>
    <e v="#DIV/0!"/>
    <n v="165525.78639356254"/>
    <n v="2137040.9656181419"/>
    <m/>
  </r>
  <r>
    <d v="2026-03-30T00:00:00"/>
    <x v="3"/>
    <s v="Closing CF"/>
    <s v="Silky"/>
    <x v="0"/>
    <m/>
    <m/>
    <e v="#DIV/0!"/>
    <n v="0"/>
    <n v="0"/>
    <m/>
  </r>
  <r>
    <d v="2026-03-30T00:00:00"/>
    <x v="4"/>
    <s v="Closing CF"/>
    <s v="Silky"/>
    <x v="0"/>
    <m/>
    <m/>
    <e v="#DIV/0!"/>
    <n v="485823.88441843458"/>
    <n v="5829886.6130212145"/>
    <m/>
  </r>
  <r>
    <d v="2026-03-30T00:00:00"/>
    <x v="5"/>
    <s v="Closing CF"/>
    <s v="Silky"/>
    <x v="0"/>
    <m/>
    <m/>
    <e v="#DIV/0!"/>
    <n v="0"/>
    <n v="0"/>
    <m/>
  </r>
  <r>
    <d v="2026-03-30T00:00:00"/>
    <x v="6"/>
    <s v="Closing CF"/>
    <s v="Silky"/>
    <x v="0"/>
    <m/>
    <m/>
    <e v="#DIV/0!"/>
    <n v="0"/>
    <n v="0"/>
    <m/>
  </r>
  <r>
    <d v="2026-03-30T00:00:00"/>
    <x v="7"/>
    <s v="Closing CF"/>
    <s v="Silky"/>
    <x v="0"/>
    <m/>
    <m/>
    <e v="#DIV/0!"/>
    <n v="183991.40453547917"/>
    <n v="2391888.2589612291"/>
    <m/>
  </r>
  <r>
    <d v="2026-03-30T00:00:00"/>
    <x v="8"/>
    <s v="Closing CF"/>
    <s v="Silky"/>
    <x v="0"/>
    <m/>
    <m/>
    <e v="#DIV/0!"/>
    <n v="112548.46378931969"/>
    <n v="1448134.6013167519"/>
    <m/>
  </r>
  <r>
    <d v="2026-03-30T00:00:00"/>
    <x v="9"/>
    <s v="Closing CF"/>
    <s v="Silky"/>
    <x v="0"/>
    <m/>
    <m/>
    <e v="#DIV/0!"/>
    <n v="0"/>
    <n v="0"/>
    <m/>
  </r>
  <r>
    <d v="2026-03-30T00:00:00"/>
    <x v="10"/>
    <s v="Closing CF"/>
    <s v="Silky"/>
    <x v="0"/>
    <m/>
    <m/>
    <e v="#DIV/0!"/>
    <n v="0"/>
    <n v="0"/>
    <m/>
  </r>
  <r>
    <d v="2026-03-30T00:00:00"/>
    <x v="11"/>
    <s v="Closing CF"/>
    <s v="Silky"/>
    <x v="0"/>
    <m/>
    <m/>
    <e v="#DIV/0!"/>
    <n v="141474.94513533285"/>
    <n v="1776019.5683979518"/>
    <m/>
  </r>
  <r>
    <d v="2026-03-30T00:00:00"/>
    <x v="12"/>
    <s v="Closing CF"/>
    <s v="Silky"/>
    <x v="0"/>
    <m/>
    <m/>
    <e v="#DIV/0!"/>
    <n v="0"/>
    <n v="0"/>
    <m/>
  </r>
  <r>
    <d v="2026-03-30T00:00:00"/>
    <x v="13"/>
    <s v="Closing CF"/>
    <s v="Silky"/>
    <x v="0"/>
    <m/>
    <m/>
    <e v="#DIV/0!"/>
    <n v="0"/>
    <n v="0"/>
    <m/>
  </r>
  <r>
    <d v="2026-03-30T00:00:00"/>
    <x v="14"/>
    <s v="Closing CF"/>
    <s v="Silky"/>
    <x v="0"/>
    <m/>
    <m/>
    <e v="#DIV/0!"/>
    <n v="0"/>
    <n v="0"/>
    <m/>
  </r>
  <r>
    <d v="2026-03-30T00:00:00"/>
    <x v="15"/>
    <s v="Closing CF"/>
    <s v="Silky"/>
    <x v="0"/>
    <m/>
    <m/>
    <e v="#DIV/0!"/>
    <n v="9232.809070958303"/>
    <n v="120026.51792245793"/>
    <m/>
  </r>
  <r>
    <d v="2026-03-30T00:00:00"/>
    <x v="16"/>
    <s v="Closing CF"/>
    <s v="Silky"/>
    <x v="0"/>
    <m/>
    <m/>
    <e v="#DIV/0!"/>
    <n v="513809.43672275054"/>
    <n v="6679522.6773957582"/>
    <m/>
  </r>
  <r>
    <d v="2026-03-30T00:00:00"/>
    <x v="17"/>
    <s v="Closing CF"/>
    <s v="Silky"/>
    <x v="0"/>
    <m/>
    <m/>
    <e v="#DIV/0!"/>
    <n v="7565.8376005852242"/>
    <n v="98355.888807607917"/>
    <m/>
  </r>
  <r>
    <d v="2026-03-30T00:00:00"/>
    <x v="18"/>
    <s v="Closing CF"/>
    <s v="Silky"/>
    <x v="0"/>
    <m/>
    <m/>
    <e v="#DIV/0!"/>
    <n v="95441.660570592547"/>
    <n v="1240741.5874177031"/>
    <m/>
  </r>
  <r>
    <d v="2026-03-30T00:00:00"/>
    <x v="19"/>
    <s v="Closing CF"/>
    <s v="Silky"/>
    <x v="0"/>
    <m/>
    <m/>
    <e v="#DIV/0!"/>
    <n v="31409.107534747625"/>
    <n v="408318.39795171918"/>
    <m/>
  </r>
  <r>
    <d v="2026-03-30T00:00:00"/>
    <x v="20"/>
    <s v="Closing CF"/>
    <s v="Silky"/>
    <x v="0"/>
    <m/>
    <m/>
    <e v="#DIV/0!"/>
    <n v="0"/>
    <n v="0"/>
    <m/>
  </r>
  <r>
    <d v="2026-03-30T00:00:00"/>
    <x v="21"/>
    <s v="Closing CF"/>
    <s v="Silky"/>
    <x v="0"/>
    <m/>
    <m/>
    <e v="#DIV/0!"/>
    <n v="0"/>
    <n v="0"/>
    <m/>
  </r>
  <r>
    <d v="2026-03-30T00:00:00"/>
    <x v="22"/>
    <s v="Closing CF"/>
    <s v="Silky"/>
    <x v="0"/>
    <m/>
    <m/>
    <e v="#DIV/0!"/>
    <n v="125143.56254572056"/>
    <n v="1626866.3130943675"/>
    <m/>
  </r>
  <r>
    <d v="2026-03-30T00:00:00"/>
    <x v="23"/>
    <s v="Closing CF"/>
    <s v="Silky"/>
    <x v="0"/>
    <m/>
    <m/>
    <e v="#DIV/0!"/>
    <n v="0"/>
    <n v="0"/>
    <m/>
  </r>
  <r>
    <d v="2026-03-30T00:00:00"/>
    <x v="24"/>
    <s v="Closing CF"/>
    <s v="Silky"/>
    <x v="0"/>
    <m/>
    <m/>
    <e v="#DIV/0!"/>
    <n v="29626.005852231167"/>
    <n v="385138.07607900514"/>
    <m/>
  </r>
  <r>
    <d v="2026-03-30T00:00:00"/>
    <x v="25"/>
    <s v="Closing CF"/>
    <s v="Silky"/>
    <x v="0"/>
    <m/>
    <m/>
    <e v="#DIV/0!"/>
    <n v="0"/>
    <n v="0"/>
    <m/>
  </r>
  <r>
    <d v="2026-03-30T00:00:00"/>
    <x v="26"/>
    <s v="Closing CF"/>
    <s v="Silky"/>
    <x v="0"/>
    <m/>
    <m/>
    <e v="#DIV/0!"/>
    <n v="86727.322604242872"/>
    <n v="1127455.1938551574"/>
    <m/>
  </r>
  <r>
    <d v="2026-03-30T00:00:00"/>
    <x v="27"/>
    <s v="Closing CF"/>
    <s v="Silky"/>
    <x v="0"/>
    <m/>
    <m/>
    <e v="#DIV/0!"/>
    <n v="45840.343818580841"/>
    <n v="595924.46964155091"/>
    <m/>
  </r>
  <r>
    <d v="2026-03-30T00:00:00"/>
    <x v="28"/>
    <s v="Closing CF"/>
    <s v="Silky"/>
    <x v="0"/>
    <m/>
    <m/>
    <e v="#DIV/0!"/>
    <n v="48958.485735186543"/>
    <n v="636460.3145574251"/>
    <m/>
  </r>
  <r>
    <d v="2026-03-30T00:00:00"/>
    <x v="29"/>
    <s v="Closing CF"/>
    <s v="Silky"/>
    <x v="0"/>
    <m/>
    <m/>
    <e v="#DIV/0!"/>
    <n v="1321.3240673006585"/>
    <n v="15855.888807607902"/>
    <m/>
  </r>
  <r>
    <d v="2026-03-30T00:00:00"/>
    <x v="30"/>
    <s v="Closing CF"/>
    <s v="Silky"/>
    <x v="0"/>
    <m/>
    <m/>
    <e v="#DIV/0!"/>
    <n v="0"/>
    <n v="0"/>
    <m/>
  </r>
  <r>
    <d v="2026-03-30T00:00:00"/>
    <x v="31"/>
    <s v="Closing CF"/>
    <s v="Silky"/>
    <x v="0"/>
    <m/>
    <m/>
    <e v="#DIV/0!"/>
    <n v="157432.33357717632"/>
    <n v="2046620.336503292"/>
    <m/>
  </r>
  <r>
    <d v="2026-03-30T00:00:00"/>
    <x v="32"/>
    <s v="Closing CF"/>
    <s v="Silky"/>
    <x v="0"/>
    <m/>
    <m/>
    <e v="#DIV/0!"/>
    <n v="0"/>
    <n v="0"/>
    <m/>
  </r>
  <r>
    <d v="2026-03-30T00:00:00"/>
    <x v="5"/>
    <s v="Closing CF"/>
    <s v="Slub"/>
    <x v="0"/>
    <m/>
    <m/>
    <e v="#DIV/0!"/>
    <m/>
    <n v="71359.729334308722"/>
    <m/>
  </r>
  <r>
    <d v="2026-03-30T00:00:00"/>
    <x v="16"/>
    <s v="Closing CF"/>
    <s v="Slub"/>
    <x v="0"/>
    <m/>
    <m/>
    <e v="#DIV/0!"/>
    <m/>
    <n v="44550.109729334312"/>
    <m/>
  </r>
  <r>
    <d v="2026-03-30T00:00:00"/>
    <x v="17"/>
    <s v="Closing CF"/>
    <s v="Satin"/>
    <x v="0"/>
    <m/>
    <m/>
    <e v="#DIV/0!"/>
    <m/>
    <n v="94656.181419166067"/>
    <m/>
  </r>
  <r>
    <d v="2026-03-30T00:00:00"/>
    <x v="4"/>
    <s v="Closing CF"/>
    <s v="Satin"/>
    <x v="0"/>
    <m/>
    <m/>
    <e v="#DIV/0!"/>
    <m/>
    <n v="239959.76591075349"/>
    <m/>
  </r>
  <r>
    <d v="2026-03-30T00:00:00"/>
    <x v="19"/>
    <s v="Closing CF"/>
    <s v="Black-Chamki"/>
    <x v="0"/>
    <m/>
    <m/>
    <e v="#DIV/0!"/>
    <m/>
    <n v="161653.2553035845"/>
    <m/>
  </r>
  <r>
    <d v="2026-03-30T00:00:00"/>
    <x v="20"/>
    <s v="Closing CF"/>
    <s v="Black-Chamki"/>
    <x v="0"/>
    <m/>
    <m/>
    <e v="#DIV/0!"/>
    <m/>
    <n v="23767.373811265548"/>
    <m/>
  </r>
  <r>
    <d v="2026-03-30T00:00:00"/>
    <x v="5"/>
    <s v="Closing CF"/>
    <s v="Black-Chamki"/>
    <x v="0"/>
    <m/>
    <m/>
    <e v="#DIV/0!"/>
    <m/>
    <n v="322297.00073152891"/>
    <m/>
  </r>
  <r>
    <d v="2026-03-30T00:00:00"/>
    <x v="19"/>
    <s v="Closing CF"/>
    <s v="Kataan"/>
    <x v="0"/>
    <m/>
    <m/>
    <e v="#DIV/0!"/>
    <m/>
    <n v="1970409.6561814193"/>
    <m/>
  </r>
  <r>
    <d v="2026-03-30T00:00:00"/>
    <x v="20"/>
    <s v="Closing CF"/>
    <s v="Kataan"/>
    <x v="0"/>
    <m/>
    <m/>
    <e v="#DIV/0!"/>
    <m/>
    <n v="523143.74542794435"/>
    <m/>
  </r>
  <r>
    <d v="2026-03-30T00:00:00"/>
    <x v="31"/>
    <s v="Closing CF"/>
    <s v="Kataan"/>
    <x v="0"/>
    <m/>
    <m/>
    <e v="#DIV/0!"/>
    <m/>
    <n v="659577.54206291155"/>
    <m/>
  </r>
  <r>
    <d v="2026-03-30T00:00:00"/>
    <x v="0"/>
    <s v="Closing CF"/>
    <s v="Kataan"/>
    <x v="0"/>
    <m/>
    <m/>
    <e v="#DIV/0!"/>
    <m/>
    <n v="2127095.8302852963"/>
    <m/>
  </r>
  <r>
    <d v="2026-03-30T00:00:00"/>
    <x v="25"/>
    <s v="Closing CF"/>
    <s v="Munaar"/>
    <x v="0"/>
    <m/>
    <m/>
    <e v="#DIV/0!"/>
    <m/>
    <n v="151504.2062911485"/>
    <m/>
  </r>
  <r>
    <d v="2026-03-30T00:00:00"/>
    <x v="29"/>
    <s v="Closing CF"/>
    <s v="Custom"/>
    <x v="0"/>
    <m/>
    <m/>
    <m/>
    <m/>
    <n v="51636.795903438193"/>
    <m/>
  </r>
  <r>
    <d v="2026-05-12T00:00:00"/>
    <x v="33"/>
    <s v="Kora transport"/>
    <s v="Custom"/>
    <x v="0"/>
    <m/>
    <m/>
    <e v="#DIV/0!"/>
    <m/>
    <n v="17000"/>
    <m/>
  </r>
  <r>
    <d v="2026-03-30T00:00:00"/>
    <x v="34"/>
    <m/>
    <m/>
    <x v="0"/>
    <m/>
    <m/>
    <e v="#DIV/0!"/>
    <m/>
    <m/>
    <m/>
  </r>
  <r>
    <d v="2026-03-30T00:00:00"/>
    <x v="34"/>
    <m/>
    <m/>
    <x v="0"/>
    <m/>
    <m/>
    <e v="#DIV/0!"/>
    <m/>
    <m/>
    <m/>
  </r>
  <r>
    <d v="2026-03-30T00:00:00"/>
    <x v="34"/>
    <m/>
    <m/>
    <x v="0"/>
    <m/>
    <m/>
    <e v="#DIV/0!"/>
    <m/>
    <m/>
    <m/>
  </r>
  <r>
    <d v="2026-03-30T00:00:00"/>
    <x v="34"/>
    <m/>
    <m/>
    <x v="0"/>
    <m/>
    <m/>
    <e v="#DIV/0!"/>
    <m/>
    <m/>
    <m/>
  </r>
  <r>
    <d v="2026-03-30T00:00:00"/>
    <x v="34"/>
    <m/>
    <m/>
    <x v="0"/>
    <m/>
    <m/>
    <e v="#DIV/0!"/>
    <m/>
    <m/>
    <m/>
  </r>
  <r>
    <d v="2026-03-30T00:00:00"/>
    <x v="34"/>
    <m/>
    <m/>
    <x v="0"/>
    <m/>
    <m/>
    <m/>
    <m/>
    <m/>
    <m/>
  </r>
  <r>
    <d v="2026-03-30T00:00:00"/>
    <x v="34"/>
    <m/>
    <m/>
    <x v="0"/>
    <m/>
    <m/>
    <m/>
    <m/>
    <m/>
    <m/>
  </r>
  <r>
    <d v="2026-03-30T00:00:00"/>
    <x v="34"/>
    <m/>
    <m/>
    <x v="0"/>
    <m/>
    <m/>
    <m/>
    <m/>
    <m/>
    <m/>
  </r>
  <r>
    <d v="2026-03-30T00:00:00"/>
    <x v="34"/>
    <m/>
    <m/>
    <x v="0"/>
    <m/>
    <m/>
    <m/>
    <m/>
    <m/>
    <m/>
  </r>
  <r>
    <d v="2026-03-30T00:00:00"/>
    <x v="34"/>
    <m/>
    <m/>
    <x v="0"/>
    <m/>
    <m/>
    <m/>
    <m/>
    <m/>
    <m/>
  </r>
  <r>
    <d v="2026-03-30T00:00:00"/>
    <x v="34"/>
    <m/>
    <m/>
    <x v="0"/>
    <m/>
    <m/>
    <m/>
    <m/>
    <m/>
    <m/>
  </r>
  <r>
    <d v="2026-04-11T00:00:00"/>
    <x v="8"/>
    <n v="1613"/>
    <s v="Silky"/>
    <x v="1"/>
    <n v="78365"/>
    <n v="28736"/>
    <n v="1.7584184749482432"/>
    <n v="26276.517922457941"/>
    <n v="315318.21506949526"/>
    <m/>
  </r>
  <r>
    <d v="2026-04-11T00:00:00"/>
    <x v="8"/>
    <n v="1614"/>
    <s v="Silky"/>
    <x v="1"/>
    <n v="78365"/>
    <n v="19637"/>
    <n v="1.7584184749482432"/>
    <n v="17956.291148500368"/>
    <n v="215475.4937820044"/>
    <m/>
  </r>
  <r>
    <d v="2026-04-11T00:00:00"/>
    <x v="0"/>
    <n v="1615"/>
    <s v="Silky"/>
    <x v="2"/>
    <n v="61027"/>
    <n v="20336"/>
    <n v="5.0916566376672563"/>
    <n v="18595.464520848574"/>
    <n v="241741.03877103148"/>
    <m/>
  </r>
  <r>
    <d v="2026-04-11T00:00:00"/>
    <x v="0"/>
    <n v="1616"/>
    <s v="Silky"/>
    <x v="3"/>
    <n v="20212"/>
    <n v="21525"/>
    <n v="2.6187445991292577"/>
    <n v="19682.699341623997"/>
    <n v="255875.09144111196"/>
    <m/>
  </r>
  <r>
    <d v="2026-04-11T00:00:00"/>
    <x v="0"/>
    <n v="1617"/>
    <s v="Chamki"/>
    <x v="4"/>
    <n v="28859"/>
    <n v="2172"/>
    <n v="2.1108939402745932"/>
    <n v="1986.1009509875641"/>
    <n v="19861.009509875643"/>
    <m/>
  </r>
  <r>
    <d v="2026-04-11T00:00:00"/>
    <x v="2"/>
    <n v="1618"/>
    <s v="Chamki"/>
    <x v="5"/>
    <n v="24072"/>
    <n v="6820"/>
    <n v="2.1581621874196912"/>
    <n v="6236.2838332114125"/>
    <n v="62362.838332114123"/>
    <m/>
  </r>
  <r>
    <d v="2026-04-11T00:00:00"/>
    <x v="8"/>
    <n v="1619"/>
    <s v="Silky"/>
    <x v="1"/>
    <n v="78365"/>
    <n v="35820"/>
    <n v="1.7584184749482432"/>
    <n v="32754.206291148505"/>
    <n v="393050.47549378208"/>
    <m/>
  </r>
  <r>
    <d v="2026-04-11T00:00:00"/>
    <x v="2"/>
    <n v="1620"/>
    <s v="Chamki"/>
    <x v="5"/>
    <n v="24072"/>
    <n v="18937"/>
    <n v="2.1581621874196912"/>
    <n v="17316.203365032921"/>
    <n v="173162.03365032922"/>
    <m/>
  </r>
  <r>
    <d v="2026-04-11T00:00:00"/>
    <x v="31"/>
    <n v="1621"/>
    <s v="Silky"/>
    <x v="6"/>
    <n v="45364"/>
    <n v="48061"/>
    <n v="3.1224918398825707"/>
    <n v="43947.512801755671"/>
    <n v="571317.66642282368"/>
    <m/>
  </r>
  <r>
    <d v="2026-04-11T00:00:00"/>
    <x v="31"/>
    <n v="1622"/>
    <s v="Silky"/>
    <x v="7"/>
    <n v="16284"/>
    <n v="17178"/>
    <n v="3.5387238621275401"/>
    <n v="15707.754206291151"/>
    <n v="204200.80468178497"/>
    <m/>
  </r>
  <r>
    <d v="2026-04-13T00:00:00"/>
    <x v="0"/>
    <n v="1623"/>
    <s v="Silky"/>
    <x v="2"/>
    <n v="61027"/>
    <n v="36335"/>
    <n v="5.0916566376672563"/>
    <n v="33225.128017556694"/>
    <n v="431926.664228237"/>
    <m/>
  </r>
  <r>
    <d v="2026-04-12T00:00:00"/>
    <x v="0"/>
    <n v="1624"/>
    <s v="Silky"/>
    <x v="2"/>
    <n v="61027"/>
    <n v="6670"/>
    <n v="5.0916566376672563"/>
    <n v="6099.1221653255307"/>
    <n v="79288.588149231902"/>
    <m/>
  </r>
  <r>
    <d v="2026-04-12T00:00:00"/>
    <x v="0"/>
    <n v="1625"/>
    <s v="Chamki"/>
    <x v="4"/>
    <n v="28857"/>
    <n v="21620"/>
    <n v="2.1108939402745932"/>
    <n v="19769.56839795172"/>
    <n v="197695.6839795172"/>
    <m/>
  </r>
  <r>
    <d v="2026-04-13T00:00:00"/>
    <x v="2"/>
    <n v="1626"/>
    <s v="Chamki"/>
    <x v="8"/>
    <n v="25617"/>
    <n v="27435"/>
    <n v="2.0694497547420525"/>
    <n v="25086.869056327727"/>
    <n v="250868.69056327728"/>
    <m/>
  </r>
  <r>
    <d v="2026-04-13T00:00:00"/>
    <x v="1"/>
    <n v="1627"/>
    <s v="Silky"/>
    <x v="9"/>
    <n v="20038"/>
    <n v="4919"/>
    <n v="3.1558400414486698"/>
    <n v="4497.9882955376743"/>
    <n v="58473.847841989766"/>
    <m/>
  </r>
  <r>
    <d v="2026-04-18T00:00:00"/>
    <x v="0"/>
    <n v="1628"/>
    <s v="Silky"/>
    <x v="10"/>
    <n v="22707"/>
    <n v="23910"/>
    <n v="3.714405861586684"/>
    <n v="21863.569861009513"/>
    <n v="284226.40819312364"/>
    <m/>
  </r>
  <r>
    <d v="2026-04-18T00:00:00"/>
    <x v="1"/>
    <n v="1629"/>
    <s v="Silky"/>
    <x v="9"/>
    <n v="20038"/>
    <n v="16303"/>
    <n v="3.1558400414486698"/>
    <n v="14907.644476956841"/>
    <n v="193799.37820043892"/>
    <m/>
  </r>
  <r>
    <d v="2026-04-18T00:00:00"/>
    <x v="0"/>
    <n v="1630"/>
    <s v="Silky"/>
    <x v="11"/>
    <n v="3017"/>
    <n v="3252"/>
    <n v="1.4363619567149186"/>
    <n v="2973.6649597659111"/>
    <n v="38657.644476956848"/>
    <m/>
  </r>
  <r>
    <d v="2026-04-18T00:00:00"/>
    <x v="0"/>
    <n v="1631"/>
    <s v="Chamki"/>
    <x v="4"/>
    <n v="28857"/>
    <n v="7102"/>
    <n v="2.1108939402745932"/>
    <n v="6494.1477688368695"/>
    <n v="64941.477688368694"/>
    <m/>
  </r>
  <r>
    <d v="2026-04-18T00:00:00"/>
    <x v="0"/>
    <n v="1632"/>
    <s v="Chamki"/>
    <x v="12"/>
    <n v="14433"/>
    <n v="10979"/>
    <n v="3.2750325128177167"/>
    <n v="10039.319678127287"/>
    <n v="100393.19678127287"/>
    <m/>
  </r>
  <r>
    <d v="2026-04-18T00:00:00"/>
    <x v="0"/>
    <n v="1633"/>
    <s v="Chamki"/>
    <x v="13"/>
    <n v="10364"/>
    <n v="11077"/>
    <n v="2.2681207273955124"/>
    <n v="10128.93196781273"/>
    <n v="101289.3196781273"/>
    <m/>
  </r>
  <r>
    <d v="2026-04-18T00:00:00"/>
    <x v="32"/>
    <n v="1634"/>
    <s v="Chamki"/>
    <x v="14"/>
    <n v="29532"/>
    <n v="31473"/>
    <n v="2.5488921989175992"/>
    <n v="28779.261155815657"/>
    <n v="287792.61155815655"/>
    <m/>
  </r>
  <r>
    <d v="2026-04-20T00:00:00"/>
    <x v="31"/>
    <n v="1635"/>
    <s v="Kataan"/>
    <x v="15"/>
    <n v="44910"/>
    <n v="33115"/>
    <n v="5.8936372297549582"/>
    <n v="30280.724213606441"/>
    <n v="363368.69056327728"/>
    <m/>
  </r>
  <r>
    <d v="2026-04-20T00:00:00"/>
    <x v="31"/>
    <n v="1636"/>
    <s v="Kataan"/>
    <x v="15"/>
    <n v="44910"/>
    <n v="13104"/>
    <n v="5.8936372297549582"/>
    <n v="11982.443306510608"/>
    <n v="143789.3196781273"/>
    <m/>
  </r>
  <r>
    <d v="2026-04-20T00:00:00"/>
    <x v="10"/>
    <n v="1637"/>
    <s v="Chamki"/>
    <x v="16"/>
    <n v="50106"/>
    <n v="600"/>
    <n v="98.905027997558122"/>
    <n v="548.64667154352605"/>
    <n v="5486.466715435261"/>
    <m/>
  </r>
  <r>
    <d v="2026-04-21T00:00:00"/>
    <x v="33"/>
    <n v="1638"/>
    <s v="Satin"/>
    <x v="17"/>
    <n v="16758"/>
    <n v="16705"/>
    <n v="8.8480860073337766"/>
    <n v="15275.237746891004"/>
    <n v="229128.56620336504"/>
    <m/>
  </r>
  <r>
    <d v="2026-04-21T00:00:00"/>
    <x v="33"/>
    <n v="1639"/>
    <s v="Satin"/>
    <x v="18"/>
    <n v="5601"/>
    <n v="5649"/>
    <n v="7.7752470526281456"/>
    <n v="5165.5084125822978"/>
    <n v="77482.626188734459"/>
    <m/>
  </r>
  <r>
    <d v="2026-04-21T00:00:00"/>
    <x v="0"/>
    <n v="1640"/>
    <s v="Chamki"/>
    <x v="19"/>
    <n v="23377"/>
    <n v="12483"/>
    <n v="51.171690116511705"/>
    <n v="11414.59400146306"/>
    <n v="114145.9400146306"/>
    <m/>
  </r>
  <r>
    <d v="2026-04-21T00:00:00"/>
    <x v="0"/>
    <n v="1641"/>
    <s v="Chamki"/>
    <x v="20"/>
    <n v="37086"/>
    <n v="4157"/>
    <n v="2.2838077264489698"/>
    <n v="3801.2070226773963"/>
    <n v="38012.070226773962"/>
    <m/>
  </r>
  <r>
    <d v="2026-04-22T00:00:00"/>
    <x v="29"/>
    <n v="1642"/>
    <s v="Custom"/>
    <x v="21"/>
    <n v="2940"/>
    <n v="3292"/>
    <n v="-2.3891634195741318"/>
    <n v="3010.2414045354794"/>
    <n v="60204.82809070959"/>
    <m/>
  </r>
  <r>
    <d v="2026-04-22T00:00:00"/>
    <x v="29"/>
    <n v="1643"/>
    <s v="Custom"/>
    <x v="22"/>
    <n v="3710"/>
    <n v="3636"/>
    <n v="10.382780874561519"/>
    <n v="3324.7988295537675"/>
    <n v="66495.976591075349"/>
    <m/>
  </r>
  <r>
    <d v="2026-04-22T00:00:00"/>
    <x v="29"/>
    <n v="1644"/>
    <s v="Custom"/>
    <x v="23"/>
    <n v="5180"/>
    <n v="5214"/>
    <n v="7.9586954495513282"/>
    <n v="4767.7395757132408"/>
    <n v="95354.791514264813"/>
    <m/>
  </r>
  <r>
    <d v="2026-04-22T00:00:00"/>
    <x v="29"/>
    <n v="1645"/>
    <s v="Custom"/>
    <x v="24"/>
    <n v="4200"/>
    <n v="4467"/>
    <n v="2.745845960915446"/>
    <n v="4084.6744696415512"/>
    <n v="81693.489392831019"/>
    <m/>
  </r>
  <r>
    <d v="2026-04-22T00:00:00"/>
    <x v="29"/>
    <n v="1646"/>
    <s v="Custom"/>
    <x v="25"/>
    <n v="4200"/>
    <n v="4253"/>
    <n v="7.4049883303723902"/>
    <n v="3888.9904901243603"/>
    <n v="77779.809802487202"/>
    <m/>
  </r>
  <r>
    <d v="2026-04-22T00:00:00"/>
    <x v="29"/>
    <n v="1647"/>
    <s v="Custom"/>
    <x v="26"/>
    <n v="2968"/>
    <n v="3096"/>
    <n v="4.6153360793600342"/>
    <n v="2831.0168251645941"/>
    <n v="56620.336503291881"/>
    <m/>
  </r>
  <r>
    <d v="2026-04-22T00:00:00"/>
    <x v="29"/>
    <n v="1648"/>
    <s v="Custom"/>
    <x v="27"/>
    <n v="5362"/>
    <n v="5154"/>
    <n v="12.106025577044221"/>
    <n v="4712.8749085588888"/>
    <n v="94257.49817117778"/>
    <m/>
  </r>
  <r>
    <d v="2026-04-23T00:00:00"/>
    <x v="31"/>
    <n v="1649"/>
    <s v="Silky"/>
    <x v="28"/>
    <n v="47687"/>
    <n v="35027"/>
    <n v="4.562761726141872"/>
    <n v="32029.078273591811"/>
    <n v="416378.01755669352"/>
    <m/>
  </r>
  <r>
    <d v="2026-04-23T00:00:00"/>
    <x v="31"/>
    <n v="1650"/>
    <s v="Silky"/>
    <x v="28"/>
    <n v="47687"/>
    <n v="13248"/>
    <n v="4.562761726141872"/>
    <n v="12114.118507681054"/>
    <n v="157483.5405998537"/>
    <m/>
  </r>
  <r>
    <d v="2026-04-23T00:00:00"/>
    <x v="1"/>
    <n v="1651"/>
    <s v="Silky"/>
    <x v="29"/>
    <n v="15000"/>
    <n v="1535"/>
    <n v="90.642526213118757"/>
    <n v="1403.6210680321874"/>
    <n v="18247.073884418438"/>
    <m/>
  </r>
  <r>
    <d v="2026-04-24T00:00:00"/>
    <x v="0"/>
    <n v="1652"/>
    <s v="Chamki"/>
    <x v="30"/>
    <n v="15645"/>
    <n v="10649"/>
    <n v="28.460261428648579"/>
    <n v="9737.5640087783468"/>
    <n v="97375.640087783468"/>
    <m/>
  </r>
  <r>
    <d v="2026-04-24T00:00:00"/>
    <x v="0"/>
    <n v="1653"/>
    <s v="Chamki"/>
    <x v="31"/>
    <n v="14993"/>
    <n v="6728"/>
    <n v="0.97183123399551619"/>
    <n v="6152.1580102414055"/>
    <n v="61521.580102414053"/>
    <m/>
  </r>
  <r>
    <d v="2026-04-24T00:00:00"/>
    <x v="20"/>
    <n v="1654"/>
    <s v="Chamki"/>
    <x v="32"/>
    <n v="78432"/>
    <n v="4817"/>
    <n v="2.5084090589677857"/>
    <n v="4404.718361375275"/>
    <n v="44047.18361375275"/>
    <m/>
  </r>
  <r>
    <d v="2026-04-24T00:00:00"/>
    <x v="33"/>
    <n v="1655"/>
    <s v="Chamki"/>
    <x v="33"/>
    <n v="83592"/>
    <n v="49176"/>
    <n v="3.0467366383261378"/>
    <n v="44967.081199707391"/>
    <n v="449670.81199707394"/>
    <m/>
  </r>
  <r>
    <d v="2026-04-25T00:00:00"/>
    <x v="33"/>
    <n v="1656"/>
    <s v="Chamki"/>
    <x v="33"/>
    <n v="83592"/>
    <n v="39455"/>
    <n v="3.0467366383261378"/>
    <n v="36078.090709583033"/>
    <n v="360780.90709583031"/>
    <m/>
  </r>
  <r>
    <d v="2026-04-27T00:00:00"/>
    <x v="10"/>
    <n v="1657"/>
    <s v="Kataan"/>
    <x v="34"/>
    <n v="50133"/>
    <n v="51781"/>
    <n v="5.5529847299672213"/>
    <n v="47349.122165325534"/>
    <n v="520840.34381858085"/>
    <m/>
  </r>
  <r>
    <d v="2026-04-27T00:00:00"/>
    <x v="31"/>
    <n v="1658"/>
    <s v="Kataan"/>
    <x v="35"/>
    <n v="7882"/>
    <n v="8164"/>
    <n v="5.2873334500265088"/>
    <n v="7465.2523774689107"/>
    <n v="89583.028529626929"/>
    <m/>
  </r>
  <r>
    <d v="2026-04-27T00:00:00"/>
    <x v="31"/>
    <n v="1659"/>
    <s v="Kataan"/>
    <x v="36"/>
    <n v="34252"/>
    <n v="34786"/>
    <n v="7.1332909206610964"/>
    <n v="31808.705193855159"/>
    <n v="381704.46232626191"/>
    <m/>
  </r>
  <r>
    <d v="2026-04-28T00:00:00"/>
    <x v="8"/>
    <n v="1660"/>
    <s v="Silky"/>
    <x v="37"/>
    <n v="23596"/>
    <n v="25362"/>
    <n v="1.7151432185758466"/>
    <n v="23191.294806144844"/>
    <n v="278295.53767373814"/>
    <m/>
  </r>
  <r>
    <d v="2026-04-28T00:00:00"/>
    <x v="22"/>
    <n v="1661"/>
    <s v="Silky"/>
    <x v="38"/>
    <n v="22019"/>
    <n v="23463"/>
    <n v="2.562204956130671"/>
    <n v="21454.828090709583"/>
    <n v="278912.7651792246"/>
    <m/>
  </r>
  <r>
    <d v="2026-04-29T00:00:00"/>
    <x v="20"/>
    <n v="1662"/>
    <s v="Chamki"/>
    <x v="32"/>
    <n v="78482"/>
    <n v="34684"/>
    <n v="2.5084090589677857"/>
    <n v="31715.43525969276"/>
    <n v="317154.35259692761"/>
    <m/>
  </r>
  <r>
    <d v="2026-04-29T00:00:00"/>
    <x v="0"/>
    <n v="1663"/>
    <s v="Chamki"/>
    <x v="39"/>
    <n v="16408"/>
    <n v="10093"/>
    <n v="43.752124411985939"/>
    <n v="9229.1514264813468"/>
    <n v="92291.514264813464"/>
    <m/>
  </r>
  <r>
    <d v="2026-04-30T00:00:00"/>
    <x v="20"/>
    <n v="1664"/>
    <s v="Chamki"/>
    <x v="32"/>
    <n v="78482"/>
    <n v="44174"/>
    <n v="2.5084090589677857"/>
    <n v="40393.196781272862"/>
    <n v="403931.9678127286"/>
    <m/>
  </r>
  <r>
    <d v="2026-05-01T00:00:00"/>
    <x v="0"/>
    <n v="1665"/>
    <s v="Chamki"/>
    <x v="31"/>
    <n v="14993"/>
    <n v="5614"/>
    <n v="0.97183123399551619"/>
    <n v="5133.5040234089247"/>
    <n v="51335.040234089247"/>
    <m/>
  </r>
  <r>
    <d v="2026-05-02T00:00:00"/>
    <x v="31"/>
    <n v="1666"/>
    <s v="Silky"/>
    <x v="40"/>
    <n v="45908"/>
    <n v="33781"/>
    <n v="3.8043804921633608"/>
    <n v="30889.722019019755"/>
    <n v="401566.38624725683"/>
    <m/>
  </r>
  <r>
    <d v="2026-05-02T00:00:00"/>
    <x v="31"/>
    <n v="1667"/>
    <s v="Silky"/>
    <x v="40"/>
    <n v="45908"/>
    <n v="14514"/>
    <n v="3.8043804921633608"/>
    <n v="13271.762984637895"/>
    <n v="172532.91880029262"/>
    <m/>
  </r>
  <r>
    <d v="2026-05-02T00:00:00"/>
    <x v="31"/>
    <n v="1668"/>
    <s v="Silky"/>
    <x v="28"/>
    <n v="47687"/>
    <n v="1496"/>
    <n v="4.562761726141872"/>
    <n v="1367.9590343818581"/>
    <n v="17783.467446964154"/>
    <m/>
  </r>
  <r>
    <d v="2026-05-04T00:00:00"/>
    <x v="35"/>
    <n v="1669"/>
    <s v="Silky"/>
    <x v="41"/>
    <n v="50029"/>
    <n v="36039"/>
    <n v="4.8759473711538419"/>
    <n v="32954.462326261892"/>
    <n v="395453.54791514273"/>
    <m/>
  </r>
  <r>
    <d v="2026-05-04T00:00:00"/>
    <x v="35"/>
    <n v="1670"/>
    <s v="Silky"/>
    <x v="41"/>
    <n v="50029"/>
    <n v="16005"/>
    <n v="4.8759473711538419"/>
    <n v="14635.149963423557"/>
    <n v="175621.79956108268"/>
    <m/>
  </r>
  <r>
    <d v="2026-05-04T00:00:00"/>
    <x v="35"/>
    <n v="1671"/>
    <s v="Silky"/>
    <x v="42"/>
    <n v="36740"/>
    <n v="38709"/>
    <n v="3.6583015388389128"/>
    <n v="35395.940014630578"/>
    <n v="424751.28017556691"/>
    <m/>
  </r>
  <r>
    <d v="2026-05-04T00:00:00"/>
    <x v="35"/>
    <n v="1672"/>
    <s v="Silky"/>
    <x v="43"/>
    <n v="39984"/>
    <n v="41078"/>
    <n v="6.0569728988888727"/>
    <n v="37562.179956108266"/>
    <n v="450746.15947329917"/>
    <m/>
  </r>
  <r>
    <d v="2026-05-04T00:00:00"/>
    <x v="35"/>
    <n v="1673"/>
    <s v="Silky"/>
    <x v="44"/>
    <n v="30346"/>
    <n v="32052"/>
    <n v="3.4182258160707732"/>
    <n v="29308.705193855159"/>
    <n v="351704.46232626191"/>
    <m/>
  </r>
  <r>
    <d v="2026-05-05T00:00:00"/>
    <x v="0"/>
    <n v="1674"/>
    <s v="Chamki"/>
    <x v="20"/>
    <n v="31086"/>
    <n v="35474"/>
    <n v="2.2838077264489698"/>
    <n v="32437.820043891737"/>
    <n v="324378.20043891738"/>
    <m/>
  </r>
  <r>
    <d v="2026-05-05T00:00:00"/>
    <x v="0"/>
    <n v="1675"/>
    <s v="Chamki"/>
    <x v="31"/>
    <n v="14993"/>
    <n v="3895"/>
    <n v="0.97183123399551619"/>
    <n v="3561.6313094367229"/>
    <n v="35616.313094367229"/>
    <m/>
  </r>
  <r>
    <d v="2026-05-06T00:00:00"/>
    <x v="0"/>
    <n v="1676"/>
    <s v="Chamki"/>
    <x v="12"/>
    <n v="14433"/>
    <n v="4288"/>
    <n v="3.2750325128177167"/>
    <n v="3920.9948792977325"/>
    <n v="39209.948792977324"/>
    <m/>
  </r>
  <r>
    <d v="2026-05-06T00:00:00"/>
    <x v="0"/>
    <n v="1677"/>
    <s v="Chamki"/>
    <x v="45"/>
    <n v="38665"/>
    <n v="41074"/>
    <n v="2.8617035778318467"/>
    <n v="37558.522311631314"/>
    <n v="375585.22311631311"/>
    <m/>
  </r>
  <r>
    <d v="2026-05-06T00:00:00"/>
    <x v="0"/>
    <n v="1678"/>
    <s v="Chamki"/>
    <x v="46"/>
    <n v="107006"/>
    <n v="6592"/>
    <n v="2.0207879010428371"/>
    <n v="6027.7980980248722"/>
    <n v="60277.980980248722"/>
    <m/>
  </r>
  <r>
    <d v="2026-05-06T00:00:00"/>
    <x v="36"/>
    <n v="1679"/>
    <s v="Chamki"/>
    <x v="47"/>
    <n v="19276"/>
    <n v="20731"/>
    <n v="1.6566875236145364"/>
    <n v="18956.656912948063"/>
    <n v="189566.56912948063"/>
    <m/>
  </r>
  <r>
    <d v="2026-05-07T00:00:00"/>
    <x v="0"/>
    <n v="1680"/>
    <s v="Chamki"/>
    <x v="48"/>
    <n v="61241"/>
    <n v="21509"/>
    <n v="1.2664142327970467"/>
    <n v="19668.068763716168"/>
    <n v="196680.6876371617"/>
    <m/>
  </r>
  <r>
    <d v="2026-05-07T00:00:00"/>
    <x v="0"/>
    <n v="1681"/>
    <s v="Chamki"/>
    <x v="46"/>
    <n v="107006"/>
    <n v="6364"/>
    <n v="2.0207879010428371"/>
    <n v="5819.3123628383328"/>
    <n v="58193.123628383328"/>
    <m/>
  </r>
  <r>
    <d v="2026-05-07T00:00:00"/>
    <x v="0"/>
    <n v="1682"/>
    <s v="Chamki"/>
    <x v="48"/>
    <n v="61241"/>
    <n v="44616"/>
    <n v="1.2664142327970467"/>
    <n v="40797.366495976596"/>
    <n v="407973.66495976597"/>
    <m/>
  </r>
  <r>
    <d v="2026-05-07T00:00:00"/>
    <x v="0"/>
    <n v="1683"/>
    <s v="Chamki"/>
    <x v="49"/>
    <n v="9943"/>
    <n v="2330"/>
    <n v="1.4131831615776633"/>
    <n v="2130.5779078273595"/>
    <n v="21305.779078273594"/>
    <m/>
  </r>
  <r>
    <d v="2026-05-07T00:00:00"/>
    <x v="0"/>
    <n v="1684"/>
    <s v="Chamki"/>
    <x v="46"/>
    <n v="107006"/>
    <n v="2290"/>
    <n v="2.0207879010428371"/>
    <n v="2094.0014630577912"/>
    <n v="20940.014630577913"/>
    <m/>
  </r>
  <r>
    <d v="2026-05-08T00:00:00"/>
    <x v="0"/>
    <n v="1685"/>
    <s v="Chamki"/>
    <x v="46"/>
    <n v="107006"/>
    <n v="45049"/>
    <n v="2.0207879010428371"/>
    <n v="41193.306510607174"/>
    <n v="411933.06510607176"/>
    <m/>
  </r>
  <r>
    <d v="2026-05-08T00:00:00"/>
    <x v="0"/>
    <n v="1686"/>
    <s v="Chamki"/>
    <x v="46"/>
    <n v="107006"/>
    <n v="17678"/>
    <n v="2.0207879010428371"/>
    <n v="16164.959765910755"/>
    <n v="161649.59765910756"/>
    <m/>
  </r>
  <r>
    <d v="2026-05-08T00:00:00"/>
    <x v="0"/>
    <n v="1687"/>
    <s v="Chamki"/>
    <x v="49"/>
    <n v="9943"/>
    <n v="2530"/>
    <n v="1.4131831615776633"/>
    <n v="2313.4601316752014"/>
    <n v="23134.601316752014"/>
    <m/>
  </r>
  <r>
    <d v="2026-05-08T00:00:00"/>
    <x v="0"/>
    <n v="1688"/>
    <s v="Chamki"/>
    <x v="46"/>
    <n v="107006"/>
    <n v="25378"/>
    <n v="2.0207879010428371"/>
    <n v="23205.925384052673"/>
    <n v="232059.25384052674"/>
    <m/>
  </r>
  <r>
    <d v="2026-05-08T00:00:00"/>
    <x v="0"/>
    <n v="1689"/>
    <s v="Chamki"/>
    <x v="46"/>
    <n v="107006"/>
    <n v="11306"/>
    <n v="2.0207879010428371"/>
    <n v="10338.332114118508"/>
    <n v="103383.32114118508"/>
    <m/>
  </r>
  <r>
    <d v="2026-05-08T00:00:00"/>
    <x v="0"/>
    <n v="1690"/>
    <s v="Chamki"/>
    <x v="49"/>
    <n v="9943"/>
    <n v="5860"/>
    <n v="1.4131831615776633"/>
    <n v="5358.4491587417706"/>
    <n v="53584.49158741771"/>
    <m/>
  </r>
  <r>
    <d v="2026-05-09T00:00:00"/>
    <x v="0"/>
    <n v="1691"/>
    <s v="Silky"/>
    <x v="50"/>
    <n v="17930"/>
    <n v="19428"/>
    <n v="0.91924581941231054"/>
    <n v="17765.179224579373"/>
    <n v="230947.32991953185"/>
    <m/>
  </r>
  <r>
    <d v="2026-05-09T00:00:00"/>
    <x v="0"/>
    <n v="1692"/>
    <s v="Chamki"/>
    <x v="51"/>
    <n v="57164"/>
    <n v="19836"/>
    <n v="1.2469903326698102"/>
    <n v="18138.25896122897"/>
    <n v="181382.58961228971"/>
    <m/>
  </r>
  <r>
    <d v="2026-05-09T00:00:00"/>
    <x v="33"/>
    <n v="1693"/>
    <s v="Silky"/>
    <x v="52"/>
    <n v="99404"/>
    <n v="37070"/>
    <n v="6.694263575356814"/>
    <n v="33897.220190197513"/>
    <n v="406766.64228237013"/>
    <m/>
  </r>
  <r>
    <d v="2026-05-09T00:00:00"/>
    <x v="33"/>
    <n v="1694"/>
    <s v="Silky"/>
    <x v="52"/>
    <n v="99404"/>
    <n v="14046"/>
    <n v="6.694263575356814"/>
    <n v="12843.818580833944"/>
    <n v="154125.82297000731"/>
    <m/>
  </r>
  <r>
    <d v="2026-05-11T00:00:00"/>
    <x v="33"/>
    <n v="1695"/>
    <s v="Silky"/>
    <x v="52"/>
    <n v="99404"/>
    <n v="39878"/>
    <n v="6.694263575356814"/>
    <n v="36464.886613021219"/>
    <n v="437578.6393562546"/>
    <m/>
  </r>
  <r>
    <d v="2026-05-11T00:00:00"/>
    <x v="33"/>
    <n v="1696"/>
    <s v="Silky"/>
    <x v="52"/>
    <n v="99404"/>
    <n v="10437"/>
    <n v="6.694263575356814"/>
    <n v="9543.7088514996358"/>
    <n v="114524.50621799563"/>
    <m/>
  </r>
  <r>
    <d v="2026-05-12T00:00:00"/>
    <x v="31"/>
    <n v="1697"/>
    <s v="Silky"/>
    <x v="53"/>
    <n v="7846"/>
    <n v="8229"/>
    <n v="4.0952192171876334"/>
    <n v="7524.6891002194598"/>
    <n v="97820.958302852974"/>
    <m/>
  </r>
  <r>
    <d v="2026-05-12T00:00:00"/>
    <x v="31"/>
    <n v="1698"/>
    <s v="Silky"/>
    <x v="54"/>
    <n v="17218"/>
    <n v="18230"/>
    <n v="3.1843727277802287"/>
    <n v="16669.714703730799"/>
    <n v="216706.29114850037"/>
    <m/>
  </r>
  <r>
    <d v="2026-05-12T00:00:00"/>
    <x v="31"/>
    <n v="1699"/>
    <s v="Silky"/>
    <x v="55"/>
    <n v="46820"/>
    <n v="27486"/>
    <n v="4.2778347369667671"/>
    <n v="25133.504023408928"/>
    <n v="326735.55230431608"/>
    <m/>
  </r>
  <r>
    <d v="2026-05-12T00:00:00"/>
    <x v="31"/>
    <n v="1700"/>
    <s v="Silky"/>
    <x v="55"/>
    <n v="46820"/>
    <n v="20078"/>
    <n v="4.2778347369667671"/>
    <n v="18359.546452084858"/>
    <n v="238674.10387710316"/>
    <m/>
  </r>
  <r>
    <d v="2026-05-12T00:00:00"/>
    <x v="0"/>
    <n v="1701"/>
    <s v="Silky"/>
    <x v="56"/>
    <n v="37514"/>
    <n v="40509"/>
    <n v="1.2585167423864192"/>
    <n v="37041.880029261156"/>
    <n v="481544.44038039504"/>
    <m/>
  </r>
  <r>
    <d v="2026-05-13T00:00:00"/>
    <x v="35"/>
    <n v="1702"/>
    <s v="Silky"/>
    <x v="57"/>
    <n v="30184"/>
    <n v="7748"/>
    <n v="3.6329919725706645"/>
    <n v="7084.8573518653993"/>
    <n v="85018.288222384785"/>
    <m/>
  </r>
  <r>
    <d v="2026-05-13T00:00:00"/>
    <x v="35"/>
    <n v="1703"/>
    <s v="Silky"/>
    <x v="57"/>
    <n v="30184"/>
    <n v="24062"/>
    <n v="3.6329919725706645"/>
    <n v="22002.56035113387"/>
    <n v="264030.72421360645"/>
    <m/>
  </r>
  <r>
    <d v="2026-05-15T00:00:00"/>
    <x v="36"/>
    <n v="1704"/>
    <s v="Chamki"/>
    <x v="58"/>
    <n v="29612"/>
    <n v="19224"/>
    <n v="2.0525250197605516"/>
    <n v="17578.639356254575"/>
    <n v="175786.39356254574"/>
    <m/>
  </r>
  <r>
    <d v="2026-05-15T00:00:00"/>
    <x v="0"/>
    <n v="1705"/>
    <s v="Chamki"/>
    <x v="51"/>
    <n v="57164"/>
    <n v="6620"/>
    <n v="1.2469903326698102"/>
    <n v="6053.4016093635701"/>
    <n v="60534.016093635699"/>
    <m/>
  </r>
  <r>
    <d v="2026-05-15T00:00:00"/>
    <x v="0"/>
    <n v="1706"/>
    <s v="Chamki"/>
    <x v="59"/>
    <n v="9641"/>
    <n v="10359"/>
    <n v="1.7489390706464434"/>
    <n v="9472.3847841989773"/>
    <n v="94723.847841989773"/>
    <m/>
  </r>
  <r>
    <d v="2026-05-15T00:00:00"/>
    <x v="0"/>
    <n v="1707"/>
    <s v="Chamki"/>
    <x v="51"/>
    <n v="57164"/>
    <n v="35279"/>
    <n v="1.2469903326698102"/>
    <n v="32259.509875640091"/>
    <n v="322595.09875640093"/>
    <m/>
  </r>
  <r>
    <d v="2026-05-15T00:00:00"/>
    <x v="0"/>
    <n v="1708"/>
    <s v="Crinkle"/>
    <x v="60"/>
    <n v="4032"/>
    <n v="4192"/>
    <n v="4.930272523542456"/>
    <n v="3833.2114118507684"/>
    <n v="38332.114118507685"/>
    <m/>
  </r>
  <r>
    <d v="2026-05-15T00:00:00"/>
    <x v="0"/>
    <n v="1709"/>
    <s v="Chamki"/>
    <x v="30"/>
    <n v="15645"/>
    <n v="1591"/>
    <n v="28.460261428648579"/>
    <n v="1454.8280907095832"/>
    <n v="14548.280907095832"/>
    <m/>
  </r>
  <r>
    <d v="2026-05-15T00:00:00"/>
    <x v="0"/>
    <n v="1710"/>
    <s v="Crinkle"/>
    <x v="61"/>
    <n v="6003"/>
    <n v="5324"/>
    <n v="18.901802451614941"/>
    <n v="4868.3247988295543"/>
    <n v="48683.247988295545"/>
    <m/>
  </r>
  <r>
    <d v="2026-05-15T00:00:00"/>
    <x v="0"/>
    <n v="1711"/>
    <s v="Crinkle"/>
    <x v="62"/>
    <n v="4051"/>
    <n v="4170"/>
    <n v="5.8727630899159209"/>
    <n v="3813.0943672275057"/>
    <n v="38130.943672275054"/>
    <m/>
  </r>
  <r>
    <d v="2026-05-15T00:00:00"/>
    <x v="0"/>
    <n v="1712"/>
    <s v="Crinkle"/>
    <x v="63"/>
    <n v="2810"/>
    <n v="2704"/>
    <n v="12.008268098831891"/>
    <n v="2472.567666422824"/>
    <n v="24725.676664228238"/>
    <m/>
  </r>
  <r>
    <d v="2026-05-15T00:00:00"/>
    <x v="0"/>
    <n v="1713"/>
    <s v="Crinkle"/>
    <x v="64"/>
    <n v="2308"/>
    <n v="2238"/>
    <n v="11.332232025244707"/>
    <n v="2046.452084857352"/>
    <n v="20464.52084857352"/>
    <m/>
  </r>
  <r>
    <d v="2026-05-15T00:00:00"/>
    <x v="0"/>
    <n v="1714"/>
    <s v="Crinkle"/>
    <x v="65"/>
    <s v="-"/>
    <n v="2192"/>
    <n v="-5.0674587415249448"/>
    <n v="2004.3891733723483"/>
    <n v="20043.891733723482"/>
    <m/>
  </r>
  <r>
    <d v="2026-05-16T00:00:00"/>
    <x v="36"/>
    <n v="1715"/>
    <s v="Chamki"/>
    <x v="58"/>
    <n v="29612"/>
    <n v="12495"/>
    <n v="2.0525250197605516"/>
    <n v="11425.56693489393"/>
    <n v="114255.66934893929"/>
    <m/>
  </r>
  <r>
    <d v="2026-05-16T00:00:00"/>
    <x v="0"/>
    <n v="1716"/>
    <s v="Crinkle"/>
    <x v="66"/>
    <n v="35766"/>
    <n v="36604"/>
    <n v="6.4164161252808753"/>
    <n v="33471.104608632042"/>
    <n v="334711.04608632042"/>
    <m/>
  </r>
  <r>
    <d v="2026-05-16T00:00:00"/>
    <x v="0"/>
    <n v="1717"/>
    <s v="Crinkle"/>
    <x v="67"/>
    <n v="5782"/>
    <n v="5794"/>
    <n v="8.369110604081925"/>
    <n v="5298.0980248719825"/>
    <n v="52980.980248719825"/>
    <m/>
  </r>
  <r>
    <d v="2026-05-18T00:00:00"/>
    <x v="1"/>
    <n v="1718"/>
    <s v="Silky"/>
    <x v="68"/>
    <n v="30431"/>
    <n v="31404"/>
    <n v="5.6351523492880631"/>
    <n v="28716.166788588151"/>
    <n v="373310.16825164598"/>
    <m/>
  </r>
  <r>
    <d v="2026-05-18T00:00:00"/>
    <x v="36"/>
    <n v="1719"/>
    <s v="Silky"/>
    <x v="69"/>
    <n v="2332"/>
    <n v="2498"/>
    <n v="2.0497866269490999"/>
    <n v="2284.1989758595469"/>
    <n v="29694.586686174109"/>
    <m/>
  </r>
  <r>
    <d v="2026-05-18T00:00:00"/>
    <x v="10"/>
    <n v="1720"/>
    <s v="Crinkle"/>
    <x v="70"/>
    <m/>
    <n v="1756"/>
    <e v="#DIV/0!"/>
    <n v="1605.7059253840528"/>
    <n v="16057.059253840527"/>
    <m/>
  </r>
  <r>
    <d v="2026-05-18T00:00:00"/>
    <x v="20"/>
    <n v="1721"/>
    <s v="Silky"/>
    <x v="71"/>
    <n v="4165"/>
    <n v="4446"/>
    <n v="2.3896317854134992"/>
    <n v="4065.4718361375276"/>
    <n v="52851.13386978786"/>
    <m/>
  </r>
  <r>
    <d v="2026-05-18T00:00:00"/>
    <x v="20"/>
    <n v="1722"/>
    <s v="Chamki"/>
    <x v="72"/>
    <n v="30095"/>
    <n v="32028"/>
    <n v="2.6856310782740707"/>
    <n v="29286.759326993419"/>
    <n v="292867.59326993418"/>
    <m/>
  </r>
  <r>
    <d v="2026-05-18T00:00:00"/>
    <x v="0"/>
    <n v="1723"/>
    <s v="Chamki"/>
    <x v="73"/>
    <n v="18246"/>
    <n v="19353"/>
    <n v="3.011079740017351"/>
    <n v="17696.598390636431"/>
    <n v="176965.9839063643"/>
    <m/>
  </r>
  <r>
    <d v="2026-05-21T00:00:00"/>
    <x v="33"/>
    <n v="1724"/>
    <s v="Satin"/>
    <x v="74"/>
    <n v="14922"/>
    <n v="14491"/>
    <n v="11.200029963172554"/>
    <n v="13250.731528895392"/>
    <n v="198760.97293343089"/>
    <m/>
  </r>
  <r>
    <d v="2026-05-21T00:00:00"/>
    <x v="10"/>
    <n v="1725"/>
    <s v="Silky"/>
    <x v="75"/>
    <n v="27810"/>
    <n v="29585"/>
    <n v="2.722571151772641"/>
    <n v="27052.852962692028"/>
    <n v="351687.08851499634"/>
    <m/>
  </r>
  <r>
    <d v="2026-05-21T00:00:00"/>
    <x v="0"/>
    <n v="1726"/>
    <s v="Crinkle"/>
    <x v="65"/>
    <n v="2087"/>
    <n v="206"/>
    <n v="-5.0674587415249448"/>
    <n v="188.36869056327726"/>
    <n v="1883.6869056327726"/>
    <m/>
  </r>
  <r>
    <d v="2026-05-21T00:00:00"/>
    <x v="0"/>
    <n v="1727"/>
    <s v="Crinkle"/>
    <x v="76"/>
    <n v="3244"/>
    <n v="3296"/>
    <n v="7.0931242597892634"/>
    <n v="3013.8990490124361"/>
    <n v="30138.990490124361"/>
    <m/>
  </r>
  <r>
    <d v="2026-05-21T00:00:00"/>
    <x v="0"/>
    <n v="1728"/>
    <s v="Crinkle"/>
    <x v="77"/>
    <n v="9612"/>
    <n v="10216"/>
    <n v="2.8129006018750573"/>
    <n v="9341.6239941477688"/>
    <n v="93416.239941477688"/>
    <m/>
  </r>
  <r>
    <d v="2026-05-22T00:00:00"/>
    <x v="10"/>
    <n v="1729"/>
    <s v="Chamki"/>
    <x v="78"/>
    <n v="53625"/>
    <n v="12287"/>
    <n v="2.9078699890696953"/>
    <n v="11235.369422092173"/>
    <n v="112353.69422092174"/>
    <m/>
  </r>
  <r>
    <d v="2026-05-22T00:00:00"/>
    <x v="10"/>
    <n v="1730"/>
    <s v="Chamki"/>
    <x v="78"/>
    <n v="53625"/>
    <n v="44652"/>
    <n v="2.9078699890696953"/>
    <n v="40830.285296269205"/>
    <n v="408302.85296269204"/>
    <m/>
  </r>
  <r>
    <d v="2026-05-25T00:00:00"/>
    <x v="17"/>
    <n v="1731"/>
    <s v="Kataan"/>
    <x v="79"/>
    <n v="44943"/>
    <n v="40590"/>
    <n v="3.4052415348313758"/>
    <n v="37115.947329919538"/>
    <n v="408275.4206291149"/>
    <m/>
  </r>
  <r>
    <d v="2026-05-25T00:00:00"/>
    <x v="17"/>
    <n v="1732"/>
    <s v="Kataan"/>
    <x v="79"/>
    <n v="44943"/>
    <n v="6886"/>
    <n v="3.4052415348313758"/>
    <n v="6296.6349670812006"/>
    <n v="69262.984637893212"/>
    <m/>
  </r>
  <r>
    <d v="2026-05-25T00:00:00"/>
    <x v="17"/>
    <n v="1733"/>
    <s v="Custom"/>
    <x v="80"/>
    <n v="3800"/>
    <n v="4120"/>
    <n v="0.85858391406459589"/>
    <n v="3767.3738112655451"/>
    <n v="45208.485735186543"/>
    <m/>
  </r>
  <r>
    <d v="2026-05-25T00:00:00"/>
    <x v="33"/>
    <n v="1734"/>
    <s v="Satin"/>
    <x v="81"/>
    <n v="24903"/>
    <n v="24785"/>
    <n v="8.9921712631256412"/>
    <n v="22663.679590343821"/>
    <n v="339955.1938551573"/>
    <m/>
  </r>
  <r>
    <d v="2026-05-25T00:00:00"/>
    <x v="6"/>
    <n v="1735"/>
    <s v="Crinkle"/>
    <x v="82"/>
    <n v="26048"/>
    <n v="27444"/>
    <n v="3.6582510887558328"/>
    <n v="25095.098756400879"/>
    <n v="250950.9875640088"/>
    <m/>
  </r>
  <r>
    <d v="2026-05-25T00:00:00"/>
    <x v="6"/>
    <n v="1736"/>
    <s v="Crinkle"/>
    <x v="83"/>
    <n v="26025"/>
    <n v="27459"/>
    <n v="3.5204037533546"/>
    <n v="25108.814923189468"/>
    <n v="251088.14923189467"/>
    <m/>
  </r>
  <r>
    <d v="2026-05-25T00:00:00"/>
    <x v="34"/>
    <n v="1737"/>
    <m/>
    <x v="0"/>
    <m/>
    <m/>
    <m/>
    <m/>
    <m/>
    <m/>
  </r>
  <r>
    <d v="2026-05-25T00:00:00"/>
    <x v="34"/>
    <n v="1738"/>
    <m/>
    <x v="0"/>
    <m/>
    <m/>
    <m/>
    <m/>
    <m/>
    <m/>
  </r>
  <r>
    <d v="2026-05-25T00:00:00"/>
    <x v="31"/>
    <n v="1739"/>
    <s v="Silky"/>
    <x v="55"/>
    <n v="46820"/>
    <n v="1448"/>
    <n v="4.2778347369667671"/>
    <n v="1324.0673006583761"/>
    <n v="17212.87490855889"/>
    <m/>
  </r>
  <r>
    <d v="2026-05-25T00:00:00"/>
    <x v="31"/>
    <n v="1740"/>
    <s v="Silky"/>
    <x v="84"/>
    <m/>
    <n v="2870"/>
    <e v="#DIV/0!"/>
    <n v="2624.3599122165328"/>
    <n v="34116.678858814928"/>
    <m/>
  </r>
  <r>
    <d v="2026-05-25T00:00:00"/>
    <x v="33"/>
    <n v="1741"/>
    <s v="Silky"/>
    <x v="85"/>
    <n v="73515"/>
    <n v="38150"/>
    <n v="3.9604008179311876"/>
    <n v="34884.78419897586"/>
    <n v="418617.41038771032"/>
    <m/>
  </r>
  <r>
    <d v="2026-05-25T00:00:00"/>
    <x v="33"/>
    <n v="1742"/>
    <s v="Silky"/>
    <x v="85"/>
    <n v="73515"/>
    <n v="15552"/>
    <n v="3.9604008179311876"/>
    <n v="14220.921726408194"/>
    <n v="170651.06071689833"/>
    <m/>
  </r>
  <r>
    <d v="2026-05-25T00:00:00"/>
    <x v="33"/>
    <n v="1743"/>
    <s v="Silky"/>
    <x v="85"/>
    <n v="73515"/>
    <n v="23510"/>
    <n v="3.9604008179311876"/>
    <n v="21497.805413313828"/>
    <n v="257973.66495976594"/>
    <m/>
  </r>
  <r>
    <d v="2026-05-25T00:00:00"/>
    <x v="33"/>
    <n v="1744"/>
    <s v="Silky"/>
    <x v="86"/>
    <n v="83485"/>
    <n v="38261"/>
    <n v="4.5227079546242663"/>
    <n v="34986.283833211412"/>
    <n v="419835.40599853697"/>
    <m/>
  </r>
  <r>
    <d v="2026-05-25T00:00:00"/>
    <x v="33"/>
    <n v="1745"/>
    <s v="Silky"/>
    <x v="86"/>
    <n v="83485"/>
    <n v="28576"/>
    <n v="4.5227079546242663"/>
    <n v="26130.212143379667"/>
    <n v="313562.54572055599"/>
    <m/>
  </r>
  <r>
    <d v="2026-06-10T00:00:00"/>
    <x v="0"/>
    <n v="1746"/>
    <s v="Silky"/>
    <x v="87"/>
    <n v="33085"/>
    <n v="31683"/>
    <n v="12.433769107281563"/>
    <n v="28971.287490855892"/>
    <n v="376626.73738112662"/>
    <m/>
  </r>
  <r>
    <d v="2026-06-10T00:00:00"/>
    <x v="0"/>
    <n v="1747"/>
    <s v="Chamki"/>
    <x v="88"/>
    <n v="7182"/>
    <n v="7337"/>
    <n v="6.5854304948749132"/>
    <n v="6709.0343818580841"/>
    <n v="67090.343818580848"/>
    <m/>
  </r>
  <r>
    <d v="2026-06-10T00:00:00"/>
    <x v="0"/>
    <n v="1748"/>
    <s v="Silky"/>
    <x v="89"/>
    <n v="1558"/>
    <n v="1527"/>
    <n v="10.378319699725694"/>
    <n v="1396.3057790782736"/>
    <n v="18151.975128017559"/>
    <m/>
  </r>
  <r>
    <d v="2026-06-12T00:00:00"/>
    <x v="33"/>
    <n v="1749"/>
    <s v="Silky"/>
    <x v="86"/>
    <n v="83485"/>
    <n v="20333"/>
    <n v="4.5227079546242663"/>
    <n v="18592.721287490858"/>
    <n v="241705.37673738116"/>
    <m/>
  </r>
  <r>
    <d v="2026-06-11T00:00:00"/>
    <x v="31"/>
    <n v="1750"/>
    <s v="Kataan"/>
    <x v="90"/>
    <n v="24199"/>
    <n v="25514"/>
    <n v="3.5898785227934837"/>
    <n v="23330.285296269205"/>
    <n v="256633.13825896126"/>
    <m/>
  </r>
  <r>
    <d v="2026-06-11T00:00:00"/>
    <x v="31"/>
    <n v="1751"/>
    <s v="Custom"/>
    <x v="91"/>
    <n v="23675"/>
    <n v="24836"/>
    <n v="4.0747009190073129"/>
    <n v="22710.314557425019"/>
    <n v="272523.77468910022"/>
    <m/>
  </r>
  <r>
    <d v="2026-06-12T00:00:00"/>
    <x v="17"/>
    <n v="1752"/>
    <s v="Custom"/>
    <x v="92"/>
    <n v="9409"/>
    <n v="8549"/>
    <n v="1.8725786910585214"/>
    <n v="7817.3006583760061"/>
    <n v="93807.60790051207"/>
    <m/>
  </r>
  <r>
    <d v="2026-06-12T00:00:00"/>
    <x v="31"/>
    <n v="1753"/>
    <s v="Silky"/>
    <x v="93"/>
    <n v="4471"/>
    <n v="4765"/>
    <n v="2.5459856145194522"/>
    <n v="4357.1689831748354"/>
    <n v="56643.196781272862"/>
    <m/>
  </r>
  <r>
    <d v="2026-06-12T00:00:00"/>
    <x v="17"/>
    <n v="1754"/>
    <s v="Kataan"/>
    <x v="94"/>
    <n v="12883"/>
    <n v="13549"/>
    <n v="3.831745287805191"/>
    <n v="12389.356254572056"/>
    <n v="136282.91880029262"/>
    <m/>
  </r>
  <r>
    <d v="2026-06-12T00:00:00"/>
    <x v="17"/>
    <n v="1755"/>
    <s v="Silky"/>
    <x v="95"/>
    <n v="14949"/>
    <n v="15026"/>
    <n v="0.96785055533607078"/>
    <n v="13739.94147768837"/>
    <n v="151139.35625457208"/>
    <m/>
  </r>
  <r>
    <d v="2026-06-12T00:00:00"/>
    <x v="0"/>
    <n v="1756"/>
    <s v="Chamki"/>
    <x v="96"/>
    <m/>
    <n v="6743"/>
    <n v="16.329502602226924"/>
    <n v="6165.874177029993"/>
    <n v="61658.74177029993"/>
    <m/>
  </r>
  <r>
    <d v="2026-06-13T00:00:00"/>
    <x v="10"/>
    <n v="1757"/>
    <s v="Silky"/>
    <x v="97"/>
    <n v="30502"/>
    <n v="24765"/>
    <n v="1.3100319803462241"/>
    <n v="22645.391367959037"/>
    <n v="294390.08778346749"/>
    <m/>
  </r>
  <r>
    <d v="2026-06-13T00:00:00"/>
    <x v="0"/>
    <n v="1758"/>
    <s v="Silky"/>
    <x v="98"/>
    <n v="39273"/>
    <n v="9874"/>
    <n v="77.009916758668908"/>
    <n v="9028.8953913679597"/>
    <n v="117375.64008778348"/>
    <m/>
  </r>
  <r>
    <d v="2026-06-13T00:00:00"/>
    <x v="0"/>
    <n v="1759"/>
    <s v="Chamki"/>
    <x v="99"/>
    <n v="52646"/>
    <n v="6914"/>
    <n v="87.991037346769176"/>
    <n v="6322.2384784198985"/>
    <n v="63222.384784198985"/>
    <m/>
  </r>
  <r>
    <d v="2026-06-13T00:00:00"/>
    <x v="0"/>
    <n v="1760"/>
    <s v="Chamki"/>
    <x v="96"/>
    <n v="12403"/>
    <n v="4606"/>
    <n v="16.329502602226924"/>
    <n v="4211.7776152158012"/>
    <n v="42117.776152158011"/>
    <m/>
  </r>
  <r>
    <d v="2026-06-13T00:00:00"/>
    <x v="33"/>
    <n v="1761"/>
    <s v="Satin"/>
    <x v="100"/>
    <n v="11205"/>
    <n v="11205"/>
    <n v="8.5588880760790005"/>
    <n v="10245.976591075349"/>
    <n v="153689.64886613021"/>
    <m/>
  </r>
  <r>
    <d v="2026-06-13T00:00:00"/>
    <x v="33"/>
    <n v="1762"/>
    <s v="Chamki"/>
    <x v="101"/>
    <n v="5702"/>
    <n v="5958"/>
    <n v="4.4534996768289545"/>
    <n v="5448.0614484272137"/>
    <n v="54480.614484272141"/>
    <m/>
  </r>
  <r>
    <d v="2026-06-13T00:00:00"/>
    <x v="10"/>
    <n v="1763"/>
    <s v="Silky"/>
    <x v="97"/>
    <n v="30502"/>
    <n v="8155"/>
    <n v="1.3100319803462241"/>
    <n v="7457.0226773957575"/>
    <n v="96941.294806144841"/>
    <m/>
  </r>
  <r>
    <d v="2026-06-18T00:00:00"/>
    <x v="0"/>
    <n v="1764"/>
    <s v="Silky"/>
    <x v="102"/>
    <n v="24854"/>
    <n v="25714"/>
    <n v="5.3948357603723878"/>
    <n v="23513.167520117047"/>
    <n v="305671.1777615216"/>
    <m/>
  </r>
  <r>
    <d v="2026-06-18T00:00:00"/>
    <x v="36"/>
    <n v="1765"/>
    <s v="Chamki"/>
    <x v="103"/>
    <n v="12052"/>
    <n v="13016"/>
    <n v="1.2448130765221066"/>
    <n v="11901.975128017557"/>
    <n v="119019.75128017557"/>
    <m/>
  </r>
  <r>
    <d v="2026-06-18T00:00:00"/>
    <x v="17"/>
    <n v="1766"/>
    <s v="Custom"/>
    <x v="104"/>
    <n v="11026"/>
    <n v="11640"/>
    <n v="3.4668471980373283"/>
    <n v="10643.745427944405"/>
    <n v="159656.18141916607"/>
    <m/>
  </r>
  <r>
    <d v="2026-06-18T00:00:00"/>
    <x v="17"/>
    <n v="1767"/>
    <s v="Custom"/>
    <x v="105"/>
    <n v="20189"/>
    <n v="22169"/>
    <n v="-0.40903513009087078"/>
    <n v="20271.580102414046"/>
    <n v="243258.96122896855"/>
    <m/>
  </r>
  <r>
    <d v="2026-06-18T00:00:00"/>
    <x v="17"/>
    <n v="1768"/>
    <s v="Custom"/>
    <x v="92"/>
    <n v="9409"/>
    <n v="1548"/>
    <n v="1.8725786910585214"/>
    <n v="1415.5084125822971"/>
    <n v="16986.100950987566"/>
    <m/>
  </r>
  <r>
    <d v="2026-06-18T00:00:00"/>
    <x v="17"/>
    <n v="1769"/>
    <s v="Custom"/>
    <x v="106"/>
    <n v="2750"/>
    <n v="3065"/>
    <n v="-1.9152756533883206"/>
    <n v="2802.6700804681786"/>
    <n v="33632.040965618144"/>
    <m/>
  </r>
  <r>
    <d v="2026-06-18T00:00:00"/>
    <x v="17"/>
    <n v="1770"/>
    <s v="Kataan"/>
    <x v="107"/>
    <n v="25816"/>
    <n v="27352"/>
    <n v="3.1183261022975017"/>
    <n v="25010.972933430872"/>
    <n v="275120.70226773957"/>
    <m/>
  </r>
  <r>
    <d v="2026-06-18T00:00:00"/>
    <x v="17"/>
    <n v="1771"/>
    <s v="Silky"/>
    <x v="95"/>
    <n v="14949"/>
    <n v="1164"/>
    <n v="0.96785055533607078"/>
    <n v="1064.3745427944405"/>
    <n v="12772.494513533285"/>
    <m/>
  </r>
  <r>
    <d v="2026-06-18T00:00:00"/>
    <x v="6"/>
    <n v="1772"/>
    <s v="Chamki"/>
    <x v="108"/>
    <n v="24024"/>
    <n v="25488"/>
    <n v="2.9865525842116938"/>
    <n v="23306.510607168984"/>
    <n v="233065.10607168984"/>
    <m/>
  </r>
  <r>
    <d v="2026-06-22T00:00:00"/>
    <x v="37"/>
    <n v="1773"/>
    <s v="Silky"/>
    <x v="109"/>
    <n v="100115"/>
    <n v="37718"/>
    <n v="3.8322461722055436"/>
    <n v="34489.758595464526"/>
    <n v="413877.10314557434"/>
    <m/>
  </r>
  <r>
    <d v="2026-06-22T00:00:00"/>
    <x v="37"/>
    <n v="1774"/>
    <s v="Silky"/>
    <x v="109"/>
    <n v="100115"/>
    <n v="12423"/>
    <n v="3.8322461722055436"/>
    <n v="11359.729334308706"/>
    <n v="136316.75201170446"/>
    <m/>
  </r>
  <r>
    <d v="2026-06-22T00:00:00"/>
    <x v="37"/>
    <n v="1775"/>
    <s v="Silky"/>
    <x v="109"/>
    <n v="100115"/>
    <n v="38464"/>
    <n v="3.8322461722055436"/>
    <n v="35171.909290416974"/>
    <n v="422062.91148500366"/>
    <m/>
  </r>
  <r>
    <d v="2026-06-22T00:00:00"/>
    <x v="37"/>
    <n v="1776"/>
    <s v="Silky"/>
    <x v="109"/>
    <n v="100115"/>
    <n v="16685"/>
    <n v="3.8322461722055436"/>
    <n v="15256.949524506219"/>
    <n v="183083.39429407462"/>
    <m/>
  </r>
  <r>
    <d v="2026-06-22T00:00:00"/>
    <x v="0"/>
    <n v="1777"/>
    <s v="Chamki"/>
    <x v="110"/>
    <n v="25929"/>
    <n v="4360"/>
    <n v="2.8634352719935237"/>
    <n v="3986.8324798829558"/>
    <n v="39868.324798829555"/>
    <m/>
  </r>
  <r>
    <d v="2026-06-23T00:00:00"/>
    <x v="37"/>
    <n v="1778"/>
    <s v="Chamki"/>
    <x v="111"/>
    <n v="30000"/>
    <n v="31992"/>
    <n v="2.4871982443306422"/>
    <n v="29253.840526700806"/>
    <n v="292538.40526700806"/>
    <m/>
  </r>
  <r>
    <d v="2026-06-23T00:00:00"/>
    <x v="0"/>
    <n v="1779"/>
    <s v="Chamki"/>
    <x v="110"/>
    <n v="25929"/>
    <n v="23184"/>
    <n v="2.8634352719935237"/>
    <n v="21199.707388441846"/>
    <n v="211997.07388441847"/>
    <m/>
  </r>
  <r>
    <d v="2026-06-23T00:00:00"/>
    <x v="31"/>
    <n v="1780"/>
    <s v="Silky"/>
    <x v="112"/>
    <n v="49912"/>
    <n v="35923"/>
    <n v="3.6966362920173168"/>
    <n v="32848.390636430144"/>
    <n v="427029.07827359188"/>
    <m/>
  </r>
  <r>
    <d v="2026-06-23T00:00:00"/>
    <x v="31"/>
    <n v="1781"/>
    <s v="Silky"/>
    <x v="112"/>
    <n v="49912"/>
    <n v="16643"/>
    <n v="3.6966362920173168"/>
    <n v="15218.544257498172"/>
    <n v="197841.07534747623"/>
    <m/>
  </r>
  <r>
    <d v="2026-06-23T00:00:00"/>
    <x v="0"/>
    <n v="1782"/>
    <s v="Crinkle"/>
    <x v="113"/>
    <n v="50235"/>
    <n v="29885"/>
    <n v="20.299610120655302"/>
    <n v="27327.17629846379"/>
    <n v="273271.76298463787"/>
    <m/>
  </r>
  <r>
    <d v="2026-07-04T00:00:00"/>
    <x v="37"/>
    <n v="1783"/>
    <s v="Chamki"/>
    <x v="114"/>
    <n v="28918"/>
    <n v="30765"/>
    <n v="2.7185210478100146"/>
    <n v="28131.858083394298"/>
    <n v="281318.58083394298"/>
    <m/>
  </r>
  <r>
    <d v="2026-07-04T00:00:00"/>
    <x v="33"/>
    <n v="1784"/>
    <s v="Satin"/>
    <x v="115"/>
    <n v="15696"/>
    <n v="6929"/>
    <n v="7.9355318722143551"/>
    <n v="6335.954645208486"/>
    <n v="95039.319678127285"/>
    <m/>
  </r>
  <r>
    <d v="2026-07-06T00:00:00"/>
    <x v="0"/>
    <n v="1785"/>
    <s v="Crinkle"/>
    <x v="116"/>
    <n v="4568"/>
    <n v="4647"/>
    <n v="6.9774853085681059"/>
    <n v="4249.2684711046086"/>
    <n v="42492.684711046088"/>
    <m/>
  </r>
  <r>
    <d v="2026-07-06T00:00:00"/>
    <x v="0"/>
    <n v="1786"/>
    <s v="Crinkle"/>
    <x v="113"/>
    <n v="50235"/>
    <n v="1792"/>
    <n v="20.299610120655302"/>
    <n v="1638.6247256766644"/>
    <n v="16386.247256766645"/>
    <m/>
  </r>
  <r>
    <d v="2026-07-06T00:00:00"/>
    <x v="38"/>
    <n v="1787"/>
    <s v="Silky"/>
    <x v="117"/>
    <n v="9028"/>
    <n v="9579"/>
    <n v="2.978022693925638"/>
    <n v="8759.1441111923923"/>
    <n v="105109.72933430871"/>
    <m/>
  </r>
  <r>
    <d v="2026-07-06T00:00:00"/>
    <x v="0"/>
    <n v="1788"/>
    <s v="Silky"/>
    <x v="118"/>
    <n v="40536"/>
    <n v="23098"/>
    <n v="4.4420529354347309"/>
    <n v="21121.068032187271"/>
    <n v="253452.81638624726"/>
    <m/>
  </r>
  <r>
    <d v="2026-07-06T00:00:00"/>
    <x v="33"/>
    <n v="1789"/>
    <s v="Satin"/>
    <x v="115"/>
    <n v="15696"/>
    <n v="8874"/>
    <n v="7.9355318722143551"/>
    <n v="8114.4842721287496"/>
    <n v="121717.26408193124"/>
    <m/>
  </r>
  <r>
    <d v="2026-07-06T00:00:00"/>
    <x v="0"/>
    <n v="1790"/>
    <s v="Chamki"/>
    <x v="119"/>
    <n v="47555"/>
    <n v="2230"/>
    <n v="88.291768888555254"/>
    <n v="2039.1367959034383"/>
    <n v="20391.367959034382"/>
    <m/>
  </r>
  <r>
    <d v="2026-07-08T00:00:00"/>
    <x v="0"/>
    <n v="1791"/>
    <s v="Chamki"/>
    <x v="119"/>
    <n v="47555"/>
    <n v="3859"/>
    <n v="88.291768888555254"/>
    <n v="3528.7125091441117"/>
    <n v="35287.125091441114"/>
    <m/>
  </r>
  <r>
    <d v="2026-07-08T00:00:00"/>
    <x v="0"/>
    <n v="1792"/>
    <s v="Chamki"/>
    <x v="120"/>
    <n v="47555"/>
    <n v="13484"/>
    <n v="74.072296221592879"/>
    <n v="12329.919531821508"/>
    <n v="123299.19531821508"/>
    <m/>
  </r>
  <r>
    <d v="2026-07-08T00:00:00"/>
    <x v="0"/>
    <n v="1793"/>
    <s v="Crinkle"/>
    <x v="121"/>
    <n v="14961"/>
    <n v="14807"/>
    <n v="9.5001307227124983"/>
    <n v="13539.685442574983"/>
    <n v="135396.85442574983"/>
    <m/>
  </r>
  <r>
    <d v="2026-07-08T00:00:00"/>
    <x v="0"/>
    <n v="1794"/>
    <s v="Crinkle"/>
    <x v="122"/>
    <n v="28877"/>
    <n v="18689"/>
    <n v="8.1757328126238491"/>
    <n v="17089.429407461597"/>
    <n v="170894.29407461599"/>
    <m/>
  </r>
  <r>
    <d v="2026-07-08T00:00:00"/>
    <x v="39"/>
    <n v="1795"/>
    <s v="Crinkle"/>
    <x v="123"/>
    <n v="10038"/>
    <n v="10382"/>
    <n v="5.4252217579051774"/>
    <n v="9493.4162399414781"/>
    <n v="94934.162399414781"/>
    <m/>
  </r>
  <r>
    <d v="2026-07-08T00:00:00"/>
    <x v="0"/>
    <n v="1796"/>
    <s v="Chamki"/>
    <x v="124"/>
    <n v="12403"/>
    <n v="4519"/>
    <n v="66.683674531629521"/>
    <n v="4132.2238478419904"/>
    <n v="41322.238478419902"/>
    <m/>
  </r>
  <r>
    <d v="2026-07-08T00:00:00"/>
    <x v="0"/>
    <n v="1797"/>
    <s v="Chamki"/>
    <x v="125"/>
    <n v="14953"/>
    <n v="8881"/>
    <n v="45.69059620167576"/>
    <n v="8120.8851499634238"/>
    <n v="81208.851499634242"/>
    <m/>
  </r>
  <r>
    <d v="2026-07-08T00:00:00"/>
    <x v="40"/>
    <n v="1798"/>
    <s v="super kataan"/>
    <x v="126"/>
    <n v="6400"/>
    <n v="6660"/>
    <n v="4.844092904169699"/>
    <n v="6089.9780541331384"/>
    <n v="91349.670811997072"/>
    <m/>
  </r>
  <r>
    <d v="2026-07-09T00:00:00"/>
    <x v="41"/>
    <n v="1799"/>
    <s v="Chamki"/>
    <x v="127"/>
    <n v="50000"/>
    <n v="53438"/>
    <n v="2.2713972201901811"/>
    <n v="48864.301389904904"/>
    <n v="488643.01389904902"/>
    <m/>
  </r>
  <r>
    <d v="2026-07-09T00:00:00"/>
    <x v="0"/>
    <n v="1800"/>
    <s v="Silky"/>
    <x v="118"/>
    <n v="40536"/>
    <n v="19263"/>
    <n v="4.4420529354347309"/>
    <n v="17614.301389904904"/>
    <n v="211371.61667885885"/>
    <m/>
  </r>
  <r>
    <d v="2026-07-10T00:00:00"/>
    <x v="0"/>
    <n v="1801"/>
    <s v="Crinkle"/>
    <x v="122"/>
    <n v="28877"/>
    <n v="6125"/>
    <n v="8.1757328126238491"/>
    <n v="5600.7681053401611"/>
    <n v="56007.681053401611"/>
    <m/>
  </r>
  <r>
    <d v="2026-07-10T00:00:00"/>
    <x v="0"/>
    <n v="1802"/>
    <s v="Crinkle"/>
    <x v="122"/>
    <n v="28877"/>
    <n v="4184"/>
    <n v="8.1757328126238491"/>
    <n v="3825.8961228968546"/>
    <n v="38258.961228968546"/>
    <m/>
  </r>
  <r>
    <d v="2026-07-10T00:00:00"/>
    <x v="17"/>
    <n v="1803"/>
    <s v="Crinkle"/>
    <x v="128"/>
    <n v="28661"/>
    <n v="28761"/>
    <n v="8.2398443863126829"/>
    <n v="26299.378200438921"/>
    <n v="289293.16020482813"/>
    <m/>
  </r>
  <r>
    <d v="2026-07-10T00:00:00"/>
    <x v="0"/>
    <n v="1804"/>
    <s v="Silky"/>
    <x v="129"/>
    <n v="16511"/>
    <n v="17763"/>
    <n v="1.6250698864630522"/>
    <n v="16242.684711046088"/>
    <n v="194912.21653255305"/>
    <m/>
  </r>
  <r>
    <d v="2026-07-10T00:00:00"/>
    <x v="0"/>
    <n v="1805"/>
    <s v="Silky"/>
    <x v="113"/>
    <n v="50235"/>
    <n v="12108"/>
    <n v="20.299610120655302"/>
    <n v="11071.689831748356"/>
    <n v="132860.27798098026"/>
    <m/>
  </r>
  <r>
    <d v="2026-07-10T00:00:00"/>
    <x v="0"/>
    <n v="1806"/>
    <s v="Silky"/>
    <x v="130"/>
    <n v="4869"/>
    <n v="5141"/>
    <n v="3.4506559045229324"/>
    <n v="4700.9875640087785"/>
    <n v="56411.850768105345"/>
    <m/>
  </r>
  <r>
    <d v="2026-07-10T00:00:00"/>
    <x v="0"/>
    <n v="1807"/>
    <s v="Chamki"/>
    <x v="131"/>
    <n v="14953"/>
    <n v="7256"/>
    <n v="55.627853399319818"/>
    <n v="6634.9670811997075"/>
    <n v="66349.670811997072"/>
    <m/>
  </r>
  <r>
    <d v="2026-07-11T00:00:00"/>
    <x v="0"/>
    <n v="1808"/>
    <s v="Chamki"/>
    <x v="132"/>
    <n v="27569"/>
    <n v="11620"/>
    <n v="61.458677479924475"/>
    <n v="10625.45720555962"/>
    <n v="106254.5720555962"/>
    <m/>
  </r>
  <r>
    <d v="2026-07-11T00:00:00"/>
    <x v="0"/>
    <n v="1809"/>
    <s v="Chamki"/>
    <x v="70"/>
    <m/>
    <n v="3933"/>
    <e v="#DIV/0!"/>
    <n v="3596.3789319678131"/>
    <n v="35963.78931967813"/>
    <m/>
  </r>
  <r>
    <d v="2026-07-11T00:00:00"/>
    <x v="17"/>
    <n v="1810"/>
    <s v="Satin"/>
    <x v="133"/>
    <n v="1209"/>
    <n v="1212"/>
    <n v="8.3319870539352792"/>
    <n v="1108.2662765179225"/>
    <n v="38789.319678127285"/>
    <m/>
  </r>
  <r>
    <d v="2026-07-11T00:00:00"/>
    <x v="17"/>
    <n v="1811"/>
    <s v="Silky"/>
    <x v="134"/>
    <n v="2441"/>
    <n v="2439"/>
    <n v="8.6338091018257472"/>
    <n v="2230.2487198244335"/>
    <n v="33453.730797366501"/>
    <m/>
  </r>
  <r>
    <d v="2026-07-11T00:00:00"/>
    <x v="17"/>
    <n v="1812"/>
    <s v="Kataan"/>
    <x v="135"/>
    <n v="30184"/>
    <n v="31912"/>
    <n v="3.3239874199520614"/>
    <n v="29180.687637161671"/>
    <n v="320987.56400877837"/>
    <m/>
  </r>
  <r>
    <d v="2026-07-11T00:00:00"/>
    <x v="17"/>
    <n v="1813"/>
    <s v="Custom"/>
    <x v="136"/>
    <n v="9273"/>
    <n v="9916"/>
    <n v="2.2182609902296235"/>
    <n v="9067.300658376007"/>
    <n v="108807.60790051208"/>
    <m/>
  </r>
  <r>
    <d v="2026-07-13T00:00:00"/>
    <x v="18"/>
    <n v="1814"/>
    <s v="super kataan"/>
    <x v="137"/>
    <n v="7211"/>
    <n v="7429"/>
    <n v="5.1477579821204955"/>
    <n v="6793.1602048280911"/>
    <n v="101897.40307242137"/>
    <m/>
  </r>
  <r>
    <d v="2026-07-13T00:00:00"/>
    <x v="36"/>
    <n v="1815"/>
    <s v="Chamki"/>
    <x v="138"/>
    <n v="2977"/>
    <n v="2111"/>
    <n v="1.7092515429804536"/>
    <n v="1930.3218727139724"/>
    <n v="19303.218727139723"/>
    <m/>
  </r>
  <r>
    <d v="2026-07-13T00:00:00"/>
    <x v="0"/>
    <n v="1816"/>
    <s v="Silky"/>
    <x v="139"/>
    <n v="36789"/>
    <n v="38686"/>
    <n v="3.8437887442222376"/>
    <n v="35374.908558888077"/>
    <n v="424498.90270665695"/>
    <m/>
  </r>
  <r>
    <d v="2026-07-13T00:00:00"/>
    <x v="39"/>
    <n v="1817"/>
    <s v="Chamki"/>
    <x v="140"/>
    <n v="12033"/>
    <n v="12741"/>
    <n v="3.178658104988159"/>
    <n v="11650.512070226774"/>
    <n v="116505.12070226774"/>
    <m/>
  </r>
  <r>
    <d v="2026-07-17T00:00:00"/>
    <x v="18"/>
    <n v="1818"/>
    <s v="super kataan"/>
    <x v="137"/>
    <m/>
    <n v="51"/>
    <n v="5.1477579821204955"/>
    <n v="46.634967081199711"/>
    <n v="699.52450621799562"/>
    <m/>
  </r>
  <r>
    <d v="2026-07-17T00:00:00"/>
    <x v="0"/>
    <n v="1819"/>
    <s v="Crinkle"/>
    <x v="141"/>
    <m/>
    <n v="300"/>
    <e v="#DIV/0!"/>
    <n v="274.32333577176303"/>
    <n v="2743.2333577176305"/>
    <m/>
  </r>
  <r>
    <d v="2026-07-18T00:00:00"/>
    <x v="36"/>
    <n v="1820"/>
    <s v="Chamki"/>
    <x v="142"/>
    <n v="21989"/>
    <n v="23571"/>
    <n v="1.9801514776141715"/>
    <n v="21553.584491587419"/>
    <n v="215535.84491587419"/>
    <m/>
  </r>
  <r>
    <d v="2026-07-18T00:00:00"/>
    <x v="0"/>
    <n v="1821"/>
    <s v="Chamki"/>
    <x v="143"/>
    <n v="14222"/>
    <n v="15277"/>
    <n v="1.7757089817366705"/>
    <n v="13969.458668617412"/>
    <n v="139694.58668617412"/>
    <m/>
  </r>
  <r>
    <d v="2026-07-18T00:00:00"/>
    <x v="36"/>
    <n v="1822"/>
    <s v="Chamki"/>
    <x v="138"/>
    <n v="2977"/>
    <n v="1089"/>
    <n v="1.7092515429804536"/>
    <n v="995.79370885149967"/>
    <n v="9957.9370885149965"/>
    <m/>
  </r>
  <r>
    <d v="2026-07-18T00:00:00"/>
    <x v="0"/>
    <n v="1823"/>
    <s v="Chamki"/>
    <x v="70"/>
    <m/>
    <n v="2266"/>
    <e v="#DIV/0!"/>
    <n v="2072.0555961960499"/>
    <n v="20720.555961960497"/>
    <m/>
  </r>
  <r>
    <d v="2026-07-18T00:00:00"/>
    <x v="17"/>
    <n v="1824"/>
    <s v="Satin"/>
    <x v="144"/>
    <n v="10346"/>
    <n v="10516"/>
    <n v="7.0563760881545363"/>
    <n v="9615.9473299195324"/>
    <n v="336558.15654718364"/>
    <m/>
  </r>
  <r>
    <d v="2026-07-18T00:00:00"/>
    <x v="17"/>
    <n v="1825"/>
    <s v="Silky"/>
    <x v="145"/>
    <n v="1641"/>
    <n v="1730"/>
    <n v="3.5995590320637803"/>
    <n v="1581.9312362838334"/>
    <n v="18983.174835406"/>
    <m/>
  </r>
  <r>
    <d v="2026-07-18T00:00:00"/>
    <x v="0"/>
    <n v="1826"/>
    <s v="Crinkle"/>
    <x v="146"/>
    <n v="2492"/>
    <n v="2582"/>
    <n v="5.256440213658081"/>
    <n v="2361.0095098756401"/>
    <n v="23610.095098756399"/>
    <m/>
  </r>
  <r>
    <d v="2026-07-18T00:00:00"/>
    <x v="40"/>
    <n v="1827"/>
    <s v="super kataan"/>
    <x v="147"/>
    <n v="7310"/>
    <n v="7534"/>
    <n v="5.7568622113788166"/>
    <n v="6889.1733723482084"/>
    <n v="103337.60058522313"/>
    <m/>
  </r>
  <r>
    <d v="2026-08-01T00:00:00"/>
    <x v="0"/>
    <n v="1828"/>
    <s v="Crinkle"/>
    <x v="141"/>
    <m/>
    <n v="1311"/>
    <e v="#DIV/0!"/>
    <n v="1198.7929773226044"/>
    <n v="11987.929773226044"/>
    <m/>
  </r>
  <r>
    <d v="2026-08-01T00:00:00"/>
    <x v="0"/>
    <n v="1829"/>
    <s v="Crinkle"/>
    <x v="148"/>
    <n v="13467"/>
    <n v="13975"/>
    <n v="5.1095612135742243"/>
    <n v="12778.89539136796"/>
    <n v="127788.95391367959"/>
    <m/>
  </r>
  <r>
    <d v="2026-08-04T00:00:00"/>
    <x v="31"/>
    <n v="1830"/>
    <s v="Silky"/>
    <x v="149"/>
    <n v="28109"/>
    <n v="29828"/>
    <n v="2.966826053338238"/>
    <n v="27275.054864667156"/>
    <n v="354575.71324067301"/>
    <m/>
  </r>
  <r>
    <d v="2026-08-04T00:00:00"/>
    <x v="31"/>
    <n v="1831"/>
    <s v="Silky"/>
    <x v="150"/>
    <n v="46027"/>
    <n v="29491"/>
    <n v="3.192854154543582"/>
    <n v="26966.898317483541"/>
    <n v="350569.67812728602"/>
    <m/>
  </r>
  <r>
    <d v="2026-08-05T00:00:00"/>
    <x v="31"/>
    <n v="1832"/>
    <s v="super kataan"/>
    <x v="151"/>
    <n v="8855"/>
    <n v="9093"/>
    <n v="6.1011823010487092"/>
    <n v="8314.7403072421366"/>
    <n v="133035.84491587419"/>
    <n v="133035.84491587419"/>
  </r>
  <r>
    <d v="2026-08-05T00:00:00"/>
    <x v="31"/>
    <n v="1833"/>
    <s v="Silky"/>
    <x v="150"/>
    <n v="46027"/>
    <n v="19237"/>
    <n v="3.192854154543582"/>
    <n v="17590.526700804683"/>
    <n v="228676.84711046089"/>
    <m/>
  </r>
  <r>
    <d v="2026-08-05T00:00:00"/>
    <x v="0"/>
    <n v="1834"/>
    <s v="Silky"/>
    <x v="152"/>
    <n v="40084"/>
    <n v="37597"/>
    <n v="2.3311105201388642"/>
    <n v="34379.114850036582"/>
    <n v="412549.37820043898"/>
    <m/>
  </r>
  <r>
    <d v="2026-08-05T00:00:00"/>
    <x v="0"/>
    <n v="1835"/>
    <s v="Silky"/>
    <x v="152"/>
    <n v="40084"/>
    <n v="5217"/>
    <n v="2.3311105201388642"/>
    <n v="4770.4828090709589"/>
    <n v="57245.793708851503"/>
    <m/>
  </r>
  <r>
    <d v="2026-08-05T00:00:00"/>
    <x v="33"/>
    <n v="1836"/>
    <s v="Satin"/>
    <x v="153"/>
    <n v="15066"/>
    <n v="3752"/>
    <n v="77.227727868143404"/>
    <n v="3430.8705193855162"/>
    <n v="51463.057790782746"/>
    <m/>
  </r>
  <r>
    <d v="2026-08-07T00:00:00"/>
    <x v="17"/>
    <n v="1837"/>
    <s v="Kataan"/>
    <x v="154"/>
    <n v="21375"/>
    <n v="22868"/>
    <s v="NF"/>
    <n v="20910.753474762256"/>
    <n v="230018.28822238481"/>
    <m/>
  </r>
  <r>
    <d v="2026-08-07T00:00:00"/>
    <x v="33"/>
    <n v="1838"/>
    <s v="Satin"/>
    <x v="153"/>
    <n v="15066"/>
    <n v="11580"/>
    <n v="77.227727868143404"/>
    <n v="10588.880760790053"/>
    <n v="158833.21141185079"/>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m/>
    <m/>
    <m/>
    <m/>
  </r>
  <r>
    <m/>
    <x v="34"/>
    <m/>
    <m/>
    <x v="0"/>
    <m/>
    <m/>
    <m/>
    <m/>
    <m/>
    <m/>
  </r>
  <r>
    <m/>
    <x v="34"/>
    <m/>
    <m/>
    <x v="0"/>
    <m/>
    <m/>
    <m/>
    <m/>
    <m/>
    <m/>
  </r>
  <r>
    <m/>
    <x v="34"/>
    <m/>
    <m/>
    <x v="0"/>
    <m/>
    <m/>
    <m/>
    <m/>
    <m/>
    <m/>
  </r>
  <r>
    <m/>
    <x v="34"/>
    <m/>
    <m/>
    <x v="0"/>
    <m/>
    <m/>
    <m/>
    <m/>
    <m/>
    <m/>
  </r>
  <r>
    <m/>
    <x v="34"/>
    <m/>
    <m/>
    <x v="0"/>
    <m/>
    <m/>
    <e v="#DIV/0!"/>
    <m/>
    <m/>
    <m/>
  </r>
  <r>
    <m/>
    <x v="34"/>
    <m/>
    <m/>
    <x v="0"/>
    <m/>
    <m/>
    <e v="#DIV/0!"/>
    <m/>
    <m/>
    <m/>
  </r>
  <r>
    <m/>
    <x v="34"/>
    <m/>
    <m/>
    <x v="0"/>
    <m/>
    <m/>
    <e v="#DIV/0!"/>
    <m/>
    <m/>
    <m/>
  </r>
  <r>
    <m/>
    <x v="34"/>
    <m/>
    <m/>
    <x v="0"/>
    <m/>
    <m/>
    <e v="#DIV/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5">
  <r>
    <d v="2026-03-30T00:00:00"/>
    <x v="0"/>
    <s v="Closing CF"/>
    <m/>
    <m/>
    <n v="0"/>
    <n v="0"/>
    <n v="0"/>
  </r>
  <r>
    <d v="2026-03-30T00:00:00"/>
    <x v="1"/>
    <s v="Closing CF"/>
    <m/>
    <m/>
    <n v="0"/>
    <n v="0"/>
    <n v="0"/>
  </r>
  <r>
    <d v="2026-03-30T00:00:00"/>
    <x v="2"/>
    <s v="Closing CF"/>
    <m/>
    <m/>
    <n v="0"/>
    <n v="0"/>
    <n v="55000"/>
  </r>
  <r>
    <d v="2026-03-30T00:00:00"/>
    <x v="3"/>
    <s v="Closing CF"/>
    <m/>
    <m/>
    <n v="0"/>
    <n v="0"/>
    <n v="312000"/>
  </r>
  <r>
    <d v="2026-03-30T00:00:00"/>
    <x v="4"/>
    <s v="Closing CF"/>
    <m/>
    <m/>
    <n v="0"/>
    <n v="0"/>
    <m/>
  </r>
  <r>
    <d v="2026-03-30T00:00:00"/>
    <x v="5"/>
    <s v="Closing CF"/>
    <m/>
    <m/>
    <n v="0"/>
    <n v="0"/>
    <n v="54000"/>
  </r>
  <r>
    <d v="2026-04-09T00:00:00"/>
    <x v="4"/>
    <s v="bp26+np9"/>
    <m/>
    <m/>
    <n v="27000"/>
    <n v="27000"/>
    <n v="0"/>
  </r>
  <r>
    <d v="2026-04-07T00:00:00"/>
    <x v="3"/>
    <m/>
    <m/>
    <m/>
    <n v="0"/>
    <n v="312000"/>
    <n v="-312000"/>
  </r>
  <r>
    <d v="2026-04-13T00:00:00"/>
    <x v="4"/>
    <m/>
    <m/>
    <m/>
    <n v="98950"/>
    <n v="98950"/>
    <n v="0"/>
  </r>
  <r>
    <m/>
    <x v="1"/>
    <m/>
    <m/>
    <m/>
    <n v="0"/>
    <n v="0"/>
    <n v="0"/>
  </r>
  <r>
    <d v="2026-04-14T00:00:00"/>
    <x v="5"/>
    <s v="pva"/>
    <m/>
    <m/>
    <n v="0"/>
    <n v="4000"/>
    <n v="-4000"/>
  </r>
  <r>
    <d v="2026-04-16T00:00:00"/>
    <x v="0"/>
    <m/>
    <m/>
    <m/>
    <n v="38800"/>
    <n v="38800"/>
    <n v="0"/>
  </r>
  <r>
    <d v="2026-04-19T00:00:00"/>
    <x v="0"/>
    <m/>
    <m/>
    <m/>
    <n v="31000"/>
    <n v="31000"/>
    <n v="0"/>
  </r>
  <r>
    <d v="2026-04-20T00:00:00"/>
    <x v="0"/>
    <m/>
    <m/>
    <m/>
    <n v="31200"/>
    <n v="31200"/>
    <n v="0"/>
  </r>
  <r>
    <d v="2026-04-09T00:00:00"/>
    <x v="4"/>
    <m/>
    <m/>
    <m/>
    <n v="27000"/>
    <n v="27000"/>
    <n v="0"/>
  </r>
  <r>
    <d v="2026-04-21T00:00:00"/>
    <x v="5"/>
    <s v="payment"/>
    <m/>
    <m/>
    <n v="0"/>
    <n v="50000"/>
    <n v="-50000"/>
  </r>
  <r>
    <d v="2026-04-24T00:00:00"/>
    <x v="0"/>
    <m/>
    <m/>
    <m/>
    <n v="47400"/>
    <n v="47400"/>
    <n v="0"/>
  </r>
  <r>
    <d v="2026-04-25T00:00:00"/>
    <x v="0"/>
    <m/>
    <m/>
    <m/>
    <n v="55000"/>
    <n v="55000"/>
    <n v="0"/>
  </r>
  <r>
    <d v="2026-04-25T00:00:00"/>
    <x v="6"/>
    <s v="pva"/>
    <m/>
    <m/>
    <n v="35000"/>
    <n v="0"/>
    <n v="35000"/>
  </r>
  <r>
    <d v="2026-04-28T00:00:00"/>
    <x v="0"/>
    <s v="Starch"/>
    <m/>
    <m/>
    <n v="39000"/>
    <n v="39000"/>
    <n v="0"/>
  </r>
  <r>
    <d v="2026-05-01T00:00:00"/>
    <x v="0"/>
    <s v="Starch"/>
    <m/>
    <m/>
    <n v="39000"/>
    <n v="39000"/>
    <n v="0"/>
  </r>
  <r>
    <d v="2026-05-02T00:00:00"/>
    <x v="0"/>
    <m/>
    <m/>
    <m/>
    <n v="52400"/>
    <n v="52400"/>
    <n v="0"/>
  </r>
  <r>
    <d v="2026-04-29T00:00:00"/>
    <x v="6"/>
    <m/>
    <m/>
    <m/>
    <n v="0"/>
    <n v="3000"/>
    <n v="-3000"/>
  </r>
  <r>
    <d v="2026-05-04T00:00:00"/>
    <x v="0"/>
    <m/>
    <m/>
    <m/>
    <n v="39000"/>
    <n v="39000"/>
    <n v="0"/>
  </r>
  <r>
    <d v="2026-05-07T00:00:00"/>
    <x v="2"/>
    <s v="Bill Nill"/>
    <m/>
    <m/>
    <n v="0"/>
    <n v="55000"/>
    <n v="-55000"/>
  </r>
  <r>
    <d v="2026-05-06T00:00:00"/>
    <x v="0"/>
    <m/>
    <m/>
    <m/>
    <n v="58500"/>
    <n v="58500"/>
    <n v="0"/>
  </r>
  <r>
    <d v="2026-05-05T00:00:00"/>
    <x v="6"/>
    <m/>
    <m/>
    <m/>
    <n v="0"/>
    <n v="32000"/>
    <n v="-32000"/>
  </r>
  <r>
    <d v="2026-05-08T00:00:00"/>
    <x v="0"/>
    <m/>
    <m/>
    <m/>
    <n v="46800"/>
    <n v="46800"/>
    <n v="0"/>
  </r>
  <r>
    <d v="2026-05-13T00:00:00"/>
    <x v="0"/>
    <m/>
    <m/>
    <m/>
    <n v="18000"/>
    <n v="18000"/>
    <n v="0"/>
  </r>
  <r>
    <d v="2026-05-16T00:00:00"/>
    <x v="0"/>
    <m/>
    <m/>
    <m/>
    <n v="18000"/>
    <n v="18000"/>
    <n v="0"/>
  </r>
  <r>
    <d v="2026-05-08T00:00:00"/>
    <x v="4"/>
    <m/>
    <m/>
    <m/>
    <n v="36000"/>
    <n v="36000"/>
    <n v="0"/>
  </r>
  <r>
    <d v="2026-04-25T00:00:00"/>
    <x v="4"/>
    <m/>
    <m/>
    <m/>
    <n v="18000"/>
    <n v="18000"/>
    <n v="0"/>
  </r>
  <r>
    <d v="2026-05-20T00:00:00"/>
    <x v="0"/>
    <m/>
    <m/>
    <m/>
    <n v="16000"/>
    <n v="16000"/>
    <n v="0"/>
  </r>
  <r>
    <d v="2026-05-23T00:00:00"/>
    <x v="0"/>
    <m/>
    <m/>
    <m/>
    <n v="37000"/>
    <n v="37000"/>
    <n v="0"/>
  </r>
  <r>
    <d v="2026-05-24T00:00:00"/>
    <x v="0"/>
    <m/>
    <m/>
    <m/>
    <n v="39000"/>
    <n v="39000"/>
    <n v="0"/>
  </r>
  <r>
    <d v="2026-06-09T00:00:00"/>
    <x v="0"/>
    <m/>
    <m/>
    <m/>
    <n v="19500"/>
    <n v="19500"/>
    <n v="0"/>
  </r>
  <r>
    <d v="2026-06-09T00:00:00"/>
    <x v="7"/>
    <m/>
    <m/>
    <m/>
    <n v="170500"/>
    <n v="3000"/>
    <n v="167500"/>
  </r>
  <r>
    <d v="2026-06-10T00:00:00"/>
    <x v="0"/>
    <m/>
    <m/>
    <m/>
    <n v="19500"/>
    <n v="19500"/>
    <n v="0"/>
  </r>
  <r>
    <d v="2026-06-13T00:00:00"/>
    <x v="0"/>
    <s v="30bags"/>
    <m/>
    <m/>
    <n v="0"/>
    <n v="0"/>
    <n v="0"/>
  </r>
  <r>
    <d v="2026-06-20T00:00:00"/>
    <x v="0"/>
    <m/>
    <m/>
    <m/>
    <n v="18500"/>
    <n v="18500"/>
    <n v="0"/>
  </r>
  <r>
    <d v="2026-06-23T00:00:00"/>
    <x v="0"/>
    <m/>
    <m/>
    <m/>
    <n v="18500"/>
    <n v="18500"/>
    <n v="0"/>
  </r>
  <r>
    <d v="2026-07-01T00:00:00"/>
    <x v="4"/>
    <m/>
    <m/>
    <m/>
    <n v="23750"/>
    <n v="23750"/>
    <n v="0"/>
  </r>
  <r>
    <d v="2026-07-07T00:00:00"/>
    <x v="0"/>
    <m/>
    <m/>
    <m/>
    <n v="18500"/>
    <n v="18500"/>
    <n v="0"/>
  </r>
  <r>
    <d v="2026-07-16T00:00:00"/>
    <x v="0"/>
    <m/>
    <m/>
    <m/>
    <n v="15500"/>
    <n v="15500"/>
    <n v="0"/>
  </r>
  <r>
    <m/>
    <x v="1"/>
    <m/>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5">
  <r>
    <x v="0"/>
    <x v="0"/>
    <x v="0"/>
    <m/>
    <m/>
    <m/>
    <n v="0"/>
    <m/>
    <n v="0"/>
  </r>
  <r>
    <x v="0"/>
    <x v="1"/>
    <x v="0"/>
    <m/>
    <m/>
    <m/>
    <n v="0"/>
    <n v="0"/>
    <n v="1050398"/>
  </r>
  <r>
    <x v="0"/>
    <x v="2"/>
    <x v="0"/>
    <m/>
    <m/>
    <m/>
    <n v="0"/>
    <n v="0"/>
    <n v="309985"/>
  </r>
  <r>
    <x v="0"/>
    <x v="3"/>
    <x v="0"/>
    <m/>
    <m/>
    <m/>
    <n v="0"/>
    <m/>
    <n v="35680"/>
  </r>
  <r>
    <x v="0"/>
    <x v="4"/>
    <x v="0"/>
    <m/>
    <m/>
    <m/>
    <n v="0"/>
    <m/>
    <n v="1730359"/>
  </r>
  <r>
    <x v="0"/>
    <x v="5"/>
    <x v="0"/>
    <m/>
    <m/>
    <m/>
    <n v="0"/>
    <m/>
    <n v="222080"/>
  </r>
  <r>
    <x v="0"/>
    <x v="6"/>
    <x v="0"/>
    <m/>
    <m/>
    <m/>
    <n v="0"/>
    <m/>
    <n v="326400"/>
  </r>
  <r>
    <x v="0"/>
    <x v="7"/>
    <x v="0"/>
    <m/>
    <m/>
    <m/>
    <n v="0"/>
    <m/>
    <n v="113516"/>
  </r>
  <r>
    <x v="0"/>
    <x v="8"/>
    <x v="0"/>
    <m/>
    <m/>
    <m/>
    <m/>
    <m/>
    <n v="34336"/>
  </r>
  <r>
    <x v="0"/>
    <x v="9"/>
    <x v="0"/>
    <m/>
    <m/>
    <m/>
    <m/>
    <m/>
    <n v="10"/>
  </r>
  <r>
    <x v="0"/>
    <x v="10"/>
    <x v="0"/>
    <m/>
    <m/>
    <m/>
    <n v="0"/>
    <m/>
    <n v="189310"/>
  </r>
  <r>
    <x v="1"/>
    <x v="4"/>
    <x v="1"/>
    <n v="262"/>
    <n v="580"/>
    <m/>
    <n v="151960"/>
    <m/>
    <n v="151960"/>
  </r>
  <r>
    <x v="2"/>
    <x v="11"/>
    <x v="1"/>
    <n v="337"/>
    <n v="830"/>
    <m/>
    <n v="279710"/>
    <m/>
    <n v="279710"/>
  </r>
  <r>
    <x v="2"/>
    <x v="11"/>
    <x v="1"/>
    <n v="205"/>
    <n v="830"/>
    <m/>
    <n v="170150"/>
    <m/>
    <n v="170150"/>
  </r>
  <r>
    <x v="2"/>
    <x v="11"/>
    <x v="1"/>
    <n v="284"/>
    <n v="830"/>
    <m/>
    <n v="235720"/>
    <m/>
    <n v="235720"/>
  </r>
  <r>
    <x v="2"/>
    <x v="2"/>
    <x v="1"/>
    <n v="235"/>
    <n v="950"/>
    <m/>
    <n v="223250"/>
    <m/>
    <n v="223250"/>
  </r>
  <r>
    <x v="3"/>
    <x v="2"/>
    <x v="1"/>
    <n v="200"/>
    <n v="950"/>
    <m/>
    <n v="190000"/>
    <m/>
    <n v="190000"/>
  </r>
  <r>
    <x v="3"/>
    <x v="2"/>
    <x v="1"/>
    <n v="229"/>
    <n v="950"/>
    <m/>
    <n v="217550"/>
    <m/>
    <n v="217550"/>
  </r>
  <r>
    <x v="4"/>
    <x v="4"/>
    <x v="1"/>
    <n v="213"/>
    <n v="975"/>
    <m/>
    <n v="207675"/>
    <m/>
    <n v="207675"/>
  </r>
  <r>
    <x v="4"/>
    <x v="2"/>
    <x v="1"/>
    <n v="192"/>
    <n v="950"/>
    <m/>
    <n v="182400"/>
    <m/>
    <n v="182400"/>
  </r>
  <r>
    <x v="5"/>
    <x v="2"/>
    <x v="1"/>
    <n v="191"/>
    <n v="950"/>
    <m/>
    <n v="181450"/>
    <m/>
    <n v="181450"/>
  </r>
  <r>
    <x v="6"/>
    <x v="12"/>
    <x v="1"/>
    <m/>
    <m/>
    <m/>
    <n v="0"/>
    <m/>
    <n v="0"/>
  </r>
  <r>
    <x v="6"/>
    <x v="12"/>
    <x v="1"/>
    <m/>
    <m/>
    <m/>
    <n v="0"/>
    <m/>
    <n v="0"/>
  </r>
  <r>
    <x v="6"/>
    <x v="12"/>
    <x v="1"/>
    <m/>
    <m/>
    <m/>
    <n v="0"/>
    <m/>
    <n v="0"/>
  </r>
  <r>
    <x v="7"/>
    <x v="7"/>
    <x v="1"/>
    <n v="210"/>
    <n v="960"/>
    <m/>
    <n v="201600"/>
    <m/>
    <n v="201600"/>
  </r>
  <r>
    <x v="7"/>
    <x v="2"/>
    <x v="1"/>
    <n v="203"/>
    <n v="700"/>
    <n v="48800"/>
    <n v="142100"/>
    <m/>
    <n v="142100"/>
  </r>
  <r>
    <x v="7"/>
    <x v="1"/>
    <x v="1"/>
    <n v="261"/>
    <n v="1000"/>
    <n v="48500"/>
    <n v="261000"/>
    <m/>
    <n v="261000"/>
  </r>
  <r>
    <x v="7"/>
    <x v="13"/>
    <x v="1"/>
    <n v="288"/>
    <n v="1100"/>
    <n v="25000"/>
    <n v="316800"/>
    <m/>
    <n v="316800"/>
  </r>
  <r>
    <x v="8"/>
    <x v="4"/>
    <x v="1"/>
    <n v="192"/>
    <n v="975"/>
    <m/>
    <n v="187200"/>
    <m/>
    <n v="187200"/>
  </r>
  <r>
    <x v="9"/>
    <x v="7"/>
    <x v="1"/>
    <n v="208"/>
    <n v="960"/>
    <m/>
    <n v="199680"/>
    <m/>
    <n v="199680"/>
  </r>
  <r>
    <x v="10"/>
    <x v="13"/>
    <x v="1"/>
    <n v="278"/>
    <n v="1100"/>
    <n v="30000"/>
    <n v="305800"/>
    <m/>
    <n v="305800"/>
  </r>
  <r>
    <x v="10"/>
    <x v="1"/>
    <x v="1"/>
    <n v="357"/>
    <n v="1060"/>
    <n v="70000"/>
    <n v="378420"/>
    <m/>
    <n v="378420"/>
  </r>
  <r>
    <x v="11"/>
    <x v="1"/>
    <x v="1"/>
    <n v="377"/>
    <n v="1060"/>
    <n v="100000"/>
    <n v="399620"/>
    <m/>
    <n v="399620"/>
  </r>
  <r>
    <x v="12"/>
    <x v="7"/>
    <x v="1"/>
    <n v="243"/>
    <n v="960"/>
    <m/>
    <n v="233280"/>
    <m/>
    <n v="233280"/>
  </r>
  <r>
    <x v="12"/>
    <x v="7"/>
    <x v="1"/>
    <n v="199"/>
    <n v="960"/>
    <m/>
    <n v="191040"/>
    <m/>
    <n v="191040"/>
  </r>
  <r>
    <x v="13"/>
    <x v="1"/>
    <x v="1"/>
    <n v="416"/>
    <n v="1200"/>
    <n v="82600"/>
    <n v="499200"/>
    <m/>
    <n v="499200"/>
  </r>
  <r>
    <x v="13"/>
    <x v="14"/>
    <x v="1"/>
    <n v="245"/>
    <n v="920"/>
    <n v="26000"/>
    <n v="225400"/>
    <m/>
    <n v="225400"/>
  </r>
  <r>
    <x v="6"/>
    <x v="12"/>
    <x v="1"/>
    <m/>
    <m/>
    <m/>
    <n v="0"/>
    <m/>
    <n v="0"/>
  </r>
  <r>
    <x v="6"/>
    <x v="12"/>
    <x v="1"/>
    <m/>
    <m/>
    <m/>
    <n v="0"/>
    <m/>
    <n v="0"/>
  </r>
  <r>
    <x v="6"/>
    <x v="12"/>
    <x v="1"/>
    <m/>
    <m/>
    <m/>
    <n v="0"/>
    <m/>
    <n v="0"/>
  </r>
  <r>
    <x v="6"/>
    <x v="12"/>
    <x v="1"/>
    <m/>
    <m/>
    <m/>
    <n v="0"/>
    <m/>
    <n v="0"/>
  </r>
  <r>
    <x v="6"/>
    <x v="12"/>
    <x v="1"/>
    <m/>
    <m/>
    <m/>
    <n v="0"/>
    <m/>
    <n v="0"/>
  </r>
  <r>
    <x v="6"/>
    <x v="12"/>
    <x v="1"/>
    <m/>
    <m/>
    <m/>
    <n v="0"/>
    <m/>
    <n v="0"/>
  </r>
  <r>
    <x v="14"/>
    <x v="1"/>
    <x v="1"/>
    <n v="239"/>
    <n v="1060"/>
    <n v="60900"/>
    <n v="253340"/>
    <m/>
    <n v="253340"/>
  </r>
  <r>
    <x v="14"/>
    <x v="1"/>
    <x v="1"/>
    <n v="46"/>
    <n v="580"/>
    <m/>
    <n v="26680"/>
    <m/>
    <n v="26680"/>
  </r>
  <r>
    <x v="15"/>
    <x v="7"/>
    <x v="1"/>
    <n v="276"/>
    <n v="1030"/>
    <m/>
    <n v="284280"/>
    <m/>
    <n v="284280"/>
  </r>
  <r>
    <x v="15"/>
    <x v="1"/>
    <x v="1"/>
    <n v="290"/>
    <n v="1060"/>
    <m/>
    <n v="307400"/>
    <m/>
    <n v="307400"/>
  </r>
  <r>
    <x v="15"/>
    <x v="15"/>
    <x v="1"/>
    <n v="262"/>
    <n v="1050"/>
    <n v="24000"/>
    <n v="275100"/>
    <m/>
    <n v="275100"/>
  </r>
  <r>
    <x v="15"/>
    <x v="15"/>
    <x v="1"/>
    <n v="237"/>
    <n v="600"/>
    <n v="25000"/>
    <n v="142200"/>
    <m/>
    <n v="142200"/>
  </r>
  <r>
    <x v="15"/>
    <x v="1"/>
    <x v="1"/>
    <n v="182"/>
    <n v="1060"/>
    <m/>
    <n v="192920"/>
    <m/>
    <n v="192920"/>
  </r>
  <r>
    <x v="15"/>
    <x v="1"/>
    <x v="1"/>
    <n v="35"/>
    <n v="600"/>
    <m/>
    <n v="21000"/>
    <m/>
    <n v="21000"/>
  </r>
  <r>
    <x v="16"/>
    <x v="15"/>
    <x v="1"/>
    <n v="261"/>
    <n v="1050"/>
    <m/>
    <n v="274050"/>
    <m/>
    <n v="274050"/>
  </r>
  <r>
    <x v="16"/>
    <x v="14"/>
    <x v="1"/>
    <n v="276"/>
    <n v="980"/>
    <m/>
    <n v="270480"/>
    <m/>
    <n v="270480"/>
  </r>
  <r>
    <x v="16"/>
    <x v="15"/>
    <x v="1"/>
    <n v="269"/>
    <n v="1050"/>
    <n v="24500"/>
    <n v="282450"/>
    <m/>
    <n v="282450"/>
  </r>
  <r>
    <x v="17"/>
    <x v="15"/>
    <x v="1"/>
    <n v="284"/>
    <n v="600"/>
    <n v="25000"/>
    <n v="170400"/>
    <m/>
    <n v="170400"/>
  </r>
  <r>
    <x v="17"/>
    <x v="7"/>
    <x v="1"/>
    <n v="188"/>
    <n v="1030"/>
    <m/>
    <n v="193640"/>
    <m/>
    <n v="193640"/>
  </r>
  <r>
    <x v="18"/>
    <x v="1"/>
    <x v="1"/>
    <n v="362"/>
    <n v="1060"/>
    <m/>
    <n v="383720"/>
    <m/>
    <n v="383720"/>
  </r>
  <r>
    <x v="19"/>
    <x v="15"/>
    <x v="1"/>
    <n v="259"/>
    <n v="1050"/>
    <m/>
    <n v="271950"/>
    <m/>
    <n v="271950"/>
  </r>
  <r>
    <x v="20"/>
    <x v="15"/>
    <x v="1"/>
    <n v="273"/>
    <n v="600"/>
    <m/>
    <n v="163800"/>
    <m/>
    <n v="163800"/>
  </r>
  <r>
    <x v="21"/>
    <x v="1"/>
    <x v="1"/>
    <n v="394"/>
    <n v="1060"/>
    <m/>
    <n v="417640"/>
    <m/>
    <n v="417640"/>
  </r>
  <r>
    <x v="21"/>
    <x v="1"/>
    <x v="1"/>
    <n v="209"/>
    <n v="1060"/>
    <m/>
    <n v="221540"/>
    <m/>
    <n v="221540"/>
  </r>
  <r>
    <x v="21"/>
    <x v="15"/>
    <x v="1"/>
    <n v="302"/>
    <n v="1050"/>
    <m/>
    <n v="317100"/>
    <m/>
    <n v="317100"/>
  </r>
  <r>
    <x v="22"/>
    <x v="1"/>
    <x v="1"/>
    <n v="482"/>
    <n v="900"/>
    <m/>
    <n v="433800"/>
    <m/>
    <n v="433800"/>
  </r>
  <r>
    <x v="6"/>
    <x v="12"/>
    <x v="1"/>
    <m/>
    <m/>
    <m/>
    <n v="0"/>
    <m/>
    <n v="0"/>
  </r>
  <r>
    <x v="23"/>
    <x v="4"/>
    <x v="1"/>
    <n v="244"/>
    <n v="975"/>
    <m/>
    <n v="237900"/>
    <m/>
    <n v="237900"/>
  </r>
  <r>
    <x v="24"/>
    <x v="15"/>
    <x v="1"/>
    <n v="257"/>
    <n v="990"/>
    <m/>
    <n v="254430"/>
    <m/>
    <n v="254430"/>
  </r>
  <r>
    <x v="25"/>
    <x v="15"/>
    <x v="1"/>
    <n v="221"/>
    <n v="600"/>
    <m/>
    <n v="132600"/>
    <m/>
    <n v="132600"/>
  </r>
  <r>
    <x v="26"/>
    <x v="4"/>
    <x v="1"/>
    <n v="249"/>
    <n v="975"/>
    <m/>
    <n v="242775"/>
    <m/>
    <n v="242775"/>
  </r>
  <r>
    <x v="26"/>
    <x v="4"/>
    <x v="1"/>
    <n v="280"/>
    <n v="610"/>
    <m/>
    <n v="170800"/>
    <m/>
    <n v="170800"/>
  </r>
  <r>
    <x v="27"/>
    <x v="15"/>
    <x v="1"/>
    <n v="300"/>
    <n v="990"/>
    <m/>
    <n v="297000"/>
    <m/>
    <n v="297000"/>
  </r>
  <r>
    <x v="28"/>
    <x v="15"/>
    <x v="1"/>
    <n v="253"/>
    <n v="990"/>
    <m/>
    <n v="250470"/>
    <m/>
    <n v="250470"/>
  </r>
  <r>
    <x v="28"/>
    <x v="4"/>
    <x v="1"/>
    <n v="242"/>
    <n v="975"/>
    <m/>
    <n v="235950"/>
    <m/>
    <n v="235950"/>
  </r>
  <r>
    <x v="6"/>
    <x v="12"/>
    <x v="1"/>
    <m/>
    <m/>
    <m/>
    <n v="0"/>
    <m/>
    <n v="0"/>
  </r>
  <r>
    <x v="29"/>
    <x v="4"/>
    <x v="1"/>
    <n v="277"/>
    <n v="610"/>
    <m/>
    <n v="168970"/>
    <m/>
    <n v="168970"/>
  </r>
  <r>
    <x v="29"/>
    <x v="15"/>
    <x v="1"/>
    <n v="260"/>
    <n v="990"/>
    <m/>
    <n v="257400"/>
    <m/>
    <n v="257400"/>
  </r>
  <r>
    <x v="30"/>
    <x v="4"/>
    <x v="1"/>
    <n v="273"/>
    <n v="610"/>
    <m/>
    <n v="166530"/>
    <m/>
    <n v="166530"/>
  </r>
  <r>
    <x v="31"/>
    <x v="15"/>
    <x v="1"/>
    <n v="273"/>
    <n v="990"/>
    <m/>
    <n v="270270"/>
    <m/>
    <n v="270270"/>
  </r>
  <r>
    <x v="32"/>
    <x v="4"/>
    <x v="1"/>
    <n v="240"/>
    <n v="610"/>
    <m/>
    <n v="146400"/>
    <m/>
    <n v="146400"/>
  </r>
  <r>
    <x v="33"/>
    <x v="16"/>
    <x v="1"/>
    <n v="253"/>
    <n v="950"/>
    <n v="53500"/>
    <n v="240350"/>
    <m/>
    <n v="240350"/>
  </r>
  <r>
    <x v="34"/>
    <x v="4"/>
    <x v="1"/>
    <n v="257"/>
    <n v="910"/>
    <m/>
    <n v="233870"/>
    <m/>
    <n v="233870"/>
  </r>
  <r>
    <x v="35"/>
    <x v="4"/>
    <x v="1"/>
    <n v="137"/>
    <n v="610"/>
    <m/>
    <n v="83570"/>
    <m/>
    <n v="83570"/>
  </r>
  <r>
    <x v="35"/>
    <x v="4"/>
    <x v="1"/>
    <n v="99"/>
    <n v="960"/>
    <m/>
    <n v="95040"/>
    <m/>
    <n v="95040"/>
  </r>
  <r>
    <x v="36"/>
    <x v="1"/>
    <x v="1"/>
    <n v="256"/>
    <n v="1000"/>
    <m/>
    <n v="256000"/>
    <m/>
    <n v="256000"/>
  </r>
  <r>
    <x v="36"/>
    <x v="1"/>
    <x v="1"/>
    <n v="269"/>
    <n v="1000"/>
    <m/>
    <n v="269000"/>
    <m/>
    <n v="269000"/>
  </r>
  <r>
    <x v="37"/>
    <x v="1"/>
    <x v="1"/>
    <n v="213"/>
    <n v="910"/>
    <m/>
    <n v="193830"/>
    <m/>
    <n v="193830"/>
  </r>
  <r>
    <x v="6"/>
    <x v="12"/>
    <x v="1"/>
    <m/>
    <m/>
    <m/>
    <n v="0"/>
    <m/>
    <n v="0"/>
  </r>
  <r>
    <x v="38"/>
    <x v="4"/>
    <x v="1"/>
    <n v="267"/>
    <n v="910"/>
    <m/>
    <n v="242970"/>
    <m/>
    <n v="242970"/>
  </r>
  <r>
    <x v="38"/>
    <x v="4"/>
    <x v="1"/>
    <n v="365"/>
    <n v="960"/>
    <m/>
    <n v="350400"/>
    <m/>
    <n v="350400"/>
  </r>
  <r>
    <x v="39"/>
    <x v="4"/>
    <x v="1"/>
    <n v="289"/>
    <n v="610"/>
    <m/>
    <n v="176290"/>
    <m/>
    <n v="176290"/>
  </r>
  <r>
    <x v="39"/>
    <x v="4"/>
    <x v="1"/>
    <n v="406"/>
    <n v="960"/>
    <m/>
    <n v="389760"/>
    <m/>
    <n v="389760"/>
  </r>
  <r>
    <x v="40"/>
    <x v="4"/>
    <x v="1"/>
    <n v="399"/>
    <n v="960"/>
    <m/>
    <n v="383040"/>
    <m/>
    <n v="383040"/>
  </r>
  <r>
    <x v="6"/>
    <x v="12"/>
    <x v="1"/>
    <m/>
    <m/>
    <m/>
    <n v="0"/>
    <m/>
    <n v="0"/>
  </r>
  <r>
    <x v="6"/>
    <x v="12"/>
    <x v="1"/>
    <m/>
    <m/>
    <m/>
    <n v="0"/>
    <m/>
    <n v="0"/>
  </r>
  <r>
    <x v="6"/>
    <x v="12"/>
    <x v="1"/>
    <m/>
    <m/>
    <m/>
    <n v="0"/>
    <m/>
    <n v="0"/>
  </r>
  <r>
    <x v="6"/>
    <x v="12"/>
    <x v="1"/>
    <m/>
    <m/>
    <m/>
    <n v="0"/>
    <m/>
    <n v="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5">
  <r>
    <x v="0"/>
    <s v="Dyes"/>
    <m/>
    <m/>
    <m/>
    <x v="0"/>
    <n v="0"/>
    <n v="264250"/>
    <s v="closing CF"/>
  </r>
  <r>
    <x v="0"/>
    <s v="Dyes"/>
    <m/>
    <m/>
    <m/>
    <x v="1"/>
    <n v="0"/>
    <n v="0"/>
    <s v="closing CF"/>
  </r>
  <r>
    <x v="0"/>
    <s v="Dyes"/>
    <m/>
    <m/>
    <m/>
    <x v="2"/>
    <n v="0"/>
    <n v="0"/>
    <s v="closing CF"/>
  </r>
  <r>
    <x v="0"/>
    <s v="Dyes"/>
    <m/>
    <m/>
    <m/>
    <x v="3"/>
    <n v="0"/>
    <n v="0"/>
    <s v="closing CF"/>
  </r>
  <r>
    <x v="0"/>
    <s v="Dyes"/>
    <m/>
    <m/>
    <m/>
    <x v="4"/>
    <n v="0"/>
    <n v="801875"/>
    <s v="closing CF"/>
  </r>
  <r>
    <x v="0"/>
    <s v="Dyes"/>
    <m/>
    <m/>
    <m/>
    <x v="5"/>
    <n v="0"/>
    <n v="0"/>
    <s v="closing CF"/>
  </r>
  <r>
    <x v="0"/>
    <s v="Dyes"/>
    <m/>
    <m/>
    <m/>
    <x v="6"/>
    <n v="0"/>
    <n v="0"/>
    <s v="closing CF"/>
  </r>
  <r>
    <x v="0"/>
    <s v="Dyes"/>
    <m/>
    <m/>
    <m/>
    <x v="7"/>
    <n v="0"/>
    <n v="0"/>
    <s v="closing CF"/>
  </r>
  <r>
    <x v="1"/>
    <s v="Dyes"/>
    <m/>
    <m/>
    <n v="0"/>
    <x v="6"/>
    <n v="0"/>
    <n v="0"/>
    <m/>
  </r>
  <r>
    <x v="2"/>
    <s v="Payment"/>
    <m/>
    <m/>
    <m/>
    <x v="0"/>
    <n v="100000"/>
    <n v="-100000"/>
    <m/>
  </r>
  <r>
    <x v="3"/>
    <s v="Dyes"/>
    <m/>
    <m/>
    <n v="74380"/>
    <x v="1"/>
    <n v="74380"/>
    <n v="0"/>
    <m/>
  </r>
  <r>
    <x v="3"/>
    <s v="Dyes//945"/>
    <n v="10"/>
    <m/>
    <n v="286250"/>
    <x v="0"/>
    <n v="0"/>
    <n v="286250"/>
    <m/>
  </r>
  <r>
    <x v="4"/>
    <s v="Payment"/>
    <m/>
    <m/>
    <m/>
    <x v="4"/>
    <n v="400000"/>
    <n v="-400000"/>
    <m/>
  </r>
  <r>
    <x v="5"/>
    <s v="Dyes//954"/>
    <n v="5"/>
    <m/>
    <n v="177500"/>
    <x v="0"/>
    <n v="100000"/>
    <n v="77500"/>
    <m/>
  </r>
  <r>
    <x v="6"/>
    <s v="Dyes//11/4/26"/>
    <m/>
    <m/>
    <n v="136375"/>
    <x v="1"/>
    <n v="136375"/>
    <n v="0"/>
    <m/>
  </r>
  <r>
    <x v="6"/>
    <s v="Dyes//959"/>
    <n v="7"/>
    <m/>
    <n v="250625"/>
    <x v="0"/>
    <n v="0"/>
    <n v="250625"/>
    <m/>
  </r>
  <r>
    <x v="6"/>
    <s v="H3R"/>
    <m/>
    <m/>
    <n v="60000"/>
    <x v="8"/>
    <n v="60000"/>
    <n v="0"/>
    <m/>
  </r>
  <r>
    <x v="7"/>
    <s v="Rubine B"/>
    <m/>
    <m/>
    <n v="30000"/>
    <x v="1"/>
    <n v="30000"/>
    <n v="0"/>
    <m/>
  </r>
  <r>
    <x v="8"/>
    <m/>
    <m/>
    <m/>
    <m/>
    <x v="9"/>
    <n v="0"/>
    <n v="0"/>
    <m/>
  </r>
  <r>
    <x v="9"/>
    <s v="Dyes//962+Payment"/>
    <n v="8"/>
    <m/>
    <n v="268750"/>
    <x v="0"/>
    <n v="200000"/>
    <n v="68750"/>
    <m/>
  </r>
  <r>
    <x v="10"/>
    <s v="Black"/>
    <m/>
    <m/>
    <n v="56000"/>
    <x v="1"/>
    <n v="56000"/>
    <n v="0"/>
    <m/>
  </r>
  <r>
    <x v="11"/>
    <s v="Dyes//972"/>
    <m/>
    <m/>
    <n v="542500"/>
    <x v="0"/>
    <n v="0"/>
    <n v="542500"/>
    <m/>
  </r>
  <r>
    <x v="12"/>
    <s v="Black"/>
    <m/>
    <m/>
    <n v="55000"/>
    <x v="1"/>
    <n v="55000"/>
    <n v="0"/>
    <m/>
  </r>
  <r>
    <x v="13"/>
    <s v="Dyes"/>
    <m/>
    <m/>
    <n v="74125"/>
    <x v="1"/>
    <n v="74125"/>
    <n v="0"/>
    <m/>
  </r>
  <r>
    <x v="14"/>
    <s v="Payment"/>
    <m/>
    <m/>
    <m/>
    <x v="0"/>
    <n v="100000"/>
    <n v="-100000"/>
    <m/>
  </r>
  <r>
    <x v="15"/>
    <s v="Dyes"/>
    <n v="3"/>
    <m/>
    <n v="95000"/>
    <x v="0"/>
    <n v="0"/>
    <n v="95000"/>
    <m/>
  </r>
  <r>
    <x v="16"/>
    <s v="Dyes"/>
    <m/>
    <m/>
    <n v="35500"/>
    <x v="1"/>
    <n v="35500"/>
    <n v="0"/>
    <m/>
  </r>
  <r>
    <x v="17"/>
    <s v="Dyes"/>
    <m/>
    <m/>
    <m/>
    <x v="9"/>
    <n v="0"/>
    <n v="0"/>
    <m/>
  </r>
  <r>
    <x v="18"/>
    <s v="Payment"/>
    <m/>
    <m/>
    <m/>
    <x v="0"/>
    <n v="200000"/>
    <n v="-200000"/>
    <m/>
  </r>
  <r>
    <x v="19"/>
    <s v="dyes+payment//996"/>
    <n v="8"/>
    <m/>
    <n v="263125"/>
    <x v="0"/>
    <n v="200000"/>
    <n v="63125"/>
    <m/>
  </r>
  <r>
    <x v="20"/>
    <s v="Dyes"/>
    <s v="GSL-4G"/>
    <m/>
    <m/>
    <x v="0"/>
    <n v="0"/>
    <n v="0"/>
    <m/>
  </r>
  <r>
    <x v="20"/>
    <s v="Dyes"/>
    <m/>
    <m/>
    <n v="110000"/>
    <x v="1"/>
    <n v="110000"/>
    <n v="0"/>
    <m/>
  </r>
  <r>
    <x v="21"/>
    <s v="Dye"/>
    <m/>
    <m/>
    <n v="94500"/>
    <x v="1"/>
    <n v="94500"/>
    <n v="0"/>
    <m/>
  </r>
  <r>
    <x v="22"/>
    <s v="Dyes"/>
    <m/>
    <m/>
    <n v="97250"/>
    <x v="1"/>
    <n v="70250"/>
    <n v="27000"/>
    <m/>
  </r>
  <r>
    <x v="23"/>
    <m/>
    <m/>
    <m/>
    <m/>
    <x v="0"/>
    <n v="200000"/>
    <n v="-200000"/>
    <m/>
  </r>
  <r>
    <x v="24"/>
    <m/>
    <m/>
    <m/>
    <m/>
    <x v="1"/>
    <n v="27000"/>
    <n v="-27000"/>
    <m/>
  </r>
  <r>
    <x v="8"/>
    <m/>
    <m/>
    <m/>
    <m/>
    <x v="9"/>
    <n v="0"/>
    <n v="0"/>
    <m/>
  </r>
  <r>
    <x v="25"/>
    <s v="Dyes//New party"/>
    <n v="8"/>
    <m/>
    <n v="255750"/>
    <x v="10"/>
    <n v="0"/>
    <n v="255750"/>
    <m/>
  </r>
  <r>
    <x v="26"/>
    <s v="Dyes"/>
    <n v="3"/>
    <m/>
    <n v="96250"/>
    <x v="10"/>
    <n v="0"/>
    <n v="96250"/>
    <m/>
  </r>
  <r>
    <x v="27"/>
    <s v="Dyes"/>
    <n v="7"/>
    <m/>
    <n v="206325"/>
    <x v="10"/>
    <n v="0"/>
    <n v="206325"/>
    <m/>
  </r>
  <r>
    <x v="28"/>
    <s v="Dyes + payment"/>
    <m/>
    <m/>
    <m/>
    <x v="10"/>
    <n v="255750"/>
    <n v="-255750"/>
    <m/>
  </r>
  <r>
    <x v="29"/>
    <s v="Payment"/>
    <m/>
    <m/>
    <m/>
    <x v="4"/>
    <n v="406000"/>
    <n v="-406000"/>
    <m/>
  </r>
  <r>
    <x v="30"/>
    <s v="Dyes"/>
    <n v="10"/>
    <m/>
    <m/>
    <x v="10"/>
    <n v="0"/>
    <n v="0"/>
    <m/>
  </r>
  <r>
    <x v="31"/>
    <s v="Payment"/>
    <m/>
    <m/>
    <m/>
    <x v="0"/>
    <n v="250000"/>
    <n v="-250000"/>
    <m/>
  </r>
  <r>
    <x v="8"/>
    <m/>
    <m/>
    <m/>
    <m/>
    <x v="9"/>
    <n v="0"/>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1067194.5866861742"/>
    <n v="10"/>
    <n v="9800459.034381859"/>
  </r>
  <r>
    <x v="1"/>
    <n v="49525.420629114851"/>
    <n v="10"/>
    <n v="594305.04754937824"/>
  </r>
  <r>
    <x v="2"/>
    <n v="48639.356254572063"/>
    <n v="10"/>
    <n v="486393.5625457206"/>
  </r>
  <r>
    <x v="3"/>
    <n v="0"/>
    <n v="10.5"/>
    <n v="0"/>
  </r>
  <r>
    <x v="4"/>
    <n v="0"/>
    <n v="10"/>
    <n v="0"/>
  </r>
  <r>
    <x v="5"/>
    <n v="0"/>
    <n v="10"/>
    <n v="0"/>
  </r>
  <r>
    <x v="6"/>
    <n v="73510.424286759328"/>
    <n v="10"/>
    <n v="735104.2428675933"/>
  </r>
  <r>
    <x v="7"/>
    <n v="0"/>
    <n v="10"/>
    <n v="0"/>
  </r>
  <r>
    <x v="8"/>
    <n v="100178.31016825166"/>
    <n v="10"/>
    <n v="1202139.72201902"/>
  </r>
  <r>
    <x v="9"/>
    <n v="0"/>
    <n v="12"/>
    <n v="0"/>
  </r>
  <r>
    <x v="10"/>
    <n v="157118.69056327725"/>
    <m/>
    <n v="1212006.217995611"/>
  </r>
  <r>
    <x v="11"/>
    <n v="0"/>
    <m/>
    <n v="0"/>
  </r>
  <r>
    <x v="12"/>
    <n v="0"/>
    <m/>
    <n v="0"/>
  </r>
  <r>
    <x v="13"/>
    <n v="0"/>
    <m/>
    <n v="0"/>
  </r>
  <r>
    <x v="14"/>
    <n v="0"/>
    <m/>
    <n v="0"/>
  </r>
  <r>
    <x v="15"/>
    <n v="0"/>
    <m/>
    <n v="0"/>
  </r>
  <r>
    <x v="16"/>
    <n v="0"/>
    <m/>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1">
  <r>
    <x v="0"/>
    <s v="omer"/>
    <m/>
    <n v="813211"/>
    <s v="Feb Balance"/>
    <s v="Bank"/>
    <m/>
  </r>
  <r>
    <x v="0"/>
    <s v="Closing CF"/>
    <m/>
    <n v="287050.22951719165"/>
    <m/>
    <s v="Bank"/>
    <m/>
  </r>
  <r>
    <x v="0"/>
    <s v="Closing CF"/>
    <m/>
    <n v="-610916"/>
    <m/>
    <s v="Cash"/>
    <m/>
  </r>
  <r>
    <x v="0"/>
    <s v="Arb Dasti"/>
    <n v="249208"/>
    <m/>
    <s v="Feb Balance"/>
    <s v="Bank"/>
    <m/>
  </r>
  <r>
    <x v="0"/>
    <s v="Dasti"/>
    <n v="949282"/>
    <m/>
    <s v="Feb Balance"/>
    <s v="Bank"/>
    <m/>
  </r>
  <r>
    <x v="0"/>
    <s v="omer"/>
    <m/>
    <n v="100000"/>
    <s v="Feb Salary"/>
    <s v="Bank"/>
    <m/>
  </r>
  <r>
    <x v="0"/>
    <s v="omer"/>
    <m/>
    <n v="100000"/>
    <s v="March Salary"/>
    <s v="Bank"/>
    <m/>
  </r>
  <r>
    <x v="0"/>
    <s v="adjustment"/>
    <n v="100000"/>
    <m/>
    <s v="Omer Feb"/>
    <s v="Bank"/>
    <m/>
  </r>
  <r>
    <x v="0"/>
    <s v="adjustment"/>
    <n v="100000"/>
    <m/>
    <s v="Omer March"/>
    <s v="Bank"/>
    <m/>
  </r>
  <r>
    <x v="1"/>
    <s v="Ejaz sahab"/>
    <m/>
    <n v="100000"/>
    <s v="TID:562667"/>
    <s v="Bank"/>
    <m/>
  </r>
  <r>
    <x v="1"/>
    <s v="Parts"/>
    <n v="30000"/>
    <m/>
    <s v="monfort"/>
    <s v="Bank"/>
    <m/>
  </r>
  <r>
    <x v="1"/>
    <s v="advance salary"/>
    <n v="40000"/>
    <m/>
    <s v="Khubaib"/>
    <s v="Bank"/>
    <m/>
  </r>
  <r>
    <x v="1"/>
    <s v="misc"/>
    <n v="2000"/>
    <m/>
    <s v="khalid sb package"/>
    <s v="Bank"/>
    <m/>
  </r>
  <r>
    <x v="1"/>
    <s v="Parts"/>
    <n v="2625"/>
    <m/>
    <m/>
    <s v="Bank"/>
    <m/>
  </r>
  <r>
    <x v="1"/>
    <s v="Malik Zaheer"/>
    <n v="150000"/>
    <m/>
    <s v="TID:639064"/>
    <s v="Bank"/>
    <m/>
  </r>
  <r>
    <x v="1"/>
    <s v="omer"/>
    <n v="250000"/>
    <m/>
    <s v="TID:638703"/>
    <s v="Bank"/>
    <m/>
  </r>
  <r>
    <x v="1"/>
    <s v="omer"/>
    <m/>
    <n v="5000"/>
    <s v="cash-&gt;abid looms"/>
    <s v="Bank"/>
    <m/>
  </r>
  <r>
    <x v="1"/>
    <s v="loom ac"/>
    <n v="5000"/>
    <m/>
    <m/>
    <s v="Bank"/>
    <m/>
  </r>
  <r>
    <x v="1"/>
    <s v="Building Acc"/>
    <m/>
    <m/>
    <m/>
    <s v="Bank"/>
    <m/>
  </r>
  <r>
    <x v="1"/>
    <s v="salary"/>
    <m/>
    <m/>
    <s v="Bajwa//salary"/>
    <s v="Bank"/>
    <m/>
  </r>
  <r>
    <x v="1"/>
    <s v="Parts"/>
    <n v="3400"/>
    <m/>
    <s v="tire"/>
    <s v="Bank"/>
    <m/>
  </r>
  <r>
    <x v="2"/>
    <s v="omer"/>
    <n v="100000"/>
    <m/>
    <s v="TID:484568"/>
    <s v="Bank"/>
    <m/>
  </r>
  <r>
    <x v="2"/>
    <s v="Building Acc"/>
    <m/>
    <m/>
    <s v="mazdoor"/>
    <s v="Bank"/>
    <m/>
  </r>
  <r>
    <x v="2"/>
    <s v="Ejaz sahab"/>
    <m/>
    <n v="60635"/>
    <s v="TID:018126"/>
    <s v="Bank"/>
    <m/>
  </r>
  <r>
    <x v="2"/>
    <s v="salary"/>
    <m/>
    <m/>
    <s v="Ashraf Guard"/>
    <s v="Bank"/>
    <m/>
  </r>
  <r>
    <x v="2"/>
    <s v="Arshad"/>
    <m/>
    <n v="100000"/>
    <s v="against cash"/>
    <s v="Bank"/>
    <m/>
  </r>
  <r>
    <x v="2"/>
    <s v="Kaleem ullah"/>
    <n v="150100"/>
    <m/>
    <s v="TID:331316"/>
    <s v="Bank"/>
    <m/>
  </r>
  <r>
    <x v="2"/>
    <s v="Transport"/>
    <n v="12038"/>
    <m/>
    <m/>
    <s v="Bank"/>
    <m/>
  </r>
  <r>
    <x v="2"/>
    <s v="omer"/>
    <n v="7512"/>
    <m/>
    <m/>
    <s v="Bank"/>
    <m/>
  </r>
  <r>
    <x v="2"/>
    <s v="Dasti"/>
    <n v="4214"/>
    <m/>
    <s v="Petrol azm697"/>
    <s v="Bank"/>
    <m/>
  </r>
  <r>
    <x v="3"/>
    <s v="Dasti"/>
    <n v="5615"/>
    <m/>
    <s v="grocceries"/>
    <s v="Bank"/>
    <m/>
  </r>
  <r>
    <x v="3"/>
    <s v="Arb Dasti"/>
    <m/>
    <n v="121000"/>
    <s v="pindi das"/>
    <s v="Bank"/>
    <m/>
  </r>
  <r>
    <x v="3"/>
    <s v="irfan punjabi"/>
    <n v="60214"/>
    <m/>
    <s v="TID:702623"/>
    <s v="Bank"/>
    <m/>
  </r>
  <r>
    <x v="4"/>
    <s v="Unicolour"/>
    <n v="100000"/>
    <m/>
    <m/>
    <s v="Bank"/>
    <m/>
  </r>
  <r>
    <x v="4"/>
    <s v="Arb Dasti"/>
    <m/>
    <n v="100000"/>
    <s v="unicolor"/>
    <s v="Bank"/>
    <m/>
  </r>
  <r>
    <x v="4"/>
    <s v="Dasti"/>
    <n v="8000"/>
    <m/>
    <s v="abdullah groccery"/>
    <s v="Bank"/>
    <m/>
  </r>
  <r>
    <x v="4"/>
    <s v="misc"/>
    <n v="5000"/>
    <m/>
    <s v="cylinder"/>
    <s v="Bank"/>
    <m/>
  </r>
  <r>
    <x v="4"/>
    <s v="salary"/>
    <m/>
    <m/>
    <s v="Bajwa//salary"/>
    <s v="Bank"/>
    <m/>
  </r>
  <r>
    <x v="4"/>
    <s v="misc"/>
    <n v="15000"/>
    <m/>
    <s v="environment"/>
    <s v="Bank"/>
    <m/>
  </r>
  <r>
    <x v="4"/>
    <s v="loom ac"/>
    <n v="6000"/>
    <m/>
    <s v="abid master"/>
    <s v="Bank"/>
    <m/>
  </r>
  <r>
    <x v="4"/>
    <s v="Transport"/>
    <n v="400"/>
    <m/>
    <m/>
    <s v="Bank"/>
    <m/>
  </r>
  <r>
    <x v="4"/>
    <s v="Building Acc"/>
    <n v="17200"/>
    <m/>
    <s v="Mazdoor 8 din"/>
    <s v="Bank"/>
    <m/>
  </r>
  <r>
    <x v="4"/>
    <s v="misc"/>
    <n v="1480"/>
    <m/>
    <s v="khalid sb exp"/>
    <s v="Bank"/>
    <m/>
  </r>
  <r>
    <x v="4"/>
    <s v="misc"/>
    <n v="12100"/>
    <m/>
    <s v="medicine khalid sb"/>
    <s v="Bank"/>
    <m/>
  </r>
  <r>
    <x v="5"/>
    <s v="Transport"/>
    <n v="4400"/>
    <m/>
    <s v="raksha karaya"/>
    <s v="Bank"/>
    <m/>
  </r>
  <r>
    <x v="5"/>
    <s v="Hafiz qureshi"/>
    <m/>
    <n v="100000"/>
    <s v="tid:830448"/>
    <s v="Bank"/>
    <m/>
  </r>
  <r>
    <x v="5"/>
    <s v="Building Acc"/>
    <n v="11340"/>
    <m/>
    <s v="excavation"/>
    <s v="Bank"/>
    <m/>
  </r>
  <r>
    <x v="5"/>
    <s v="Kaleem ullah"/>
    <n v="100000"/>
    <m/>
    <s v="TID:571979"/>
    <s v="Bank"/>
    <m/>
  </r>
  <r>
    <x v="5"/>
    <s v="salary"/>
    <m/>
    <m/>
    <s v="nasir opt"/>
    <s v="Bank"/>
    <m/>
  </r>
  <r>
    <x v="5"/>
    <s v="omer"/>
    <m/>
    <n v="20000"/>
    <s v="TID:663499"/>
    <s v="Bank"/>
    <m/>
  </r>
  <r>
    <x v="5"/>
    <s v="omer"/>
    <m/>
    <n v="2000"/>
    <s v="Khubaib"/>
    <s v="Bank"/>
    <m/>
  </r>
  <r>
    <x v="5"/>
    <s v="advance salary"/>
    <n v="2000"/>
    <m/>
    <s v="Khubaib"/>
    <s v="Bank"/>
    <m/>
  </r>
  <r>
    <x v="6"/>
    <s v="omer"/>
    <m/>
    <n v="12000"/>
    <s v="TID:087404"/>
    <s v="Bank"/>
    <m/>
  </r>
  <r>
    <x v="6"/>
    <s v="abid ghafoor"/>
    <n v="312000"/>
    <m/>
    <s v="starch"/>
    <s v="Bank"/>
    <m/>
  </r>
  <r>
    <x v="6"/>
    <s v="omer"/>
    <m/>
    <n v="12000"/>
    <s v="TID:673014"/>
    <s v="Bank"/>
    <m/>
  </r>
  <r>
    <x v="6"/>
    <s v="Arb Dasti"/>
    <m/>
    <n v="300000"/>
    <s v="TID:1229322"/>
    <s v="Bank"/>
    <m/>
  </r>
  <r>
    <x v="6"/>
    <s v="Arb Dasti"/>
    <m/>
    <n v="20000"/>
    <s v="jc"/>
    <s v="Bank"/>
    <m/>
  </r>
  <r>
    <x v="6"/>
    <s v="salary"/>
    <m/>
    <m/>
    <s v="Tanveer sb"/>
    <s v="Bank"/>
    <m/>
  </r>
  <r>
    <x v="6"/>
    <s v="salary"/>
    <m/>
    <m/>
    <s v="Khalid sahab"/>
    <s v="Bank"/>
    <m/>
  </r>
  <r>
    <x v="7"/>
    <s v="Arb Dasti"/>
    <m/>
    <n v="150000"/>
    <s v="TID:991133"/>
    <s v="Bank"/>
    <m/>
  </r>
  <r>
    <x v="7"/>
    <s v="Aslam Multani"/>
    <n v="150000"/>
    <m/>
    <s v="TID:991133"/>
    <s v="Bank"/>
    <m/>
  </r>
  <r>
    <x v="7"/>
    <s v="Arb Dasti"/>
    <m/>
    <n v="30000"/>
    <s v="JC"/>
    <s v="Bank"/>
    <m/>
  </r>
  <r>
    <x v="7"/>
    <s v="Parts"/>
    <n v="1600"/>
    <m/>
    <m/>
    <s v="Bank"/>
    <m/>
  </r>
  <r>
    <x v="7"/>
    <s v="Transport"/>
    <n v="5305"/>
    <m/>
    <s v="bike+loader"/>
    <s v="Bank"/>
    <m/>
  </r>
  <r>
    <x v="7"/>
    <s v="Parts"/>
    <n v="15673"/>
    <m/>
    <s v="Diesel 30l"/>
    <s v="Bank"/>
    <m/>
  </r>
  <r>
    <x v="7"/>
    <s v="Parts"/>
    <n v="400"/>
    <m/>
    <m/>
    <s v="Bank"/>
    <m/>
  </r>
  <r>
    <x v="7"/>
    <s v="Arb Dasti"/>
    <m/>
    <n v="74380"/>
    <s v="madina dyes"/>
    <s v="Bank"/>
    <m/>
  </r>
  <r>
    <x v="7"/>
    <s v="madina dyes"/>
    <n v="74380"/>
    <m/>
    <s v="dyes"/>
    <s v="Bank"/>
    <m/>
  </r>
  <r>
    <x v="7"/>
    <s v="Transport"/>
    <n v="2800"/>
    <m/>
    <s v="dyes transport"/>
    <s v="Bank"/>
    <m/>
  </r>
  <r>
    <x v="7"/>
    <s v="Parts"/>
    <n v="6800"/>
    <m/>
    <s v="ball valve"/>
    <s v="Bank"/>
    <m/>
  </r>
  <r>
    <x v="7"/>
    <s v="Building Acc"/>
    <n v="15000"/>
    <m/>
    <s v="3 din"/>
    <s v="Bank"/>
    <m/>
  </r>
  <r>
    <x v="7"/>
    <s v="Aslam Multani"/>
    <n v="50000"/>
    <m/>
    <s v="TID:698371"/>
    <s v="Bank"/>
    <m/>
  </r>
  <r>
    <x v="7"/>
    <s v="Arb Dasti"/>
    <m/>
    <n v="50000"/>
    <s v="TID:698371"/>
    <s v="Bank"/>
    <m/>
  </r>
  <r>
    <x v="8"/>
    <s v="Parts"/>
    <n v="1300"/>
    <m/>
    <m/>
    <s v="Bank"/>
    <m/>
  </r>
  <r>
    <x v="8"/>
    <s v="amjad wood"/>
    <n v="34336"/>
    <m/>
    <s v="bill NILl"/>
    <s v="Bank"/>
    <m/>
  </r>
  <r>
    <x v="8"/>
    <s v="misc"/>
    <n v="3500"/>
    <m/>
    <m/>
    <s v="Bank"/>
    <m/>
  </r>
  <r>
    <x v="8"/>
    <s v="omer"/>
    <m/>
    <n v="34336"/>
    <s v="amjad wood"/>
    <s v="Bank"/>
    <m/>
  </r>
  <r>
    <x v="8"/>
    <s v="madina dyes"/>
    <n v="27000"/>
    <m/>
    <s v="pva+np9"/>
    <s v="Bank"/>
    <m/>
  </r>
  <r>
    <x v="8"/>
    <s v="Arb Dasti"/>
    <m/>
    <n v="27000"/>
    <s v="madina dyes"/>
    <s v="Bank"/>
    <m/>
  </r>
  <r>
    <x v="8"/>
    <s v="Arb Dasti"/>
    <m/>
    <n v="1000000"/>
    <s v="cash"/>
    <s v="Bank"/>
    <m/>
  </r>
  <r>
    <x v="8"/>
    <s v="Arb Dasti"/>
    <m/>
    <n v="45000"/>
    <s v="cash"/>
    <s v="Bank"/>
    <m/>
  </r>
  <r>
    <x v="8"/>
    <s v="salary"/>
    <m/>
    <m/>
    <s v="general "/>
    <s v="Bank"/>
    <m/>
  </r>
  <r>
    <x v="8"/>
    <s v="salary"/>
    <m/>
    <m/>
    <s v="Ashfaq sahab boiler theka"/>
    <s v="Bank"/>
    <m/>
  </r>
  <r>
    <x v="8"/>
    <s v="salary"/>
    <m/>
    <m/>
    <s v="Tanveer sb"/>
    <s v="Bank"/>
    <m/>
  </r>
  <r>
    <x v="9"/>
    <s v="Arb Dasti"/>
    <m/>
    <n v="62000"/>
    <s v="TID:712499"/>
    <s v="Bank"/>
    <m/>
  </r>
  <r>
    <x v="9"/>
    <s v="Parts"/>
    <n v="2200"/>
    <m/>
    <m/>
    <s v="Bank"/>
    <m/>
  </r>
  <r>
    <x v="9"/>
    <s v="Parts"/>
    <n v="30000"/>
    <m/>
    <s v="Kluber"/>
    <s v="Bank"/>
    <m/>
  </r>
  <r>
    <x v="9"/>
    <s v="Babar wood"/>
    <n v="50000"/>
    <m/>
    <s v="TID:906577"/>
    <s v="Bank"/>
    <m/>
  </r>
  <r>
    <x v="9"/>
    <s v="Arb Dasti"/>
    <m/>
    <n v="77000"/>
    <s v="JC"/>
    <s v="Bank"/>
    <m/>
  </r>
  <r>
    <x v="9"/>
    <s v="Transport"/>
    <n v="3044"/>
    <m/>
    <s v="loader"/>
    <s v="Bank"/>
    <m/>
  </r>
  <r>
    <x v="9"/>
    <s v="salary"/>
    <m/>
    <m/>
    <s v="Khalid sb Apr 10th"/>
    <s v="Bank"/>
    <m/>
  </r>
  <r>
    <x v="9"/>
    <s v="Parts"/>
    <n v="1200"/>
    <m/>
    <m/>
    <s v="Bank"/>
    <m/>
  </r>
  <r>
    <x v="9"/>
    <s v="misc"/>
    <n v="600"/>
    <m/>
    <m/>
    <s v="Bank"/>
    <m/>
  </r>
  <r>
    <x v="9"/>
    <s v="Transport"/>
    <n v="7636.4"/>
    <m/>
    <s v="petrol 464"/>
    <s v="Bank"/>
    <m/>
  </r>
  <r>
    <x v="9"/>
    <s v="Arb Dasti"/>
    <m/>
    <n v="50000"/>
    <s v="pindi das"/>
    <s v="Bank"/>
    <m/>
  </r>
  <r>
    <x v="9"/>
    <s v="salary"/>
    <m/>
    <m/>
    <s v="aslam"/>
    <s v="Bank"/>
    <m/>
  </r>
  <r>
    <x v="9"/>
    <s v="salary"/>
    <m/>
    <m/>
    <s v="mursaleen"/>
    <s v="Bank"/>
    <m/>
  </r>
  <r>
    <x v="10"/>
    <s v="Faizan kamoki"/>
    <m/>
    <n v="5965"/>
    <s v="Transport"/>
    <s v="Bank"/>
    <m/>
  </r>
  <r>
    <x v="10"/>
    <s v="Transport"/>
    <n v="5965"/>
    <m/>
    <s v="Faizan"/>
    <s v="Bank"/>
    <m/>
  </r>
  <r>
    <x v="10"/>
    <s v="Dasti"/>
    <n v="4471"/>
    <m/>
    <s v="optix"/>
    <s v="Bank"/>
    <m/>
  </r>
  <r>
    <x v="10"/>
    <s v="Transport"/>
    <n v="1500"/>
    <m/>
    <s v="dyes transport"/>
    <s v="Bank"/>
    <m/>
  </r>
  <r>
    <x v="10"/>
    <s v="Ubaidullah"/>
    <m/>
    <n v="400000"/>
    <s v="TID:390444"/>
    <s v="Bank"/>
    <m/>
  </r>
  <r>
    <x v="10"/>
    <s v="Kaleem ullah"/>
    <n v="200200"/>
    <m/>
    <s v="TID:989700"/>
    <s v="Bank"/>
    <m/>
  </r>
  <r>
    <x v="10"/>
    <s v="salary"/>
    <m/>
    <m/>
    <s v="Khubaib"/>
    <s v="Bank"/>
    <m/>
  </r>
  <r>
    <x v="10"/>
    <s v="Transport"/>
    <n v="6000"/>
    <m/>
    <s v="yarn transport"/>
    <s v="Bank"/>
    <m/>
  </r>
  <r>
    <x v="10"/>
    <s v="omer"/>
    <n v="1490"/>
    <m/>
    <m/>
    <s v="Bank"/>
    <m/>
  </r>
  <r>
    <x v="11"/>
    <s v="Parts"/>
    <n v="4500"/>
    <m/>
    <m/>
    <s v="Bank"/>
    <m/>
  </r>
  <r>
    <x v="11"/>
    <s v="Babar wood"/>
    <n v="100000"/>
    <m/>
    <s v="TID:971496"/>
    <s v="Bank"/>
    <m/>
  </r>
  <r>
    <x v="11"/>
    <s v="Arb Dasti"/>
    <m/>
    <n v="40000"/>
    <s v="TID:194758"/>
    <s v="Bank"/>
    <m/>
  </r>
  <r>
    <x v="11"/>
    <s v="Aslam Multani"/>
    <n v="100000"/>
    <m/>
    <s v="TID:880579"/>
    <s v="Bank"/>
    <m/>
  </r>
  <r>
    <x v="11"/>
    <s v="Parts"/>
    <n v="1600"/>
    <m/>
    <m/>
    <s v="Bank"/>
    <m/>
  </r>
  <r>
    <x v="11"/>
    <s v="Parts"/>
    <n v="5040"/>
    <m/>
    <m/>
    <s v="Bank"/>
    <m/>
  </r>
  <r>
    <x v="11"/>
    <s v="omer"/>
    <m/>
    <n v="5040"/>
    <s v="TID:686582"/>
    <s v="Bank"/>
    <m/>
  </r>
  <r>
    <x v="11"/>
    <s v="Arb Dasti"/>
    <m/>
    <n v="10000"/>
    <s v="TID:754017"/>
    <s v="Bank"/>
    <m/>
  </r>
  <r>
    <x v="11"/>
    <s v="Transport"/>
    <n v="7392"/>
    <m/>
    <s v="petrol 464'"/>
    <s v="Bank"/>
    <m/>
  </r>
  <r>
    <x v="12"/>
    <s v="Arshad"/>
    <m/>
    <n v="100000"/>
    <s v="TID:264635"/>
    <s v="Bank"/>
    <m/>
  </r>
  <r>
    <x v="12"/>
    <s v="Parts"/>
    <n v="1000"/>
    <m/>
    <m/>
    <s v="Bank"/>
    <m/>
  </r>
  <r>
    <x v="12"/>
    <s v="rashan"/>
    <n v="65310"/>
    <m/>
    <s v="Bill NILL 10/4"/>
    <s v="Bank"/>
    <m/>
  </r>
  <r>
    <x v="12"/>
    <s v="omer"/>
    <m/>
    <n v="70000"/>
    <s v="TID:242367"/>
    <s v="Bank"/>
    <m/>
  </r>
  <r>
    <x v="12"/>
    <s v="Aslam Multani"/>
    <n v="100000"/>
    <m/>
    <s v="TID:945970"/>
    <s v="Bank"/>
    <m/>
  </r>
  <r>
    <x v="12"/>
    <s v="Transport"/>
    <n v="3920"/>
    <m/>
    <m/>
    <s v="Bank"/>
    <m/>
  </r>
  <r>
    <x v="12"/>
    <s v="Kaleem ullah"/>
    <n v="1000"/>
    <m/>
    <s v="unloading"/>
    <s v="Bank"/>
    <m/>
  </r>
  <r>
    <x v="12"/>
    <s v="Kaleem ullah"/>
    <n v="10000"/>
    <m/>
    <s v="Cash-Freight"/>
    <s v="Bank"/>
    <m/>
  </r>
  <r>
    <x v="12"/>
    <s v="ibraheem behraam"/>
    <m/>
    <n v="28000"/>
    <s v="TID:914411"/>
    <s v="Bank"/>
    <m/>
  </r>
  <r>
    <x v="12"/>
    <s v="Transport"/>
    <n v="1700"/>
    <m/>
    <s v="chemical karaya"/>
    <s v="Bank"/>
    <m/>
  </r>
  <r>
    <x v="12"/>
    <s v="madina dyes"/>
    <n v="98950"/>
    <m/>
    <s v="finish"/>
    <s v="Bank"/>
    <m/>
  </r>
  <r>
    <x v="12"/>
    <s v="Arb Dasti"/>
    <m/>
    <n v="100000"/>
    <s v="madina dyes"/>
    <s v="Bank"/>
    <m/>
  </r>
  <r>
    <x v="13"/>
    <s v="Parts"/>
    <n v="2600"/>
    <m/>
    <m/>
    <s v="Bank"/>
    <m/>
  </r>
  <r>
    <x v="13"/>
    <s v="misc"/>
    <n v="500"/>
    <m/>
    <m/>
    <m/>
    <m/>
  </r>
  <r>
    <x v="13"/>
    <s v="Ubaidullah"/>
    <m/>
    <n v="200000"/>
    <s v="TID:155611"/>
    <s v="Bank"/>
    <m/>
  </r>
  <r>
    <x v="13"/>
    <s v="Aslam Multani"/>
    <n v="85000"/>
    <m/>
    <s v="TID:004432"/>
    <s v="Bank"/>
    <m/>
  </r>
  <r>
    <x v="13"/>
    <s v="Arb Dasti"/>
    <m/>
    <n v="85000"/>
    <s v="aslam multani"/>
    <s v="Bank"/>
    <m/>
  </r>
  <r>
    <x v="13"/>
    <s v="misc"/>
    <n v="2020"/>
    <m/>
    <s v="stationary"/>
    <s v="Bank"/>
    <m/>
  </r>
  <r>
    <x v="13"/>
    <s v="Faizan kamoki"/>
    <m/>
    <n v="500000"/>
    <s v="TID:964595"/>
    <s v="Bank"/>
    <m/>
  </r>
  <r>
    <x v="13"/>
    <s v="Arb Dasti"/>
    <n v="200000"/>
    <m/>
    <s v="TID:324169"/>
    <s v="Bank"/>
    <m/>
  </r>
  <r>
    <x v="13"/>
    <s v="shengtai"/>
    <n v="4000"/>
    <m/>
    <s v="karaya"/>
    <s v="Bank"/>
    <m/>
  </r>
  <r>
    <x v="13"/>
    <s v="Building Acc"/>
    <n v="3900"/>
    <m/>
    <m/>
    <s v="Bank"/>
    <m/>
  </r>
  <r>
    <x v="13"/>
    <s v="salary"/>
    <m/>
    <m/>
    <s v="aqeel abbas"/>
    <s v="Bank"/>
    <m/>
  </r>
  <r>
    <x v="14"/>
    <s v="sajad khan"/>
    <m/>
    <n v="164000"/>
    <m/>
    <s v="Bank"/>
    <m/>
  </r>
  <r>
    <x v="14"/>
    <s v="Arb Dasti"/>
    <n v="164000"/>
    <m/>
    <s v="Sajad khan"/>
    <s v="Bank"/>
    <m/>
  </r>
  <r>
    <x v="14"/>
    <s v="MAK dyes"/>
    <n v="400000"/>
    <m/>
    <s v="TID:396977"/>
    <s v="Bank"/>
    <m/>
  </r>
  <r>
    <x v="14"/>
    <s v="Parts"/>
    <n v="3210"/>
    <m/>
    <s v="elkey bolts"/>
    <s v="Bank"/>
    <m/>
  </r>
  <r>
    <x v="14"/>
    <s v="Aslam Multani"/>
    <n v="50000"/>
    <m/>
    <s v="TID:326122"/>
    <s v="Bank"/>
    <m/>
  </r>
  <r>
    <x v="14"/>
    <s v="omer"/>
    <n v="2490"/>
    <m/>
    <m/>
    <s v="Bank"/>
    <m/>
  </r>
  <r>
    <x v="14"/>
    <s v="Shani Badshah"/>
    <m/>
    <n v="676071"/>
    <s v="Kapra adjust BSC"/>
    <s v="Bank"/>
    <m/>
  </r>
  <r>
    <x v="14"/>
    <s v="Arb Dasti"/>
    <n v="676071"/>
    <m/>
    <s v="Shani Badshah kapra adjust"/>
    <s v="Bank"/>
    <m/>
  </r>
  <r>
    <x v="15"/>
    <s v="Parts"/>
    <n v="27000"/>
    <m/>
    <m/>
    <s v="Bank"/>
    <m/>
  </r>
  <r>
    <x v="15"/>
    <s v="Arb Dasti"/>
    <m/>
    <n v="27000"/>
    <s v="Parts"/>
    <s v="Bank"/>
    <m/>
  </r>
  <r>
    <x v="15"/>
    <s v="Parts"/>
    <n v="600"/>
    <m/>
    <m/>
    <s v="Bank"/>
    <m/>
  </r>
  <r>
    <x v="15"/>
    <s v="Arb Dasti"/>
    <m/>
    <n v="600"/>
    <m/>
    <s v="Bank"/>
    <m/>
  </r>
  <r>
    <x v="15"/>
    <s v="Parts"/>
    <n v="3800"/>
    <m/>
    <m/>
    <s v="Bank"/>
    <m/>
  </r>
  <r>
    <x v="15"/>
    <s v="Arb Dasti"/>
    <m/>
    <n v="3800"/>
    <m/>
    <s v="Bank"/>
    <m/>
  </r>
  <r>
    <x v="15"/>
    <s v="Parts"/>
    <n v="2635"/>
    <m/>
    <m/>
    <s v="Bank"/>
    <m/>
  </r>
  <r>
    <x v="15"/>
    <s v="Faizan kamoki"/>
    <m/>
    <n v="400000"/>
    <s v="TID:340911"/>
    <s v="Bank"/>
    <m/>
  </r>
  <r>
    <x v="15"/>
    <s v="Aslam Multani"/>
    <n v="200125"/>
    <m/>
    <s v="TID:516344"/>
    <s v="Bank"/>
    <m/>
  </r>
  <r>
    <x v="15"/>
    <s v="Kaleem ullah"/>
    <n v="203000"/>
    <m/>
    <s v="TID:994176"/>
    <s v="Bank"/>
    <m/>
  </r>
  <r>
    <x v="15"/>
    <s v="Arshad"/>
    <m/>
    <n v="100000"/>
    <s v="Cash"/>
    <s v="Bank"/>
    <m/>
  </r>
  <r>
    <x v="15"/>
    <s v="Unicolour"/>
    <n v="90000"/>
    <m/>
    <m/>
    <s v="Bank"/>
    <m/>
  </r>
  <r>
    <x v="15"/>
    <s v="Arb Dasti"/>
    <n v="10000"/>
    <m/>
    <s v="Arshad-uni"/>
    <s v="Bank"/>
    <m/>
  </r>
  <r>
    <x v="15"/>
    <s v="Transport"/>
    <n v="7763"/>
    <m/>
    <s v="petrol 464"/>
    <s v="Bank"/>
    <m/>
  </r>
  <r>
    <x v="15"/>
    <s v="Finish"/>
    <n v="38800"/>
    <m/>
    <s v="STarch"/>
    <s v="Bank"/>
    <m/>
  </r>
  <r>
    <x v="15"/>
    <s v="Ubaidullah"/>
    <m/>
    <n v="200000"/>
    <s v="TID:337814"/>
    <s v="Bank"/>
    <m/>
  </r>
  <r>
    <x v="15"/>
    <s v="salary"/>
    <m/>
    <m/>
    <s v="Ashfaq sahab boiler theka"/>
    <s v="Bank"/>
    <m/>
  </r>
  <r>
    <x v="15"/>
    <s v="Transport"/>
    <n v="3943"/>
    <m/>
    <s v="Starch karaya"/>
    <s v="Bank"/>
    <m/>
  </r>
  <r>
    <x v="15"/>
    <s v="Transport"/>
    <n v="1500"/>
    <m/>
    <s v="oil change"/>
    <s v="Bank"/>
    <m/>
  </r>
  <r>
    <x v="16"/>
    <s v="Dasti"/>
    <n v="1437"/>
    <m/>
    <s v="pharmacy"/>
    <s v="Bank"/>
    <m/>
  </r>
  <r>
    <x v="16"/>
    <s v="omer"/>
    <n v="2880"/>
    <m/>
    <m/>
    <s v="Bank"/>
    <m/>
  </r>
  <r>
    <x v="16"/>
    <s v="Parts"/>
    <n v="6000"/>
    <m/>
    <s v="SHAFT"/>
    <s v="Bank"/>
    <m/>
  </r>
  <r>
    <x v="16"/>
    <s v="Aslam Multani"/>
    <n v="50000"/>
    <m/>
    <s v="TID:664920"/>
    <s v="Bank"/>
    <m/>
  </r>
  <r>
    <x v="16"/>
    <s v="Transport"/>
    <n v="2010"/>
    <m/>
    <s v="Mtag"/>
    <s v="Bank"/>
    <m/>
  </r>
  <r>
    <x v="16"/>
    <s v="Parts"/>
    <n v="1320"/>
    <m/>
    <m/>
    <s v="Bank"/>
    <m/>
  </r>
  <r>
    <x v="16"/>
    <s v="Transport"/>
    <n v="1000"/>
    <m/>
    <m/>
    <s v="Bank"/>
    <m/>
  </r>
  <r>
    <x v="17"/>
    <s v="Parts"/>
    <n v="1370"/>
    <m/>
    <s v="bolts"/>
    <s v="Bank"/>
    <m/>
  </r>
  <r>
    <x v="17"/>
    <s v="Arb Dasti"/>
    <m/>
    <n v="1370"/>
    <s v="bolts"/>
    <s v="Bank"/>
    <m/>
  </r>
  <r>
    <x v="17"/>
    <s v="advance salary"/>
    <n v="5000"/>
    <m/>
    <s v="khalid sahab"/>
    <s v="Bank"/>
    <m/>
  </r>
  <r>
    <x v="17"/>
    <s v="rashan"/>
    <n v="10000"/>
    <m/>
    <s v="3 din"/>
    <s v="Bank"/>
    <m/>
  </r>
  <r>
    <x v="17"/>
    <s v="Arshad"/>
    <m/>
    <n v="100000"/>
    <s v="Cash"/>
    <s v="Bank"/>
    <m/>
  </r>
  <r>
    <x v="17"/>
    <s v="Unicolour"/>
    <n v="100000"/>
    <m/>
    <s v="Cash"/>
    <s v="Bank"/>
    <m/>
  </r>
  <r>
    <x v="17"/>
    <s v="Parts"/>
    <n v="1100"/>
    <m/>
    <m/>
    <s v="Bank"/>
    <m/>
  </r>
  <r>
    <x v="17"/>
    <s v="rashan"/>
    <n v="30000"/>
    <m/>
    <s v="Atta"/>
    <s v="Bank"/>
    <m/>
  </r>
  <r>
    <x v="17"/>
    <s v="Parts"/>
    <n v="1800"/>
    <m/>
    <m/>
    <s v="Bank"/>
    <m/>
  </r>
  <r>
    <x v="17"/>
    <s v="Parts"/>
    <n v="550"/>
    <m/>
    <m/>
    <s v="Bank"/>
    <m/>
  </r>
  <r>
    <x v="17"/>
    <s v="Transport"/>
    <n v="950"/>
    <m/>
    <m/>
    <s v="Bank"/>
    <m/>
  </r>
  <r>
    <x v="17"/>
    <s v="Aslam Multani"/>
    <n v="48800"/>
    <m/>
    <s v="TID:349095"/>
    <s v="Bank"/>
    <m/>
  </r>
  <r>
    <x v="17"/>
    <s v="Ubaidullah"/>
    <m/>
    <n v="123800"/>
    <m/>
    <s v="Bank"/>
    <m/>
  </r>
  <r>
    <x v="17"/>
    <s v="Arb Dasti"/>
    <m/>
    <n v="48800"/>
    <s v="Aslam multani"/>
    <s v="Bank"/>
    <m/>
  </r>
  <r>
    <x v="17"/>
    <s v="Arb Dasti"/>
    <n v="123800"/>
    <m/>
    <s v="Ubaid"/>
    <s v="Bank"/>
    <m/>
  </r>
  <r>
    <x v="18"/>
    <s v="advance salary"/>
    <n v="75000"/>
    <m/>
    <s v="Master tanveer"/>
    <s v="Bank"/>
    <m/>
  </r>
  <r>
    <x v="18"/>
    <s v="Arb Dasti"/>
    <m/>
    <n v="75000"/>
    <s v="Advance master tanveer"/>
    <s v="Bank"/>
    <m/>
  </r>
  <r>
    <x v="18"/>
    <s v="Finish"/>
    <n v="31000"/>
    <m/>
    <s v="Starch"/>
    <s v="Bank"/>
    <m/>
  </r>
  <r>
    <x v="18"/>
    <s v="Arb Dasti"/>
    <m/>
    <n v="31000"/>
    <s v="starch"/>
    <s v="Bank"/>
    <m/>
  </r>
  <r>
    <x v="18"/>
    <s v="Arb Dasti"/>
    <m/>
    <n v="48500"/>
    <s v="MZ karaya"/>
    <s v="Bank"/>
    <m/>
  </r>
  <r>
    <x v="18"/>
    <s v="Malik Zaheer"/>
    <n v="48500"/>
    <m/>
    <s v="Freight"/>
    <s v="Bank"/>
    <m/>
  </r>
  <r>
    <x v="18"/>
    <s v="Dasti"/>
    <n v="3000"/>
    <m/>
    <s v="mama"/>
    <s v="Bank"/>
    <m/>
  </r>
  <r>
    <x v="18"/>
    <s v="Haroon wood"/>
    <n v="25000"/>
    <m/>
    <s v="Freight"/>
    <s v="Bank"/>
    <m/>
  </r>
  <r>
    <x v="18"/>
    <s v="misc"/>
    <n v="480"/>
    <m/>
    <s v="tape"/>
    <s v="Bank"/>
    <m/>
  </r>
  <r>
    <x v="18"/>
    <s v="Dasti"/>
    <n v="4000"/>
    <s v=" "/>
    <s v="hooria laptop"/>
    <s v="Bank"/>
    <m/>
  </r>
  <r>
    <x v="18"/>
    <s v="Parts"/>
    <n v="5400"/>
    <m/>
    <s v="lights x3"/>
    <s v="Bank"/>
    <m/>
  </r>
  <r>
    <x v="19"/>
    <s v="Transport"/>
    <n v="7014"/>
    <m/>
    <s v="petrol 464"/>
    <m/>
    <m/>
  </r>
  <r>
    <x v="19"/>
    <s v="Arb Dasti"/>
    <m/>
    <n v="15000"/>
    <s v="TID:456265"/>
    <s v="Bank"/>
    <m/>
  </r>
  <r>
    <x v="19"/>
    <s v="omer"/>
    <m/>
    <n v="8800"/>
    <s v="abd laptop"/>
    <s v="Bank"/>
    <m/>
  </r>
  <r>
    <x v="19"/>
    <s v="Dasti"/>
    <n v="8800"/>
    <m/>
    <s v="abd laptop"/>
    <s v="Bank"/>
    <m/>
  </r>
  <r>
    <x v="19"/>
    <s v="Arb Dasti"/>
    <m/>
    <n v="50000"/>
    <s v="TID:959052"/>
    <s v="Bank"/>
    <m/>
  </r>
  <r>
    <x v="19"/>
    <s v="advance salary"/>
    <n v="50000"/>
    <m/>
    <s v="Ghulam Abbas"/>
    <s v="Bank"/>
    <m/>
  </r>
  <r>
    <x v="19"/>
    <s v="Parts"/>
    <n v="4000"/>
    <m/>
    <m/>
    <s v="Bank"/>
    <m/>
  </r>
  <r>
    <x v="19"/>
    <s v="Arb Dasti"/>
    <m/>
    <n v="50000"/>
    <s v="TID:908223"/>
    <s v="Bank"/>
    <m/>
  </r>
  <r>
    <x v="19"/>
    <s v="Finish"/>
    <n v="31200"/>
    <m/>
    <s v="Starch"/>
    <s v="Bank"/>
    <m/>
  </r>
  <r>
    <x v="19"/>
    <s v="rashan"/>
    <n v="19685"/>
    <m/>
    <m/>
    <s v="Bank"/>
    <m/>
  </r>
  <r>
    <x v="19"/>
    <s v="Transport"/>
    <n v="600"/>
    <m/>
    <s v="karaya"/>
    <s v="Bank"/>
    <m/>
  </r>
  <r>
    <x v="19"/>
    <s v="Arb Dasti"/>
    <m/>
    <n v="280000"/>
    <s v="TID:740139"/>
    <s v="Bank"/>
    <m/>
  </r>
  <r>
    <x v="19"/>
    <s v="Kaleem ullah"/>
    <n v="150000"/>
    <m/>
    <s v="TID:673380"/>
    <s v="Bank"/>
    <m/>
  </r>
  <r>
    <x v="19"/>
    <s v="irfan punjabi"/>
    <n v="100000"/>
    <m/>
    <s v="TID:836616"/>
    <s v="Bank"/>
    <m/>
  </r>
  <r>
    <x v="19"/>
    <s v="Dasti"/>
    <n v="20000"/>
    <m/>
    <s v="Ashfaq sahab ID fan"/>
    <s v="Bank"/>
    <m/>
  </r>
  <r>
    <x v="19"/>
    <s v="advance salary"/>
    <n v="10000"/>
    <m/>
    <s v="Khubaib"/>
    <s v="Bank"/>
    <m/>
  </r>
  <r>
    <x v="19"/>
    <s v="Transport"/>
    <n v="4226"/>
    <m/>
    <s v="Faizan"/>
    <s v="Bank"/>
    <m/>
  </r>
  <r>
    <x v="19"/>
    <s v="Faizan kamoki"/>
    <m/>
    <n v="4226"/>
    <s v="Transport"/>
    <s v="Bank"/>
    <m/>
  </r>
  <r>
    <x v="20"/>
    <s v="Faizan kamoki"/>
    <m/>
    <n v="1000000"/>
    <s v="TID:942506"/>
    <s v="Bank"/>
    <m/>
  </r>
  <r>
    <x v="20"/>
    <s v="Parts"/>
    <n v="4000"/>
    <m/>
    <m/>
    <s v="Bank"/>
    <m/>
  </r>
  <r>
    <x v="20"/>
    <s v="Electricity"/>
    <n v="923841"/>
    <m/>
    <s v="March bill"/>
    <s v="Bank"/>
    <m/>
  </r>
  <r>
    <x v="20"/>
    <s v="Parts"/>
    <n v="1560"/>
    <m/>
    <s v="nuts"/>
    <s v="Bank"/>
    <m/>
  </r>
  <r>
    <x v="20"/>
    <s v="Parts"/>
    <n v="3700"/>
    <m/>
    <s v="nuts"/>
    <s v="Bank"/>
    <m/>
  </r>
  <r>
    <x v="20"/>
    <s v="Parts"/>
    <n v="2350"/>
    <m/>
    <s v="ball valves"/>
    <s v="Bank"/>
    <m/>
  </r>
  <r>
    <x v="20"/>
    <s v="shengtai"/>
    <n v="50000"/>
    <m/>
    <s v="Cash reciept#493"/>
    <s v="Bank"/>
    <m/>
  </r>
  <r>
    <x v="20"/>
    <s v="Arb Dasti"/>
    <m/>
    <n v="50000"/>
    <s v="Shengtai"/>
    <s v="Bank"/>
    <m/>
  </r>
  <r>
    <x v="20"/>
    <s v="advance salary"/>
    <n v="25000"/>
    <m/>
    <s v="Tanveer sb"/>
    <s v="Bank"/>
    <m/>
  </r>
  <r>
    <x v="20"/>
    <s v="Arb Dasti"/>
    <m/>
    <n v="800000"/>
    <s v="Cash"/>
    <s v="Bank"/>
    <m/>
  </r>
  <r>
    <x v="20"/>
    <s v="Hafiz qureshi"/>
    <m/>
    <n v="100000"/>
    <s v="Cash"/>
    <s v="Bank"/>
    <m/>
  </r>
  <r>
    <x v="20"/>
    <s v="KK fabrics"/>
    <m/>
    <n v="287000"/>
    <s v="Cash"/>
    <s v="Bank"/>
    <m/>
  </r>
  <r>
    <x v="20"/>
    <s v="Arb Dasti"/>
    <n v="387000"/>
    <m/>
    <s v="KK+HQ"/>
    <s v="Bank"/>
    <m/>
  </r>
  <r>
    <x v="20"/>
    <s v="salary"/>
    <n v="495910"/>
    <m/>
    <s v="General"/>
    <s v="Bank"/>
    <m/>
  </r>
  <r>
    <x v="20"/>
    <s v="salary"/>
    <n v="45000"/>
    <m/>
    <s v="khalid sahab"/>
    <s v="Bank"/>
    <m/>
  </r>
  <r>
    <x v="21"/>
    <s v="Arb Dasti"/>
    <m/>
    <n v="100000"/>
    <s v="TID:189620"/>
    <s v="Bank"/>
    <m/>
  </r>
  <r>
    <x v="21"/>
    <s v="madina dyes"/>
    <n v="136375"/>
    <m/>
    <d v="2026-04-11T00:00:00"/>
    <s v="Bank"/>
    <m/>
  </r>
  <r>
    <x v="21"/>
    <s v="Arb Dasti"/>
    <m/>
    <n v="300000"/>
    <s v="TID:587339"/>
    <s v="Bank"/>
    <m/>
  </r>
  <r>
    <x v="21"/>
    <s v="Malik Zaheer"/>
    <n v="200000"/>
    <m/>
    <s v="TID:136539"/>
    <s v="Bank"/>
    <m/>
  </r>
  <r>
    <x v="21"/>
    <s v="irfan punjabi"/>
    <n v="100000"/>
    <m/>
    <s v="TID:104141"/>
    <s v="Bank"/>
    <m/>
  </r>
  <r>
    <x v="21"/>
    <s v="Arb Dasti"/>
    <m/>
    <n v="17000"/>
    <s v="jazzcash"/>
    <s v="Bank"/>
    <m/>
  </r>
  <r>
    <x v="21"/>
    <s v="salary"/>
    <n v="16000"/>
    <m/>
    <s v="Ashraf Guard"/>
    <s v="Bank"/>
    <m/>
  </r>
  <r>
    <x v="21"/>
    <s v="Dyes"/>
    <n v="60000"/>
    <m/>
    <s v="H3R x2"/>
    <s v="Bank"/>
    <m/>
  </r>
  <r>
    <x v="21"/>
    <s v="Arb Dasti"/>
    <m/>
    <n v="60000"/>
    <s v="H3R x2"/>
    <s v="Bank"/>
    <m/>
  </r>
  <r>
    <x v="21"/>
    <s v="Parts"/>
    <n v="2400"/>
    <m/>
    <s v="generator meter"/>
    <s v="Bank"/>
    <m/>
  </r>
  <r>
    <x v="21"/>
    <s v="Transport"/>
    <n v="10000"/>
    <m/>
    <s v="5k+5k 464"/>
    <s v="Bank"/>
    <m/>
  </r>
  <r>
    <x v="21"/>
    <s v="misc"/>
    <n v="400"/>
    <m/>
    <s v="carborator"/>
    <s v="Bank"/>
    <m/>
  </r>
  <r>
    <x v="21"/>
    <s v="misc"/>
    <n v="1050"/>
    <m/>
    <s v="dori"/>
    <s v="Bank"/>
    <m/>
  </r>
  <r>
    <x v="21"/>
    <s v="Aslam Multani"/>
    <n v="6000"/>
    <m/>
    <s v="unloading"/>
    <s v="Bank"/>
    <m/>
  </r>
  <r>
    <x v="21"/>
    <s v="Kaleem ullah"/>
    <n v="2000"/>
    <m/>
    <s v="unloading"/>
    <s v="Bank"/>
    <m/>
  </r>
  <r>
    <x v="21"/>
    <s v="irfan punjabi"/>
    <n v="2000"/>
    <m/>
    <s v="unloading"/>
    <s v="Bank"/>
    <m/>
  </r>
  <r>
    <x v="21"/>
    <s v="Malik Zaheer"/>
    <n v="1000"/>
    <m/>
    <s v="unloading"/>
    <s v="Bank"/>
    <m/>
  </r>
  <r>
    <x v="21"/>
    <s v="Haroon wood"/>
    <n v="1000"/>
    <m/>
    <s v="unloading"/>
    <s v="Bank"/>
    <m/>
  </r>
  <r>
    <x v="22"/>
    <s v="Arb Dasti"/>
    <m/>
    <n v="30000"/>
    <s v="Haroon wood"/>
    <s v="Bank"/>
    <m/>
  </r>
  <r>
    <x v="22"/>
    <s v="Haroon wood"/>
    <n v="30000"/>
    <m/>
    <s v="Freight"/>
    <s v="Bank"/>
    <m/>
  </r>
  <r>
    <x v="22"/>
    <s v="Parts"/>
    <n v="2100"/>
    <m/>
    <s v="bearings"/>
    <s v="Bank"/>
    <m/>
  </r>
  <r>
    <x v="22"/>
    <s v="Parts"/>
    <n v="2600"/>
    <m/>
    <s v="seals"/>
    <s v="Bank"/>
    <m/>
  </r>
  <r>
    <x v="22"/>
    <s v="Parts"/>
    <n v="550"/>
    <m/>
    <s v="nut kablay"/>
    <s v="Bank"/>
    <m/>
  </r>
  <r>
    <x v="22"/>
    <s v="madina dyes"/>
    <n v="30000"/>
    <m/>
    <s v="Rubine B"/>
    <s v="Bank"/>
    <m/>
  </r>
  <r>
    <x v="22"/>
    <s v="Arb Dasti"/>
    <m/>
    <n v="142000"/>
    <s v="TID:015229"/>
    <s v="Bank"/>
    <m/>
  </r>
  <r>
    <x v="22"/>
    <s v="irfan punjabi"/>
    <n v="100000"/>
    <m/>
    <s v="TID:353370"/>
    <s v="Bank"/>
    <m/>
  </r>
  <r>
    <x v="22"/>
    <s v="salary"/>
    <n v="43000"/>
    <m/>
    <s v="Ashfaq sahab boiler theka"/>
    <s v="Bank"/>
    <m/>
  </r>
  <r>
    <x v="22"/>
    <s v="omer"/>
    <n v="2923"/>
    <m/>
    <m/>
    <s v="Bank"/>
    <m/>
  </r>
  <r>
    <x v="22"/>
    <s v="Parts"/>
    <n v="21312"/>
    <m/>
    <s v="30L x2"/>
    <s v="Bank"/>
    <m/>
  </r>
  <r>
    <x v="22"/>
    <s v="Malik Zaheer"/>
    <n v="70000"/>
    <m/>
    <s v="Freight"/>
    <s v="Bank"/>
    <m/>
  </r>
  <r>
    <x v="22"/>
    <s v="advance salary"/>
    <n v="50000"/>
    <m/>
    <s v="Waqas ADM"/>
    <s v="Bank"/>
    <m/>
  </r>
  <r>
    <x v="22"/>
    <s v="advance salary"/>
    <n v="20000"/>
    <m/>
    <s v="Tanveer sb"/>
    <s v="Bank"/>
    <m/>
  </r>
  <r>
    <x v="22"/>
    <s v="Transport"/>
    <n v="5000"/>
    <m/>
    <s v="kora karaya"/>
    <s v="Bank"/>
    <m/>
  </r>
  <r>
    <x v="22"/>
    <s v="Parts"/>
    <n v="5500"/>
    <m/>
    <s v="Fans x3 + capacitors"/>
    <s v="Bank"/>
    <m/>
  </r>
  <r>
    <x v="22"/>
    <s v="Dasti"/>
    <n v="645"/>
    <m/>
    <s v="groccery overcharge"/>
    <s v="Bank"/>
    <m/>
  </r>
  <r>
    <x v="22"/>
    <s v="Faizan kamoki"/>
    <m/>
    <n v="4414"/>
    <s v="Transport"/>
    <s v="Bank"/>
    <m/>
  </r>
  <r>
    <x v="22"/>
    <s v="Transport"/>
    <n v="4414"/>
    <m/>
    <s v="Faizan transport"/>
    <s v="Bank"/>
    <m/>
  </r>
  <r>
    <x v="23"/>
    <s v="omer"/>
    <n v="1133"/>
    <m/>
    <m/>
    <s v="Bank"/>
    <m/>
  </r>
  <r>
    <x v="23"/>
    <s v="Arb Dasti"/>
    <m/>
    <n v="47400"/>
    <s v="starch"/>
    <s v="Bank"/>
    <m/>
  </r>
  <r>
    <x v="23"/>
    <s v="Finish"/>
    <n v="47400"/>
    <m/>
    <s v="starch"/>
    <s v="Bank"/>
    <m/>
  </r>
  <r>
    <x v="23"/>
    <s v="Parts"/>
    <n v="32000"/>
    <m/>
    <s v="Kluber"/>
    <s v="Bank"/>
    <m/>
  </r>
  <r>
    <x v="23"/>
    <s v="Arb Dasti"/>
    <m/>
    <n v="32000"/>
    <s v="Kluber"/>
    <s v="Bank"/>
    <m/>
  </r>
  <r>
    <x v="23"/>
    <s v="Parts"/>
    <n v="10656"/>
    <m/>
    <s v="Diesel"/>
    <s v="Bank"/>
    <m/>
  </r>
  <r>
    <x v="24"/>
    <s v="misc"/>
    <n v="400"/>
    <m/>
    <s v="chalk"/>
    <s v="Bank"/>
    <m/>
  </r>
  <r>
    <x v="24"/>
    <s v="Parts"/>
    <n v="690"/>
    <m/>
    <s v="bulbs"/>
    <s v="Bank"/>
    <m/>
  </r>
  <r>
    <x v="24"/>
    <s v="omer"/>
    <m/>
    <n v="600"/>
    <m/>
    <s v="Bank"/>
    <m/>
  </r>
  <r>
    <x v="24"/>
    <s v="advance salary"/>
    <n v="3000"/>
    <m/>
    <s v="Khubaib"/>
    <s v="Bank"/>
    <m/>
  </r>
  <r>
    <x v="24"/>
    <s v="Arb Dasti"/>
    <m/>
    <n v="8000"/>
    <s v="jc"/>
    <s v="Bank"/>
    <m/>
  </r>
  <r>
    <x v="24"/>
    <s v="Arb Dasti"/>
    <m/>
    <n v="147000"/>
    <s v="TID:920574"/>
    <s v="Bank"/>
    <m/>
  </r>
  <r>
    <x v="24"/>
    <s v="Finish"/>
    <n v="55000"/>
    <m/>
    <s v="Starch"/>
    <s v="Bank"/>
    <m/>
  </r>
  <r>
    <x v="24"/>
    <s v="irfan punjabi"/>
    <n v="100000"/>
    <m/>
    <s v="TID:831830"/>
    <s v="Bank"/>
    <m/>
  </r>
  <r>
    <x v="24"/>
    <s v="Dasti"/>
    <n v="8000"/>
    <m/>
    <s v="697 chaabi"/>
    <s v="Bank"/>
    <m/>
  </r>
  <r>
    <x v="24"/>
    <s v="Arb Dasti"/>
    <m/>
    <n v="10000"/>
    <s v="TID:499789"/>
    <s v="Bank"/>
    <m/>
  </r>
  <r>
    <x v="24"/>
    <s v="Arshad"/>
    <m/>
    <n v="98000"/>
    <s v="TID:954169"/>
    <s v="Bank"/>
    <m/>
  </r>
  <r>
    <x v="24"/>
    <s v="advance salary"/>
    <n v="10000"/>
    <m/>
    <s v="Tanveer sb"/>
    <s v="Bank"/>
    <m/>
  </r>
  <r>
    <x v="24"/>
    <s v="Parts"/>
    <n v="10656"/>
    <m/>
    <s v="Diesel"/>
    <s v="Bank"/>
    <m/>
  </r>
  <r>
    <x v="24"/>
    <s v="Malik Zaheer"/>
    <n v="75000"/>
    <m/>
    <s v="TID:152359"/>
    <s v="Bank"/>
    <m/>
  </r>
  <r>
    <x v="24"/>
    <s v="madina dyes"/>
    <n v="18000"/>
    <m/>
    <s v="Bp26"/>
    <s v="Bank"/>
    <m/>
  </r>
  <r>
    <x v="24"/>
    <s v="Arb Dasti"/>
    <m/>
    <n v="18000"/>
    <s v="Bp26"/>
    <s v="Bank"/>
    <m/>
  </r>
  <r>
    <x v="25"/>
    <s v="Parts"/>
    <n v="11456"/>
    <m/>
    <s v="Diesel//paid 27/4"/>
    <s v="Bank"/>
    <m/>
  </r>
  <r>
    <x v="26"/>
    <s v="Unicolour"/>
    <n v="200000"/>
    <m/>
    <s v="125k bank + 75k cash"/>
    <s v="Bank"/>
    <m/>
  </r>
  <r>
    <x v="26"/>
    <s v="Arb Dasti"/>
    <m/>
    <n v="200000"/>
    <s v="Unicolour"/>
    <s v="Bank"/>
    <m/>
  </r>
  <r>
    <x v="26"/>
    <s v="Hafiz qureshi"/>
    <m/>
    <n v="86594"/>
    <s v="TID:217686"/>
    <s v="Bank"/>
    <m/>
  </r>
  <r>
    <x v="26"/>
    <s v="Arb Dasti"/>
    <n v="86594"/>
    <m/>
    <s v="Hafiz qureshi"/>
    <s v="Bank"/>
    <m/>
  </r>
  <r>
    <x v="26"/>
    <s v="Parts"/>
    <n v="6200"/>
    <m/>
    <s v="Exhaust 10'"/>
    <s v="Bank"/>
    <m/>
  </r>
  <r>
    <x v="26"/>
    <s v="Arb Dasti"/>
    <m/>
    <n v="6200"/>
    <s v="Exhaust 10'"/>
    <s v="Bank"/>
    <m/>
  </r>
  <r>
    <x v="26"/>
    <s v="Transport"/>
    <n v="1500"/>
    <m/>
    <m/>
    <s v="Bank"/>
    <m/>
  </r>
  <r>
    <x v="26"/>
    <s v="Parts"/>
    <n v="1460"/>
    <m/>
    <s v="exhaust 4'"/>
    <s v="Bank"/>
    <m/>
  </r>
  <r>
    <x v="26"/>
    <s v="Arb Dasti"/>
    <m/>
    <n v="7000"/>
    <s v="jazzcash"/>
    <s v="Bank"/>
    <m/>
  </r>
  <r>
    <x v="26"/>
    <s v="Transport"/>
    <n v="2500"/>
    <m/>
    <s v="Dyes karaya"/>
    <s v="Bank"/>
    <m/>
  </r>
  <r>
    <x v="26"/>
    <s v="Transport"/>
    <n v="4500"/>
    <m/>
    <s v="loom dhaga karaya"/>
    <s v="Bank"/>
    <m/>
  </r>
  <r>
    <x v="26"/>
    <s v="Transport"/>
    <n v="5000"/>
    <m/>
    <s v="petrol 464"/>
    <s v="Bank"/>
    <m/>
  </r>
  <r>
    <x v="26"/>
    <s v="omer"/>
    <n v="1350"/>
    <m/>
    <m/>
    <s v="Bank"/>
    <m/>
  </r>
  <r>
    <x v="26"/>
    <s v="Faizan kamoki"/>
    <m/>
    <n v="3927"/>
    <s v="Transport"/>
    <s v="Bank"/>
    <m/>
  </r>
  <r>
    <x v="26"/>
    <s v="Transport"/>
    <n v="3927"/>
    <m/>
    <m/>
    <s v="Bank"/>
    <m/>
  </r>
  <r>
    <x v="27"/>
    <s v="Arb Dasti"/>
    <m/>
    <n v="50000"/>
    <s v="TID:375442"/>
    <s v="Bank"/>
    <m/>
  </r>
  <r>
    <x v="27"/>
    <s v="Finish"/>
    <n v="39000"/>
    <m/>
    <s v="starch"/>
    <s v="Bank"/>
    <m/>
  </r>
  <r>
    <x v="27"/>
    <s v="Transport"/>
    <n v="600"/>
    <m/>
    <s v="raksha"/>
    <s v="Bank"/>
    <m/>
  </r>
  <r>
    <x v="27"/>
    <s v="Parts"/>
    <n v="190"/>
    <m/>
    <m/>
    <s v="Bank"/>
    <m/>
  </r>
  <r>
    <x v="27"/>
    <s v="Parts"/>
    <n v="950"/>
    <m/>
    <s v="oil"/>
    <s v="Bank"/>
    <m/>
  </r>
  <r>
    <x v="27"/>
    <s v="Arb Dasti"/>
    <m/>
    <n v="60000"/>
    <s v="TID:838126"/>
    <s v="Bank"/>
    <m/>
  </r>
  <r>
    <x v="27"/>
    <s v="Parts"/>
    <n v="500"/>
    <m/>
    <m/>
    <s v="Bank"/>
    <m/>
  </r>
  <r>
    <x v="27"/>
    <s v="advance salary"/>
    <n v="60000"/>
    <m/>
    <s v="Ghulam Abbas"/>
    <s v="Bank"/>
    <m/>
  </r>
  <r>
    <x v="27"/>
    <s v="advance salary"/>
    <n v="5000"/>
    <m/>
    <s v="khalid sahab"/>
    <s v="Bank"/>
    <m/>
  </r>
  <r>
    <x v="28"/>
    <s v="misc"/>
    <n v="800"/>
    <m/>
    <m/>
    <s v="Bank"/>
    <m/>
  </r>
  <r>
    <x v="28"/>
    <s v="Parts"/>
    <n v="34369"/>
    <m/>
    <s v="Diesel 90l"/>
    <s v="Bank"/>
    <m/>
  </r>
  <r>
    <x v="28"/>
    <s v="Arb Dasti"/>
    <m/>
    <n v="40000"/>
    <s v="bank deposit"/>
    <s v="Bank"/>
    <m/>
  </r>
  <r>
    <x v="28"/>
    <s v="Arb Dasti"/>
    <m/>
    <n v="200000"/>
    <s v="TID:827936"/>
    <s v="Bank"/>
    <m/>
  </r>
  <r>
    <x v="28"/>
    <s v="Malik Zaheer"/>
    <n v="200500"/>
    <m/>
    <s v="TID:402179"/>
    <s v="Bank"/>
    <m/>
  </r>
  <r>
    <x v="28"/>
    <s v="Arb Dasti"/>
    <m/>
    <n v="300000"/>
    <s v="TID:630862"/>
    <s v="Bank"/>
    <m/>
  </r>
  <r>
    <x v="28"/>
    <s v="irfan punjabi"/>
    <n v="150000"/>
    <m/>
    <s v="TID:386282"/>
    <s v="Bank"/>
    <m/>
  </r>
  <r>
    <x v="28"/>
    <s v="Aslam Multani"/>
    <n v="150000"/>
    <m/>
    <s v="TID:180942"/>
    <s v="Bank"/>
    <m/>
  </r>
  <r>
    <x v="28"/>
    <s v="azhar pva"/>
    <n v="3000"/>
    <m/>
    <s v="transport"/>
    <s v="Bank"/>
    <m/>
  </r>
  <r>
    <x v="28"/>
    <s v="rashan"/>
    <n v="5000"/>
    <m/>
    <m/>
    <s v="Bank"/>
    <m/>
  </r>
  <r>
    <x v="28"/>
    <s v="Parts"/>
    <n v="600"/>
    <m/>
    <m/>
    <s v="Bank"/>
    <m/>
  </r>
  <r>
    <x v="28"/>
    <s v="Arb Dasti"/>
    <m/>
    <n v="176000"/>
    <s v="TID:906536"/>
    <s v="Bank"/>
    <m/>
  </r>
  <r>
    <x v="28"/>
    <s v="aurangzeb wood"/>
    <n v="26000"/>
    <m/>
    <s v="Freight"/>
    <s v="Bank"/>
    <m/>
  </r>
  <r>
    <x v="28"/>
    <s v="Kaleem ullah"/>
    <n v="150000"/>
    <m/>
    <s v="TID:533530"/>
    <s v="Bank"/>
    <m/>
  </r>
  <r>
    <x v="28"/>
    <s v="Arb Dasti"/>
    <m/>
    <n v="20000"/>
    <s v="TID:597402"/>
    <s v="Bank"/>
    <m/>
  </r>
  <r>
    <x v="28"/>
    <s v="salary"/>
    <n v="10000"/>
    <m/>
    <s v="Naeem elec"/>
    <s v="Bank"/>
    <m/>
  </r>
  <r>
    <x v="29"/>
    <s v="Parts"/>
    <n v="590"/>
    <m/>
    <m/>
    <s v="Bank"/>
    <m/>
  </r>
  <r>
    <x v="29"/>
    <s v="Arb Dasti"/>
    <m/>
    <n v="12500"/>
    <s v="khalid sahab"/>
    <s v="Bank"/>
    <m/>
  </r>
  <r>
    <x v="29"/>
    <s v="misc"/>
    <n v="12500"/>
    <m/>
    <s v="khalid sahab"/>
    <s v="Bank"/>
    <m/>
  </r>
  <r>
    <x v="29"/>
    <s v="Dasti"/>
    <n v="12000"/>
    <m/>
    <s v="AC repair// mahir"/>
    <s v="Bank"/>
    <m/>
  </r>
  <r>
    <x v="29"/>
    <s v="Shahid qasayi"/>
    <m/>
    <n v="100000"/>
    <s v="cash"/>
    <s v="Bank"/>
    <m/>
  </r>
  <r>
    <x v="29"/>
    <s v="Malik Zaheer"/>
    <n v="82600"/>
    <m/>
    <s v="Freight"/>
    <s v="Bank"/>
    <m/>
  </r>
  <r>
    <x v="29"/>
    <s v="Arb Dasti"/>
    <m/>
    <n v="715000"/>
    <s v="Cash"/>
    <s v="Bank"/>
    <m/>
  </r>
  <r>
    <x v="29"/>
    <s v="salary"/>
    <n v="16000"/>
    <m/>
    <s v="Ashraf Guard"/>
    <s v="Bank"/>
    <m/>
  </r>
  <r>
    <x v="30"/>
    <s v="Transport"/>
    <n v="1500"/>
    <m/>
    <m/>
    <s v="Bank"/>
    <m/>
  </r>
  <r>
    <x v="30"/>
    <s v="Transport"/>
    <n v="14000"/>
    <m/>
    <s v="petrol 464"/>
    <s v="Bank"/>
    <m/>
  </r>
  <r>
    <x v="30"/>
    <s v="misc"/>
    <n v="2000"/>
    <m/>
    <s v="load khalid sb"/>
    <s v="Bank"/>
    <m/>
  </r>
  <r>
    <x v="30"/>
    <s v="Arb Dasti"/>
    <m/>
    <n v="42000"/>
    <s v="JC"/>
    <s v="Bank"/>
    <m/>
  </r>
  <r>
    <x v="30"/>
    <s v="Dasti"/>
    <n v="43000"/>
    <m/>
    <s v="AZM Ac repair"/>
    <s v="Bank"/>
    <m/>
  </r>
  <r>
    <x v="30"/>
    <s v="salary"/>
    <n v="15000"/>
    <m/>
    <s v="shoaib"/>
    <s v="Bank"/>
    <m/>
  </r>
  <r>
    <x v="30"/>
    <s v="Arb Dasti"/>
    <m/>
    <n v="30000"/>
    <s v="TID:709631"/>
    <s v="Bank"/>
    <m/>
  </r>
  <r>
    <x v="30"/>
    <s v="Finish"/>
    <n v="39000"/>
    <m/>
    <s v="Starch"/>
    <s v="Bank"/>
    <m/>
  </r>
  <r>
    <x v="30"/>
    <s v="Transport"/>
    <n v="600"/>
    <m/>
    <m/>
    <s v="Bank"/>
    <m/>
  </r>
  <r>
    <x v="30"/>
    <s v="Shahid qasayi"/>
    <m/>
    <n v="100000"/>
    <s v="Reciept #807"/>
    <s v="Bank"/>
    <m/>
  </r>
  <r>
    <x v="30"/>
    <s v="Malik Zaheer"/>
    <n v="60900"/>
    <m/>
    <s v="Freight"/>
    <s v="Bank"/>
    <m/>
  </r>
  <r>
    <x v="31"/>
    <s v="Faizan kamoki"/>
    <m/>
    <n v="800000"/>
    <s v="TID:561868"/>
    <s v="Bank"/>
    <m/>
  </r>
  <r>
    <x v="31"/>
    <s v="Parts"/>
    <n v="4500"/>
    <m/>
    <s v="bearings"/>
    <s v="Bank"/>
    <m/>
  </r>
  <r>
    <x v="31"/>
    <s v="madina dyes"/>
    <n v="56000"/>
    <m/>
    <s v="Black x2"/>
    <s v="Bank"/>
    <m/>
  </r>
  <r>
    <x v="31"/>
    <s v="Finish"/>
    <n v="48000"/>
    <m/>
    <s v="BP26+disp pdr"/>
    <s v="Bank"/>
    <m/>
  </r>
  <r>
    <x v="31"/>
    <s v="Finish"/>
    <n v="4400"/>
    <m/>
    <s v="NP9"/>
    <s v="Bank"/>
    <m/>
  </r>
  <r>
    <x v="31"/>
    <s v="Parts"/>
    <n v="10620"/>
    <m/>
    <s v="Silai cones x18"/>
    <s v="Bank"/>
    <m/>
  </r>
  <r>
    <x v="31"/>
    <s v="Malik Zaheer"/>
    <n v="200500"/>
    <m/>
    <s v="TID:568913"/>
    <s v="Bank"/>
    <m/>
  </r>
  <r>
    <x v="31"/>
    <s v="Malik Zaheer"/>
    <n v="4000"/>
    <m/>
    <s v="unloading"/>
    <s v="Bank"/>
    <m/>
  </r>
  <r>
    <x v="31"/>
    <s v="aurangzeb wood"/>
    <n v="1000"/>
    <m/>
    <s v="unloading"/>
    <s v="Bank"/>
    <m/>
  </r>
  <r>
    <x v="31"/>
    <s v="Haroon wood"/>
    <n v="1000"/>
    <m/>
    <s v="unloading"/>
    <s v="Bank"/>
    <m/>
  </r>
  <r>
    <x v="31"/>
    <s v="irfan punjabi"/>
    <n v="2000"/>
    <m/>
    <s v="unloading"/>
    <s v="Bank"/>
    <m/>
  </r>
  <r>
    <x v="31"/>
    <s v="salary"/>
    <n v="27600"/>
    <m/>
    <s v="Tanveer sb"/>
    <s v="Bank"/>
    <m/>
  </r>
  <r>
    <x v="31"/>
    <s v="salary"/>
    <n v="1019630"/>
    <m/>
    <s v="General"/>
    <s v="Bank"/>
    <m/>
  </r>
  <r>
    <x v="31"/>
    <s v="Arb Dasti"/>
    <n v="500000"/>
    <m/>
    <s v="TID:355856"/>
    <s v="Bank"/>
    <m/>
  </r>
  <r>
    <x v="31"/>
    <s v="Arb Dasti"/>
    <m/>
    <n v="400000"/>
    <s v="Cash"/>
    <s v="Bank"/>
    <m/>
  </r>
  <r>
    <x v="32"/>
    <s v="Parts"/>
    <n v="1160"/>
    <m/>
    <s v="copper"/>
    <s v="Bank"/>
    <m/>
  </r>
  <r>
    <x v="32"/>
    <s v="Parts"/>
    <n v="10200"/>
    <m/>
    <s v="bearings"/>
    <s v="Bank"/>
    <m/>
  </r>
  <r>
    <x v="32"/>
    <s v="Arb Dasti"/>
    <m/>
    <n v="10200"/>
    <s v="bearings"/>
    <s v="Bank"/>
    <m/>
  </r>
  <r>
    <x v="32"/>
    <s v="Parts"/>
    <n v="10000"/>
    <m/>
    <s v="Diesel"/>
    <s v="Bank"/>
    <m/>
  </r>
  <r>
    <x v="32"/>
    <s v="Arb Dasti"/>
    <m/>
    <n v="10000"/>
    <s v="Diesel"/>
    <s v="Bank"/>
    <m/>
  </r>
  <r>
    <x v="32"/>
    <s v="omer"/>
    <n v="5610"/>
    <m/>
    <m/>
    <s v="Bank"/>
    <m/>
  </r>
  <r>
    <x v="33"/>
    <s v="omer"/>
    <n v="3370"/>
    <m/>
    <m/>
    <s v="Bank"/>
    <m/>
  </r>
  <r>
    <x v="33"/>
    <s v="loom ac"/>
    <n v="5000"/>
    <m/>
    <s v="abid master"/>
    <s v="Bank"/>
    <m/>
  </r>
  <r>
    <x v="33"/>
    <s v="Parts"/>
    <n v="52160"/>
    <m/>
    <s v="Diesel"/>
    <s v="Bank"/>
    <m/>
  </r>
  <r>
    <x v="33"/>
    <s v="Transport"/>
    <n v="2000"/>
    <m/>
    <s v="farhan gari"/>
    <s v="Bank"/>
    <m/>
  </r>
  <r>
    <x v="33"/>
    <s v="Transport"/>
    <n v="3000"/>
    <m/>
    <s v="4 pheray"/>
    <s v="Bank"/>
    <m/>
  </r>
  <r>
    <x v="33"/>
    <s v="Transport"/>
    <n v="5000"/>
    <m/>
    <s v="loom dhaga karaya"/>
    <s v="Bank"/>
    <m/>
  </r>
  <r>
    <x v="33"/>
    <s v="Parts"/>
    <n v="10000"/>
    <m/>
    <s v="degi plate"/>
    <s v="Bank"/>
    <m/>
  </r>
  <r>
    <x v="33"/>
    <s v="Ubaidullah"/>
    <m/>
    <n v="178000"/>
    <s v="Cash"/>
    <s v="Bank"/>
    <m/>
  </r>
  <r>
    <x v="33"/>
    <s v="Arshad"/>
    <m/>
    <n v="100000"/>
    <s v="UBL"/>
    <s v="Bank"/>
    <m/>
  </r>
  <r>
    <x v="33"/>
    <s v="Dasti"/>
    <n v="9000"/>
    <m/>
    <s v="AC repair// mahir"/>
    <s v="Bank"/>
    <m/>
  </r>
  <r>
    <x v="33"/>
    <s v="irfan punjabi"/>
    <n v="150000"/>
    <m/>
    <s v="TID:485743"/>
    <s v="Bank"/>
    <m/>
  </r>
  <r>
    <x v="33"/>
    <s v="rashan"/>
    <n v="18000"/>
    <m/>
    <s v="Rashan"/>
    <s v="Bank"/>
    <m/>
  </r>
  <r>
    <x v="33"/>
    <s v="Finish"/>
    <n v="39000"/>
    <m/>
    <s v="starch"/>
    <s v="Bank"/>
    <m/>
  </r>
  <r>
    <x v="33"/>
    <s v="Transport"/>
    <n v="700"/>
    <m/>
    <s v="karaya"/>
    <s v="Bank"/>
    <m/>
  </r>
  <r>
    <x v="33"/>
    <s v="ibraheem behraam"/>
    <m/>
    <n v="100000"/>
    <s v="cash"/>
    <s v="Bank"/>
    <m/>
  </r>
  <r>
    <x v="33"/>
    <s v="Parts"/>
    <n v="24080"/>
    <m/>
    <s v="Diesel"/>
    <s v="Bank"/>
    <m/>
  </r>
  <r>
    <x v="33"/>
    <s v="Yousaf wood"/>
    <n v="25000"/>
    <m/>
    <s v="Freight"/>
    <s v="Bank"/>
    <m/>
  </r>
  <r>
    <x v="33"/>
    <s v="Yousaf wood"/>
    <n v="24000"/>
    <m/>
    <s v="Freight"/>
    <s v="Bank"/>
    <m/>
  </r>
  <r>
    <x v="34"/>
    <s v="Malik Zaheer"/>
    <n v="105000"/>
    <m/>
    <s v="Freight"/>
    <s v="Bank"/>
    <m/>
  </r>
  <r>
    <x v="34"/>
    <s v="azhar pva"/>
    <n v="32000"/>
    <m/>
    <m/>
    <s v="Bank"/>
    <m/>
  </r>
  <r>
    <x v="34"/>
    <s v="ibraheem behraam"/>
    <m/>
    <n v="50000"/>
    <m/>
    <s v="Bank"/>
    <m/>
  </r>
  <r>
    <x v="34"/>
    <s v="misc"/>
    <n v="3000"/>
    <m/>
    <m/>
    <s v="Bank"/>
    <m/>
  </r>
  <r>
    <x v="34"/>
    <s v="Parts"/>
    <n v="300"/>
    <m/>
    <s v="inch tape"/>
    <s v="Bank"/>
    <m/>
  </r>
  <r>
    <x v="34"/>
    <s v="Transport"/>
    <n v="1606"/>
    <m/>
    <m/>
    <s v="Bank"/>
    <m/>
  </r>
  <r>
    <x v="34"/>
    <s v="Shahid qasayi"/>
    <m/>
    <n v="65000"/>
    <m/>
    <s v="Bank"/>
    <m/>
  </r>
  <r>
    <x v="34"/>
    <s v="Parts"/>
    <n v="1180"/>
    <m/>
    <m/>
    <s v="Bank"/>
    <m/>
  </r>
  <r>
    <x v="34"/>
    <s v="misc"/>
    <n v="15000"/>
    <m/>
    <s v="env"/>
    <s v="Bank"/>
    <m/>
  </r>
  <r>
    <x v="34"/>
    <s v="Building Acc"/>
    <n v="3600"/>
    <m/>
    <m/>
    <s v="Bank"/>
    <m/>
  </r>
  <r>
    <x v="34"/>
    <s v="Transport"/>
    <n v="600"/>
    <m/>
    <m/>
    <s v="Bank"/>
    <m/>
  </r>
  <r>
    <x v="34"/>
    <s v="misc"/>
    <n v="6800"/>
    <m/>
    <s v="khalid sb adjust"/>
    <s v="Bank"/>
    <m/>
  </r>
  <r>
    <x v="35"/>
    <s v="Ubaidullah"/>
    <m/>
    <n v="100000"/>
    <m/>
    <s v="Bank"/>
    <m/>
  </r>
  <r>
    <x v="35"/>
    <s v="Finish"/>
    <n v="58500"/>
    <m/>
    <s v="Starch x15"/>
    <s v="Bank"/>
    <m/>
  </r>
  <r>
    <x v="35"/>
    <s v="Parts"/>
    <n v="1200"/>
    <m/>
    <m/>
    <s v="Bank"/>
    <m/>
  </r>
  <r>
    <x v="35"/>
    <s v="Parts"/>
    <n v="4280"/>
    <m/>
    <m/>
    <s v="Bank"/>
    <m/>
  </r>
  <r>
    <x v="35"/>
    <s v="misc"/>
    <n v="550"/>
    <m/>
    <s v="stationary"/>
    <s v="Bank"/>
    <m/>
  </r>
  <r>
    <x v="35"/>
    <s v="Shahid qasayi"/>
    <m/>
    <n v="70000"/>
    <s v="Cash"/>
    <s v="Bank"/>
    <m/>
  </r>
  <r>
    <x v="35"/>
    <s v="Parts"/>
    <n v="2550"/>
    <m/>
    <s v="parts"/>
    <s v="Bank"/>
    <m/>
  </r>
  <r>
    <x v="35"/>
    <s v="misc"/>
    <n v="2600"/>
    <m/>
    <s v="package "/>
    <s v="Bank"/>
    <m/>
  </r>
  <r>
    <x v="35"/>
    <s v="aurangzeb wood"/>
    <n v="29500"/>
    <m/>
    <s v="Freight"/>
    <s v="Bank"/>
    <m/>
  </r>
  <r>
    <x v="35"/>
    <s v="Yousaf wood"/>
    <n v="28000"/>
    <m/>
    <s v="Freight"/>
    <s v="Bank"/>
    <m/>
  </r>
  <r>
    <x v="35"/>
    <s v="Arb Dasti"/>
    <m/>
    <n v="56632"/>
    <s v="pindi das"/>
    <s v="Bank"/>
    <m/>
  </r>
  <r>
    <x v="35"/>
    <s v="Arb Dasti"/>
    <m/>
    <n v="100000"/>
    <s v="BSc"/>
    <s v="Bank"/>
    <m/>
  </r>
  <r>
    <x v="35"/>
    <s v="Yousaf wood"/>
    <n v="150000"/>
    <m/>
    <s v="TID:373803"/>
    <s v="Bank"/>
    <m/>
  </r>
  <r>
    <x v="35"/>
    <s v="advance salary"/>
    <n v="5000"/>
    <m/>
    <s v="Khubaib"/>
    <s v="Bank"/>
    <m/>
  </r>
  <r>
    <x v="35"/>
    <s v="Shahid qasayi"/>
    <m/>
    <n v="30000"/>
    <m/>
    <s v="Bank"/>
    <m/>
  </r>
  <r>
    <x v="35"/>
    <s v="Arb Dasti"/>
    <n v="30000"/>
    <m/>
    <s v="Shahid qasai"/>
    <s v="Bank"/>
    <m/>
  </r>
  <r>
    <x v="36"/>
    <s v="Arb Dasti"/>
    <m/>
    <n v="55000"/>
    <m/>
    <s v="Bank"/>
    <m/>
  </r>
  <r>
    <x v="36"/>
    <s v="AS traders"/>
    <n v="55000"/>
    <m/>
    <s v="Bill Nill"/>
    <s v="Bank"/>
    <m/>
  </r>
  <r>
    <x v="36"/>
    <s v="Dasti"/>
    <n v="9000"/>
    <m/>
    <s v="Kora karaya"/>
    <s v="Bank"/>
    <m/>
  </r>
  <r>
    <x v="36"/>
    <s v="Arb Dasti"/>
    <m/>
    <n v="50000"/>
    <s v="Taha transfer"/>
    <s v="Bank"/>
    <m/>
  </r>
  <r>
    <x v="36"/>
    <s v="Yousaf wood"/>
    <n v="24500"/>
    <m/>
    <s v="Freight"/>
    <s v="Bank"/>
    <m/>
  </r>
  <r>
    <x v="36"/>
    <s v="Yousaf wood"/>
    <n v="25000"/>
    <m/>
    <s v="Freight"/>
    <s v="Bank"/>
    <m/>
  </r>
  <r>
    <x v="36"/>
    <s v="omer"/>
    <n v="500"/>
    <m/>
    <m/>
    <s v="Bank"/>
    <m/>
  </r>
  <r>
    <x v="36"/>
    <s v="Arb Dasti"/>
    <m/>
    <n v="20000"/>
    <s v="Jc"/>
    <s v="Bank"/>
    <m/>
  </r>
  <r>
    <x v="36"/>
    <s v="advance salary"/>
    <n v="25000"/>
    <m/>
    <s v="Ghulam Abbas"/>
    <s v="Bank"/>
    <m/>
  </r>
  <r>
    <x v="36"/>
    <s v="rashan"/>
    <n v="2200"/>
    <m/>
    <m/>
    <s v="Bank"/>
    <m/>
  </r>
  <r>
    <x v="37"/>
    <s v="Parts"/>
    <n v="1600"/>
    <m/>
    <m/>
    <s v="Bank"/>
    <m/>
  </r>
  <r>
    <x v="37"/>
    <s v="Arb Dasti"/>
    <m/>
    <n v="60000"/>
    <s v="TID:707987"/>
    <s v="Bank"/>
    <m/>
  </r>
  <r>
    <x v="37"/>
    <s v="Parts"/>
    <n v="2520"/>
    <m/>
    <s v="bulbs"/>
    <s v="Bank"/>
    <m/>
  </r>
  <r>
    <x v="37"/>
    <s v="Finish"/>
    <n v="46800"/>
    <m/>
    <s v="Starch x12"/>
    <s v="Bank"/>
    <m/>
  </r>
  <r>
    <x v="37"/>
    <s v="Transport"/>
    <n v="700"/>
    <m/>
    <s v="karaya"/>
    <s v="Bank"/>
    <m/>
  </r>
  <r>
    <x v="37"/>
    <s v="rashan"/>
    <n v="2200"/>
    <m/>
    <s v="atta"/>
    <s v="Bank"/>
    <m/>
  </r>
  <r>
    <x v="37"/>
    <s v="Arb Dasti"/>
    <m/>
    <n v="250000"/>
    <s v="TID:153556"/>
    <s v="Bank"/>
    <m/>
  </r>
  <r>
    <x v="37"/>
    <s v="Shahid qasayi"/>
    <m/>
    <n v="100000"/>
    <s v="Cash"/>
    <s v="Bank"/>
    <m/>
  </r>
  <r>
    <x v="37"/>
    <s v="Arb Dasti"/>
    <n v="100000"/>
    <m/>
    <s v="Shahid qasai"/>
    <s v="Bank"/>
    <m/>
  </r>
  <r>
    <x v="37"/>
    <s v="irfan punjabi"/>
    <n v="100000"/>
    <m/>
    <s v="TID:084512"/>
    <s v="Bank"/>
    <m/>
  </r>
  <r>
    <x v="37"/>
    <s v="Aslam Multani"/>
    <n v="100000"/>
    <m/>
    <s v="TID:084512"/>
    <s v="Bank"/>
    <m/>
  </r>
  <r>
    <x v="37"/>
    <s v="salary"/>
    <n v="45000"/>
    <m/>
    <s v="khalid sb"/>
    <s v="Bank"/>
    <m/>
  </r>
  <r>
    <x v="37"/>
    <s v="omer"/>
    <n v="790"/>
    <m/>
    <s v="package"/>
    <s v="Bank"/>
    <m/>
  </r>
  <r>
    <x v="37"/>
    <s v="madina dyes"/>
    <n v="36000"/>
    <m/>
    <s v="Bp26"/>
    <s v="Bank"/>
    <m/>
  </r>
  <r>
    <x v="37"/>
    <s v="Arb Dasti"/>
    <m/>
    <n v="36000"/>
    <s v="Bp26"/>
    <s v="Bank"/>
    <m/>
  </r>
  <r>
    <x v="38"/>
    <s v="farhaan ali"/>
    <m/>
    <n v="500000"/>
    <s v="Cash deposit"/>
    <s v="Bank"/>
    <m/>
  </r>
  <r>
    <x v="38"/>
    <s v="madina dyes"/>
    <n v="55000"/>
    <m/>
    <s v="Black x2"/>
    <s v="Bank"/>
    <m/>
  </r>
  <r>
    <x v="38"/>
    <s v="Transport"/>
    <n v="2000"/>
    <m/>
    <s v="mtag"/>
    <s v="Bank"/>
    <m/>
  </r>
  <r>
    <x v="38"/>
    <s v="Malik Zaheer"/>
    <n v="100000"/>
    <m/>
    <s v="Freight"/>
    <s v="Bank"/>
    <m/>
  </r>
  <r>
    <x v="38"/>
    <s v="rashan"/>
    <n v="30000"/>
    <m/>
    <s v="Atta x15"/>
    <s v="Bank"/>
    <m/>
  </r>
  <r>
    <x v="38"/>
    <s v="aurangzeb wood"/>
    <n v="198400"/>
    <m/>
    <s v="TID:759108"/>
    <s v="Bank"/>
    <m/>
  </r>
  <r>
    <x v="38"/>
    <s v="Kaleem ullah"/>
    <n v="100000"/>
    <m/>
    <s v="TID:437834"/>
    <s v="Bank"/>
    <m/>
  </r>
  <r>
    <x v="38"/>
    <s v="Parts"/>
    <n v="2800"/>
    <m/>
    <s v="seals"/>
    <s v="Bank"/>
    <m/>
  </r>
  <r>
    <x v="38"/>
    <s v="advance salary"/>
    <n v="10000"/>
    <m/>
    <s v="Naeem elec"/>
    <s v="Bank"/>
    <m/>
  </r>
  <r>
    <x v="38"/>
    <s v="advance salary"/>
    <n v="10000"/>
    <m/>
    <s v="Tanveer sb"/>
    <s v="Bank"/>
    <m/>
  </r>
  <r>
    <x v="38"/>
    <s v="omer"/>
    <n v="2260"/>
    <m/>
    <m/>
    <s v="Bank"/>
    <m/>
  </r>
  <r>
    <x v="38"/>
    <s v="Shahid qasayi"/>
    <m/>
    <n v="100000"/>
    <s v="Cash"/>
    <s v="Bank"/>
    <m/>
  </r>
  <r>
    <x v="38"/>
    <s v="Arb Dasti"/>
    <n v="100000"/>
    <m/>
    <s v="Shahid qasai"/>
    <s v="Bank"/>
    <m/>
  </r>
  <r>
    <x v="39"/>
    <s v="Arb Dasti"/>
    <m/>
    <n v="18000"/>
    <m/>
    <s v="Bank"/>
    <m/>
  </r>
  <r>
    <x v="39"/>
    <s v="Dasti"/>
    <n v="4500"/>
    <m/>
    <s v="optix"/>
    <s v="Bank"/>
    <m/>
  </r>
  <r>
    <x v="39"/>
    <s v="omer"/>
    <n v="780"/>
    <m/>
    <m/>
    <s v="Bank"/>
    <m/>
  </r>
  <r>
    <x v="39"/>
    <s v="Parts"/>
    <n v="1560"/>
    <m/>
    <m/>
    <s v="Bank"/>
    <m/>
  </r>
  <r>
    <x v="39"/>
    <s v="Parts"/>
    <n v="2500"/>
    <m/>
    <m/>
    <s v="Bank"/>
    <m/>
  </r>
  <r>
    <x v="39"/>
    <s v="Parts"/>
    <n v="550"/>
    <m/>
    <m/>
    <s v="Bank"/>
    <m/>
  </r>
  <r>
    <x v="39"/>
    <s v="Parts"/>
    <n v="1000"/>
    <m/>
    <m/>
    <s v="Bank"/>
    <m/>
  </r>
  <r>
    <x v="39"/>
    <s v="omer"/>
    <m/>
    <n v="1000"/>
    <m/>
    <s v="Bank"/>
    <m/>
  </r>
  <r>
    <x v="40"/>
    <s v="ibraheem behraam"/>
    <m/>
    <n v="60000"/>
    <m/>
    <s v="Bank"/>
    <m/>
  </r>
  <r>
    <x v="40"/>
    <s v="Arb Dasti"/>
    <n v="60000"/>
    <m/>
    <s v="ibraheem behraam"/>
    <s v="Bank"/>
    <m/>
  </r>
  <r>
    <x v="40"/>
    <s v="Parts"/>
    <n v="3500"/>
    <m/>
    <s v="welding pipe"/>
    <s v="Bank"/>
    <m/>
  </r>
  <r>
    <x v="40"/>
    <s v="Parts"/>
    <n v="1560"/>
    <m/>
    <s v="welding pipe"/>
    <s v="Bank"/>
    <m/>
  </r>
  <r>
    <x v="40"/>
    <s v="Arb Dasti"/>
    <m/>
    <n v="3500"/>
    <m/>
    <s v="Bank"/>
    <m/>
  </r>
  <r>
    <x v="40"/>
    <s v="Parts"/>
    <n v="2500"/>
    <m/>
    <s v="rods"/>
    <s v="Bank"/>
    <m/>
  </r>
  <r>
    <x v="40"/>
    <s v="Parts"/>
    <n v="550"/>
    <m/>
    <m/>
    <s v="Bank"/>
    <m/>
  </r>
  <r>
    <x v="40"/>
    <s v="Unicolour"/>
    <n v="100000"/>
    <m/>
    <s v="100k cash 400k cheque"/>
    <s v="Bank"/>
    <m/>
  </r>
  <r>
    <x v="40"/>
    <s v="Arb Dasti"/>
    <m/>
    <n v="100000"/>
    <s v="uni 100k+400k cheque"/>
    <s v="Bank"/>
    <m/>
  </r>
  <r>
    <x v="40"/>
    <s v="Arshad"/>
    <m/>
    <n v="37085"/>
    <s v="Bill Nill"/>
    <s v="Bank"/>
    <m/>
  </r>
  <r>
    <x v="40"/>
    <s v="Parts"/>
    <n v="28500"/>
    <m/>
    <s v="Oil boiler bhatti"/>
    <s v="Bank"/>
    <m/>
  </r>
  <r>
    <x v="40"/>
    <s v="Arb Dasti"/>
    <m/>
    <n v="250000"/>
    <s v="TID:081610"/>
    <s v="Bank"/>
    <m/>
  </r>
  <r>
    <x v="40"/>
    <s v="Arb Dasti"/>
    <m/>
    <n v="134000"/>
    <s v="TID:842327"/>
    <s v="Bank"/>
    <m/>
  </r>
  <r>
    <x v="40"/>
    <s v="Yousaf wood"/>
    <n v="300000"/>
    <m/>
    <s v="TID:121107"/>
    <s v="Bank"/>
    <m/>
  </r>
  <r>
    <x v="40"/>
    <s v="Transport"/>
    <n v="3500"/>
    <m/>
    <s v="raksha "/>
    <s v="Bank"/>
    <m/>
  </r>
  <r>
    <x v="40"/>
    <s v="advance salary"/>
    <n v="5000"/>
    <m/>
    <s v="Imtiaz opt"/>
    <s v="Bank"/>
    <m/>
  </r>
  <r>
    <x v="40"/>
    <s v="omer"/>
    <n v="200"/>
    <m/>
    <m/>
    <s v="Bank"/>
    <m/>
  </r>
  <r>
    <x v="40"/>
    <s v="Parts"/>
    <n v="12491"/>
    <m/>
    <s v="Diesel"/>
    <s v="Bank"/>
    <m/>
  </r>
  <r>
    <x v="41"/>
    <s v="Shahid qasayi"/>
    <m/>
    <n v="50000"/>
    <s v="Cash"/>
    <s v="Bank"/>
    <m/>
  </r>
  <r>
    <x v="41"/>
    <s v="Arb Dasti"/>
    <n v="50000"/>
    <m/>
    <s v="qasai"/>
    <s v="Bank"/>
    <m/>
  </r>
  <r>
    <x v="41"/>
    <s v="Parts"/>
    <n v="400"/>
    <m/>
    <m/>
    <s v="Bank"/>
    <m/>
  </r>
  <r>
    <x v="41"/>
    <s v="Transport"/>
    <n v="17000"/>
    <m/>
    <s v="Rauf khan kora"/>
    <s v="Bank"/>
    <m/>
  </r>
  <r>
    <x v="41"/>
    <s v="Parts"/>
    <n v="350"/>
    <m/>
    <s v="dastanay"/>
    <s v="Bank"/>
    <m/>
  </r>
  <r>
    <x v="41"/>
    <s v="rashan"/>
    <n v="1800"/>
    <m/>
    <m/>
    <s v="Bank"/>
    <m/>
  </r>
  <r>
    <x v="41"/>
    <s v="Malik Zaheer"/>
    <n v="39000"/>
    <m/>
    <s v="Freight"/>
    <s v="Bank"/>
    <m/>
  </r>
  <r>
    <x v="41"/>
    <s v="Dasti"/>
    <n v="6000"/>
    <m/>
    <s v="ibraheem fees"/>
    <s v="Bank"/>
    <m/>
  </r>
  <r>
    <x v="41"/>
    <s v="Arb Dasti"/>
    <m/>
    <n v="60000"/>
    <s v="20k transfer + 40k cash"/>
    <s v="Bank"/>
    <m/>
  </r>
  <r>
    <x v="41"/>
    <s v="Malik Zaheer"/>
    <n v="100000"/>
    <m/>
    <s v="Freight (50+50)"/>
    <s v="Bank"/>
    <m/>
  </r>
  <r>
    <x v="41"/>
    <s v="Arb Dasti"/>
    <m/>
    <n v="135000"/>
    <s v="TID:281693"/>
    <s v="Bank"/>
    <m/>
  </r>
  <r>
    <x v="41"/>
    <s v="Parts"/>
    <n v="3700"/>
    <m/>
    <s v="looms"/>
    <s v="Bank"/>
    <m/>
  </r>
  <r>
    <x v="41"/>
    <s v="Arb Dasti"/>
    <m/>
    <n v="195000"/>
    <s v="Cash deposit"/>
    <s v="Bank"/>
    <m/>
  </r>
  <r>
    <x v="41"/>
    <s v="Arb Dasti"/>
    <m/>
    <n v="18000"/>
    <s v="TID:769550"/>
    <s v="Bank"/>
    <m/>
  </r>
  <r>
    <x v="41"/>
    <s v="Malik Zaheer"/>
    <n v="350000"/>
    <m/>
    <s v="TID:158006"/>
    <s v="Bank"/>
    <m/>
  </r>
  <r>
    <x v="41"/>
    <s v="omer"/>
    <n v="500"/>
    <m/>
    <m/>
    <s v="Bank"/>
    <m/>
  </r>
  <r>
    <x v="42"/>
    <s v="Arb Dasti"/>
    <m/>
    <n v="18000"/>
    <s v="Bp26"/>
    <s v="Bank"/>
    <m/>
  </r>
  <r>
    <x v="42"/>
    <s v="Finish"/>
    <n v="18000"/>
    <m/>
    <s v="Bp26"/>
    <s v="Bank"/>
    <m/>
  </r>
  <r>
    <x v="42"/>
    <s v="advance salary"/>
    <n v="5000"/>
    <m/>
    <s v="Ghulam Abbas"/>
    <s v="Bank"/>
    <m/>
  </r>
  <r>
    <x v="42"/>
    <s v="Dasti"/>
    <n v="3240"/>
    <m/>
    <s v="Shampoo ect"/>
    <s v="Bank"/>
    <m/>
  </r>
  <r>
    <x v="42"/>
    <s v="ibraheem behraam"/>
    <m/>
    <n v="68900"/>
    <s v="50+18.9"/>
    <s v="Bank"/>
    <m/>
  </r>
  <r>
    <x v="42"/>
    <s v="Parts"/>
    <n v="51466"/>
    <m/>
    <s v="Diesel"/>
    <s v="Bank"/>
    <m/>
  </r>
  <r>
    <x v="42"/>
    <s v="Arb Dasti"/>
    <m/>
    <n v="45000"/>
    <s v="JC"/>
    <s v="Bank"/>
    <m/>
  </r>
  <r>
    <x v="42"/>
    <s v="salary"/>
    <n v="50000"/>
    <m/>
    <s v="Waqas ADM"/>
    <s v="Bank"/>
    <m/>
  </r>
  <r>
    <x v="42"/>
    <s v="omer"/>
    <n v="1006"/>
    <m/>
    <m/>
    <s v="Bank"/>
    <m/>
  </r>
  <r>
    <x v="42"/>
    <s v="Shahid qasayi"/>
    <m/>
    <n v="50000"/>
    <s v="cash"/>
    <s v="Bank"/>
    <m/>
  </r>
  <r>
    <x v="42"/>
    <s v="Arb Dasti"/>
    <n v="50000"/>
    <m/>
    <s v="Shahid qasai"/>
    <s v="Bank"/>
    <m/>
  </r>
  <r>
    <x v="43"/>
    <s v="Parts"/>
    <n v="1600"/>
    <m/>
    <s v="oil"/>
    <s v="Bank"/>
    <m/>
  </r>
  <r>
    <x v="43"/>
    <s v="advance salary"/>
    <n v="5000"/>
    <m/>
    <s v="Khubaib"/>
    <s v="Bank"/>
    <m/>
  </r>
  <r>
    <x v="43"/>
    <s v="misc"/>
    <n v="2600"/>
    <m/>
    <s v="factory device"/>
    <s v="Bank"/>
    <m/>
  </r>
  <r>
    <x v="43"/>
    <s v="Arb Dasti"/>
    <m/>
    <n v="150000"/>
    <s v="pindi das"/>
    <s v="Bank"/>
    <m/>
  </r>
  <r>
    <x v="43"/>
    <s v="Arb Dasti"/>
    <m/>
    <n v="74125"/>
    <s v="Madina dyes"/>
    <s v="Bank"/>
    <m/>
  </r>
  <r>
    <x v="43"/>
    <s v="madina dyes"/>
    <n v="74125"/>
    <m/>
    <s v="Black/rubine/ softner"/>
    <s v="Bank"/>
    <m/>
  </r>
  <r>
    <x v="44"/>
    <s v="omer"/>
    <n v="4000"/>
    <m/>
    <m/>
    <s v="Bank"/>
    <m/>
  </r>
  <r>
    <x v="44"/>
    <s v="advance salary"/>
    <n v="35000"/>
    <m/>
    <s v="Amjad fitter"/>
    <s v="Bank"/>
    <m/>
  </r>
  <r>
    <x v="44"/>
    <s v="salary"/>
    <n v="80000"/>
    <m/>
    <s v="Akbar sb"/>
    <s v="Bank"/>
    <m/>
  </r>
  <r>
    <x v="44"/>
    <s v="Dasti"/>
    <n v="2100"/>
    <m/>
    <s v="elec"/>
    <s v="Bank"/>
    <m/>
  </r>
  <r>
    <x v="44"/>
    <s v="Faizan kamoki"/>
    <m/>
    <n v="800000"/>
    <s v="TID:507716"/>
    <s v="Bank"/>
    <m/>
  </r>
  <r>
    <x v="44"/>
    <s v="Arb Dasti"/>
    <n v="500000"/>
    <m/>
    <s v="TID:496015"/>
    <s v="Bank"/>
    <m/>
  </r>
  <r>
    <x v="44"/>
    <s v="Faizan kamoki"/>
    <m/>
    <n v="6768"/>
    <s v="Transport adjust"/>
    <s v="Bank"/>
    <m/>
  </r>
  <r>
    <x v="44"/>
    <s v="Transport"/>
    <n v="6768"/>
    <m/>
    <m/>
    <s v="Bank"/>
    <m/>
  </r>
  <r>
    <x v="45"/>
    <s v="Arb Dasti"/>
    <n v="290000"/>
    <m/>
    <s v="TID:843833"/>
    <s v="Bank"/>
    <m/>
  </r>
  <r>
    <x v="45"/>
    <s v="Faizan kamoki"/>
    <m/>
    <n v="450000"/>
    <s v="TID:839802"/>
    <s v="Bank"/>
    <m/>
  </r>
  <r>
    <x v="45"/>
    <s v="Arb Dasti"/>
    <n v="110000"/>
    <m/>
    <s v="TID:068999"/>
    <s v="Bank"/>
    <m/>
  </r>
  <r>
    <x v="45"/>
    <s v="Arb Dasti"/>
    <m/>
    <n v="60000"/>
    <s v="TID:594410"/>
    <s v="Bank"/>
    <m/>
  </r>
  <r>
    <x v="45"/>
    <s v="Finish"/>
    <n v="18000"/>
    <m/>
    <s v="BP26"/>
    <s v="Bank"/>
    <m/>
  </r>
  <r>
    <x v="45"/>
    <s v="Arb Dasti"/>
    <m/>
    <n v="56000"/>
    <s v="TID:771558"/>
    <s v="Bank"/>
    <m/>
  </r>
  <r>
    <x v="45"/>
    <s v="loom ac"/>
    <n v="23000"/>
    <m/>
    <m/>
    <s v="Bank"/>
    <m/>
  </r>
  <r>
    <x v="45"/>
    <s v="Shahid qasayi"/>
    <m/>
    <n v="50000"/>
    <s v="cash"/>
    <s v="Bank"/>
    <m/>
  </r>
  <r>
    <x v="45"/>
    <s v="advance salary"/>
    <n v="5000"/>
    <m/>
    <s v="Khalid sb"/>
    <s v="Bank"/>
    <m/>
  </r>
  <r>
    <x v="45"/>
    <s v="Transport"/>
    <n v="3000"/>
    <m/>
    <s v="loom dhaga karaya"/>
    <s v="Bank"/>
    <m/>
  </r>
  <r>
    <x v="45"/>
    <s v="Arb Dasti"/>
    <m/>
    <n v="194000"/>
    <s v="cash//bsc"/>
    <s v="Bank"/>
    <m/>
  </r>
  <r>
    <x v="45"/>
    <s v="Arb Dasti"/>
    <m/>
    <n v="70000"/>
    <s v="cash//bsc"/>
    <s v="Bank"/>
    <m/>
  </r>
  <r>
    <x v="45"/>
    <s v="salary"/>
    <n v="698250"/>
    <m/>
    <s v="General"/>
    <s v="Bank"/>
    <m/>
  </r>
  <r>
    <x v="45"/>
    <s v="salary"/>
    <n v="20000"/>
    <m/>
    <s v="Tanveer sb"/>
    <s v="Bank"/>
    <m/>
  </r>
  <r>
    <x v="45"/>
    <s v="Arb Dasti"/>
    <m/>
    <n v="16000"/>
    <s v="TID:721779"/>
    <s v="Bank"/>
    <m/>
  </r>
  <r>
    <x v="45"/>
    <s v="salary"/>
    <n v="16000"/>
    <m/>
    <s v="Ashraf Guard"/>
    <s v="Bank"/>
    <m/>
  </r>
  <r>
    <x v="45"/>
    <s v="advance salary"/>
    <n v="500"/>
    <m/>
    <s v="Awais folding"/>
    <s v="Bank"/>
    <m/>
  </r>
  <r>
    <x v="46"/>
    <s v="Arb Dasti"/>
    <m/>
    <n v="19500"/>
    <s v="TID:520311"/>
    <s v="Bank"/>
    <m/>
  </r>
  <r>
    <x v="46"/>
    <s v="Finish"/>
    <n v="19500"/>
    <m/>
    <s v="Starch x5"/>
    <s v="Bank"/>
    <m/>
  </r>
  <r>
    <x v="47"/>
    <s v="rashan"/>
    <n v="1880"/>
    <m/>
    <m/>
    <s v="Bank"/>
    <m/>
  </r>
  <r>
    <x v="47"/>
    <s v="misc"/>
    <n v="2800"/>
    <m/>
    <s v="paint"/>
    <s v="Bank"/>
    <m/>
  </r>
  <r>
    <x v="47"/>
    <s v="advance salary"/>
    <n v="5000"/>
    <m/>
    <s v="Khalid sb"/>
    <s v="Bank"/>
    <m/>
  </r>
  <r>
    <x v="47"/>
    <s v="Parts"/>
    <n v="1800"/>
    <m/>
    <m/>
    <s v="Bank"/>
    <m/>
  </r>
  <r>
    <x v="47"/>
    <s v="Arb Dasti"/>
    <m/>
    <n v="10000"/>
    <s v="Jc"/>
    <s v="Bank"/>
    <m/>
  </r>
  <r>
    <x v="47"/>
    <s v="Arb Dasti"/>
    <m/>
    <n v="250000"/>
    <s v="TID:933304"/>
    <s v="Bank"/>
    <m/>
  </r>
  <r>
    <x v="47"/>
    <s v="Arb Dasti"/>
    <m/>
    <n v="47000"/>
    <s v="Tanveer sb"/>
    <s v="Bank"/>
    <m/>
  </r>
  <r>
    <x v="47"/>
    <s v="salary"/>
    <n v="47000"/>
    <m/>
    <s v="Tanveer sb"/>
    <s v="Bank"/>
    <m/>
  </r>
  <r>
    <x v="47"/>
    <s v="Shahid qasayi"/>
    <m/>
    <n v="50000"/>
    <s v="Cash"/>
    <s v="Bank"/>
    <m/>
  </r>
  <r>
    <x v="47"/>
    <s v="farhaan ali"/>
    <m/>
    <n v="300000"/>
    <m/>
    <s v="Bank"/>
    <m/>
  </r>
  <r>
    <x v="47"/>
    <s v="Arb Dasti"/>
    <n v="350000"/>
    <m/>
    <s v="300+50 farhan+qasai"/>
    <s v="Bank"/>
    <m/>
  </r>
  <r>
    <x v="47"/>
    <s v="Babar wood"/>
    <n v="150000"/>
    <m/>
    <s v="TID:188625"/>
    <s v="Bank"/>
    <m/>
  </r>
  <r>
    <x v="47"/>
    <s v="irfan punjabi"/>
    <n v="100000"/>
    <m/>
    <s v="TID:111391"/>
    <s v="Bank"/>
    <m/>
  </r>
  <r>
    <x v="47"/>
    <s v="Arb Dasti"/>
    <m/>
    <n v="115000"/>
    <s v="TID:354705"/>
    <s v="Bank"/>
    <m/>
  </r>
  <r>
    <x v="47"/>
    <s v="Aslam Multani"/>
    <n v="115000"/>
    <m/>
    <s v="TID:983104"/>
    <s v="Bank"/>
    <m/>
  </r>
  <r>
    <x v="47"/>
    <s v="omer"/>
    <n v="780"/>
    <m/>
    <m/>
    <s v="Bank"/>
    <m/>
  </r>
  <r>
    <x v="48"/>
    <s v="Shahid qasayi"/>
    <m/>
    <n v="50000"/>
    <s v="cash"/>
    <s v="Bank"/>
    <m/>
  </r>
  <r>
    <x v="48"/>
    <s v="Arb Dasti"/>
    <n v="50000"/>
    <m/>
    <s v="Qasai"/>
    <s v="Bank"/>
    <m/>
  </r>
  <r>
    <x v="48"/>
    <s v="Parts"/>
    <n v="7020"/>
    <m/>
    <s v="bearing"/>
    <s v="Bank"/>
    <m/>
  </r>
  <r>
    <x v="48"/>
    <s v="Arb Dasti"/>
    <m/>
    <n v="7020"/>
    <s v="bearing"/>
    <s v="Bank"/>
    <m/>
  </r>
  <r>
    <x v="48"/>
    <s v="Arb Dasti"/>
    <m/>
    <n v="10000"/>
    <s v="jc"/>
    <s v="Bank"/>
    <m/>
  </r>
  <r>
    <x v="48"/>
    <s v="Parts"/>
    <n v="1500"/>
    <m/>
    <m/>
    <s v="Bank"/>
    <m/>
  </r>
  <r>
    <x v="48"/>
    <s v="Parts"/>
    <n v="600"/>
    <m/>
    <m/>
    <s v="Bank"/>
    <m/>
  </r>
  <r>
    <x v="48"/>
    <s v="Dasti"/>
    <n v="1650"/>
    <m/>
    <s v="Bulbs x5 ghar"/>
    <s v="Bank"/>
    <m/>
  </r>
  <r>
    <x v="48"/>
    <s v="Arb Dasti"/>
    <m/>
    <n v="120000"/>
    <s v="TID:116434"/>
    <s v="Bank"/>
    <m/>
  </r>
  <r>
    <x v="48"/>
    <s v="salary"/>
    <n v="115000"/>
    <m/>
    <s v="Ashfaq sahab boiler theka"/>
    <s v="Bank"/>
    <m/>
  </r>
  <r>
    <x v="48"/>
    <s v="salary"/>
    <n v="25000"/>
    <m/>
    <s v="Bajwa"/>
    <s v="Bank"/>
    <m/>
  </r>
  <r>
    <x v="48"/>
    <s v="omer"/>
    <m/>
    <n v="25000"/>
    <s v="Taha se lekr 25k"/>
    <s v="Bank"/>
    <m/>
  </r>
  <r>
    <x v="48"/>
    <s v="Arb Dasti"/>
    <m/>
    <n v="35000"/>
    <s v="TID:713962"/>
    <s v="Bank"/>
    <m/>
  </r>
  <r>
    <x v="48"/>
    <s v="salary"/>
    <n v="35000"/>
    <m/>
    <s v="Khubaib"/>
    <s v="Bank"/>
    <m/>
  </r>
  <r>
    <x v="48"/>
    <s v="Arb Dasti"/>
    <m/>
    <m/>
    <s v="Khubaib cash PESHAWAR"/>
    <s v="Bank"/>
    <m/>
  </r>
  <r>
    <x v="48"/>
    <s v="salary"/>
    <m/>
    <m/>
    <s v="Khubaib"/>
    <s v="Bank"/>
    <m/>
  </r>
  <r>
    <x v="48"/>
    <s v="advance salary"/>
    <m/>
    <m/>
    <s v="khubaib(40-35)"/>
    <s v="Bank"/>
    <m/>
  </r>
  <r>
    <x v="48"/>
    <s v="omer"/>
    <n v="780"/>
    <m/>
    <m/>
    <s v="Bank"/>
    <m/>
  </r>
  <r>
    <x v="49"/>
    <s v="omer"/>
    <n v="400"/>
    <m/>
    <m/>
    <s v="Bank"/>
    <m/>
  </r>
  <r>
    <x v="49"/>
    <s v="Arb Dasti"/>
    <m/>
    <n v="20000"/>
    <s v="JC"/>
    <s v="Bank"/>
    <m/>
  </r>
  <r>
    <x v="49"/>
    <s v="Finish"/>
    <n v="16000"/>
    <m/>
    <s v="starch x4"/>
    <s v="Bank"/>
    <m/>
  </r>
  <r>
    <x v="49"/>
    <s v="advance salary"/>
    <n v="10000"/>
    <m/>
    <s v="Khalid sb"/>
    <s v="Bank"/>
    <m/>
  </r>
  <r>
    <x v="49"/>
    <s v="omer"/>
    <m/>
    <m/>
    <m/>
    <s v="Bank"/>
    <m/>
  </r>
  <r>
    <x v="49"/>
    <s v="rashan"/>
    <n v="4800"/>
    <m/>
    <m/>
    <s v="Bank"/>
    <m/>
  </r>
  <r>
    <x v="49"/>
    <s v="Arb Dasti"/>
    <m/>
    <n v="260000"/>
    <s v="TID:471902"/>
    <s v="Bank"/>
    <m/>
  </r>
  <r>
    <x v="50"/>
    <s v="Arb Dasti"/>
    <m/>
    <n v="625000"/>
    <s v="Cash deposit"/>
    <s v="Bank"/>
    <m/>
  </r>
  <r>
    <x v="50"/>
    <s v="Arb Dasti"/>
    <m/>
    <n v="190000"/>
    <s v="Cash deposit"/>
    <s v="Bank"/>
    <m/>
  </r>
  <r>
    <x v="50"/>
    <s v="Arb Dasti"/>
    <m/>
    <n v="100000"/>
    <s v="TID:686777"/>
    <s v="Bank"/>
    <m/>
  </r>
  <r>
    <x v="50"/>
    <s v="Arb Dasti"/>
    <m/>
    <n v="300000"/>
    <m/>
    <s v="Bank"/>
    <m/>
  </r>
  <r>
    <x v="50"/>
    <s v="Electricty"/>
    <n v="1467298"/>
    <m/>
    <s v="LESCO April"/>
    <s v="Bank"/>
    <m/>
  </r>
  <r>
    <x v="50"/>
    <s v="madina dyes"/>
    <n v="35500"/>
    <m/>
    <s v="Black+NP9"/>
    <s v="Bank"/>
    <m/>
  </r>
  <r>
    <x v="50"/>
    <s v="Arb Dasti"/>
    <m/>
    <n v="35500"/>
    <s v="Madina dyes"/>
    <s v="Bank"/>
    <m/>
  </r>
  <r>
    <x v="50"/>
    <s v="farhaan ali"/>
    <m/>
    <n v="200000"/>
    <s v="BSC"/>
    <s v="Bank"/>
    <m/>
  </r>
  <r>
    <x v="50"/>
    <s v="Arb Dasti"/>
    <n v="200000"/>
    <m/>
    <s v="farhaan ali 200k"/>
    <s v="Bank"/>
    <m/>
  </r>
  <r>
    <x v="50"/>
    <s v="omer"/>
    <n v="1800"/>
    <m/>
    <m/>
    <s v="Bank"/>
    <m/>
  </r>
  <r>
    <x v="51"/>
    <s v="Arb Dasti"/>
    <m/>
    <n v="10000"/>
    <s v="TID:227977"/>
    <s v="Bank"/>
    <m/>
  </r>
  <r>
    <x v="51"/>
    <s v="advance salary"/>
    <n v="10000"/>
    <m/>
    <s v="Khubaib"/>
    <s v="Bank"/>
    <m/>
  </r>
  <r>
    <x v="51"/>
    <s v="Parts"/>
    <n v="1200"/>
    <m/>
    <m/>
    <s v="Bank"/>
    <m/>
  </r>
  <r>
    <x v="52"/>
    <s v="Finish"/>
    <n v="37000"/>
    <m/>
    <s v="Bp26"/>
    <s v="Bank"/>
    <m/>
  </r>
  <r>
    <x v="52"/>
    <s v="Arb Dasti"/>
    <m/>
    <n v="37000"/>
    <s v="BP26"/>
    <s v="Bank"/>
    <m/>
  </r>
  <r>
    <x v="52"/>
    <s v="Parts"/>
    <n v="30000"/>
    <m/>
    <s v="Ghulam murtaza"/>
    <s v="Bank"/>
    <m/>
  </r>
  <r>
    <x v="52"/>
    <s v="Arb Dasti"/>
    <m/>
    <n v="30000"/>
    <s v="ghulam murtaza generator"/>
    <s v="Bank"/>
    <m/>
  </r>
  <r>
    <x v="52"/>
    <s v="salary"/>
    <n v="100000"/>
    <m/>
    <s v="Ashfaq sahab boiler theka"/>
    <s v="Bank"/>
    <m/>
  </r>
  <r>
    <x v="52"/>
    <s v="Arb Dasti"/>
    <m/>
    <n v="100000"/>
    <s v="TID:688917"/>
    <s v="Bank"/>
    <m/>
  </r>
  <r>
    <x v="52"/>
    <s v="Unicolour"/>
    <n v="200000"/>
    <m/>
    <s v="TID:673144"/>
    <s v="Bank"/>
    <m/>
  </r>
  <r>
    <x v="52"/>
    <s v="Arb Dasti"/>
    <m/>
    <n v="200000"/>
    <s v="unicolor"/>
    <s v="Bank"/>
    <m/>
  </r>
  <r>
    <x v="52"/>
    <s v="Arb Dasti"/>
    <m/>
    <n v="30000"/>
    <s v="TID:994302"/>
    <s v="Bank"/>
    <m/>
  </r>
  <r>
    <x v="52"/>
    <s v="Parts"/>
    <n v="27400"/>
    <m/>
    <s v="Diesel"/>
    <s v="Bank"/>
    <m/>
  </r>
  <r>
    <x v="53"/>
    <s v="Arb Dasti"/>
    <m/>
    <n v="1560"/>
    <s v="Rashan"/>
    <s v="Bank"/>
    <m/>
  </r>
  <r>
    <x v="53"/>
    <s v="rashan"/>
    <n v="1560"/>
    <m/>
    <m/>
    <s v="Bank"/>
    <m/>
  </r>
  <r>
    <x v="53"/>
    <s v="salary"/>
    <n v="25000"/>
    <m/>
    <s v="Khalid sb"/>
    <s v="Bank"/>
    <m/>
  </r>
  <r>
    <x v="53"/>
    <s v="Arb Dasti"/>
    <m/>
    <n v="25000"/>
    <s v="Khalid sb"/>
    <s v="Bank"/>
    <m/>
  </r>
  <r>
    <x v="53"/>
    <s v="Parts"/>
    <n v="1000"/>
    <m/>
    <m/>
    <s v="Bank"/>
    <m/>
  </r>
  <r>
    <x v="53"/>
    <s v="Parts"/>
    <n v="450"/>
    <m/>
    <m/>
    <s v="Bank"/>
    <m/>
  </r>
  <r>
    <x v="53"/>
    <s v="Arb Dasti"/>
    <m/>
    <n v="1450"/>
    <m/>
    <s v="Bank"/>
    <m/>
  </r>
  <r>
    <x v="53"/>
    <s v="Finish"/>
    <n v="39000"/>
    <m/>
    <s v="Starch"/>
    <s v="Bank"/>
    <m/>
  </r>
  <r>
    <x v="53"/>
    <s v="Arb Dasti"/>
    <m/>
    <n v="39000"/>
    <s v="Starch"/>
    <s v="Bank"/>
    <m/>
  </r>
  <r>
    <x v="54"/>
    <s v="Parts"/>
    <n v="170"/>
    <m/>
    <m/>
    <s v="Bank"/>
    <m/>
  </r>
  <r>
    <x v="54"/>
    <s v="omer"/>
    <n v="1300"/>
    <m/>
    <m/>
    <s v="Bank"/>
    <m/>
  </r>
  <r>
    <x v="54"/>
    <s v="Parts"/>
    <n v="400"/>
    <m/>
    <m/>
    <s v="Bank"/>
    <m/>
  </r>
  <r>
    <x v="54"/>
    <s v="Parts"/>
    <n v="600"/>
    <m/>
    <m/>
    <s v="Bank"/>
    <m/>
  </r>
  <r>
    <x v="54"/>
    <s v="omer"/>
    <n v="450"/>
    <m/>
    <m/>
    <s v="Bank"/>
    <m/>
  </r>
  <r>
    <x v="54"/>
    <s v="Shahid qasayi"/>
    <m/>
    <n v="75000"/>
    <m/>
    <s v="Bank"/>
    <m/>
  </r>
  <r>
    <x v="54"/>
    <s v="Arb Dasti"/>
    <n v="75000"/>
    <m/>
    <m/>
    <s v="Bank"/>
    <m/>
  </r>
  <r>
    <x v="54"/>
    <s v="rashan"/>
    <n v="6550"/>
    <m/>
    <m/>
    <s v="Bank"/>
    <m/>
  </r>
  <r>
    <x v="54"/>
    <s v="salary"/>
    <n v="16000"/>
    <m/>
    <s v="Ashraf Guard"/>
    <s v="Bank"/>
    <m/>
  </r>
  <r>
    <x v="54"/>
    <s v="advance salary"/>
    <n v="15000"/>
    <m/>
    <s v="yamin operator"/>
    <s v="Bank"/>
    <m/>
  </r>
  <r>
    <x v="54"/>
    <s v="Arb Dasti"/>
    <m/>
    <n v="15000"/>
    <s v="yamin operator"/>
    <s v="Bank"/>
    <m/>
  </r>
  <r>
    <x v="54"/>
    <s v="Rauf khan"/>
    <m/>
    <n v="500000"/>
    <s v="TID:224306"/>
    <s v="Bank"/>
    <m/>
  </r>
  <r>
    <x v="54"/>
    <s v="irfan punjabi"/>
    <n v="2000"/>
    <m/>
    <s v="unloading"/>
    <s v="Bank"/>
    <m/>
  </r>
  <r>
    <x v="54"/>
    <s v="Yousaf wood"/>
    <n v="8000"/>
    <m/>
    <s v="unloading"/>
    <s v="Bank"/>
    <m/>
  </r>
  <r>
    <x v="54"/>
    <s v="Malik Zaheer"/>
    <n v="6000"/>
    <m/>
    <s v="unloading"/>
    <s v="Bank"/>
    <m/>
  </r>
  <r>
    <x v="54"/>
    <s v="aurangzeb wood"/>
    <n v="1000"/>
    <m/>
    <s v="unloading"/>
    <s v="Bank"/>
    <m/>
  </r>
  <r>
    <x v="54"/>
    <s v="irfan punjabi"/>
    <n v="50000"/>
    <m/>
    <s v="TID:338527"/>
    <s v="Bank"/>
    <m/>
  </r>
  <r>
    <x v="54"/>
    <s v="shafique ansari"/>
    <m/>
    <n v="100000"/>
    <s v="Cash"/>
    <s v="Bank"/>
    <m/>
  </r>
  <r>
    <x v="54"/>
    <s v="salary"/>
    <n v="80000"/>
    <m/>
    <s v="Tanveer sb"/>
    <s v="Bank"/>
    <m/>
  </r>
  <r>
    <x v="54"/>
    <s v="loom ac"/>
    <n v="20000"/>
    <m/>
    <m/>
    <s v="Bank"/>
    <m/>
  </r>
  <r>
    <x v="54"/>
    <s v="Arb Dasti"/>
    <m/>
    <n v="1184000"/>
    <s v="Salary cash"/>
    <s v="Bank"/>
    <m/>
  </r>
  <r>
    <x v="54"/>
    <s v="salary"/>
    <n v="5000"/>
    <m/>
    <s v="Khalid sb //50k complete"/>
    <s v="Bank"/>
    <m/>
  </r>
  <r>
    <x v="54"/>
    <s v="advance salary"/>
    <n v="20000"/>
    <m/>
    <s v="khalid sb advance May2nd"/>
    <s v="Bank"/>
    <m/>
  </r>
  <r>
    <x v="54"/>
    <s v="salary"/>
    <n v="1154260"/>
    <m/>
    <m/>
    <m/>
    <m/>
  </r>
  <r>
    <x v="55"/>
    <s v="salary"/>
    <n v="35000"/>
    <m/>
    <s v="Tanveer sb"/>
    <s v="Bank"/>
    <m/>
  </r>
  <r>
    <x v="55"/>
    <s v="advance salary"/>
    <n v="30000"/>
    <m/>
    <s v="Ghulam Abbas"/>
    <s v="Bank"/>
    <m/>
  </r>
  <r>
    <x v="55"/>
    <s v="Arb Dasti"/>
    <m/>
    <n v="30000"/>
    <s v="Ghulam Abbas"/>
    <s v="Bank"/>
    <m/>
  </r>
  <r>
    <x v="55"/>
    <s v="Parts"/>
    <n v="20000"/>
    <m/>
    <s v="kashif folding"/>
    <s v="Bank"/>
    <m/>
  </r>
  <r>
    <x v="55"/>
    <s v="Arb Dasti"/>
    <m/>
    <n v="20000"/>
    <s v="kashif folding"/>
    <s v="Bank"/>
    <m/>
  </r>
  <r>
    <x v="55"/>
    <s v="Arb Dasti"/>
    <n v="300000"/>
    <n v="0"/>
    <s v="Qurbani 300k"/>
    <s v="Bank"/>
    <m/>
  </r>
  <r>
    <x v="55"/>
    <s v="advance salary"/>
    <n v="7000"/>
    <m/>
    <s v="Waseem helper old"/>
    <s v="Bank"/>
    <m/>
  </r>
  <r>
    <x v="56"/>
    <s v="misc"/>
    <n v="4500"/>
    <m/>
    <s v="muhammad asif"/>
    <s v="Bank"/>
    <m/>
  </r>
  <r>
    <x v="56"/>
    <s v="salary"/>
    <n v="10000"/>
    <m/>
    <s v="munawar"/>
    <s v="Bank"/>
    <m/>
  </r>
  <r>
    <x v="57"/>
    <s v="Dasti"/>
    <n v="2762"/>
    <m/>
    <s v="pharmacy+groccery"/>
    <s v="Bank"/>
    <m/>
  </r>
  <r>
    <x v="57"/>
    <s v="omer"/>
    <n v="360"/>
    <m/>
    <m/>
    <s v="Bank"/>
    <m/>
  </r>
  <r>
    <x v="57"/>
    <s v="Dasti"/>
    <n v="15000"/>
    <m/>
    <s v="ATM"/>
    <s v="Bank"/>
    <m/>
  </r>
  <r>
    <x v="57"/>
    <s v="Dasti"/>
    <n v="2900"/>
    <m/>
    <s v="ahmad exp"/>
    <s v="Bank"/>
    <m/>
  </r>
  <r>
    <x v="58"/>
    <s v="rashan"/>
    <n v="900"/>
    <m/>
    <m/>
    <s v="Bank"/>
    <m/>
  </r>
  <r>
    <x v="58"/>
    <s v="salary"/>
    <n v="25000"/>
    <m/>
    <s v="Khubaib"/>
    <s v="Bank"/>
    <m/>
  </r>
  <r>
    <x v="58"/>
    <s v="Arb Dasti"/>
    <m/>
    <n v="25000"/>
    <s v="Khubaib"/>
    <s v="Bank"/>
    <m/>
  </r>
  <r>
    <x v="58"/>
    <s v="advance salary"/>
    <n v="15000"/>
    <m/>
    <s v="Khalid sb"/>
    <s v="Bank"/>
    <m/>
  </r>
  <r>
    <x v="58"/>
    <s v="Arb Dasti"/>
    <m/>
    <n v="15000"/>
    <s v="Khalid sb"/>
    <s v="Bank"/>
    <m/>
  </r>
  <r>
    <x v="58"/>
    <s v="Dasti"/>
    <n v="5000"/>
    <m/>
    <s v="ATM"/>
    <s v="Bank"/>
    <m/>
  </r>
  <r>
    <x v="58"/>
    <s v="Dasti"/>
    <n v="4613.28"/>
    <m/>
    <s v="petrol"/>
    <s v="Bank"/>
    <m/>
  </r>
  <r>
    <x v="59"/>
    <s v="Parts"/>
    <n v="8340"/>
    <m/>
    <m/>
    <s v="Bank"/>
    <m/>
  </r>
  <r>
    <x v="59"/>
    <s v="Arb Dasti"/>
    <m/>
    <n v="25000"/>
    <s v="TID:234300"/>
    <s v="Bank"/>
    <m/>
  </r>
  <r>
    <x v="59"/>
    <s v="Parts"/>
    <n v="14000"/>
    <m/>
    <s v="Garari"/>
    <s v="Bank"/>
    <m/>
  </r>
  <r>
    <x v="59"/>
    <s v="Parts"/>
    <n v="1900"/>
    <m/>
    <s v="grease"/>
    <s v="Bank"/>
    <m/>
  </r>
  <r>
    <x v="59"/>
    <s v="misc"/>
    <n v="15000"/>
    <m/>
    <s v="environment"/>
    <s v="Bank"/>
    <m/>
  </r>
  <r>
    <x v="59"/>
    <s v="Arb Dasti"/>
    <m/>
    <n v="15000"/>
    <s v="environment"/>
    <s v="Bank"/>
    <m/>
  </r>
  <r>
    <x v="59"/>
    <s v="salary"/>
    <n v="40000"/>
    <m/>
    <s v="Khubaib"/>
    <s v="Bank"/>
    <m/>
  </r>
  <r>
    <x v="59"/>
    <s v="Arb Dasti"/>
    <m/>
    <n v="40000"/>
    <s v="Khubaib"/>
    <s v="Bank"/>
    <m/>
  </r>
  <r>
    <x v="59"/>
    <s v="misc"/>
    <n v="2500"/>
    <m/>
    <m/>
    <s v="Bank"/>
    <m/>
  </r>
  <r>
    <x v="59"/>
    <s v="omer"/>
    <n v="8110"/>
    <m/>
    <m/>
    <s v="Bank"/>
    <m/>
  </r>
  <r>
    <x v="60"/>
    <s v="rashan"/>
    <n v="15330"/>
    <m/>
    <m/>
    <s v="Bank"/>
    <m/>
  </r>
  <r>
    <x v="60"/>
    <s v="Parts"/>
    <n v="1000"/>
    <m/>
    <s v="bearing"/>
    <s v="Bank"/>
    <m/>
  </r>
  <r>
    <x v="60"/>
    <s v="rashan"/>
    <n v="1730"/>
    <m/>
    <m/>
    <s v="Bank"/>
    <m/>
  </r>
  <r>
    <x v="60"/>
    <s v="irfan punjabi"/>
    <n v="200000"/>
    <m/>
    <s v="170 cheque+ 30k cash"/>
    <s v="Bank"/>
    <m/>
  </r>
  <r>
    <x v="60"/>
    <s v="ACM salman Zaffar"/>
    <m/>
    <n v="170000"/>
    <s v="Cheque //irfan punjabi"/>
    <s v="Bank"/>
    <m/>
  </r>
  <r>
    <x v="60"/>
    <s v="Arb Dasti"/>
    <m/>
    <n v="30000"/>
    <s v="irfan punjabi"/>
    <s v="Bank"/>
    <m/>
  </r>
  <r>
    <x v="61"/>
    <s v="Shahid qasayi"/>
    <m/>
    <n v="50000"/>
    <s v="receipt #829"/>
    <s v="Bank"/>
    <m/>
  </r>
  <r>
    <x v="61"/>
    <s v="rashan"/>
    <n v="20000"/>
    <m/>
    <s v="Atta"/>
    <s v="Bank"/>
    <m/>
  </r>
  <r>
    <x v="61"/>
    <s v="advance salary"/>
    <n v="20000"/>
    <m/>
    <s v="Naveed/mubashar old"/>
    <s v="Bank"/>
    <m/>
  </r>
  <r>
    <x v="61"/>
    <s v="Arb Dasti"/>
    <m/>
    <n v="20000"/>
    <s v="JC"/>
    <s v="Bank"/>
    <m/>
  </r>
  <r>
    <x v="61"/>
    <s v="salary"/>
    <n v="20000"/>
    <m/>
    <s v="Tanveer sb"/>
    <s v="Bank"/>
    <m/>
  </r>
  <r>
    <x v="62"/>
    <s v="Parts"/>
    <n v="3500"/>
    <m/>
    <m/>
    <s v="Bank"/>
    <m/>
  </r>
  <r>
    <x v="62"/>
    <s v="Arb Dasti"/>
    <m/>
    <n v="100000"/>
    <s v="TID:961409"/>
    <s v="Bank"/>
    <m/>
  </r>
  <r>
    <x v="62"/>
    <s v="Aslam Multani"/>
    <n v="100000"/>
    <m/>
    <s v="TID:214728"/>
    <s v="Bank"/>
    <m/>
  </r>
  <r>
    <x v="63"/>
    <s v="omer"/>
    <n v="830"/>
    <m/>
    <m/>
    <s v="Bank"/>
    <m/>
  </r>
  <r>
    <x v="63"/>
    <s v="Parts"/>
    <n v="760"/>
    <m/>
    <s v="glue"/>
    <s v="Bank"/>
    <m/>
  </r>
  <r>
    <x v="63"/>
    <s v="Arb Dasti"/>
    <m/>
    <n v="760"/>
    <m/>
    <s v="Bank"/>
    <m/>
  </r>
  <r>
    <x v="63"/>
    <s v="misc"/>
    <n v="2000"/>
    <m/>
    <s v="khalid sb package"/>
    <s v="Bank"/>
    <m/>
  </r>
  <r>
    <x v="63"/>
    <s v="Shahid qasayi"/>
    <m/>
    <n v="50000"/>
    <s v="TID:567205"/>
    <s v="Bank"/>
    <m/>
  </r>
  <r>
    <x v="63"/>
    <s v="salary"/>
    <n v="15000"/>
    <m/>
    <s v="munawar"/>
    <s v="Bank"/>
    <m/>
  </r>
  <r>
    <x v="63"/>
    <s v="salary"/>
    <n v="15000"/>
    <m/>
    <s v="Khalid sb  May 2"/>
    <s v="Bank"/>
    <m/>
  </r>
  <r>
    <x v="63"/>
    <s v="advance salary"/>
    <n v="10000"/>
    <m/>
    <s v="Naeem electric"/>
    <s v="Bank"/>
    <m/>
  </r>
  <r>
    <x v="63"/>
    <s v="shafique ansari"/>
    <m/>
    <n v="200000"/>
    <s v="cash"/>
    <s v="Bank"/>
    <m/>
  </r>
  <r>
    <x v="63"/>
    <s v="Hafiz qureshi"/>
    <m/>
    <n v="80000"/>
    <s v="Cash"/>
    <s v="Bank"/>
    <m/>
  </r>
  <r>
    <x v="63"/>
    <s v="Arb Dasti"/>
    <n v="200000"/>
    <m/>
    <s v="shafique ansari"/>
    <s v="Bank"/>
    <m/>
  </r>
  <r>
    <x v="63"/>
    <s v="Arb Dasti"/>
    <n v="80000"/>
    <m/>
    <s v="HQ"/>
    <s v="Bank"/>
    <m/>
  </r>
  <r>
    <x v="63"/>
    <s v="omer"/>
    <n v="780"/>
    <m/>
    <m/>
    <s v="Bank"/>
    <m/>
  </r>
  <r>
    <x v="64"/>
    <s v="Parts"/>
    <n v="1200"/>
    <m/>
    <m/>
    <s v="Bank"/>
    <m/>
  </r>
  <r>
    <x v="64"/>
    <s v="Arb Dasti"/>
    <m/>
    <n v="1600"/>
    <m/>
    <s v="Bank"/>
    <m/>
  </r>
  <r>
    <x v="64"/>
    <s v="Parts"/>
    <n v="400"/>
    <m/>
    <m/>
    <s v="Bank"/>
    <m/>
  </r>
  <r>
    <x v="64"/>
    <s v="Arb Dasti"/>
    <m/>
    <n v="400000"/>
    <s v="Cash"/>
    <s v="Bank"/>
    <m/>
  </r>
  <r>
    <x v="64"/>
    <s v="Yousaf wood"/>
    <n v="400000"/>
    <m/>
    <s v="Cash"/>
    <s v="Bank"/>
    <m/>
  </r>
  <r>
    <x v="64"/>
    <s v="Arb Dasti"/>
    <m/>
    <n v="32000"/>
    <s v="cash"/>
    <s v="Bank"/>
    <m/>
  </r>
  <r>
    <x v="64"/>
    <s v="Parts"/>
    <n v="26800"/>
    <m/>
    <s v="Diesel"/>
    <s v="Bank"/>
    <m/>
  </r>
  <r>
    <x v="64"/>
    <s v="Hafiz qureshi"/>
    <m/>
    <n v="120000"/>
    <s v="Cash"/>
    <s v="Bank"/>
    <m/>
  </r>
  <r>
    <x v="64"/>
    <s v="Arb Dasti"/>
    <n v="120000"/>
    <m/>
    <s v="HQ"/>
    <s v="Bank"/>
    <m/>
  </r>
  <r>
    <x v="64"/>
    <s v="Arb Dasti"/>
    <m/>
    <n v="200000"/>
    <s v="105k+95K"/>
    <s v="Bank"/>
    <m/>
  </r>
  <r>
    <x v="64"/>
    <s v="Kaleem ullah"/>
    <n v="200625"/>
    <m/>
    <s v="TID:418276"/>
    <s v="Bank"/>
    <m/>
  </r>
  <r>
    <x v="65"/>
    <s v="Parts"/>
    <n v="900"/>
    <m/>
    <m/>
    <s v="Bank"/>
    <m/>
  </r>
  <r>
    <x v="65"/>
    <s v="Parts"/>
    <n v="1200"/>
    <m/>
    <m/>
    <s v="Bank"/>
    <m/>
  </r>
  <r>
    <x v="65"/>
    <s v="Parts"/>
    <n v="4000"/>
    <m/>
    <s v="CL9 oil"/>
    <s v="Bank"/>
    <m/>
  </r>
  <r>
    <x v="65"/>
    <s v="Arb Dasti"/>
    <m/>
    <n v="4000"/>
    <s v="CL9 oil"/>
    <s v="Bank"/>
    <m/>
  </r>
  <r>
    <x v="65"/>
    <s v="Dasti"/>
    <n v="3330"/>
    <m/>
    <s v="KFC"/>
    <s v="Bank"/>
    <m/>
  </r>
  <r>
    <x v="65"/>
    <s v="ACM salman Zaffar"/>
    <m/>
    <n v="150000"/>
    <s v="cheque"/>
    <s v="Bank"/>
    <m/>
  </r>
  <r>
    <x v="65"/>
    <s v="Arb Dasti"/>
    <n v="150000"/>
    <m/>
    <s v="salman zaffar cheque"/>
    <s v="Bank"/>
    <m/>
  </r>
  <r>
    <x v="66"/>
    <s v="Arb Dasti"/>
    <m/>
    <n v="200000"/>
    <s v="TID:401272"/>
    <s v="Bank"/>
    <m/>
  </r>
  <r>
    <x v="66"/>
    <s v="Unicolour"/>
    <n v="200000"/>
    <m/>
    <s v="TID:401272"/>
    <s v="Bank"/>
    <m/>
  </r>
  <r>
    <x v="66"/>
    <s v="Parts"/>
    <n v="6400"/>
    <m/>
    <s v="brush pin repairing"/>
    <s v="Bank"/>
    <m/>
  </r>
  <r>
    <x v="66"/>
    <s v="Arb Dasti"/>
    <m/>
    <n v="6400"/>
    <s v="pins brush repairing"/>
    <s v="Bank"/>
    <m/>
  </r>
  <r>
    <x v="66"/>
    <s v="Arb Dasti"/>
    <m/>
    <n v="466000"/>
    <s v="TID:756198"/>
    <s v="Bank"/>
    <m/>
  </r>
  <r>
    <x v="66"/>
    <s v="Malik Zaheer"/>
    <n v="460000"/>
    <m/>
    <s v="TID:335935"/>
    <s v="Bank"/>
    <m/>
  </r>
  <r>
    <x v="66"/>
    <s v="Transport"/>
    <n v="3416"/>
    <m/>
    <s v="loader 9l"/>
    <s v="Bank"/>
    <m/>
  </r>
  <r>
    <x v="66"/>
    <s v="Shahid qasayi"/>
    <m/>
    <n v="50000"/>
    <s v="TID:894952"/>
    <s v="Bank"/>
    <m/>
  </r>
  <r>
    <x v="66"/>
    <s v="Arb Dasti"/>
    <n v="50000"/>
    <m/>
    <s v="qasai"/>
    <s v="Bank"/>
    <m/>
  </r>
  <r>
    <x v="66"/>
    <s v="Arb Dasti"/>
    <m/>
    <n v="25000"/>
    <s v="TID:218272"/>
    <s v="Bank"/>
    <m/>
  </r>
  <r>
    <x v="66"/>
    <s v="Building Acc"/>
    <n v="7800"/>
    <m/>
    <s v="Sand 1qsc @7800"/>
    <s v="Bank"/>
    <m/>
  </r>
  <r>
    <x v="66"/>
    <s v="salary"/>
    <n v="24600"/>
    <m/>
    <s v="Naveed/mubashar old"/>
    <s v="Bank"/>
    <m/>
  </r>
  <r>
    <x v="66"/>
    <s v="Arb Dasti"/>
    <m/>
    <n v="6500"/>
    <s v="JC"/>
    <s v="Bank"/>
    <m/>
  </r>
  <r>
    <x v="66"/>
    <s v="salary"/>
    <n v="5000"/>
    <m/>
    <s v="Khubaib"/>
    <s v="Bank"/>
    <m/>
  </r>
  <r>
    <x v="66"/>
    <s v="loom ac"/>
    <n v="5000"/>
    <m/>
    <s v="abid sb"/>
    <s v="Bank"/>
    <m/>
  </r>
  <r>
    <x v="67"/>
    <s v="Parts"/>
    <n v="1500"/>
    <m/>
    <m/>
    <s v="Bank"/>
    <m/>
  </r>
  <r>
    <x v="67"/>
    <s v="Parts"/>
    <n v="2000"/>
    <m/>
    <s v="overloads"/>
    <s v="Bank"/>
    <m/>
  </r>
  <r>
    <x v="67"/>
    <s v="omer"/>
    <m/>
    <n v="2000"/>
    <s v="overloads"/>
    <s v="Bank"/>
    <m/>
  </r>
  <r>
    <x v="67"/>
    <s v="Arb Dasti"/>
    <m/>
    <n v="110000"/>
    <s v="Madina dyes"/>
    <s v="Bank"/>
    <m/>
  </r>
  <r>
    <x v="67"/>
    <s v="madina dyes"/>
    <n v="110000"/>
    <m/>
    <s v="Black x4"/>
    <s v="Bank"/>
    <m/>
  </r>
  <r>
    <x v="67"/>
    <s v="Parts"/>
    <n v="700"/>
    <m/>
    <s v="oil"/>
    <s v="Bank"/>
    <m/>
  </r>
  <r>
    <x v="67"/>
    <s v="Arb Dasti"/>
    <m/>
    <n v="50000"/>
    <s v="TID:972909"/>
    <s v="Bank"/>
    <m/>
  </r>
  <r>
    <x v="67"/>
    <s v="Parts"/>
    <n v="1300"/>
    <m/>
    <m/>
    <s v="Bank"/>
    <m/>
  </r>
  <r>
    <x v="67"/>
    <s v="Finish"/>
    <n v="19500"/>
    <m/>
    <s v="Starch"/>
    <s v="Bank"/>
    <m/>
  </r>
  <r>
    <x v="67"/>
    <s v="misc"/>
    <n v="1110"/>
    <m/>
    <s v="stationary"/>
    <s v="Bank"/>
    <m/>
  </r>
  <r>
    <x v="67"/>
    <s v="Building Acc"/>
    <n v="7600"/>
    <m/>
    <s v="Mazdoor x2 mistri x2"/>
    <s v="Bank"/>
    <m/>
  </r>
  <r>
    <x v="67"/>
    <s v="Parts"/>
    <n v="4250"/>
    <m/>
    <m/>
    <s v="Bank"/>
    <m/>
  </r>
  <r>
    <x v="67"/>
    <s v="Parts"/>
    <n v="600"/>
    <m/>
    <m/>
    <s v="Bank"/>
    <m/>
  </r>
  <r>
    <x v="67"/>
    <s v="misc"/>
    <n v="6090"/>
    <m/>
    <s v="Khalid sb medicine"/>
    <s v="Bank"/>
    <m/>
  </r>
  <r>
    <x v="67"/>
    <s v="Transport"/>
    <n v="700"/>
    <m/>
    <m/>
    <s v="Bank"/>
    <m/>
  </r>
  <r>
    <x v="67"/>
    <s v="faisal PVA"/>
    <n v="3000"/>
    <m/>
    <s v="Raksha karaya"/>
    <s v="Bank"/>
    <m/>
  </r>
  <r>
    <x v="67"/>
    <s v="Arb Dasti"/>
    <m/>
    <n v="5000"/>
    <s v="JC"/>
    <s v="Bank"/>
    <m/>
  </r>
  <r>
    <x v="67"/>
    <s v="salary"/>
    <n v="5000"/>
    <m/>
    <s v="Khubaib"/>
    <s v="Bank"/>
    <m/>
  </r>
  <r>
    <x v="67"/>
    <s v="Transport"/>
    <n v="5000"/>
    <m/>
    <s v="petrol"/>
    <s v="Bank"/>
    <m/>
  </r>
  <r>
    <x v="67"/>
    <s v="omer"/>
    <n v="800"/>
    <m/>
    <m/>
    <s v="Bank"/>
    <m/>
  </r>
  <r>
    <x v="68"/>
    <s v="Arb Dasti"/>
    <m/>
    <n v="22000"/>
    <s v="JC"/>
    <s v="Bank"/>
    <m/>
  </r>
  <r>
    <x v="68"/>
    <s v="rashan"/>
    <n v="1990"/>
    <m/>
    <m/>
    <s v="Bank"/>
    <m/>
  </r>
  <r>
    <x v="68"/>
    <s v="Transport"/>
    <n v="710"/>
    <m/>
    <s v="mtag"/>
    <s v="Bank"/>
    <m/>
  </r>
  <r>
    <x v="68"/>
    <s v="Parts"/>
    <n v="1040"/>
    <m/>
    <m/>
    <s v="Bank"/>
    <m/>
  </r>
  <r>
    <x v="68"/>
    <s v="Arb Dasti"/>
    <m/>
    <n v="30000"/>
    <s v="TID:768214"/>
    <s v="Bank"/>
    <m/>
  </r>
  <r>
    <x v="68"/>
    <s v="Finish"/>
    <n v="19500"/>
    <m/>
    <s v="Starch"/>
    <s v="Bank"/>
    <m/>
  </r>
  <r>
    <x v="68"/>
    <s v="loom ac"/>
    <n v="10000"/>
    <m/>
    <s v="abid sb"/>
    <s v="Bank"/>
    <m/>
  </r>
  <r>
    <x v="68"/>
    <s v="Transport"/>
    <n v="5000"/>
    <m/>
    <m/>
    <s v="Bank"/>
    <m/>
  </r>
  <r>
    <x v="68"/>
    <s v="omer"/>
    <n v="800"/>
    <m/>
    <m/>
    <s v="Bank"/>
    <m/>
  </r>
  <r>
    <x v="68"/>
    <s v="Shahid qasayi"/>
    <m/>
    <n v="66650"/>
    <m/>
    <s v="Bank"/>
    <m/>
  </r>
  <r>
    <x v="68"/>
    <s v="advance salary"/>
    <n v="2000"/>
    <m/>
    <s v="Haseen khan"/>
    <s v="Bank"/>
    <m/>
  </r>
  <r>
    <x v="68"/>
    <s v="Arb Dasti"/>
    <n v="66650"/>
    <m/>
    <s v="Shahid qasai"/>
    <s v="Bank"/>
    <m/>
  </r>
  <r>
    <x v="68"/>
    <s v="Arb Dasti"/>
    <m/>
    <n v="70000"/>
    <s v="TID:435183"/>
    <s v="Bank"/>
    <m/>
  </r>
  <r>
    <x v="68"/>
    <s v="Kaleem ullah"/>
    <n v="70000"/>
    <m/>
    <s v="Freight"/>
    <s v="Bank"/>
    <m/>
  </r>
  <r>
    <x v="68"/>
    <s v="Transport"/>
    <n v="600"/>
    <m/>
    <m/>
    <s v="Bank"/>
    <m/>
  </r>
  <r>
    <x v="69"/>
    <s v="Arb Dasti"/>
    <m/>
    <n v="25000"/>
    <m/>
    <s v="Bank"/>
    <m/>
  </r>
  <r>
    <x v="69"/>
    <s v="Dasti"/>
    <n v="4482"/>
    <m/>
    <s v="optix"/>
    <s v="Bank"/>
    <m/>
  </r>
  <r>
    <x v="69"/>
    <s v="Faizan kamoki"/>
    <m/>
    <n v="575000"/>
    <s v="TID:376671"/>
    <s v="Bank"/>
    <m/>
  </r>
  <r>
    <x v="69"/>
    <s v="advance salary"/>
    <n v="2000"/>
    <m/>
    <s v="shakir"/>
    <s v="Bank"/>
    <m/>
  </r>
  <r>
    <x v="69"/>
    <s v="advance salary"/>
    <n v="5000"/>
    <m/>
    <s v="ghulam abbas"/>
    <s v="Bank"/>
    <m/>
  </r>
  <r>
    <x v="69"/>
    <s v="advance salary"/>
    <n v="5000"/>
    <m/>
    <s v="Tanveer sb"/>
    <s v="Bank"/>
    <m/>
  </r>
  <r>
    <x v="69"/>
    <s v="omer"/>
    <n v="500"/>
    <m/>
    <m/>
    <s v="Bank"/>
    <m/>
  </r>
  <r>
    <x v="69"/>
    <s v="Transport"/>
    <n v="5000"/>
    <m/>
    <s v="petrol 697"/>
    <s v="Bank"/>
    <m/>
  </r>
  <r>
    <x v="69"/>
    <s v="Building Acc"/>
    <n v="10000"/>
    <m/>
    <s v="mazdoor"/>
    <s v="Bank"/>
    <m/>
  </r>
  <r>
    <x v="69"/>
    <s v="omer"/>
    <n v="1700"/>
    <m/>
    <m/>
    <s v="Bank"/>
    <m/>
  </r>
  <r>
    <x v="69"/>
    <s v="salary"/>
    <n v="100000"/>
    <m/>
    <s v="Ashfaq sahab boiler theka may1"/>
    <s v="Bank"/>
    <m/>
  </r>
  <r>
    <x v="69"/>
    <s v="Building Acc"/>
    <n v="10000"/>
    <m/>
    <s v="mazdoor"/>
    <s v="Bank"/>
    <m/>
  </r>
  <r>
    <x v="70"/>
    <s v="Faizan kamoki"/>
    <m/>
    <n v="5434"/>
    <s v="Transport  adjust"/>
    <s v="Bank"/>
    <m/>
  </r>
  <r>
    <x v="70"/>
    <s v="Transport"/>
    <n v="5434"/>
    <m/>
    <s v="Faizan transport"/>
    <s v="Bank"/>
    <m/>
  </r>
  <r>
    <x v="71"/>
    <s v="Building Acc"/>
    <n v="100000"/>
    <m/>
    <s v="Bricks//arshad"/>
    <s v="Bank"/>
    <m/>
  </r>
  <r>
    <x v="71"/>
    <s v="Haroon wood"/>
    <n v="100000"/>
    <m/>
    <s v="TID:453259"/>
    <s v="Bank"/>
    <m/>
  </r>
  <r>
    <x v="71"/>
    <s v="irfan punjabi"/>
    <n v="147520"/>
    <m/>
    <s v="NILL-"/>
    <s v="Bank"/>
    <m/>
  </r>
  <r>
    <x v="71"/>
    <s v="Arb Dasti"/>
    <m/>
    <n v="147520"/>
    <s v="irfan punjabi"/>
    <s v="Bank"/>
    <m/>
  </r>
  <r>
    <x v="71"/>
    <s v="loom ac"/>
    <n v="30000"/>
    <m/>
    <s v="abid sb"/>
    <s v="Bank"/>
    <m/>
  </r>
  <r>
    <x v="71"/>
    <s v="Faizan kamoki"/>
    <m/>
    <n v="56000"/>
    <s v="TID:605560"/>
    <s v="Bank"/>
    <m/>
  </r>
  <r>
    <x v="71"/>
    <s v="Building Acc"/>
    <n v="13500"/>
    <m/>
    <s v="Mazdoor x2 mistri x3"/>
    <s v="Bank"/>
    <m/>
  </r>
  <r>
    <x v="72"/>
    <s v="Transport"/>
    <n v="2000"/>
    <m/>
    <m/>
    <s v="Bank"/>
    <m/>
  </r>
  <r>
    <x v="72"/>
    <s v="Building Acc"/>
    <n v="3500"/>
    <m/>
    <m/>
    <s v="Bank"/>
    <m/>
  </r>
  <r>
    <x v="72"/>
    <s v="loom ac"/>
    <n v="20000"/>
    <m/>
    <s v="abid sb"/>
    <s v="Bank"/>
    <m/>
  </r>
  <r>
    <x v="72"/>
    <s v="rashan"/>
    <n v="17790"/>
    <m/>
    <m/>
    <s v="Bank"/>
    <m/>
  </r>
  <r>
    <x v="73"/>
    <s v="rashan"/>
    <n v="2580"/>
    <m/>
    <m/>
    <s v="Bank"/>
    <m/>
  </r>
  <r>
    <x v="73"/>
    <s v="advance salary"/>
    <n v="5000"/>
    <m/>
    <s v="Sabir"/>
    <s v="Bank"/>
    <m/>
  </r>
  <r>
    <x v="73"/>
    <s v="Arb Dasti"/>
    <m/>
    <n v="5000"/>
    <s v="TID:912321"/>
    <s v="Bank"/>
    <m/>
  </r>
  <r>
    <x v="73"/>
    <s v="advance salary"/>
    <n v="5000"/>
    <m/>
    <s v="Tanveer sb"/>
    <s v="Bank"/>
    <m/>
  </r>
  <r>
    <x v="73"/>
    <s v="shafique ansari"/>
    <m/>
    <n v="400000"/>
    <s v="300cash + 100k transfer"/>
    <s v="Bank"/>
    <m/>
  </r>
  <r>
    <x v="73"/>
    <s v="Arb Dasti"/>
    <n v="400000"/>
    <m/>
    <s v="shafique ansari"/>
    <s v="Bank"/>
    <m/>
  </r>
  <r>
    <x v="73"/>
    <s v="Arb Dasti"/>
    <n v="200000"/>
    <m/>
    <s v="TID:618833"/>
    <s v="Bank"/>
    <m/>
  </r>
  <r>
    <x v="73"/>
    <s v="Transport"/>
    <n v="8164"/>
    <m/>
    <s v="petrol 464"/>
    <s v="Bank"/>
    <m/>
  </r>
  <r>
    <x v="73"/>
    <s v="omer"/>
    <n v="1280"/>
    <m/>
    <m/>
    <s v="Bank"/>
    <m/>
  </r>
  <r>
    <x v="73"/>
    <s v="Building Acc"/>
    <n v="12000"/>
    <m/>
    <s v="mazdoor"/>
    <s v="Bank"/>
    <m/>
  </r>
  <r>
    <x v="73"/>
    <s v="Rauf khan"/>
    <m/>
    <n v="918328"/>
    <s v="reciept #85//against maal -BSC"/>
    <s v="Bank"/>
    <m/>
  </r>
  <r>
    <x v="73"/>
    <s v="Arb Dasti"/>
    <n v="918328"/>
    <m/>
    <s v="Rauf Khan//against maal"/>
    <s v="Bank"/>
    <m/>
  </r>
  <r>
    <x v="74"/>
    <s v="Arb Dasti"/>
    <m/>
    <n v="280000"/>
    <s v="TID:530602"/>
    <s v="Bank"/>
    <m/>
  </r>
  <r>
    <x v="74"/>
    <s v="madina dyes"/>
    <n v="94500"/>
    <m/>
    <s v="rubine + scarlet"/>
    <s v="Bank"/>
    <m/>
  </r>
  <r>
    <x v="74"/>
    <s v="rashan"/>
    <n v="6600"/>
    <m/>
    <s v="3 atta"/>
    <s v="Bank"/>
    <m/>
  </r>
  <r>
    <x v="74"/>
    <s v="Arb Dasti"/>
    <m/>
    <n v="84000"/>
    <s v="TID:916990"/>
    <s v="Bank"/>
    <m/>
  </r>
  <r>
    <x v="74"/>
    <s v="Arb Dasti"/>
    <m/>
    <n v="340000"/>
    <s v="Cash"/>
    <s v="Bank"/>
    <m/>
  </r>
  <r>
    <x v="74"/>
    <s v="Transport"/>
    <n v="5000"/>
    <m/>
    <s v="petrol 697"/>
    <s v="Bank"/>
    <m/>
  </r>
  <r>
    <x v="74"/>
    <s v="salary"/>
    <n v="17000"/>
    <m/>
    <s v="Ashraf Guard"/>
    <s v="Bank"/>
    <m/>
  </r>
  <r>
    <x v="74"/>
    <s v="Rauf khan"/>
    <m/>
    <n v="500000"/>
    <s v="TID:515839"/>
    <s v="Bank"/>
    <m/>
  </r>
  <r>
    <x v="75"/>
    <s v="Yousaf wood"/>
    <n v="400000"/>
    <m/>
    <s v="TID:814277"/>
    <s v="Bank"/>
    <m/>
  </r>
  <r>
    <x v="75"/>
    <s v="rashan"/>
    <n v="2670"/>
    <m/>
    <m/>
    <s v="Bank"/>
    <m/>
  </r>
  <r>
    <x v="75"/>
    <s v="Parts"/>
    <n v="250"/>
    <m/>
    <m/>
    <s v="Bank"/>
    <m/>
  </r>
  <r>
    <x v="75"/>
    <s v="Parts"/>
    <n v="34428"/>
    <m/>
    <s v="Diesel"/>
    <s v="Bank"/>
    <m/>
  </r>
  <r>
    <x v="75"/>
    <s v="Arb Dasti"/>
    <m/>
    <n v="250000"/>
    <s v="TID:569822"/>
    <s v="Bank"/>
    <m/>
  </r>
  <r>
    <x v="75"/>
    <s v="omer"/>
    <m/>
    <n v="740"/>
    <m/>
    <s v="Bank"/>
    <m/>
  </r>
  <r>
    <x v="75"/>
    <s v="Transport"/>
    <n v="740"/>
    <m/>
    <s v="mtag"/>
    <s v="Bank"/>
    <m/>
  </r>
  <r>
    <x v="75"/>
    <s v="advance salary"/>
    <m/>
    <m/>
    <s v="NILLL"/>
    <s v="Bank"/>
    <m/>
  </r>
  <r>
    <x v="75"/>
    <s v="advance salary"/>
    <n v="2000"/>
    <m/>
    <s v="khalid sb"/>
    <s v="Bank"/>
    <m/>
  </r>
  <r>
    <x v="75"/>
    <s v="omer"/>
    <n v="10000"/>
    <m/>
    <m/>
    <s v="Bank"/>
    <m/>
  </r>
  <r>
    <x v="75"/>
    <s v="Transport"/>
    <n v="5000"/>
    <m/>
    <m/>
    <s v="Bank"/>
    <m/>
  </r>
  <r>
    <x v="75"/>
    <s v="loom ac"/>
    <n v="5000"/>
    <m/>
    <s v="abid sb"/>
    <s v="Bank"/>
    <m/>
  </r>
  <r>
    <x v="75"/>
    <s v="misc"/>
    <n v="2000"/>
    <m/>
    <s v="Khalid sb medicine"/>
    <s v="Bank"/>
    <m/>
  </r>
  <r>
    <x v="75"/>
    <s v="advance salary"/>
    <n v="13333"/>
    <m/>
    <s v="yamin opt"/>
    <s v="Bank"/>
    <m/>
  </r>
  <r>
    <x v="75"/>
    <s v="salary"/>
    <n v="835027"/>
    <m/>
    <m/>
    <s v="Bank"/>
    <m/>
  </r>
  <r>
    <x v="75"/>
    <s v="omer"/>
    <n v="1000"/>
    <m/>
    <m/>
    <s v="Bank"/>
    <m/>
  </r>
  <r>
    <x v="75"/>
    <s v="misc"/>
    <m/>
    <m/>
    <m/>
    <s v="Bank"/>
    <m/>
  </r>
  <r>
    <x v="76"/>
    <s v="omer"/>
    <n v="1000"/>
    <m/>
    <m/>
    <s v="Bank"/>
    <m/>
  </r>
  <r>
    <x v="76"/>
    <s v="Arb Dasti"/>
    <m/>
    <n v="70250"/>
    <s v="Madina dyes"/>
    <s v="Bank"/>
    <m/>
  </r>
  <r>
    <x v="76"/>
    <s v="madina dyes"/>
    <n v="70250"/>
    <m/>
    <s v="Rubine+4G+black"/>
    <s v="Bank"/>
    <m/>
  </r>
  <r>
    <x v="76"/>
    <s v="rashan"/>
    <n v="6600"/>
    <m/>
    <s v="atta x3"/>
    <s v="Bank"/>
    <m/>
  </r>
  <r>
    <x v="76"/>
    <s v="Arb Dasti"/>
    <m/>
    <n v="150000"/>
    <s v="Cash"/>
    <s v="Bank"/>
    <m/>
  </r>
  <r>
    <x v="76"/>
    <s v="salary"/>
    <n v="10000"/>
    <m/>
    <s v="aqeel fitter"/>
    <s v="Bank"/>
    <m/>
  </r>
  <r>
    <x v="76"/>
    <s v="salary"/>
    <n v="60000"/>
    <m/>
    <s v="waheed sb"/>
    <s v="Bank"/>
    <m/>
  </r>
  <r>
    <x v="76"/>
    <s v="salary"/>
    <n v="50000"/>
    <m/>
    <s v="waqas"/>
    <s v="Bank"/>
    <m/>
  </r>
  <r>
    <x v="76"/>
    <s v="salary"/>
    <n v="50000"/>
    <m/>
    <s v="Tanveer sb"/>
    <s v="Bank"/>
    <m/>
  </r>
  <r>
    <x v="76"/>
    <s v="omer"/>
    <m/>
    <n v="10000"/>
    <s v="cash"/>
    <s v="Bank"/>
    <m/>
  </r>
  <r>
    <x v="76"/>
    <s v="Parts"/>
    <n v="3300"/>
    <m/>
    <m/>
    <s v="Bank"/>
    <m/>
  </r>
  <r>
    <x v="76"/>
    <s v="Arb Dasti"/>
    <m/>
    <n v="3900"/>
    <s v="TID:721717"/>
    <s v="Bank"/>
    <m/>
  </r>
  <r>
    <x v="76"/>
    <s v="misc"/>
    <n v="2400"/>
    <m/>
    <s v="shoppers"/>
    <s v="Bank"/>
    <m/>
  </r>
  <r>
    <x v="76"/>
    <s v="Moeez badshah"/>
    <m/>
    <n v="495000"/>
    <s v="Cash"/>
    <s v="Bank"/>
    <m/>
  </r>
  <r>
    <x v="76"/>
    <s v="Arb Dasti"/>
    <n v="495000"/>
    <m/>
    <s v="Moeez badshah"/>
    <s v="Bank"/>
    <m/>
  </r>
  <r>
    <x v="77"/>
    <s v="Arb Dasti"/>
    <m/>
    <n v="50000"/>
    <s v="TID:463276"/>
    <s v="Bank"/>
    <m/>
  </r>
  <r>
    <x v="77"/>
    <s v="Finish"/>
    <n v="18500"/>
    <m/>
    <s v="BP26"/>
    <s v="Bank"/>
    <m/>
  </r>
  <r>
    <x v="77"/>
    <s v="Parts"/>
    <n v="12500"/>
    <m/>
    <s v="Gauges"/>
    <s v="Bank"/>
    <m/>
  </r>
  <r>
    <x v="77"/>
    <s v="Parts"/>
    <n v="1200"/>
    <m/>
    <s v="nuts x2"/>
    <s v="Bank"/>
    <m/>
  </r>
  <r>
    <x v="77"/>
    <s v="misc"/>
    <n v="5000"/>
    <m/>
    <s v="challan loader unofficial"/>
    <s v="Bank"/>
    <m/>
  </r>
  <r>
    <x v="77"/>
    <s v="Parts"/>
    <n v="750"/>
    <m/>
    <m/>
    <s v="Bank"/>
    <m/>
  </r>
  <r>
    <x v="77"/>
    <s v="Arb Dasti"/>
    <m/>
    <n v="100000"/>
    <s v="TID:698150"/>
    <s v="Bank"/>
    <m/>
  </r>
  <r>
    <x v="77"/>
    <s v="Babar wood"/>
    <n v="50000"/>
    <m/>
    <s v="TID:314767"/>
    <s v="Bank"/>
    <m/>
  </r>
  <r>
    <x v="77"/>
    <s v="zaheer shah wood"/>
    <n v="50000"/>
    <m/>
    <s v="TID:279114"/>
    <s v="Bank"/>
    <m/>
  </r>
  <r>
    <x v="77"/>
    <s v="Transport"/>
    <n v="5000"/>
    <m/>
    <s v="petrol 464"/>
    <s v="Bank"/>
    <m/>
  </r>
  <r>
    <x v="77"/>
    <s v="Arb Dasti"/>
    <m/>
    <n v="15000"/>
    <s v="TID:650100"/>
    <s v="Bank"/>
    <m/>
  </r>
  <r>
    <x v="77"/>
    <s v="salary"/>
    <n v="15000"/>
    <m/>
    <s v="Tanveer sb"/>
    <s v="Bank"/>
    <m/>
  </r>
  <r>
    <x v="77"/>
    <s v="Arb Dasti"/>
    <m/>
    <n v="100000"/>
    <s v="TID:990920"/>
    <s v="Bank"/>
    <m/>
  </r>
  <r>
    <x v="77"/>
    <s v="salary"/>
    <n v="100000"/>
    <m/>
    <s v="Ashfaq sahab boiler theka may2"/>
    <s v="Bank"/>
    <m/>
  </r>
  <r>
    <x v="78"/>
    <s v="Arb Dasti"/>
    <m/>
    <n v="15000"/>
    <s v="TID:612923"/>
    <s v="Bank"/>
    <m/>
  </r>
  <r>
    <x v="78"/>
    <s v="omer"/>
    <n v="3893"/>
    <m/>
    <m/>
    <s v="Bank"/>
    <m/>
  </r>
  <r>
    <x v="78"/>
    <s v="Parts"/>
    <n v="9396"/>
    <m/>
    <s v="Diesel"/>
    <s v="Bank"/>
    <m/>
  </r>
  <r>
    <x v="78"/>
    <s v="Arb Dasti"/>
    <m/>
    <n v="9396"/>
    <s v="Diesel"/>
    <s v="Bank"/>
    <m/>
  </r>
  <r>
    <x v="79"/>
    <s v="Parts"/>
    <n v="3910"/>
    <m/>
    <s v="Copper"/>
    <s v="Bank"/>
    <m/>
  </r>
  <r>
    <x v="79"/>
    <s v="Arb Dasti"/>
    <m/>
    <n v="3910"/>
    <s v="copper"/>
    <s v="Bank"/>
    <m/>
  </r>
  <r>
    <x v="79"/>
    <s v="Parts"/>
    <n v="250"/>
    <m/>
    <m/>
    <s v="Bank"/>
    <m/>
  </r>
  <r>
    <x v="79"/>
    <s v="Transport"/>
    <n v="4804"/>
    <m/>
    <s v="loader+bike"/>
    <s v="Bank"/>
    <m/>
  </r>
  <r>
    <x v="79"/>
    <s v="Parts"/>
    <n v="1000"/>
    <m/>
    <m/>
    <s v="Bank"/>
    <m/>
  </r>
  <r>
    <x v="79"/>
    <s v="Arb Dasti"/>
    <m/>
    <n v="248500"/>
    <s v="Sagheer 4360/57"/>
    <s v="Bank"/>
    <m/>
  </r>
  <r>
    <x v="79"/>
    <s v="Arb Dasti"/>
    <m/>
    <n v="275000"/>
    <s v="TID:410542"/>
    <s v="Bank"/>
    <m/>
  </r>
  <r>
    <x v="79"/>
    <s v="Moeez badshah"/>
    <m/>
    <n v="500000"/>
    <s v="Cash"/>
    <s v="Bank"/>
    <m/>
  </r>
  <r>
    <x v="79"/>
    <s v="Arb Dasti"/>
    <m/>
    <n v="545000"/>
    <s v="Cash"/>
    <s v="Bank"/>
    <m/>
  </r>
  <r>
    <x v="79"/>
    <s v="Electricity"/>
    <n v="1440059"/>
    <m/>
    <s v="LESCO"/>
    <s v="Bank"/>
    <m/>
  </r>
  <r>
    <x v="79"/>
    <s v="Parts"/>
    <n v="800"/>
    <m/>
    <s v="belt"/>
    <s v="Bank"/>
    <m/>
  </r>
  <r>
    <x v="79"/>
    <s v="loom ac"/>
    <n v="15000"/>
    <m/>
    <s v="abid sb"/>
    <s v="Bank"/>
    <m/>
  </r>
  <r>
    <x v="79"/>
    <s v="rashan"/>
    <n v="2400"/>
    <m/>
    <s v="atta"/>
    <s v="Bank"/>
    <m/>
  </r>
  <r>
    <x v="79"/>
    <s v="Transport"/>
    <n v="5000"/>
    <m/>
    <s v="petrol 697"/>
    <s v="Bank"/>
    <m/>
  </r>
  <r>
    <x v="79"/>
    <s v="salary"/>
    <n v="86333"/>
    <m/>
    <s v="Ashfaq sahab boiler theka may2"/>
    <s v="Bank"/>
    <m/>
  </r>
  <r>
    <x v="79"/>
    <s v="Building Acc"/>
    <n v="7200"/>
    <m/>
    <s v="2200 old mazdoor"/>
    <s v="Bank"/>
    <m/>
  </r>
  <r>
    <x v="79"/>
    <s v="misc"/>
    <n v="2000"/>
    <m/>
    <s v="Sewerage"/>
    <s v="Bank"/>
    <m/>
  </r>
  <r>
    <x v="79"/>
    <s v="Farhaan ali"/>
    <m/>
    <n v="300000"/>
    <s v="Cash"/>
    <s v="Bank"/>
    <m/>
  </r>
  <r>
    <x v="79"/>
    <s v="Hafiz qureshi"/>
    <m/>
    <n v="100000"/>
    <s v="Cash"/>
    <s v="Bank"/>
    <m/>
  </r>
  <r>
    <x v="79"/>
    <s v="Arb Dasti"/>
    <n v="300000"/>
    <m/>
    <s v="Farhaan ali"/>
    <s v="Bank"/>
    <m/>
  </r>
  <r>
    <x v="79"/>
    <s v="Arb Dasti"/>
    <n v="100000"/>
    <m/>
    <s v="hafiz qureshi"/>
    <s v="Bank"/>
    <m/>
  </r>
  <r>
    <x v="79"/>
    <s v="Arb Dasti"/>
    <m/>
    <n v="200000"/>
    <s v="unicolour"/>
    <s v="Bank"/>
    <m/>
  </r>
  <r>
    <x v="79"/>
    <s v="Unicolour"/>
    <n v="200000"/>
    <m/>
    <s v="816// reciept #844"/>
    <s v="Bank"/>
    <m/>
  </r>
  <r>
    <x v="79"/>
    <s v="Parts"/>
    <n v="500"/>
    <m/>
    <m/>
    <s v="Bank"/>
    <m/>
  </r>
  <r>
    <x v="80"/>
    <s v="Finish"/>
    <n v="18500"/>
    <m/>
    <s v="BP26"/>
    <s v="Bank"/>
    <m/>
  </r>
  <r>
    <x v="80"/>
    <s v="Arb Dasti"/>
    <m/>
    <n v="18500"/>
    <s v="BP26"/>
    <s v="Bank"/>
    <m/>
  </r>
  <r>
    <x v="80"/>
    <s v="misc"/>
    <n v="5640"/>
    <m/>
    <s v="cylinderr"/>
    <s v="Bank"/>
    <m/>
  </r>
  <r>
    <x v="80"/>
    <s v="madina dyes"/>
    <n v="27000"/>
    <m/>
    <s v="Baqaya"/>
    <s v="Bank"/>
    <m/>
  </r>
  <r>
    <x v="80"/>
    <s v="Arb Dasti"/>
    <m/>
    <n v="27000"/>
    <s v="Madina dyes"/>
    <s v="Bank"/>
    <m/>
  </r>
  <r>
    <x v="80"/>
    <s v="rashan"/>
    <n v="6600"/>
    <m/>
    <s v="atta"/>
    <s v="Bank"/>
    <m/>
  </r>
  <r>
    <x v="80"/>
    <s v="raaz fabrics"/>
    <m/>
    <n v="50000"/>
    <s v="TID:465206"/>
    <s v="Bank"/>
    <m/>
  </r>
  <r>
    <x v="80"/>
    <s v="advance salary"/>
    <n v="15000"/>
    <m/>
    <s v="ghulam abbas"/>
    <s v="Bank"/>
    <m/>
  </r>
  <r>
    <x v="80"/>
    <s v="advance salary"/>
    <n v="35000"/>
    <m/>
    <s v="jet depart"/>
    <s v="Bank"/>
    <m/>
  </r>
  <r>
    <x v="80"/>
    <s v="Kaleem ullah"/>
    <n v="150000"/>
    <m/>
    <s v="TID:501614"/>
    <s v="Bank"/>
    <m/>
  </r>
  <r>
    <x v="80"/>
    <s v="advance salary"/>
    <n v="10000"/>
    <m/>
    <s v="Tanveer sb"/>
    <s v="Bank"/>
    <m/>
  </r>
  <r>
    <x v="80"/>
    <s v="Arb Dasti"/>
    <m/>
    <n v="153000"/>
    <s v="TID:026980"/>
    <s v="Bank"/>
    <m/>
  </r>
  <r>
    <x v="80"/>
    <s v="Faizan kamoki"/>
    <m/>
    <n v="4806"/>
    <s v="Transport  adjust"/>
    <s v="Bank"/>
    <m/>
  </r>
  <r>
    <x v="80"/>
    <s v="Transport"/>
    <n v="4806"/>
    <m/>
    <s v="Faizan transport"/>
    <s v="Bank"/>
    <m/>
  </r>
  <r>
    <x v="81"/>
    <s v="Moeez badshah"/>
    <m/>
    <n v="170000"/>
    <m/>
    <s v="Bank"/>
    <m/>
  </r>
  <r>
    <x v="81"/>
    <s v="Arb Dasti"/>
    <n v="170000"/>
    <m/>
    <s v="Moeez badshah"/>
    <s v="Bank"/>
    <m/>
  </r>
  <r>
    <x v="81"/>
    <s v="rashan"/>
    <n v="1670"/>
    <m/>
    <m/>
    <s v="Bank"/>
    <m/>
  </r>
  <r>
    <x v="81"/>
    <s v="Arb Dasti"/>
    <m/>
    <n v="87000"/>
    <s v="Cash deposit"/>
    <s v="Bank"/>
    <m/>
  </r>
  <r>
    <x v="81"/>
    <s v="Parts"/>
    <n v="39300"/>
    <m/>
    <s v="Stenter patti"/>
    <s v="Bank"/>
    <m/>
  </r>
  <r>
    <x v="81"/>
    <s v="Parts"/>
    <n v="850"/>
    <m/>
    <m/>
    <s v="Bank"/>
    <m/>
  </r>
  <r>
    <x v="81"/>
    <s v="Building Acc"/>
    <n v="5200"/>
    <m/>
    <s v="mazdoor"/>
    <s v="Bank"/>
    <m/>
  </r>
  <r>
    <x v="81"/>
    <s v="Arb Dasti"/>
    <m/>
    <n v="50000"/>
    <s v="TD:590789"/>
    <s v="Bank"/>
    <m/>
  </r>
  <r>
    <x v="81"/>
    <s v="Haroon wood"/>
    <n v="50000"/>
    <m/>
    <s v="TID:061027"/>
    <s v="Bank"/>
    <m/>
  </r>
  <r>
    <x v="81"/>
    <s v="Arb Dasti"/>
    <m/>
    <n v="36000"/>
    <s v="TID:638921"/>
    <s v="Bank"/>
    <m/>
  </r>
  <r>
    <x v="81"/>
    <s v="misc"/>
    <n v="40000"/>
    <m/>
    <s v="Boiler docs//ashfaq sb"/>
    <s v="Bank"/>
    <m/>
  </r>
  <r>
    <x v="81"/>
    <s v="omer"/>
    <n v="1450"/>
    <m/>
    <m/>
    <s v="Bank"/>
    <m/>
  </r>
  <r>
    <x v="82"/>
    <s v="Arb Dasti"/>
    <m/>
    <n v="50000"/>
    <s v="TID:427321"/>
    <s v="Bank"/>
    <m/>
  </r>
  <r>
    <x v="82"/>
    <s v="salary"/>
    <n v="60000"/>
    <m/>
    <s v="Khalid sb June1"/>
    <s v="Bank"/>
    <m/>
  </r>
  <r>
    <x v="82"/>
    <s v="Building Acc"/>
    <n v="5200"/>
    <m/>
    <s v="mazdoor"/>
    <s v="Bank"/>
    <m/>
  </r>
  <r>
    <x v="82"/>
    <s v="Transport"/>
    <n v="4111"/>
    <m/>
    <s v="Diesel"/>
    <s v="Bank"/>
    <m/>
  </r>
  <r>
    <x v="82"/>
    <s v="Parts"/>
    <n v="2000"/>
    <m/>
    <m/>
    <s v="Bank"/>
    <m/>
  </r>
  <r>
    <x v="82"/>
    <s v="Dasti"/>
    <n v="1500"/>
    <m/>
    <s v="groccery"/>
    <s v="Bank"/>
    <m/>
  </r>
  <r>
    <x v="82"/>
    <s v="salary"/>
    <n v="9650"/>
    <m/>
    <s v="Wajid//khubaib"/>
    <s v="Bank"/>
    <m/>
  </r>
  <r>
    <x v="82"/>
    <s v="Dasti"/>
    <n v="4000"/>
    <m/>
    <s v="Taha exp"/>
    <s v="Bank"/>
    <m/>
  </r>
  <r>
    <x v="83"/>
    <s v="omer"/>
    <n v="1800"/>
    <m/>
    <m/>
    <s v="Bank"/>
    <m/>
  </r>
  <r>
    <x v="83"/>
    <s v="Arb Dasti"/>
    <m/>
    <n v="10000"/>
    <s v="JC"/>
    <s v="Bank"/>
    <m/>
  </r>
  <r>
    <x v="83"/>
    <s v="advance salary"/>
    <n v="10000"/>
    <m/>
    <s v="Naeem electric"/>
    <s v="Bank"/>
    <m/>
  </r>
  <r>
    <x v="84"/>
    <s v="Arb Dasti"/>
    <m/>
    <n v="10000"/>
    <s v="TID:487574"/>
    <s v="Bank"/>
    <m/>
  </r>
  <r>
    <x v="84"/>
    <s v="rashan"/>
    <n v="10110"/>
    <m/>
    <m/>
    <s v="Bank"/>
    <m/>
  </r>
  <r>
    <x v="85"/>
    <s v="Faizan kamoki"/>
    <m/>
    <n v="420000"/>
    <s v="TID:643796"/>
    <s v="Bank"/>
    <m/>
  </r>
  <r>
    <x v="85"/>
    <s v="Malik Zaheer"/>
    <n v="300000"/>
    <m/>
    <s v="TID:866605"/>
    <s v="Bank"/>
    <m/>
  </r>
  <r>
    <x v="85"/>
    <s v="advance salary"/>
    <n v="15000"/>
    <m/>
    <s v="bajwa"/>
    <s v="Bank"/>
    <m/>
  </r>
  <r>
    <x v="85"/>
    <s v="Dasti"/>
    <n v="420"/>
    <m/>
    <m/>
    <s v="Bank"/>
    <m/>
  </r>
  <r>
    <x v="85"/>
    <s v="Farhaan ali"/>
    <m/>
    <n v="350000"/>
    <s v="BSC"/>
    <s v="Bank"/>
    <m/>
  </r>
  <r>
    <x v="85"/>
    <s v="Arb Dasti"/>
    <n v="350000"/>
    <m/>
    <s v="Farhaan ali"/>
    <s v="Bank"/>
    <m/>
  </r>
  <r>
    <x v="86"/>
    <s v="rashan"/>
    <n v="6600"/>
    <m/>
    <m/>
    <s v="Bank"/>
    <m/>
  </r>
  <r>
    <x v="86"/>
    <s v="Parts"/>
    <n v="10000"/>
    <m/>
    <s v="rula"/>
    <s v="Bank"/>
    <m/>
  </r>
  <r>
    <x v="86"/>
    <s v="salary"/>
    <n v="20000"/>
    <m/>
    <s v="Amjad fitter"/>
    <s v="Bank"/>
    <m/>
  </r>
  <r>
    <x v="86"/>
    <s v="Arb Dasti"/>
    <m/>
    <n v="5000"/>
    <m/>
    <s v="Bank"/>
    <m/>
  </r>
  <r>
    <x v="86"/>
    <s v="Parts"/>
    <n v="5000"/>
    <m/>
    <m/>
    <s v="Bank"/>
    <m/>
  </r>
  <r>
    <x v="87"/>
    <s v="Arb Dasti"/>
    <m/>
    <n v="23750"/>
    <s v="Madina dyes"/>
    <s v="Bank"/>
    <m/>
  </r>
  <r>
    <x v="87"/>
    <s v="madina dyes"/>
    <n v="23750"/>
    <m/>
    <s v="Finish"/>
    <s v="Bank"/>
    <m/>
  </r>
  <r>
    <x v="87"/>
    <s v="Aslam Multani"/>
    <n v="24000"/>
    <m/>
    <s v="TID:794961"/>
    <s v="Bank"/>
    <m/>
  </r>
  <r>
    <x v="87"/>
    <s v="Arb Dasti"/>
    <m/>
    <n v="24000"/>
    <s v="Aslam multani"/>
    <s v="Bank"/>
    <m/>
  </r>
  <r>
    <x v="87"/>
    <s v="Parts"/>
    <n v="7000"/>
    <m/>
    <m/>
    <s v="Bank"/>
    <m/>
  </r>
  <r>
    <x v="87"/>
    <s v="salary"/>
    <n v="15000"/>
    <m/>
    <s v="khubaib eid"/>
    <s v="Bank"/>
    <m/>
  </r>
  <r>
    <x v="87"/>
    <s v="Arb Dasti"/>
    <m/>
    <n v="175000"/>
    <s v="TID:335915"/>
    <s v="Bank"/>
    <m/>
  </r>
  <r>
    <x v="87"/>
    <s v="Kaleem ullah"/>
    <n v="200000"/>
    <m/>
    <s v="TID:310840"/>
    <s v="Bank"/>
    <m/>
  </r>
  <r>
    <x v="87"/>
    <s v="misc"/>
    <n v="15000"/>
    <m/>
    <s v="Lifter/Mazdoor"/>
    <s v="Bank"/>
    <m/>
  </r>
  <r>
    <x v="87"/>
    <s v="Parts"/>
    <n v="7000"/>
    <m/>
    <s v="rula"/>
    <s v="Bank"/>
    <m/>
  </r>
  <r>
    <x v="87"/>
    <s v="Arb Dasti"/>
    <m/>
    <n v="7000"/>
    <s v="muhammad sami"/>
    <s v="Bank"/>
    <m/>
  </r>
  <r>
    <x v="88"/>
    <s v="Arb Dasti"/>
    <m/>
    <n v="400000"/>
    <s v="TID:377426"/>
    <s v="Bank"/>
    <m/>
  </r>
  <r>
    <x v="88"/>
    <s v="Yousaf wood"/>
    <n v="400000"/>
    <m/>
    <s v="TID:998682"/>
    <s v="Bank"/>
    <m/>
  </r>
  <r>
    <x v="88"/>
    <s v="Rana Kamran"/>
    <n v="53500"/>
    <m/>
    <s v="TID:511381"/>
    <s v="Bank"/>
    <m/>
  </r>
  <r>
    <x v="88"/>
    <s v="Arb Dasti"/>
    <m/>
    <n v="53500"/>
    <s v="TID:511381"/>
    <s v="Bank"/>
    <m/>
  </r>
  <r>
    <x v="88"/>
    <s v="Building Acc"/>
    <n v="52000"/>
    <m/>
    <s v="Bricks"/>
    <s v="Bank"/>
    <m/>
  </r>
  <r>
    <x v="88"/>
    <s v="Arb Dasti"/>
    <m/>
    <n v="52000"/>
    <s v="Bricks"/>
    <s v="Bank"/>
    <m/>
  </r>
  <r>
    <x v="88"/>
    <s v="Arb Dasti"/>
    <m/>
    <n v="25000"/>
    <s v="TID:501832"/>
    <s v="Bank"/>
    <m/>
  </r>
  <r>
    <x v="88"/>
    <s v="misc"/>
    <n v="15000"/>
    <m/>
    <s v="Env "/>
    <s v="Bank"/>
    <m/>
  </r>
  <r>
    <x v="88"/>
    <s v="Dasti"/>
    <n v="5700"/>
    <m/>
    <s v="Exhaust//mama"/>
    <s v="Bank"/>
    <m/>
  </r>
  <r>
    <x v="88"/>
    <s v="Arb Dasti"/>
    <m/>
    <n v="7001"/>
    <s v="TID:160646"/>
    <s v="Bank"/>
    <m/>
  </r>
  <r>
    <x v="88"/>
    <s v="TEMP"/>
    <n v="7001"/>
    <m/>
    <m/>
    <s v="Bank"/>
    <m/>
  </r>
  <r>
    <x v="88"/>
    <s v="loom ac"/>
    <n v="7000"/>
    <m/>
    <s v="abid sb"/>
    <s v="Bank"/>
    <m/>
  </r>
  <r>
    <x v="88"/>
    <s v="Arb Dasti"/>
    <m/>
    <n v="100000"/>
    <s v="TID:813554"/>
    <s v="Bank"/>
    <m/>
  </r>
  <r>
    <x v="88"/>
    <s v="omer"/>
    <n v="540"/>
    <m/>
    <m/>
    <s v="Bank"/>
    <m/>
  </r>
  <r>
    <x v="88"/>
    <s v="Farhaan ali"/>
    <m/>
    <n v="400000"/>
    <s v="BSC"/>
    <s v="Bank"/>
    <m/>
  </r>
  <r>
    <x v="88"/>
    <s v="Arb Dasti"/>
    <n v="400000"/>
    <m/>
    <s v="Farhaan ali"/>
    <s v="Bank"/>
    <m/>
  </r>
  <r>
    <x v="88"/>
    <s v="misc"/>
    <n v="1150"/>
    <m/>
    <s v="Litter x2 + pliers"/>
    <s v="Bank"/>
    <m/>
  </r>
  <r>
    <x v="88"/>
    <s v="omer"/>
    <n v="1250"/>
    <m/>
    <m/>
    <s v="Bank"/>
    <m/>
  </r>
  <r>
    <x v="88"/>
    <s v="Moeez badshah"/>
    <m/>
    <n v="140000"/>
    <s v="BSC"/>
    <s v="Bank"/>
    <m/>
  </r>
  <r>
    <x v="88"/>
    <s v="Arb Dasti"/>
    <n v="140000"/>
    <m/>
    <s v="Moeez badshah"/>
    <s v="Bank"/>
    <m/>
  </r>
  <r>
    <x v="88"/>
    <s v="ACM salman Zaffar"/>
    <m/>
    <n v="119000"/>
    <s v="Cheque"/>
    <s v="Bank"/>
    <m/>
  </r>
  <r>
    <x v="88"/>
    <s v="Arb Dasti"/>
    <n v="119000"/>
    <m/>
    <s v="salman zaffar cheque"/>
    <s v="Bank"/>
    <m/>
  </r>
  <r>
    <x v="88"/>
    <s v="ACM salman Zaffar"/>
    <m/>
    <n v="189000"/>
    <s v="Clear"/>
    <s v="Bank"/>
    <m/>
  </r>
  <r>
    <x v="88"/>
    <s v="Arb Dasti"/>
    <n v="189000"/>
    <m/>
    <s v="salman zaffar"/>
    <s v="Bank"/>
    <m/>
  </r>
  <r>
    <x v="89"/>
    <s v="Arb Dasti"/>
    <m/>
    <n v="300000"/>
    <s v="TID:984756"/>
    <s v="Bank"/>
    <m/>
  </r>
  <r>
    <x v="89"/>
    <s v="Arb Dasti"/>
    <m/>
    <n v="250000"/>
    <s v="TID:058016"/>
    <s v="Bank"/>
    <m/>
  </r>
  <r>
    <x v="89"/>
    <s v="Transport"/>
    <n v="290"/>
    <m/>
    <s v="Mtag"/>
    <s v="Bank"/>
    <m/>
  </r>
  <r>
    <x v="89"/>
    <s v="salary"/>
    <n v="40000"/>
    <m/>
    <s v="Tanveer sb"/>
    <s v="Bank"/>
    <m/>
  </r>
  <r>
    <x v="89"/>
    <s v="Arb Dasti"/>
    <m/>
    <n v="25000"/>
    <s v="Cash"/>
    <s v="Bank"/>
    <m/>
  </r>
  <r>
    <x v="89"/>
    <s v="Kaleem ullah"/>
    <n v="6000"/>
    <m/>
    <s v="unloading"/>
    <s v="Bank"/>
    <m/>
  </r>
  <r>
    <x v="89"/>
    <s v="Yousaf wood"/>
    <n v="6000"/>
    <m/>
    <s v="unloading"/>
    <s v="Bank"/>
    <m/>
  </r>
  <r>
    <x v="89"/>
    <s v="Transport"/>
    <n v="5000"/>
    <m/>
    <s v="petrol"/>
    <s v="Bank"/>
    <m/>
  </r>
  <r>
    <x v="89"/>
    <s v="Dasti"/>
    <n v="3000"/>
    <m/>
    <s v="Zubair driver 3k"/>
    <s v="Bank"/>
    <m/>
  </r>
  <r>
    <x v="89"/>
    <s v="advance salary"/>
    <m/>
    <m/>
    <s v="NILL"/>
    <s v="Bank"/>
    <m/>
  </r>
  <r>
    <x v="89"/>
    <s v="advance salary"/>
    <n v="3000"/>
    <m/>
    <s v="Haseen Khan"/>
    <s v="Bank"/>
    <m/>
  </r>
  <r>
    <x v="89"/>
    <s v="salary"/>
    <n v="563750"/>
    <m/>
    <s v="General"/>
    <s v="Bank"/>
    <m/>
  </r>
  <r>
    <x v="89"/>
    <s v="omer"/>
    <n v="20000"/>
    <m/>
    <s v="Cash reserve"/>
    <s v="Bank"/>
    <m/>
  </r>
  <r>
    <x v="89"/>
    <s v="omer"/>
    <n v="1000"/>
    <m/>
    <m/>
    <s v="Bank"/>
    <m/>
  </r>
  <r>
    <x v="89"/>
    <s v="Farhaan ali"/>
    <m/>
    <n v="97000"/>
    <s v="Bill Nill"/>
    <s v="Bank"/>
    <m/>
  </r>
  <r>
    <x v="89"/>
    <s v="Arb Dasti"/>
    <n v="97000"/>
    <m/>
    <s v="Farhaan ali"/>
    <s v="Bank"/>
    <m/>
  </r>
  <r>
    <x v="90"/>
    <s v="Arb Dasti"/>
    <m/>
    <n v="100000"/>
    <s v="TID:367220"/>
    <s v="Bank"/>
    <m/>
  </r>
  <r>
    <x v="90"/>
    <s v="Haroon wood"/>
    <n v="100000"/>
    <m/>
    <s v="TID:535168"/>
    <s v="Bank"/>
    <m/>
  </r>
  <r>
    <x v="90"/>
    <s v="rashan"/>
    <n v="2500"/>
    <m/>
    <s v="bearings"/>
    <s v="Bank"/>
    <m/>
  </r>
  <r>
    <x v="90"/>
    <s v="Parts"/>
    <n v="1600"/>
    <m/>
    <s v="insulation rule"/>
    <s v="Bank"/>
    <m/>
  </r>
  <r>
    <x v="90"/>
    <s v="Parts"/>
    <n v="700"/>
    <m/>
    <s v="tapes"/>
    <s v="Bank"/>
    <m/>
  </r>
  <r>
    <x v="90"/>
    <s v="misc"/>
    <n v="440"/>
    <m/>
    <s v="stationary"/>
    <s v="Bank"/>
    <m/>
  </r>
  <r>
    <x v="90"/>
    <s v="Transport"/>
    <n v="800"/>
    <m/>
    <s v="Dyes karaya"/>
    <s v="Bank"/>
    <m/>
  </r>
  <r>
    <x v="90"/>
    <s v="Arb Dasti"/>
    <m/>
    <n v="800"/>
    <s v="Dyes karaya"/>
    <s v="Bank"/>
    <m/>
  </r>
  <r>
    <x v="90"/>
    <s v="Arb Dasti"/>
    <m/>
    <n v="25000"/>
    <s v="TID:773231"/>
    <s v="Bank"/>
    <m/>
  </r>
  <r>
    <x v="90"/>
    <s v="advance salary"/>
    <n v="5000"/>
    <m/>
    <s v="Khalid sb 5000+2000"/>
    <s v="Bank"/>
    <m/>
  </r>
  <r>
    <x v="90"/>
    <s v="rashan"/>
    <n v="6600"/>
    <m/>
    <s v="Atta"/>
    <s v="Bank"/>
    <m/>
  </r>
  <r>
    <x v="90"/>
    <s v="Parts"/>
    <n v="25000"/>
    <m/>
    <s v="Tahir pins//12890 left"/>
    <s v="Bank"/>
    <m/>
  </r>
  <r>
    <x v="90"/>
    <s v="Arb Dasti"/>
    <m/>
    <n v="25000"/>
    <s v="Tahir pins//12890 left"/>
    <s v="Bank"/>
    <m/>
  </r>
  <r>
    <x v="90"/>
    <s v="Parts"/>
    <n v="12500"/>
    <m/>
    <s v="clips"/>
    <s v="Bank"/>
    <m/>
  </r>
  <r>
    <x v="90"/>
    <s v="Arb Dasti"/>
    <m/>
    <n v="12500"/>
    <s v="TID:532267"/>
    <s v="Bank"/>
    <m/>
  </r>
  <r>
    <x v="90"/>
    <s v="Parts"/>
    <n v="460"/>
    <m/>
    <m/>
    <s v="Bank"/>
    <m/>
  </r>
  <r>
    <x v="91"/>
    <s v="omer"/>
    <n v="2300"/>
    <m/>
    <m/>
    <s v="Bank"/>
    <m/>
  </r>
  <r>
    <x v="91"/>
    <s v="Arb Dasti"/>
    <m/>
    <n v="129000"/>
    <s v="TID:679625"/>
    <s v="Bank"/>
    <m/>
  </r>
  <r>
    <x v="91"/>
    <s v="salary"/>
    <n v="129000"/>
    <m/>
    <s v="Ashfaq sahab boiler theka June1"/>
    <s v="Bank"/>
    <m/>
  </r>
  <r>
    <x v="91"/>
    <s v="misc"/>
    <n v="2000"/>
    <m/>
    <s v="khalid sb package"/>
    <s v="Bank"/>
    <m/>
  </r>
  <r>
    <x v="91"/>
    <s v="misc"/>
    <n v="420"/>
    <m/>
    <s v="tapes"/>
    <s v="Bank"/>
    <m/>
  </r>
  <r>
    <x v="89"/>
    <s v="raaz fabrics"/>
    <m/>
    <n v="100000"/>
    <s v="Cash BSC"/>
    <s v="Bank"/>
    <m/>
  </r>
  <r>
    <x v="89"/>
    <s v="Arb Dasti"/>
    <n v="100000"/>
    <m/>
    <s v="Raaz fabrics"/>
    <s v="Bank"/>
    <m/>
  </r>
  <r>
    <x v="92"/>
    <s v="Arb Dasti"/>
    <m/>
    <n v="15000"/>
    <s v="TID:480337"/>
    <s v="Bank"/>
    <m/>
  </r>
  <r>
    <x v="92"/>
    <s v="Parts"/>
    <n v="1000"/>
    <m/>
    <s v="4 terminal"/>
    <s v="Bank"/>
    <m/>
  </r>
  <r>
    <x v="92"/>
    <s v="misc"/>
    <n v="400"/>
    <m/>
    <s v="chalk"/>
    <s v="Bank"/>
    <m/>
  </r>
  <r>
    <x v="92"/>
    <s v="rashan"/>
    <n v="10210"/>
    <m/>
    <m/>
    <s v="Bank"/>
    <m/>
  </r>
  <r>
    <x v="92"/>
    <s v="Transport"/>
    <n v="710"/>
    <m/>
    <s v="Mtag"/>
    <s v="Bank"/>
    <m/>
  </r>
  <r>
    <x v="92"/>
    <s v="loom ac"/>
    <n v="4000"/>
    <m/>
    <s v="garari x4"/>
    <s v="Bank"/>
    <m/>
  </r>
  <r>
    <x v="92"/>
    <s v="Parts"/>
    <n v="1200"/>
    <m/>
    <s v="Ball Valve"/>
    <s v="Bank"/>
    <m/>
  </r>
  <r>
    <x v="92"/>
    <s v="Parts"/>
    <n v="23500"/>
    <m/>
    <s v="Compressor"/>
    <s v="Bank"/>
    <m/>
  </r>
  <r>
    <x v="92"/>
    <s v="Transport"/>
    <n v="5000"/>
    <m/>
    <s v="Petrol 697"/>
    <s v="Bank"/>
    <m/>
  </r>
  <r>
    <x v="92"/>
    <s v="Arb Dasti"/>
    <m/>
    <n v="90000"/>
    <s v="Cash"/>
    <s v="Bank"/>
    <m/>
  </r>
  <r>
    <x v="92"/>
    <s v="salary"/>
    <n v="50000"/>
    <m/>
    <s v="Waqas ADM"/>
    <s v="Bank"/>
    <m/>
  </r>
  <r>
    <x v="92"/>
    <s v="salary"/>
    <n v="60000"/>
    <m/>
    <s v="Waheed sb"/>
    <s v="Bank"/>
    <m/>
  </r>
  <r>
    <x v="92"/>
    <s v="advance salary"/>
    <n v="5000"/>
    <m/>
    <s v="Ghulam mustafa opt"/>
    <s v="Bank"/>
    <m/>
  </r>
  <r>
    <x v="92"/>
    <s v="shafique ansari"/>
    <m/>
    <n v="355000"/>
    <s v="cash"/>
    <s v="Bank"/>
    <m/>
  </r>
  <r>
    <x v="92"/>
    <s v="Moeez badshah"/>
    <m/>
    <n v="155000"/>
    <s v="Cash"/>
    <s v="Bank"/>
    <m/>
  </r>
  <r>
    <x v="92"/>
    <s v="Dasti"/>
    <n v="1000"/>
    <m/>
    <s v="abdullah"/>
    <s v="Bank"/>
    <m/>
  </r>
  <r>
    <x v="92"/>
    <s v="advance salary"/>
    <n v="20000"/>
    <m/>
    <s v="Khalid Sb"/>
    <s v="Bank"/>
    <m/>
  </r>
  <r>
    <x v="92"/>
    <s v="aurangzeb wood"/>
    <n v="100000"/>
    <m/>
    <s v="TID:106949"/>
    <s v="Bank"/>
    <m/>
  </r>
  <r>
    <x v="92"/>
    <s v="Kaleem ullah"/>
    <n v="150000"/>
    <m/>
    <s v="TID:363337"/>
    <s v="Bank"/>
    <m/>
  </r>
  <r>
    <x v="92"/>
    <s v="omer"/>
    <n v="100000"/>
    <m/>
    <s v="TID:061243"/>
    <s v="Bank"/>
    <m/>
  </r>
  <r>
    <x v="92"/>
    <s v="TEMP"/>
    <m/>
    <m/>
    <s v="Cash//compressor"/>
    <s v="Bank"/>
    <m/>
  </r>
  <r>
    <x v="92"/>
    <s v="Transport"/>
    <n v="1500"/>
    <m/>
    <s v="Shah dyes karaya"/>
    <s v="Bank"/>
    <m/>
  </r>
  <r>
    <x v="93"/>
    <s v="shafique ansari"/>
    <m/>
    <n v="180000"/>
    <s v="Cheque 7/8/26"/>
    <s v="Bank"/>
    <m/>
  </r>
  <r>
    <x v="93"/>
    <s v="shafique ansari"/>
    <m/>
    <n v="190000"/>
    <s v="Cheque 7/8/26"/>
    <s v="Bank"/>
    <m/>
  </r>
  <r>
    <x v="93"/>
    <s v="Arb Dasti"/>
    <n v="180000"/>
    <m/>
    <s v="Ansari cheque TEMPORARY"/>
    <s v="Bank"/>
    <m/>
  </r>
  <r>
    <x v="93"/>
    <s v="Arb Dasti"/>
    <n v="190000"/>
    <m/>
    <s v="Ansari cheque TEMPORARY"/>
    <s v="Bank"/>
    <m/>
  </r>
  <r>
    <x v="93"/>
    <s v="advance salary"/>
    <n v="25000"/>
    <m/>
    <s v="Khubaib"/>
    <s v="Bank"/>
    <m/>
  </r>
  <r>
    <x v="93"/>
    <s v="Faizan kamoki"/>
    <m/>
    <n v="200000"/>
    <s v="TID:646482"/>
    <s v="Bank"/>
    <m/>
  </r>
  <r>
    <x v="93"/>
    <s v="Moeez badshah"/>
    <m/>
    <n v="65000"/>
    <s v="TID:537686"/>
    <s v="Bank"/>
    <m/>
  </r>
  <r>
    <x v="93"/>
    <s v="Malik Zaheer"/>
    <n v="250000"/>
    <m/>
    <s v="TID:945929"/>
    <s v="Bank"/>
    <m/>
  </r>
  <r>
    <x v="93"/>
    <s v="Parts"/>
    <n v="350"/>
    <m/>
    <s v="sariya"/>
    <s v="Bank"/>
    <m/>
  </r>
  <r>
    <x v="93"/>
    <s v="Finish"/>
    <n v="18500"/>
    <m/>
    <s v="BP26"/>
    <s v="Bank"/>
    <m/>
  </r>
  <r>
    <x v="93"/>
    <s v="Babar wood"/>
    <n v="25000"/>
    <m/>
    <s v="TID:926651"/>
    <s v="Bank"/>
    <m/>
  </r>
  <r>
    <x v="93"/>
    <s v="rashan"/>
    <n v="2600"/>
    <m/>
    <s v="atta x2"/>
    <s v="Bank"/>
    <m/>
  </r>
  <r>
    <x v="93"/>
    <s v="Parts"/>
    <n v="2500"/>
    <m/>
    <s v="valve repair"/>
    <s v="Bank"/>
    <m/>
  </r>
  <r>
    <x v="93"/>
    <s v="Transport"/>
    <n v="200"/>
    <m/>
    <s v="bike petrol"/>
    <s v="Bank"/>
    <m/>
  </r>
  <r>
    <x v="93"/>
    <s v="advance salary"/>
    <n v="5000"/>
    <m/>
    <s v="Naeem electric"/>
    <s v="Bank"/>
    <m/>
  </r>
  <r>
    <x v="93"/>
    <s v="salary"/>
    <n v="6000"/>
    <m/>
    <s v="Aslam helper"/>
    <s v="Bank"/>
    <m/>
  </r>
  <r>
    <x v="93"/>
    <s v="omer"/>
    <m/>
    <n v="13000"/>
    <s v="Cash reserve"/>
    <s v="Bank"/>
    <m/>
  </r>
  <r>
    <x v="93"/>
    <s v="loom ac"/>
    <n v="10000"/>
    <m/>
    <s v="abid sb"/>
    <s v="Bank"/>
    <m/>
  </r>
  <r>
    <x v="93"/>
    <s v="Taha Dasti"/>
    <m/>
    <n v="75000"/>
    <s v="Temp"/>
    <s v="Bank"/>
    <m/>
  </r>
  <r>
    <x v="93"/>
    <s v="Aslam Multani"/>
    <n v="117810"/>
    <m/>
    <s v="TID:755560"/>
    <s v="Bank"/>
    <m/>
  </r>
  <r>
    <x v="94"/>
    <s v="advance salary"/>
    <n v="5000"/>
    <m/>
    <s v="ghulam abbas"/>
    <s v="Bank"/>
    <m/>
  </r>
  <r>
    <x v="94"/>
    <s v="omer"/>
    <m/>
    <n v="5000"/>
    <s v="Cash reserve"/>
    <s v="Bank"/>
    <m/>
  </r>
  <r>
    <x v="94"/>
    <s v="Transport"/>
    <n v="500"/>
    <m/>
    <s v="Shah Toll plaza"/>
    <s v="Bank"/>
    <m/>
  </r>
  <r>
    <x v="94"/>
    <s v="misc"/>
    <n v="2580"/>
    <m/>
    <s v="stationary//Registers x4"/>
    <s v="Bank"/>
    <m/>
  </r>
  <r>
    <x v="94"/>
    <s v="Parts"/>
    <n v="800"/>
    <m/>
    <s v="elfie+screws"/>
    <s v="Bank"/>
    <m/>
  </r>
  <r>
    <x v="94"/>
    <s v="Building Acc"/>
    <n v="1800"/>
    <m/>
    <s v="Mazdoor old Balance"/>
    <s v="Bank"/>
    <m/>
  </r>
  <r>
    <x v="94"/>
    <s v="rashan"/>
    <n v="12000"/>
    <m/>
    <s v="Atta x10"/>
    <s v="Bank"/>
    <m/>
  </r>
  <r>
    <x v="94"/>
    <s v="Moeez badshah"/>
    <m/>
    <n v="85000"/>
    <s v="payment"/>
    <s v="Bank"/>
    <m/>
  </r>
  <r>
    <x v="94"/>
    <s v="salary"/>
    <n v="35000"/>
    <m/>
    <s v="Khalid sb June2 + 3500 Tempcash"/>
    <s v="Bank"/>
    <m/>
  </r>
  <r>
    <x v="94"/>
    <s v="Sheikh Naveed"/>
    <m/>
    <n v="94900"/>
    <s v="Bill Nill"/>
    <s v="Bank"/>
    <m/>
  </r>
  <r>
    <x v="94"/>
    <s v="salary"/>
    <n v="10200"/>
    <m/>
    <s v="Imran jet depart"/>
    <s v="Bank"/>
    <m/>
  </r>
  <r>
    <x v="94"/>
    <s v="salary"/>
    <n v="5000"/>
    <m/>
    <s v="Sabir stenter/folding"/>
    <s v="Bank"/>
    <m/>
  </r>
  <r>
    <x v="94"/>
    <s v="advance salary"/>
    <n v="7000"/>
    <m/>
    <s v="Tanveer sb"/>
    <s v="Bank"/>
    <m/>
  </r>
  <r>
    <x v="94"/>
    <s v="omer"/>
    <n v="2350"/>
    <m/>
    <m/>
    <s v="Bank"/>
    <m/>
  </r>
  <r>
    <x v="95"/>
    <s v="Malik Zaheer"/>
    <n v="80000"/>
    <m/>
    <s v="freight"/>
    <s v="Bank"/>
    <m/>
  </r>
  <r>
    <x v="95"/>
    <s v="Rana Kamran"/>
    <n v="185350"/>
    <m/>
    <s v="Bill Nill//TID:905758"/>
    <s v="Bank"/>
    <m/>
  </r>
  <r>
    <x v="95"/>
    <s v="Taha Dasti"/>
    <m/>
    <n v="185350"/>
    <s v="Rana kamran"/>
    <s v="Bank"/>
    <m/>
  </r>
  <r>
    <x v="95"/>
    <s v="Transport"/>
    <n v="5000"/>
    <m/>
    <s v="Petrol 697"/>
    <s v="Bank"/>
    <m/>
  </r>
  <r>
    <x v="95"/>
    <s v="Transport"/>
    <n v="500"/>
    <m/>
    <s v="mtag 697"/>
    <s v="Bank"/>
    <m/>
  </r>
  <r>
    <x v="95"/>
    <s v="Parts"/>
    <n v="1250"/>
    <m/>
    <s v="folding pulley"/>
    <s v="Bank"/>
    <m/>
  </r>
  <r>
    <x v="95"/>
    <s v="Parts"/>
    <n v="1800"/>
    <m/>
    <s v="12 cones silai"/>
    <s v="Bank"/>
    <m/>
  </r>
  <r>
    <x v="95"/>
    <s v="Parts"/>
    <n v="1100"/>
    <m/>
    <s v="B73 belts x2"/>
    <s v="Bank"/>
    <m/>
  </r>
  <r>
    <x v="95"/>
    <s v="Parts"/>
    <n v="3560"/>
    <m/>
    <s v="Electrical"/>
    <s v="Bank"/>
    <m/>
  </r>
  <r>
    <x v="95"/>
    <s v="Transport"/>
    <n v="800"/>
    <m/>
    <s v="Dyes karaya"/>
    <s v="Bank"/>
    <m/>
  </r>
  <r>
    <x v="95"/>
    <s v="Malik Salman"/>
    <m/>
    <n v="85000"/>
    <s v="TID:470437"/>
    <s v="Bank"/>
    <m/>
  </r>
  <r>
    <x v="95"/>
    <s v="Malik Salman"/>
    <m/>
    <n v="6000"/>
    <s v="JC"/>
    <s v="Bank"/>
    <m/>
  </r>
  <r>
    <x v="95"/>
    <s v="Parts"/>
    <n v="1200"/>
    <m/>
    <s v="pulley size+ caterpin"/>
    <s v="Bank"/>
    <m/>
  </r>
  <r>
    <x v="95"/>
    <s v="Parts"/>
    <n v="1350"/>
    <m/>
    <s v="Bulbs x3"/>
    <s v="Bank"/>
    <m/>
  </r>
  <r>
    <x v="95"/>
    <s v="Malik Zaheer"/>
    <n v="46850"/>
    <m/>
    <s v="freight"/>
    <s v="Bank"/>
    <m/>
  </r>
  <r>
    <x v="95"/>
    <s v="misc"/>
    <n v="2450"/>
    <m/>
    <s v="Khalid sb medicines"/>
    <s v="Bank"/>
    <m/>
  </r>
  <r>
    <x v="95"/>
    <s v="zaheer shah wood"/>
    <n v="15000"/>
    <m/>
    <s v="TID:975224"/>
    <s v="Bank"/>
    <m/>
  </r>
  <r>
    <x v="95"/>
    <s v="Building Acc"/>
    <n v="10000"/>
    <m/>
    <s v="mazdoor theka"/>
    <s v="Bank"/>
    <m/>
  </r>
  <r>
    <x v="95"/>
    <s v="Transport"/>
    <n v="2000"/>
    <m/>
    <s v="1000 engineoil+ 1000 petrol bike"/>
    <s v="Bank"/>
    <m/>
  </r>
  <r>
    <x v="95"/>
    <s v="Yousaf wood"/>
    <n v="400000"/>
    <m/>
    <s v="TID:100601"/>
    <s v="Bank"/>
    <m/>
  </r>
  <r>
    <x v="95"/>
    <s v="Taha Dasti"/>
    <m/>
    <n v="400000"/>
    <s v="Yousaf wood"/>
    <s v="Bank"/>
    <m/>
  </r>
  <r>
    <x v="95"/>
    <s v="Arb Dasti"/>
    <m/>
    <n v="170000"/>
    <s v="TID:670541"/>
    <s v="Bank"/>
    <m/>
  </r>
  <r>
    <x v="95"/>
    <s v="Kaleem ullah"/>
    <n v="200000"/>
    <m/>
    <s v="TID:956381"/>
    <s v="Bank"/>
    <m/>
  </r>
  <r>
    <x v="96"/>
    <s v="Taha Dasti"/>
    <m/>
    <n v="36000"/>
    <s v="TID:699359"/>
    <s v="Bank"/>
    <m/>
  </r>
  <r>
    <x v="96"/>
    <s v="Malik Zaheer"/>
    <n v="36000"/>
    <m/>
    <s v="freight"/>
    <s v="Bank"/>
    <m/>
  </r>
  <r>
    <x v="96"/>
    <s v="Taha Dasti"/>
    <m/>
    <n v="80000"/>
    <s v="akbar sb salary"/>
    <s v="Bank"/>
    <m/>
  </r>
  <r>
    <x v="96"/>
    <s v="salary"/>
    <n v="80000"/>
    <m/>
    <s v="akbar sb"/>
    <s v="Bank"/>
    <m/>
  </r>
  <r>
    <x v="96"/>
    <s v="Arb Dasti"/>
    <m/>
    <n v="280000"/>
    <s v="TID:727147"/>
    <s v="Bank"/>
    <m/>
  </r>
  <r>
    <x v="96"/>
    <s v="Malik Zaheer"/>
    <n v="300000"/>
    <m/>
    <s v="TID:244810"/>
    <s v="Bank"/>
    <m/>
  </r>
  <r>
    <x v="96"/>
    <s v="Taha Dasti"/>
    <m/>
    <n v="24000"/>
    <m/>
    <s v="Bank"/>
    <m/>
  </r>
  <r>
    <x v="96"/>
    <s v="Dasti"/>
    <n v="4480"/>
    <m/>
    <s v="optix bill"/>
    <s v="Bank"/>
    <m/>
  </r>
  <r>
    <x v="97"/>
    <s v="Rehan Butt"/>
    <m/>
    <n v="488600"/>
    <m/>
    <s v="Bank"/>
    <m/>
  </r>
  <r>
    <x v="97"/>
    <s v="Arb Dasti"/>
    <n v="488600"/>
    <m/>
    <s v="Rehan butt"/>
    <s v="Bank"/>
    <m/>
  </r>
  <r>
    <x v="96"/>
    <s v="raaz fabrics"/>
    <m/>
    <n v="100000"/>
    <m/>
    <s v="Bank"/>
    <m/>
  </r>
  <r>
    <x v="97"/>
    <s v="Arb Dasti"/>
    <n v="100000"/>
    <m/>
    <s v="Raaz fabrics"/>
    <s v="Bank"/>
    <m/>
  </r>
  <r>
    <x v="87"/>
    <s v="Moeez badshah"/>
    <m/>
    <n v="132500"/>
    <m/>
    <s v="Bank"/>
    <m/>
  </r>
  <r>
    <x v="87"/>
    <s v="Arb Dasti"/>
    <n v="132500"/>
    <m/>
    <s v="Moeez badshah"/>
    <s v="Bank"/>
    <m/>
  </r>
  <r>
    <x v="97"/>
    <s v="Transport"/>
    <n v="500"/>
    <m/>
    <s v="puncture"/>
    <s v="Bank"/>
    <m/>
  </r>
  <r>
    <x v="97"/>
    <s v="advance salary"/>
    <n v="5000"/>
    <m/>
    <s v="Ghulam mustafa opt"/>
    <s v="Bank"/>
    <m/>
  </r>
  <r>
    <x v="97"/>
    <s v="Parts"/>
    <n v="460"/>
    <m/>
    <s v="led chips x2"/>
    <s v="Bank"/>
    <m/>
  </r>
  <r>
    <x v="97"/>
    <s v="Parts"/>
    <n v="3500"/>
    <m/>
    <s v="fan copper wind"/>
    <s v="Bank"/>
    <m/>
  </r>
  <r>
    <x v="97"/>
    <s v="loom ac"/>
    <n v="49410"/>
    <m/>
    <s v="9882 meters"/>
    <s v="Bank"/>
    <m/>
  </r>
  <r>
    <x v="97"/>
    <s v="Bablu"/>
    <m/>
    <n v="100000"/>
    <m/>
    <s v="Bank"/>
    <m/>
  </r>
  <r>
    <x v="97"/>
    <s v="Parts"/>
    <n v="3400"/>
    <m/>
    <s v="Scale fix"/>
    <s v="Bank"/>
    <m/>
  </r>
  <r>
    <x v="97"/>
    <s v="Transport"/>
    <n v="5000"/>
    <m/>
    <s v="Petrol 697"/>
    <s v="Bank"/>
    <m/>
  </r>
  <r>
    <x v="97"/>
    <s v="advance salary"/>
    <n v="5000"/>
    <m/>
    <s v="Tanveer sb"/>
    <s v="Bank"/>
    <m/>
  </r>
  <r>
    <x v="98"/>
    <s v="shafique ansari"/>
    <m/>
    <n v="200000"/>
    <s v="Cheque 21/7/26"/>
    <s v="Bank"/>
    <m/>
  </r>
  <r>
    <x v="98"/>
    <s v="shafique ansari"/>
    <m/>
    <n v="200000"/>
    <s v="Cheque 28/7/26"/>
    <s v="Bank"/>
    <m/>
  </r>
  <r>
    <x v="98"/>
    <s v="shafique ansari"/>
    <m/>
    <n v="200000"/>
    <s v="Cheque 5/8/26"/>
    <s v="Bank"/>
    <m/>
  </r>
  <r>
    <x v="98"/>
    <s v="Arb Dasti"/>
    <n v="600000"/>
    <m/>
    <s v="Shafique ansari cheques x3"/>
    <s v="Bank"/>
    <m/>
  </r>
  <r>
    <x v="98"/>
    <s v="rashan"/>
    <n v="2860"/>
    <m/>
    <m/>
    <s v="Bank"/>
    <m/>
  </r>
  <r>
    <x v="99"/>
    <s v="advance salary"/>
    <n v="3500"/>
    <m/>
    <s v="khalid sb"/>
    <s v="Bank"/>
    <m/>
  </r>
  <r>
    <x v="99"/>
    <s v="misc"/>
    <n v="1000"/>
    <m/>
    <s v="sabir hospital"/>
    <m/>
    <m/>
  </r>
  <r>
    <x v="99"/>
    <s v="Parts"/>
    <n v="160"/>
    <m/>
    <s v="circuits"/>
    <s v="Bank"/>
    <m/>
  </r>
  <r>
    <x v="99"/>
    <s v="advance salary"/>
    <n v="5000"/>
    <m/>
    <s v="Dilawar"/>
    <s v="Bank"/>
    <m/>
  </r>
  <r>
    <x v="99"/>
    <s v="Parts"/>
    <n v="1250"/>
    <m/>
    <s v="drill bits"/>
    <s v="Bank"/>
    <m/>
  </r>
  <r>
    <x v="99"/>
    <s v="rashan"/>
    <n v="12000"/>
    <m/>
    <s v="Atta"/>
    <s v="Bank"/>
    <m/>
  </r>
  <r>
    <x v="100"/>
    <s v="Transport"/>
    <n v="920"/>
    <m/>
    <s v="mtag"/>
    <s v="Bank"/>
    <m/>
  </r>
  <r>
    <x v="100"/>
    <s v="omer"/>
    <m/>
    <n v="15000"/>
    <s v="Sabir stenter/folding"/>
    <s v="Bank"/>
    <m/>
  </r>
  <r>
    <x v="100"/>
    <s v="salary"/>
    <n v="15000"/>
    <m/>
    <s v="Sabir stenter/folding"/>
    <s v="Bank"/>
    <m/>
  </r>
  <r>
    <x v="100"/>
    <s v="Arb Dasti"/>
    <m/>
    <n v="63000"/>
    <s v="TID:658829"/>
    <s v="Bank"/>
    <m/>
  </r>
  <r>
    <x v="100"/>
    <s v="advance salary"/>
    <n v="50000"/>
    <m/>
    <s v="ghulam abbas"/>
    <s v="Bank"/>
    <m/>
  </r>
  <r>
    <x v="100"/>
    <s v="advance salary"/>
    <n v="8000"/>
    <m/>
    <s v="Amjad fitter"/>
    <s v="Bank"/>
    <m/>
  </r>
  <r>
    <x v="100"/>
    <s v="omer"/>
    <m/>
    <n v="1000"/>
    <s v="Cash"/>
    <s v="Bank"/>
    <m/>
  </r>
  <r>
    <x v="100"/>
    <s v="Transport"/>
    <n v="500"/>
    <m/>
    <s v="wiper 697"/>
    <s v="Bank"/>
    <m/>
  </r>
  <r>
    <x v="100"/>
    <s v="Building Acc"/>
    <n v="12000"/>
    <m/>
    <s v="Sand"/>
    <s v="Bank"/>
    <m/>
  </r>
  <r>
    <x v="100"/>
    <s v="Arb Dasti"/>
    <m/>
    <n v="12000"/>
    <s v="Sand"/>
    <s v="Bank"/>
    <m/>
  </r>
  <r>
    <x v="101"/>
    <s v="Parts"/>
    <n v="3560"/>
    <m/>
    <m/>
    <s v="Bank"/>
    <m/>
  </r>
  <r>
    <x v="101"/>
    <s v="Dasti"/>
    <n v="1540"/>
    <m/>
    <s v="garden pipe 40ft"/>
    <s v="Bank"/>
    <m/>
  </r>
  <r>
    <x v="101"/>
    <s v="omer"/>
    <m/>
    <n v="3050"/>
    <s v="Groccery"/>
    <s v="Bank"/>
    <m/>
  </r>
  <r>
    <x v="101"/>
    <s v="Dasti"/>
    <n v="3050"/>
    <m/>
    <s v="Groccery"/>
    <s v="Bank"/>
    <m/>
  </r>
  <r>
    <x v="100"/>
    <s v="Transport"/>
    <n v="5000"/>
    <m/>
    <s v="Petrol 697"/>
    <s v="Bank"/>
    <m/>
  </r>
  <r>
    <x v="101"/>
    <s v="Arb Dasti"/>
    <m/>
    <n v="146950"/>
    <s v="TID:403712"/>
    <s v="Bank"/>
    <m/>
  </r>
  <r>
    <x v="101"/>
    <s v="omer"/>
    <m/>
    <n v="2500"/>
    <m/>
    <s v="Bank"/>
    <m/>
  </r>
  <r>
    <x v="101"/>
    <s v="Kaleem ullah"/>
    <n v="150000"/>
    <m/>
    <s v="TID:326679"/>
    <s v="Bank"/>
    <m/>
  </r>
  <r>
    <x v="102"/>
    <s v="Transport"/>
    <n v="800"/>
    <m/>
    <s v="Dyes karaya"/>
    <s v="Bank"/>
    <m/>
  </r>
  <r>
    <x v="102"/>
    <s v="Building Acc"/>
    <n v="2000"/>
    <m/>
    <s v="mazdoor"/>
    <s v="Bank"/>
    <m/>
  </r>
  <r>
    <x v="102"/>
    <s v="Malik Zaheer"/>
    <n v="200000"/>
    <m/>
    <s v="TID:861088"/>
    <s v="Bank"/>
    <m/>
  </r>
  <r>
    <x v="102"/>
    <s v="Jojo dyes"/>
    <n v="255750"/>
    <m/>
    <s v="TID:317638"/>
    <s v="Bank"/>
    <m/>
  </r>
  <r>
    <x v="102"/>
    <s v="Arb Dasti"/>
    <m/>
    <n v="425000"/>
    <s v="cash deposit"/>
    <s v="Bank"/>
    <m/>
  </r>
  <r>
    <x v="102"/>
    <s v="Arb Dasti"/>
    <m/>
    <n v="34800"/>
    <s v="TID:742490"/>
    <s v="Bank"/>
    <m/>
  </r>
  <r>
    <x v="102"/>
    <s v="Transport"/>
    <n v="1500"/>
    <m/>
    <s v="petrol bike"/>
    <s v="Bank"/>
    <m/>
  </r>
  <r>
    <x v="102"/>
    <s v="rashan"/>
    <n v="14080"/>
    <m/>
    <m/>
    <s v="Bank"/>
    <m/>
  </r>
  <r>
    <x v="102"/>
    <s v="Finish"/>
    <n v="15500"/>
    <m/>
    <s v="BP26"/>
    <s v="Bank"/>
    <m/>
  </r>
  <r>
    <x v="102"/>
    <s v="Arb Dasti"/>
    <m/>
    <n v="20000"/>
    <s v="TID:607672"/>
    <s v="Bank"/>
    <m/>
  </r>
  <r>
    <x v="102"/>
    <s v="Arb Dasti"/>
    <m/>
    <n v="15500"/>
    <s v="BP26"/>
    <s v="Bank"/>
    <m/>
  </r>
  <r>
    <x v="102"/>
    <s v="Transport"/>
    <n v="5000"/>
    <m/>
    <s v="Petrol 697"/>
    <s v="Bank"/>
    <m/>
  </r>
  <r>
    <x v="103"/>
    <s v="advance salary"/>
    <n v="5000"/>
    <m/>
    <s v="Naeem electric"/>
    <s v="Bank"/>
    <m/>
  </r>
  <r>
    <x v="103"/>
    <s v="omer"/>
    <m/>
    <n v="5000"/>
    <s v="Naeem electric"/>
    <s v="Bank"/>
    <m/>
  </r>
  <r>
    <x v="103"/>
    <s v="rashan"/>
    <n v="370"/>
    <m/>
    <m/>
    <s v="Bank"/>
    <m/>
  </r>
  <r>
    <x v="104"/>
    <s v="Arb Dasti"/>
    <m/>
    <n v="40000"/>
    <s v="TID:277821"/>
    <s v="Bank"/>
    <m/>
  </r>
  <r>
    <x v="104"/>
    <s v="Building Acc"/>
    <n v="39700"/>
    <m/>
    <s v="Cement x25/1540"/>
    <s v="Bank"/>
    <m/>
  </r>
  <r>
    <x v="104"/>
    <s v="Building Acc"/>
    <n v="3700"/>
    <m/>
    <s v="mazdoor"/>
    <s v="Bank"/>
    <m/>
  </r>
  <r>
    <x v="104"/>
    <s v="Transport"/>
    <n v="2500"/>
    <m/>
    <s v="petrol loader"/>
    <s v="Bank"/>
    <m/>
  </r>
  <r>
    <x v="104"/>
    <s v="omer"/>
    <m/>
    <n v="6200"/>
    <s v="TID:680237"/>
    <s v="Bank"/>
    <m/>
  </r>
  <r>
    <x v="104"/>
    <s v="Parts"/>
    <n v="1800"/>
    <m/>
    <m/>
    <s v="Bank"/>
    <m/>
  </r>
  <r>
    <x v="104"/>
    <s v="advance salary"/>
    <n v="3000"/>
    <m/>
    <s v="Khubaib"/>
    <s v="Bank"/>
    <m/>
  </r>
  <r>
    <x v="104"/>
    <s v="omer"/>
    <m/>
    <n v="3000"/>
    <s v="Khubaib"/>
    <s v="Bank"/>
    <m/>
  </r>
  <r>
    <x v="104"/>
    <s v="advance salary"/>
    <n v="5000"/>
    <m/>
    <s v="haseen"/>
    <s v="Bank"/>
    <m/>
  </r>
  <r>
    <x v="104"/>
    <s v="omer"/>
    <m/>
    <n v="5000"/>
    <s v="haseen"/>
    <s v="Bank"/>
    <m/>
  </r>
  <r>
    <x v="104"/>
    <s v="loom ac"/>
    <n v="5000"/>
    <m/>
    <s v="abid sb"/>
    <s v="Bank"/>
    <m/>
  </r>
  <r>
    <x v="104"/>
    <s v="Arb Dasti"/>
    <m/>
    <n v="5000"/>
    <s v="abid sb"/>
    <s v="Bank"/>
    <m/>
  </r>
  <r>
    <x v="104"/>
    <s v="Arb Dasti"/>
    <m/>
    <n v="57000"/>
    <s v="TID:695200"/>
    <s v="Bank"/>
    <m/>
  </r>
  <r>
    <x v="104"/>
    <s v="Arb Dasti"/>
    <m/>
    <n v="40800"/>
    <s v="JC"/>
    <s v="Bank"/>
    <m/>
  </r>
  <r>
    <x v="104"/>
    <s v="Arb Dasti"/>
    <m/>
    <n v="10000"/>
    <s v="TID:563147"/>
    <s v="Bank"/>
    <m/>
  </r>
  <r>
    <x v="104"/>
    <s v="Arb Dasti"/>
    <n v="103000"/>
    <m/>
    <s v="Malik salman"/>
    <s v="Bank"/>
    <m/>
  </r>
  <r>
    <x v="104"/>
    <s v="Malik Salman"/>
    <m/>
    <n v="103000"/>
    <m/>
    <s v="Bank"/>
    <m/>
  </r>
  <r>
    <x v="104"/>
    <s v="Kaleem ullah"/>
    <n v="100000"/>
    <m/>
    <s v="TID:340417"/>
    <s v="Bank"/>
    <m/>
  </r>
  <r>
    <x v="105"/>
    <s v="Building Acc"/>
    <n v="5400"/>
    <m/>
    <s v="mazdoor"/>
    <s v="Bank"/>
    <m/>
  </r>
  <r>
    <x v="105"/>
    <s v="omer"/>
    <m/>
    <n v="2600"/>
    <s v="atta"/>
    <s v="Bank"/>
    <m/>
  </r>
  <r>
    <x v="105"/>
    <s v="rashan"/>
    <n v="2600"/>
    <m/>
    <s v="atta"/>
    <s v="Bank"/>
    <m/>
  </r>
  <r>
    <x v="105"/>
    <s v="advance salary"/>
    <n v="10000"/>
    <m/>
    <s v="Khalid sb"/>
    <s v="Bank"/>
    <m/>
  </r>
  <r>
    <x v="105"/>
    <s v="omer"/>
    <m/>
    <n v="10000"/>
    <s v="TID:840566"/>
    <s v="Bank"/>
    <m/>
  </r>
  <r>
    <x v="106"/>
    <s v="rashan"/>
    <n v="2760"/>
    <m/>
    <m/>
    <s v="Bank"/>
    <m/>
  </r>
  <r>
    <x v="106"/>
    <s v="omer"/>
    <m/>
    <n v="2760"/>
    <s v="rashan"/>
    <s v="Bank"/>
    <m/>
  </r>
  <r>
    <x v="106"/>
    <s v="Parts"/>
    <n v="4000"/>
    <m/>
    <s v="motor coil"/>
    <s v="Bank"/>
    <m/>
  </r>
  <r>
    <x v="106"/>
    <s v="omer"/>
    <m/>
    <n v="4000"/>
    <s v="parts"/>
    <s v="Bank"/>
    <m/>
  </r>
  <r>
    <x v="106"/>
    <s v="Parts"/>
    <n v="1850"/>
    <m/>
    <m/>
    <s v="Bank"/>
    <m/>
  </r>
  <r>
    <x v="106"/>
    <s v="Sheikh Naveed"/>
    <m/>
    <n v="110000"/>
    <s v="TID:738882"/>
    <s v="Bank"/>
    <m/>
  </r>
  <r>
    <x v="106"/>
    <s v="Building Acc"/>
    <n v="5200"/>
    <m/>
    <s v="mistri"/>
    <s v="Bank"/>
    <m/>
  </r>
  <r>
    <x v="106"/>
    <s v="rashan"/>
    <n v="9300"/>
    <m/>
    <s v="atta"/>
    <s v="Bank"/>
    <m/>
  </r>
  <r>
    <x v="106"/>
    <s v="omer"/>
    <n v="1490"/>
    <m/>
    <m/>
    <s v="Bank"/>
    <m/>
  </r>
  <r>
    <x v="107"/>
    <s v="Arb Dasti"/>
    <m/>
    <n v="940000"/>
    <s v="TID:076341"/>
    <s v="Bank"/>
    <m/>
  </r>
  <r>
    <x v="107"/>
    <s v="Arb Dasti"/>
    <m/>
    <n v="34000"/>
    <s v="TID:356139"/>
    <s v="Bank"/>
    <m/>
  </r>
  <r>
    <x v="107"/>
    <s v="electricity"/>
    <n v="1066588"/>
    <m/>
    <s v="june bill"/>
    <s v="Bank"/>
    <m/>
  </r>
  <r>
    <x v="107"/>
    <s v="omer"/>
    <n v="300"/>
    <m/>
    <m/>
    <s v="Bank"/>
    <m/>
  </r>
  <r>
    <x v="107"/>
    <s v="Arb Dasti"/>
    <m/>
    <n v="25500"/>
    <s v="JC"/>
    <s v="Bank"/>
    <m/>
  </r>
  <r>
    <x v="107"/>
    <s v="advance salary"/>
    <n v="20000"/>
    <m/>
    <s v="Khubaib"/>
    <s v="Bank"/>
    <m/>
  </r>
  <r>
    <x v="107"/>
    <s v="advance salary"/>
    <n v="5000"/>
    <m/>
    <s v="haseen"/>
    <s v="Bank"/>
    <m/>
  </r>
  <r>
    <x v="107"/>
    <s v="omer"/>
    <m/>
    <n v="1800"/>
    <s v="parts"/>
    <s v="Bank"/>
    <m/>
  </r>
  <r>
    <x v="107"/>
    <s v="Parts"/>
    <n v="1800"/>
    <m/>
    <s v="belcha"/>
    <s v="Bank"/>
    <m/>
  </r>
  <r>
    <x v="107"/>
    <s v="omer"/>
    <m/>
    <n v="800"/>
    <m/>
    <s v="Bank"/>
    <m/>
  </r>
  <r>
    <x v="108"/>
    <s v="Arb Dasti"/>
    <m/>
    <n v="33000"/>
    <s v="TID:748765"/>
    <s v="Bank"/>
    <m/>
  </r>
  <r>
    <x v="108"/>
    <s v="advance salary"/>
    <n v="10000"/>
    <m/>
    <s v="Naeem electric"/>
    <s v="Bank"/>
    <m/>
  </r>
  <r>
    <x v="108"/>
    <s v="salary"/>
    <n v="6900"/>
    <m/>
    <s v="Waseem hassan //cleared"/>
    <s v="Bank"/>
    <m/>
  </r>
  <r>
    <x v="108"/>
    <s v="salary"/>
    <n v="5000"/>
    <m/>
    <s v="naveed helper"/>
    <s v="Bank"/>
    <m/>
  </r>
  <r>
    <x v="108"/>
    <s v="Dasti"/>
    <n v="358"/>
    <m/>
    <s v="optix bill"/>
    <s v="Bank"/>
    <m/>
  </r>
  <r>
    <x v="108"/>
    <s v="Dasti"/>
    <n v="1230"/>
    <m/>
    <s v="springley"/>
    <s v="Bank"/>
    <m/>
  </r>
  <r>
    <x v="108"/>
    <s v="advance salary"/>
    <n v="10000"/>
    <m/>
    <s v="Tanveer sb"/>
    <s v="Bank"/>
    <m/>
  </r>
  <r>
    <x v="109"/>
    <s v="Arb Dasti"/>
    <m/>
    <n v="406000"/>
    <s v="MAK dyes"/>
    <s v="Bank"/>
    <m/>
  </r>
  <r>
    <x v="109"/>
    <s v="MAK dyes"/>
    <n v="406000"/>
    <m/>
    <s v="bill Nill"/>
    <s v="Bank"/>
    <m/>
  </r>
  <r>
    <x v="109"/>
    <s v="Arb Dasti"/>
    <m/>
    <n v="3000"/>
    <s v="jc"/>
    <s v="Bank"/>
    <m/>
  </r>
  <r>
    <x v="109"/>
    <s v="Transport"/>
    <n v="3000"/>
    <m/>
    <s v="phera"/>
    <s v="Bank"/>
    <m/>
  </r>
  <r>
    <x v="109"/>
    <s v="Arb Dasti"/>
    <m/>
    <n v="15000"/>
    <s v="jc"/>
    <s v="Bank"/>
    <m/>
  </r>
  <r>
    <x v="109"/>
    <s v="misc"/>
    <n v="5000"/>
    <m/>
    <s v="Khalid sb medicines"/>
    <s v="Bank"/>
    <m/>
  </r>
  <r>
    <x v="109"/>
    <s v="omer"/>
    <n v="1490"/>
    <m/>
    <m/>
    <s v="Bank"/>
    <m/>
  </r>
  <r>
    <x v="110"/>
    <s v="Arb Dasti"/>
    <m/>
    <n v="100000"/>
    <s v="TID:281147"/>
    <s v="Bank"/>
    <m/>
  </r>
  <r>
    <x v="110"/>
    <s v="advance salary"/>
    <n v="10000"/>
    <m/>
    <s v="Anayat"/>
    <s v="Bank"/>
    <m/>
  </r>
  <r>
    <x v="110"/>
    <s v="advance salary"/>
    <n v="15000"/>
    <m/>
    <s v="shoaib folding"/>
    <s v="Bank"/>
    <m/>
  </r>
  <r>
    <x v="110"/>
    <s v="advance salary"/>
    <n v="5000"/>
    <m/>
    <s v="omer phankaman"/>
    <s v="Bank"/>
    <m/>
  </r>
  <r>
    <x v="110"/>
    <s v="advance salary"/>
    <n v="5000"/>
    <m/>
    <s v="sajad helper"/>
    <s v="Bank"/>
    <m/>
  </r>
  <r>
    <x v="110"/>
    <s v="advance salary"/>
    <n v="5000"/>
    <m/>
    <s v="sajad silai"/>
    <s v="Bank"/>
    <m/>
  </r>
  <r>
    <x v="110"/>
    <s v="advance salary"/>
    <n v="3000"/>
    <m/>
    <s v="ali hassan helper"/>
    <s v="Bank"/>
    <m/>
  </r>
  <r>
    <x v="110"/>
    <s v="advance salary"/>
    <n v="30000"/>
    <m/>
    <s v="Ashfaq sahab boiler theka June2"/>
    <s v="Bank"/>
    <m/>
  </r>
  <r>
    <x v="110"/>
    <s v="advance salary"/>
    <n v="20000"/>
    <m/>
    <s v="imtiaz opt"/>
    <s v="Bank"/>
    <m/>
  </r>
  <r>
    <x v="110"/>
    <s v="advance salary"/>
    <n v="25000"/>
    <m/>
    <s v="Amjad fitter"/>
    <s v="Bank"/>
    <m/>
  </r>
  <r>
    <x v="110"/>
    <s v="rashan"/>
    <n v="3000"/>
    <m/>
    <s v="atta"/>
    <s v="Bank"/>
    <m/>
  </r>
  <r>
    <x v="110"/>
    <s v="Arb Dasti"/>
    <m/>
    <n v="100000"/>
    <s v="TID:955316"/>
    <s v="Bank"/>
    <m/>
  </r>
  <r>
    <x v="110"/>
    <s v="advance salary"/>
    <n v="25000"/>
    <m/>
    <s v="master waheed"/>
    <s v="Bank"/>
    <m/>
  </r>
  <r>
    <x v="110"/>
    <s v="advance salary"/>
    <n v="20000"/>
    <m/>
    <s v="Tanveer sb"/>
    <s v="Bank"/>
    <m/>
  </r>
  <r>
    <x v="110"/>
    <s v="Arb Dasti"/>
    <m/>
    <n v="52500"/>
    <s v="TID:495166"/>
    <s v="Bank"/>
    <m/>
  </r>
  <r>
    <x v="110"/>
    <s v="advance salary"/>
    <n v="80000"/>
    <m/>
    <s v="ghulam abbas"/>
    <s v="Bank"/>
    <m/>
  </r>
  <r>
    <x v="111"/>
    <s v="Arb Dasti"/>
    <m/>
    <n v="35000"/>
    <s v="TID:504286"/>
    <s v="Bank"/>
    <m/>
  </r>
  <r>
    <x v="111"/>
    <s v="Parts"/>
    <n v="35000"/>
    <m/>
    <s v="water pump"/>
    <s v="Bank"/>
    <m/>
  </r>
  <r>
    <x v="111"/>
    <s v="Parts"/>
    <n v="10850"/>
    <m/>
    <s v="pipes etc"/>
    <s v="Bank"/>
    <m/>
  </r>
  <r>
    <x v="111"/>
    <s v="Arb Dasti"/>
    <m/>
    <n v="15000"/>
    <s v="TID:387514"/>
    <s v="Bank"/>
    <m/>
  </r>
  <r>
    <x v="111"/>
    <s v="advance salary"/>
    <n v="15000"/>
    <m/>
    <s v="Khalid sb"/>
    <s v="Bank"/>
    <m/>
  </r>
  <r>
    <x v="112"/>
    <s v="Arb Dasti"/>
    <m/>
    <n v="90000"/>
    <s v="TID:532218"/>
    <s v="Bank"/>
    <m/>
  </r>
  <r>
    <x v="111"/>
    <s v="Parts"/>
    <n v="3031"/>
    <m/>
    <s v="petrol pump"/>
    <s v="Bank"/>
    <m/>
  </r>
  <r>
    <x v="112"/>
    <s v="advance salary"/>
    <n v="10000"/>
    <m/>
    <s v="Khalid opt"/>
    <s v="Bank"/>
    <m/>
  </r>
  <r>
    <x v="112"/>
    <s v="advance salary"/>
    <n v="15000"/>
    <m/>
    <s v="munawar"/>
    <s v="Bank"/>
    <m/>
  </r>
  <r>
    <x v="112"/>
    <s v="Parts"/>
    <n v="1700"/>
    <m/>
    <m/>
    <s v="Bank"/>
    <m/>
  </r>
  <r>
    <x v="112"/>
    <s v="advance salary"/>
    <n v="20000"/>
    <m/>
    <s v="Tanveer sb"/>
    <s v="Bank"/>
    <m/>
  </r>
  <r>
    <x v="112"/>
    <s v="advance salary"/>
    <n v="15000"/>
    <m/>
    <s v="Naeem electric"/>
    <s v="Bank"/>
    <m/>
  </r>
  <r>
    <x v="112"/>
    <s v="advance salary"/>
    <n v="10000"/>
    <m/>
    <s v="Dilawar"/>
    <s v="Bank"/>
    <m/>
  </r>
  <r>
    <x v="112"/>
    <s v="Arb Dasti"/>
    <m/>
    <n v="174000"/>
    <s v="TID:737451"/>
    <s v="Bank"/>
    <m/>
  </r>
  <r>
    <x v="112"/>
    <s v="loom ac"/>
    <n v="10000"/>
    <m/>
    <s v="abid sb"/>
    <s v="Bank"/>
    <m/>
  </r>
  <r>
    <x v="112"/>
    <s v="salary"/>
    <n v="31500"/>
    <m/>
    <s v="Khalid sb July1//Nill"/>
    <s v="Bank"/>
    <m/>
  </r>
  <r>
    <x v="112"/>
    <s v="Arb Dasti"/>
    <m/>
    <n v="150000"/>
    <s v="TID:651959"/>
    <s v="Bank"/>
    <m/>
  </r>
  <r>
    <x v="112"/>
    <s v="Malik Zaheer"/>
    <n v="200000"/>
    <m/>
    <s v="TID:352317"/>
    <s v="Bank"/>
    <m/>
  </r>
  <r>
    <x v="112"/>
    <s v="Kaleem ullah"/>
    <n v="100000"/>
    <m/>
    <s v="TID:717203"/>
    <s v="Bank"/>
    <m/>
  </r>
  <r>
    <x v="113"/>
    <s v="Arb Dasti"/>
    <m/>
    <n v="22500"/>
    <s v="jc"/>
    <s v="Bank"/>
    <m/>
  </r>
  <r>
    <x v="113"/>
    <s v="Transport"/>
    <n v="1300"/>
    <m/>
    <s v="464 mechanic"/>
    <s v="Bank"/>
    <m/>
  </r>
  <r>
    <x v="113"/>
    <s v="salary"/>
    <n v="22000"/>
    <m/>
    <s v="Amjad fitter//june2 nill"/>
    <s v="Bank"/>
    <m/>
  </r>
  <r>
    <x v="113"/>
    <s v="Dasti"/>
    <n v="200"/>
    <m/>
    <s v="springley"/>
    <s v="Bank"/>
    <m/>
  </r>
  <r>
    <x v="114"/>
    <s v="Arb Dasti"/>
    <m/>
    <n v="54000"/>
    <s v="TID:891510"/>
    <s v="Bank"/>
    <m/>
  </r>
  <r>
    <x v="114"/>
    <s v="rashan"/>
    <n v="3100"/>
    <m/>
    <m/>
    <s v="Bank"/>
    <m/>
  </r>
  <r>
    <x v="114"/>
    <s v="advance salary"/>
    <n v="3000"/>
    <m/>
    <s v="shoaib folding"/>
    <s v="Bank"/>
    <m/>
  </r>
  <r>
    <x v="114"/>
    <s v="advance salary"/>
    <n v="3000"/>
    <m/>
    <s v="usama jet"/>
    <s v="Bank"/>
    <m/>
  </r>
  <r>
    <x v="114"/>
    <s v="Arb Dasti"/>
    <m/>
    <n v="35000"/>
    <s v="jc"/>
    <s v="Bank"/>
    <m/>
  </r>
  <r>
    <x v="114"/>
    <s v="salary"/>
    <n v="27000"/>
    <m/>
    <s v="Khubaib//june2 nill"/>
    <s v="Bank"/>
    <m/>
  </r>
  <r>
    <x v="114"/>
    <s v="salary"/>
    <n v="7000"/>
    <m/>
    <s v="Haseen //june2 nill"/>
    <s v="Bank"/>
    <m/>
  </r>
  <r>
    <x v="114"/>
    <s v="Arb Dasti"/>
    <m/>
    <n v="5000"/>
    <m/>
    <s v="Bank"/>
    <m/>
  </r>
  <r>
    <x v="114"/>
    <s v="Haroon wood"/>
    <n v="50000"/>
    <m/>
    <s v="TID:552498"/>
    <s v="Bank"/>
    <m/>
  </r>
  <r>
    <x v="115"/>
    <s v="Parts"/>
    <n v="3000"/>
    <m/>
    <s v="wiper etc"/>
    <s v="Bank"/>
    <m/>
  </r>
  <r>
    <x v="115"/>
    <s v="Arb Dasti"/>
    <m/>
    <n v="5000"/>
    <s v="TID:506815"/>
    <s v="Bank"/>
    <m/>
  </r>
  <r>
    <x v="115"/>
    <s v="Arb Dasti"/>
    <m/>
    <n v="25000"/>
    <s v="TID:984910"/>
    <s v="Bank"/>
    <m/>
  </r>
  <r>
    <x v="115"/>
    <s v="advance salary"/>
    <n v="25000"/>
    <m/>
    <s v="ghulam abbas"/>
    <s v="Bank"/>
    <m/>
  </r>
  <r>
    <x v="110"/>
    <s v="Arb Dasti"/>
    <m/>
    <n v="120000"/>
    <m/>
    <s v="Bank"/>
    <m/>
  </r>
  <r>
    <x v="110"/>
    <s v="advance salary"/>
    <n v="20000"/>
    <m/>
    <s v="Rafiq jet"/>
    <s v="Bank"/>
    <m/>
  </r>
  <r>
    <x v="110"/>
    <s v="advance salary"/>
    <n v="20000"/>
    <m/>
    <s v="imran jet"/>
    <s v="Bank"/>
    <m/>
  </r>
  <r>
    <x v="110"/>
    <s v="advance salary"/>
    <n v="20000"/>
    <m/>
    <s v="shahid munir jet"/>
    <s v="Bank"/>
    <m/>
  </r>
  <r>
    <x v="110"/>
    <s v="advance salary"/>
    <n v="20000"/>
    <m/>
    <s v="haji shahid jet"/>
    <s v="Bank"/>
    <m/>
  </r>
  <r>
    <x v="110"/>
    <s v="advance salary"/>
    <n v="20000"/>
    <m/>
    <s v="babar jet"/>
    <s v="Bank"/>
    <m/>
  </r>
  <r>
    <x v="110"/>
    <s v="advance salary"/>
    <n v="20000"/>
    <m/>
    <s v="usama jet"/>
    <s v="Bank"/>
    <m/>
  </r>
  <r>
    <x v="112"/>
    <s v="Arb Dasti"/>
    <m/>
    <n v="25000"/>
    <s v="Tanveer sb"/>
    <s v="Bank"/>
    <m/>
  </r>
  <r>
    <x v="112"/>
    <s v="advance salary"/>
    <n v="25000"/>
    <m/>
    <s v="Tanveer sb"/>
    <s v="Bank"/>
    <m/>
  </r>
  <r>
    <x v="115"/>
    <s v="Arb Dasti"/>
    <m/>
    <n v="250000"/>
    <s v="cash deposit"/>
    <s v="Bank"/>
    <m/>
  </r>
  <r>
    <x v="115"/>
    <s v="Finish"/>
    <n v="14000"/>
    <m/>
    <s v="np9+disp pdr"/>
    <s v="Bank"/>
    <m/>
  </r>
  <r>
    <x v="115"/>
    <s v="Arb Dasti"/>
    <m/>
    <n v="14000"/>
    <s v="madina dyes"/>
    <s v="Bank"/>
    <m/>
  </r>
  <r>
    <x v="115"/>
    <s v="Raaz fabrics"/>
    <m/>
    <n v="100000"/>
    <s v="cash deposit"/>
    <s v="Bank"/>
    <m/>
  </r>
  <r>
    <x v="115"/>
    <s v="Arb Dasti"/>
    <n v="100000"/>
    <m/>
    <s v="Raaz fabrics"/>
    <s v="Bank"/>
    <m/>
  </r>
  <r>
    <x v="116"/>
    <s v="rashan"/>
    <n v="13790"/>
    <m/>
    <s v="rashan"/>
    <s v="Bank"/>
    <m/>
  </r>
  <r>
    <x v="116"/>
    <s v="Arb Dasti"/>
    <m/>
    <n v="15000"/>
    <s v="TID:956125"/>
    <s v="Bank"/>
    <m/>
  </r>
  <r>
    <x v="116"/>
    <s v="omer"/>
    <n v="1490"/>
    <m/>
    <m/>
    <s v="Bank"/>
    <m/>
  </r>
  <r>
    <x v="116"/>
    <s v="misc"/>
    <n v="140"/>
    <m/>
    <s v="markers x2"/>
    <s v="Bank"/>
    <m/>
  </r>
  <r>
    <x v="116"/>
    <s v="rashan"/>
    <n v="3000"/>
    <m/>
    <s v="atta"/>
    <s v="Bank"/>
    <m/>
  </r>
  <r>
    <x v="116"/>
    <s v="salary"/>
    <n v="16330"/>
    <m/>
    <s v="Ashraf Guard"/>
    <s v="Bank"/>
    <m/>
  </r>
  <r>
    <x v="116"/>
    <s v="salary"/>
    <n v="23500"/>
    <m/>
    <s v="mursaleen guard"/>
    <s v="Bank"/>
    <m/>
  </r>
  <r>
    <x v="116"/>
    <s v="Parts"/>
    <n v="30000"/>
    <m/>
    <s v="kluber oil"/>
    <s v="Bank"/>
    <m/>
  </r>
  <r>
    <x v="116"/>
    <s v="Arb Dasti"/>
    <m/>
    <n v="30000"/>
    <s v="kluber oil"/>
    <s v="Bank"/>
    <m/>
  </r>
  <r>
    <x v="116"/>
    <s v="Arb Dasti"/>
    <m/>
    <n v="7000"/>
    <s v="Tanveer sb"/>
    <s v="Bank"/>
    <m/>
  </r>
  <r>
    <x v="116"/>
    <s v="advance salary"/>
    <n v="7000"/>
    <m/>
    <s v="Tanveer sb"/>
    <s v="Bank"/>
    <m/>
  </r>
  <r>
    <x v="117"/>
    <s v="misc"/>
    <n v="4000"/>
    <m/>
    <s v="kharcha helper"/>
    <s v="Bank"/>
    <m/>
  </r>
  <r>
    <x v="117"/>
    <s v="omer"/>
    <n v="3132"/>
    <m/>
    <m/>
    <s v="Bank"/>
    <m/>
  </r>
  <r>
    <x v="117"/>
    <s v="rashan"/>
    <n v="2900"/>
    <m/>
    <s v="atta"/>
    <s v="Bank"/>
    <m/>
  </r>
  <r>
    <x v="117"/>
    <s v="advance salary"/>
    <n v="5000"/>
    <m/>
    <s v="Anayat"/>
    <s v="Bank"/>
    <m/>
  </r>
  <r>
    <x v="116"/>
    <s v="Hafiz qureshi"/>
    <m/>
    <n v="100000"/>
    <m/>
    <s v="Bank"/>
    <m/>
  </r>
  <r>
    <x v="117"/>
    <s v="Arb Dasti"/>
    <n v="100000"/>
    <m/>
    <s v="HQ 100k"/>
    <s v="Bank"/>
    <m/>
  </r>
  <r>
    <x v="117"/>
    <s v="Waleed"/>
    <m/>
    <n v="100000"/>
    <m/>
    <s v="Bank"/>
    <m/>
  </r>
  <r>
    <x v="117"/>
    <s v="Arb Dasti"/>
    <n v="100000"/>
    <m/>
    <s v="Waleed 100k"/>
    <s v="Bank"/>
    <m/>
  </r>
  <r>
    <x v="117"/>
    <s v="misc"/>
    <n v="1600"/>
    <m/>
    <s v="cones"/>
    <s v="Bank"/>
    <m/>
  </r>
  <r>
    <x v="118"/>
    <s v="Unicolour"/>
    <n v="250000"/>
    <m/>
    <s v="Cheque 33026830"/>
    <s v="Bank"/>
    <m/>
  </r>
  <r>
    <x v="118"/>
    <s v="Arb Dasti"/>
    <m/>
    <n v="55000"/>
    <s v="TID:357492"/>
    <s v="Bank"/>
    <m/>
  </r>
  <r>
    <x v="118"/>
    <s v="misc"/>
    <n v="690"/>
    <m/>
    <s v="khalid sb package"/>
    <s v="Bank"/>
    <m/>
  </r>
  <r>
    <x v="118"/>
    <s v="Arb Dasti"/>
    <m/>
    <n v="5000"/>
    <s v="jc"/>
    <s v="Bank"/>
    <m/>
  </r>
  <r>
    <x v="118"/>
    <s v="Faizan kamoki"/>
    <m/>
    <n v="200000"/>
    <s v="TID:339708"/>
    <s v="Bank"/>
    <m/>
  </r>
  <r>
    <x v="118"/>
    <s v="Parts"/>
    <n v="600"/>
    <m/>
    <m/>
    <s v="Bank"/>
    <m/>
  </r>
  <r>
    <x v="118"/>
    <s v="rashan"/>
    <n v="2900"/>
    <m/>
    <s v="atta"/>
    <s v="Bank"/>
    <m/>
  </r>
  <r>
    <x v="118"/>
    <s v="salary"/>
    <n v="41800"/>
    <m/>
    <s v="Babar/H shahid"/>
    <s v="Bank"/>
    <m/>
  </r>
  <r>
    <x v="118"/>
    <s v="salary"/>
    <n v="14400"/>
    <m/>
    <s v="shahid munir jet"/>
    <s v="Bank"/>
    <m/>
  </r>
  <r>
    <x v="118"/>
    <s v="salary"/>
    <n v="20000"/>
    <m/>
    <s v="Rafiq jet"/>
    <s v="Bank"/>
    <m/>
  </r>
  <r>
    <x v="118"/>
    <s v="salary"/>
    <n v="12400"/>
    <m/>
    <s v="imran jet"/>
    <s v="Bank"/>
    <m/>
  </r>
  <r>
    <x v="118"/>
    <s v="salary"/>
    <n v="1600"/>
    <m/>
    <s v="usama jet"/>
    <s v="Bank"/>
    <m/>
  </r>
  <r>
    <x v="118"/>
    <s v="advance salary"/>
    <n v="10000"/>
    <m/>
    <s v="Naeem electric"/>
    <s v="Bank"/>
    <m/>
  </r>
  <r>
    <x v="118"/>
    <s v="advance salary"/>
    <n v="100000"/>
    <m/>
    <s v="Ashfaq sahab boiler theka June2"/>
    <s v="Bank"/>
    <m/>
  </r>
  <r>
    <x v="119"/>
    <s v="Arb Dasti"/>
    <m/>
    <n v="100000"/>
    <s v="TID:889393"/>
    <s v="Bank"/>
    <m/>
  </r>
  <r>
    <x v="119"/>
    <s v="Kaleem ullah"/>
    <n v="100000"/>
    <m/>
    <s v="TID:098377"/>
    <s v="Bank"/>
    <m/>
  </r>
  <r>
    <x v="119"/>
    <s v="Arb Dasti"/>
    <m/>
    <n v="10000"/>
    <s v="TID:269500"/>
    <s v="Bank"/>
    <m/>
  </r>
  <r>
    <x v="119"/>
    <s v="advance salary"/>
    <n v="10000"/>
    <m/>
    <s v="Asghar cook"/>
    <s v="Bank"/>
    <m/>
  </r>
  <r>
    <x v="119"/>
    <s v="Arb Dasti"/>
    <m/>
    <n v="20000"/>
    <s v="cash deposit"/>
    <s v="Bank"/>
    <m/>
  </r>
  <r>
    <x v="119"/>
    <s v="Building Acc"/>
    <n v="3700"/>
    <m/>
    <s v="mazdoor"/>
    <s v="Bank"/>
    <m/>
  </r>
  <r>
    <x v="119"/>
    <s v="loom ac"/>
    <n v="5000"/>
    <m/>
    <s v="abid sb"/>
    <s v="Bank"/>
    <m/>
  </r>
  <r>
    <x v="119"/>
    <s v="Parts"/>
    <n v="2800"/>
    <m/>
    <s v="silai machine"/>
    <s v="Bank"/>
    <m/>
  </r>
  <r>
    <x v="119"/>
    <s v="Parts"/>
    <n v="5780"/>
    <m/>
    <m/>
    <s v="Bank"/>
    <m/>
  </r>
  <r>
    <x v="119"/>
    <s v="Parts"/>
    <n v="3300"/>
    <m/>
    <s v="60A breaker"/>
    <s v="Bank"/>
    <m/>
  </r>
  <r>
    <x v="119"/>
    <s v="omer"/>
    <m/>
    <n v="1850"/>
    <m/>
    <s v="Bank"/>
    <m/>
  </r>
  <r>
    <x v="119"/>
    <s v="rashan"/>
    <n v="2900"/>
    <m/>
    <s v="atta"/>
    <s v="Bank"/>
    <m/>
  </r>
  <r>
    <x v="119"/>
    <s v="omer"/>
    <n v="3850"/>
    <m/>
    <m/>
    <s v="Bank"/>
    <m/>
  </r>
  <r>
    <x v="119"/>
    <s v="Dasti"/>
    <n v="740"/>
    <m/>
    <s v="zong arb"/>
    <s v="Bank"/>
    <m/>
  </r>
  <r>
    <x v="119"/>
    <s v="Arb Dasti"/>
    <m/>
    <n v="10000"/>
    <s v="jc"/>
    <s v="Bank"/>
    <m/>
  </r>
  <r>
    <x v="119"/>
    <s v="Transport"/>
    <n v="5020"/>
    <m/>
    <s v="bike service"/>
    <s v="Bank"/>
    <m/>
  </r>
  <r>
    <x v="120"/>
    <s v="Arb Dasti"/>
    <m/>
    <n v="10000"/>
    <s v="jc"/>
    <s v="Bank"/>
    <m/>
  </r>
  <r>
    <x v="120"/>
    <s v="Parts"/>
    <n v="2240"/>
    <m/>
    <s v="belts"/>
    <s v="Bank"/>
    <m/>
  </r>
  <r>
    <x v="120"/>
    <s v="Arb Dasti"/>
    <m/>
    <n v="50000"/>
    <s v="TID:533914"/>
    <s v="Bank"/>
    <m/>
  </r>
  <r>
    <x v="120"/>
    <s v="advance salary"/>
    <n v="50000"/>
    <m/>
    <s v="waqas adm"/>
    <s v="Bank"/>
    <m/>
  </r>
  <r>
    <x v="120"/>
    <s v="Transport"/>
    <n v="1500"/>
    <m/>
    <s v="petrol bike"/>
    <s v="Bank"/>
    <m/>
  </r>
  <r>
    <x v="120"/>
    <s v="Parts"/>
    <n v="1300"/>
    <m/>
    <s v="scale"/>
    <s v="Bank"/>
    <m/>
  </r>
  <r>
    <x v="120"/>
    <s v="Faizan kamoki"/>
    <m/>
    <n v="8014"/>
    <s v="Transport"/>
    <s v="Bank"/>
    <m/>
  </r>
  <r>
    <x v="120"/>
    <s v="Transport"/>
    <n v="8014"/>
    <m/>
    <s v="faizan adj"/>
    <s v="Bank"/>
    <m/>
  </r>
  <r>
    <x v="120"/>
    <s v="Faizan kamoki"/>
    <m/>
    <n v="500000"/>
    <s v="TID:015869"/>
    <s v="Bank"/>
    <m/>
  </r>
  <r>
    <x v="120"/>
    <s v="rashan"/>
    <n v="2900"/>
    <m/>
    <s v="atta"/>
    <s v="Bank"/>
    <m/>
  </r>
  <r>
    <x v="120"/>
    <s v="advance salary"/>
    <n v="10000"/>
    <m/>
    <s v="Haseen "/>
    <s v="Bank"/>
    <m/>
  </r>
  <r>
    <x v="120"/>
    <s v="advance salary"/>
    <n v="5000"/>
    <m/>
    <s v="Khubaib"/>
    <s v="Bank"/>
    <m/>
  </r>
  <r>
    <x v="120"/>
    <s v="advance salary"/>
    <n v="10000"/>
    <m/>
    <s v="Tanveer sb"/>
    <s v="Bank"/>
    <m/>
  </r>
  <r>
    <x v="120"/>
    <s v="advance salary"/>
    <n v="10000"/>
    <m/>
    <s v="Munawar//june2 nill"/>
    <s v="Bank"/>
    <m/>
  </r>
  <r>
    <x v="120"/>
    <s v="Kaleem ullah"/>
    <n v="200000"/>
    <m/>
    <s v="TID:606257"/>
    <s v="Bank"/>
    <m/>
  </r>
  <r>
    <x v="120"/>
    <s v="Building Acc"/>
    <n v="5550"/>
    <m/>
    <s v="mazdoor 12hr"/>
    <s v="Bank"/>
    <m/>
  </r>
  <r>
    <x v="121"/>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V57:X75" firstHeaderRow="0" firstDataRow="1" firstDataCol="1"/>
  <pivotFields count="4">
    <pivotField axis="axisRow" showAll="0" includeNewItemsInFilter="1">
      <items count="18">
        <item x="0"/>
        <item x="1"/>
        <item x="2"/>
        <item x="3"/>
        <item x="4"/>
        <item x="5"/>
        <item x="6"/>
        <item x="7"/>
        <item x="8"/>
        <item x="9"/>
        <item x="10"/>
        <item x="11"/>
        <item x="12"/>
        <item x="13"/>
        <item x="14"/>
        <item x="15"/>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dataFields count="2">
    <dataField name="Sum of Tiyaar" fld="1" baseField="0" baseItem="0"/>
    <dataField name="Sum of Total" fld="3" baseField="0" baseItem="0"/>
  </dataFields>
  <formats count="4">
    <format dxfId="126">
      <pivotArea field="0" grandRow="1" outline="0" collapsedLevelsAreSubtotals="1" axis="axisRow" fieldPosition="0">
        <references count="1">
          <reference field="4294967294" count="1" selected="0">
            <x v="1"/>
          </reference>
        </references>
      </pivotArea>
    </format>
    <format dxfId="125">
      <pivotArea field="0" grandRow="1" outline="0" collapsedLevelsAreSubtotals="1" axis="axisRow" fieldPosition="0">
        <references count="1">
          <reference field="4294967294" count="1" selected="0">
            <x v="0"/>
          </reference>
        </references>
      </pivotArea>
    </format>
    <format dxfId="124">
      <pivotArea collapsedLevelsAreSubtotals="1" fieldPosition="0">
        <references count="2">
          <reference field="4294967294" count="1" selected="0">
            <x v="1"/>
          </reference>
          <reference field="0" count="0"/>
        </references>
      </pivotArea>
    </format>
    <format dxfId="123">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91" firstHeaderRow="0" firstDataRow="1" firstDataCol="1" rowPageCount="1" colPageCount="1"/>
  <pivotFields count="9">
    <pivotField axis="axisRow" numFmtId="14" showAll="0">
      <items count="42">
        <item x="6"/>
        <item x="1"/>
        <item x="2"/>
        <item x="3"/>
        <item x="4"/>
        <item x="7"/>
        <item x="8"/>
        <item x="5"/>
        <item x="9"/>
        <item x="10"/>
        <item x="11"/>
        <item x="12"/>
        <item x="13"/>
        <item x="14"/>
        <item x="15"/>
        <item x="16"/>
        <item x="17"/>
        <item x="18"/>
        <item x="19"/>
        <item x="20"/>
        <item x="21"/>
        <item x="22"/>
        <item x="0"/>
        <item x="23"/>
        <item x="24"/>
        <item x="25"/>
        <item x="26"/>
        <item x="27"/>
        <item x="28"/>
        <item x="29"/>
        <item x="30"/>
        <item x="31"/>
        <item x="32"/>
        <item x="33"/>
        <item x="34"/>
        <item x="35"/>
        <item x="36"/>
        <item x="37"/>
        <item x="38"/>
        <item x="39"/>
        <item x="40"/>
        <item t="default"/>
      </items>
    </pivotField>
    <pivotField axis="axisPage" showAll="0">
      <items count="21">
        <item x="0"/>
        <item x="1"/>
        <item x="12"/>
        <item m="1" x="19"/>
        <item x="3"/>
        <item x="4"/>
        <item x="5"/>
        <item m="1" x="18"/>
        <item x="6"/>
        <item x="7"/>
        <item x="8"/>
        <item x="9"/>
        <item x="2"/>
        <item x="10"/>
        <item x="11"/>
        <item m="1" x="17"/>
        <item x="13"/>
        <item x="15"/>
        <item x="14"/>
        <item x="16"/>
        <item t="default"/>
      </items>
    </pivotField>
    <pivotField axis="axisRow" showAll="0">
      <items count="59">
        <item m="1" x="48"/>
        <item m="1" x="32"/>
        <item m="1" x="44"/>
        <item m="1" x="14"/>
        <item m="1" x="49"/>
        <item m="1" x="50"/>
        <item m="1" x="45"/>
        <item m="1" x="46"/>
        <item m="1" x="47"/>
        <item m="1" x="25"/>
        <item m="1" x="51"/>
        <item m="1" x="52"/>
        <item m="1" x="53"/>
        <item m="1" x="54"/>
        <item m="1" x="55"/>
        <item m="1" x="56"/>
        <item m="1" x="21"/>
        <item m="1" x="22"/>
        <item m="1" x="57"/>
        <item m="1" x="23"/>
        <item x="0"/>
        <item m="1" x="24"/>
        <item m="1" x="26"/>
        <item m="1" x="27"/>
        <item m="1" x="28"/>
        <item m="1" x="29"/>
        <item m="1" x="30"/>
        <item m="1" x="31"/>
        <item m="1" x="33"/>
        <item m="1" x="34"/>
        <item m="1" x="16"/>
        <item m="1" x="35"/>
        <item m="1" x="36"/>
        <item m="1" x="37"/>
        <item m="1" x="20"/>
        <item m="1" x="38"/>
        <item m="1" x="39"/>
        <item m="1" x="18"/>
        <item m="1" x="40"/>
        <item m="1" x="41"/>
        <item m="1" x="42"/>
        <item m="1" x="43"/>
        <item m="1" x="6"/>
        <item m="1" x="7"/>
        <item m="1" x="8"/>
        <item m="1" x="9"/>
        <item m="1" x="10"/>
        <item m="1" x="11"/>
        <item m="1" x="12"/>
        <item m="1" x="13"/>
        <item m="1" x="15"/>
        <item m="1" x="17"/>
        <item m="1" x="19"/>
        <item m="1" x="5"/>
        <item x="1"/>
        <item m="1" x="2"/>
        <item m="1" x="4"/>
        <item m="1"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83">
    <i>
      <x/>
    </i>
    <i r="1">
      <x v="54"/>
    </i>
    <i>
      <x v="1"/>
    </i>
    <i r="1">
      <x v="54"/>
    </i>
    <i>
      <x v="2"/>
    </i>
    <i r="1">
      <x v="54"/>
    </i>
    <i>
      <x v="3"/>
    </i>
    <i r="1">
      <x v="54"/>
    </i>
    <i>
      <x v="4"/>
    </i>
    <i r="1">
      <x v="54"/>
    </i>
    <i>
      <x v="5"/>
    </i>
    <i r="1">
      <x v="54"/>
    </i>
    <i>
      <x v="6"/>
    </i>
    <i r="1">
      <x v="54"/>
    </i>
    <i>
      <x v="7"/>
    </i>
    <i r="1">
      <x v="54"/>
    </i>
    <i>
      <x v="8"/>
    </i>
    <i r="1">
      <x v="54"/>
    </i>
    <i>
      <x v="9"/>
    </i>
    <i r="1">
      <x v="54"/>
    </i>
    <i>
      <x v="10"/>
    </i>
    <i r="1">
      <x v="54"/>
    </i>
    <i>
      <x v="11"/>
    </i>
    <i r="1">
      <x v="54"/>
    </i>
    <i>
      <x v="12"/>
    </i>
    <i r="1">
      <x v="54"/>
    </i>
    <i>
      <x v="13"/>
    </i>
    <i r="1">
      <x v="54"/>
    </i>
    <i>
      <x v="14"/>
    </i>
    <i r="1">
      <x v="54"/>
    </i>
    <i>
      <x v="15"/>
    </i>
    <i r="1">
      <x v="54"/>
    </i>
    <i>
      <x v="16"/>
    </i>
    <i r="1">
      <x v="54"/>
    </i>
    <i>
      <x v="17"/>
    </i>
    <i r="1">
      <x v="54"/>
    </i>
    <i>
      <x v="18"/>
    </i>
    <i r="1">
      <x v="54"/>
    </i>
    <i>
      <x v="19"/>
    </i>
    <i r="1">
      <x v="54"/>
    </i>
    <i>
      <x v="20"/>
    </i>
    <i r="1">
      <x v="54"/>
    </i>
    <i>
      <x v="21"/>
    </i>
    <i r="1">
      <x v="54"/>
    </i>
    <i>
      <x v="22"/>
    </i>
    <i r="1">
      <x v="20"/>
    </i>
    <i>
      <x v="23"/>
    </i>
    <i r="1">
      <x v="54"/>
    </i>
    <i>
      <x v="24"/>
    </i>
    <i r="1">
      <x v="54"/>
    </i>
    <i>
      <x v="25"/>
    </i>
    <i r="1">
      <x v="54"/>
    </i>
    <i>
      <x v="26"/>
    </i>
    <i r="1">
      <x v="54"/>
    </i>
    <i>
      <x v="27"/>
    </i>
    <i r="1">
      <x v="54"/>
    </i>
    <i>
      <x v="28"/>
    </i>
    <i r="1">
      <x v="54"/>
    </i>
    <i>
      <x v="29"/>
    </i>
    <i r="1">
      <x v="54"/>
    </i>
    <i>
      <x v="30"/>
    </i>
    <i r="1">
      <x v="54"/>
    </i>
    <i>
      <x v="31"/>
    </i>
    <i r="1">
      <x v="54"/>
    </i>
    <i>
      <x v="32"/>
    </i>
    <i r="1">
      <x v="54"/>
    </i>
    <i>
      <x v="33"/>
    </i>
    <i r="1">
      <x v="54"/>
    </i>
    <i>
      <x v="34"/>
    </i>
    <i r="1">
      <x v="54"/>
    </i>
    <i>
      <x v="35"/>
    </i>
    <i r="1">
      <x v="54"/>
    </i>
    <i>
      <x v="36"/>
    </i>
    <i r="1">
      <x v="54"/>
    </i>
    <i>
      <x v="37"/>
    </i>
    <i r="1">
      <x v="54"/>
    </i>
    <i>
      <x v="38"/>
    </i>
    <i r="1">
      <x v="54"/>
    </i>
    <i>
      <x v="39"/>
    </i>
    <i r="1">
      <x v="54"/>
    </i>
    <i>
      <x v="40"/>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78">
      <pivotArea dataOnly="0" labelOnly="1" outline="0" fieldPosition="0">
        <references count="1">
          <reference field="1" count="1">
            <x v="1"/>
          </reference>
        </references>
      </pivotArea>
    </format>
    <format dxfId="77">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199" firstHeaderRow="0" firstDataRow="1" firstDataCol="1"/>
  <pivotFields count="9">
    <pivotField axis="axisRow" numFmtId="14" showAll="0">
      <items count="12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1"/>
        <item x="72"/>
        <item x="73"/>
        <item x="74"/>
        <item x="75"/>
        <item x="121"/>
        <item x="76"/>
        <item x="77"/>
        <item x="78"/>
        <item x="79"/>
        <item x="81"/>
        <item x="80"/>
        <item x="82"/>
        <item x="84"/>
        <item x="85"/>
        <item x="83"/>
        <item x="86"/>
        <item x="87"/>
        <item x="88"/>
        <item x="89"/>
        <item x="91"/>
        <item x="90"/>
        <item x="70"/>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showAll="0"/>
    <pivotField dataField="1" showAll="0"/>
    <pivotField dataField="1" showAll="0"/>
    <pivotField showAll="0"/>
    <pivotField showAll="0"/>
    <pivotField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items count="15">
        <item sd="0" x="0"/>
        <item sd="0" x="1"/>
        <item sd="0" x="2"/>
        <item sd="0" x="3"/>
        <item sd="0" x="4"/>
        <item sd="0" x="5"/>
        <item x="6"/>
        <item sd="0" x="7"/>
        <item sd="0" x="8"/>
        <item sd="0" x="9"/>
        <item sd="0" x="10"/>
        <item sd="0" x="11"/>
        <item sd="0" x="12"/>
        <item sd="0" x="13"/>
        <item t="default"/>
      </items>
    </pivotField>
  </pivotFields>
  <rowFields count="3">
    <field x="8"/>
    <field x="7"/>
    <field x="0"/>
  </rowFields>
  <rowItems count="36">
    <i>
      <x/>
    </i>
    <i>
      <x v="3"/>
    </i>
    <i>
      <x v="4"/>
    </i>
    <i>
      <x v="5"/>
    </i>
    <i>
      <x v="6"/>
    </i>
    <i r="1">
      <x v="153"/>
    </i>
    <i r="1">
      <x v="154"/>
    </i>
    <i r="1">
      <x v="155"/>
    </i>
    <i r="1">
      <x v="156"/>
    </i>
    <i r="1">
      <x v="157"/>
    </i>
    <i r="1">
      <x v="158"/>
    </i>
    <i r="1">
      <x v="159"/>
    </i>
    <i r="1">
      <x v="160"/>
    </i>
    <i r="1">
      <x v="161"/>
    </i>
    <i r="1">
      <x v="162"/>
    </i>
    <i r="1">
      <x v="163"/>
    </i>
    <i r="1">
      <x v="164"/>
    </i>
    <i r="1">
      <x v="165"/>
    </i>
    <i r="1">
      <x v="166"/>
    </i>
    <i r="1">
      <x v="167"/>
    </i>
    <i r="1">
      <x v="168"/>
    </i>
    <i r="1">
      <x v="169"/>
    </i>
    <i r="1">
      <x v="171"/>
    </i>
    <i r="1">
      <x v="172"/>
    </i>
    <i r="1">
      <x v="173"/>
    </i>
    <i r="1">
      <x v="174"/>
    </i>
    <i r="1">
      <x v="175"/>
    </i>
    <i r="1">
      <x v="176"/>
    </i>
    <i r="1">
      <x v="177"/>
    </i>
    <i r="1">
      <x v="179"/>
    </i>
    <i r="1">
      <x v="180"/>
    </i>
    <i r="1">
      <x v="181"/>
    </i>
    <i r="1">
      <x v="182"/>
    </i>
    <i>
      <x v="7"/>
    </i>
    <i>
      <x v="8"/>
    </i>
    <i t="grand">
      <x/>
    </i>
  </rowItems>
  <colFields count="1">
    <field x="-2"/>
  </colFields>
  <colItems count="2">
    <i>
      <x/>
    </i>
    <i i="1">
      <x v="1"/>
    </i>
  </colItems>
  <dataFields count="2">
    <dataField name="Sum of Credit" fld="3" baseField="0" baseItem="0"/>
    <dataField name="Sum of Debit" fld="2" baseField="0" baseItem="0"/>
  </dataFields>
  <formats count="1">
    <format dxfId="14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3" firstHeaderRow="0" firstDataRow="1" firstDataCol="1" rowPageCount="1" colPageCount="1"/>
  <pivotFields count="9">
    <pivotField axis="axisRow" showAll="0">
      <items count="33">
        <item x="8"/>
        <item x="1"/>
        <item x="2"/>
        <item x="3"/>
        <item x="4"/>
        <item x="5"/>
        <item x="6"/>
        <item x="7"/>
        <item x="9"/>
        <item x="10"/>
        <item x="11"/>
        <item x="12"/>
        <item x="13"/>
        <item x="14"/>
        <item x="15"/>
        <item x="0"/>
        <item x="16"/>
        <item x="17"/>
        <item x="18"/>
        <item x="19"/>
        <item x="20"/>
        <item x="21"/>
        <item x="22"/>
        <item x="23"/>
        <item x="24"/>
        <item x="25"/>
        <item x="26"/>
        <item x="27"/>
        <item x="28"/>
        <item x="29"/>
        <item x="30"/>
        <item x="31"/>
        <item t="default"/>
      </items>
    </pivotField>
    <pivotField showAll="0"/>
    <pivotField showAll="0"/>
    <pivotField showAll="0"/>
    <pivotField dataField="1" showAll="0"/>
    <pivotField axis="axisPage" showAll="0">
      <items count="17">
        <item x="0"/>
        <item x="9"/>
        <item m="1" x="15"/>
        <item m="1" x="14"/>
        <item x="1"/>
        <item x="2"/>
        <item x="3"/>
        <item m="1" x="13"/>
        <item x="8"/>
        <item m="1" x="12"/>
        <item x="4"/>
        <item m="1" x="11"/>
        <item x="7"/>
        <item x="5"/>
        <item x="6"/>
        <item x="10"/>
        <item t="default"/>
      </items>
    </pivotField>
    <pivotField showAll="0"/>
    <pivotField dataField="1" showAll="0"/>
    <pivotField showAll="0"/>
  </pivotFields>
  <rowFields count="1">
    <field x="0"/>
  </rowFields>
  <rowItems count="4">
    <i>
      <x v="4"/>
    </i>
    <i>
      <x v="15"/>
    </i>
    <i>
      <x v="29"/>
    </i>
    <i t="grand">
      <x/>
    </i>
  </rowItems>
  <colFields count="1">
    <field x="-2"/>
  </colFields>
  <colItems count="2">
    <i>
      <x/>
    </i>
    <i i="1">
      <x v="1"/>
    </i>
  </colItems>
  <pageFields count="1">
    <pageField fld="5" item="10"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3" firstHeaderRow="0" firstDataRow="1" firstDataCol="1"/>
  <pivotFields count="8">
    <pivotField numFmtId="14" showAll="0"/>
    <pivotField axis="axisRow" showAll="0">
      <items count="13">
        <item m="1" x="11"/>
        <item x="1"/>
        <item m="1" x="8"/>
        <item m="1" x="10"/>
        <item x="0"/>
        <item x="2"/>
        <item x="3"/>
        <item x="4"/>
        <item x="5"/>
        <item m="1" x="9"/>
        <item x="6"/>
        <item x="7"/>
        <item t="default"/>
      </items>
    </pivotField>
    <pivotField showAll="0"/>
    <pivotField showAll="0"/>
    <pivotField showAll="0"/>
    <pivotField dataField="1" showAll="0"/>
    <pivotField dataField="1" showAll="0"/>
    <pivotField dataField="1" showAll="0"/>
  </pivotFields>
  <rowFields count="1">
    <field x="1"/>
  </rowFields>
  <rowItems count="9">
    <i>
      <x v="1"/>
    </i>
    <i>
      <x v="4"/>
    </i>
    <i>
      <x v="5"/>
    </i>
    <i>
      <x v="6"/>
    </i>
    <i>
      <x v="7"/>
    </i>
    <i>
      <x v="8"/>
    </i>
    <i>
      <x v="10"/>
    </i>
    <i>
      <x v="11"/>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159" firstHeaderRow="0" firstDataRow="1" firstDataCol="1" rowPageCount="1" colPageCount="1"/>
  <pivotFields count="14">
    <pivotField showAll="0"/>
    <pivotField axis="axisPage" multipleItemSelectionAllowed="1" showAll="0">
      <items count="51">
        <item m="1" x="47"/>
        <item x="2"/>
        <item x="0"/>
        <item x="1"/>
        <item m="1" x="49"/>
        <item m="1" x="45"/>
        <item x="6"/>
        <item m="1" x="48"/>
        <item x="3"/>
        <item x="4"/>
        <item m="1" x="46"/>
        <item m="1" x="44"/>
        <item x="34"/>
        <item x="5"/>
        <item x="10"/>
        <item x="8"/>
        <item x="9"/>
        <item x="7"/>
        <item x="11"/>
        <item m="1" x="43"/>
        <item x="13"/>
        <item x="14"/>
        <item x="15"/>
        <item x="16"/>
        <item x="17"/>
        <item x="18"/>
        <item x="19"/>
        <item x="20"/>
        <item x="21"/>
        <item x="22"/>
        <item x="23"/>
        <item x="24"/>
        <item x="25"/>
        <item x="12"/>
        <item x="27"/>
        <item x="26"/>
        <item x="28"/>
        <item x="29"/>
        <item x="30"/>
        <item x="31"/>
        <item x="32"/>
        <item m="1" x="42"/>
        <item x="33"/>
        <item x="35"/>
        <item x="36"/>
        <item x="37"/>
        <item x="38"/>
        <item x="39"/>
        <item x="41"/>
        <item x="40"/>
        <item t="default"/>
      </items>
    </pivotField>
    <pivotField showAll="0"/>
    <pivotField showAll="0"/>
    <pivotField axis="axisRow" showAll="0">
      <items count="644">
        <item m="1" x="626"/>
        <item m="1" x="627"/>
        <item m="1" x="625"/>
        <item m="1" x="624"/>
        <item m="1" x="628"/>
        <item m="1" x="630"/>
        <item m="1" x="629"/>
        <item m="1" x="631"/>
        <item m="1" x="632"/>
        <item m="1" x="633"/>
        <item m="1" x="634"/>
        <item m="1" x="635"/>
        <item m="1" x="636"/>
        <item m="1" x="637"/>
        <item m="1" x="562"/>
        <item m="1" x="584"/>
        <item m="1" x="638"/>
        <item m="1" x="639"/>
        <item m="1" x="640"/>
        <item m="1" x="592"/>
        <item m="1" x="591"/>
        <item m="1" x="641"/>
        <item m="1" x="642"/>
        <item m="1" x="601"/>
        <item m="1" x="593"/>
        <item m="1" x="594"/>
        <item m="1" x="595"/>
        <item m="1" x="596"/>
        <item m="1" x="597"/>
        <item m="1" x="598"/>
        <item m="1" x="599"/>
        <item m="1" x="600"/>
        <item m="1" x="602"/>
        <item m="1" x="622"/>
        <item m="1" x="603"/>
        <item m="1" x="623"/>
        <item m="1" x="604"/>
        <item m="1" x="605"/>
        <item m="1" x="606"/>
        <item m="1" x="607"/>
        <item m="1" x="608"/>
        <item m="1" x="539"/>
        <item m="1" x="609"/>
        <item m="1" x="610"/>
        <item m="1" x="611"/>
        <item m="1" x="612"/>
        <item m="1" x="613"/>
        <item m="1" x="614"/>
        <item m="1" x="615"/>
        <item m="1" x="616"/>
        <item m="1" x="617"/>
        <item m="1" x="618"/>
        <item m="1" x="619"/>
        <item m="1" x="620"/>
        <item m="1" x="621"/>
        <item x="0"/>
        <item m="1" x="538"/>
        <item m="1" x="540"/>
        <item m="1" x="541"/>
        <item m="1" x="542"/>
        <item m="1" x="543"/>
        <item m="1" x="544"/>
        <item m="1" x="545"/>
        <item m="1" x="546"/>
        <item m="1" x="547"/>
        <item m="1" x="548"/>
        <item m="1" x="549"/>
        <item m="1" x="550"/>
        <item m="1" x="551"/>
        <item m="1" x="552"/>
        <item m="1" x="277"/>
        <item m="1" x="553"/>
        <item m="1" x="554"/>
        <item m="1" x="555"/>
        <item m="1" x="556"/>
        <item m="1" x="557"/>
        <item m="1" x="558"/>
        <item m="1" x="559"/>
        <item m="1" x="560"/>
        <item m="1" x="561"/>
        <item m="1" x="563"/>
        <item m="1" x="564"/>
        <item m="1" x="565"/>
        <item m="1" x="566"/>
        <item m="1" x="567"/>
        <item m="1" x="568"/>
        <item m="1" x="569"/>
        <item m="1" x="570"/>
        <item m="1" x="571"/>
        <item m="1" x="572"/>
        <item m="1" x="573"/>
        <item m="1" x="574"/>
        <item m="1" x="575"/>
        <item m="1" x="576"/>
        <item m="1" x="577"/>
        <item m="1" x="578"/>
        <item m="1" x="579"/>
        <item m="1" x="580"/>
        <item m="1" x="581"/>
        <item m="1" x="582"/>
        <item m="1" x="583"/>
        <item m="1" x="585"/>
        <item m="1" x="586"/>
        <item m="1" x="587"/>
        <item m="1" x="588"/>
        <item m="1" x="589"/>
        <item m="1" x="590"/>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5"/>
        <item m="1" x="486"/>
        <item m="1" x="487"/>
        <item m="1" x="488"/>
        <item m="1" x="489"/>
        <item m="1" x="490"/>
        <item m="1" x="491"/>
        <item m="1" x="492"/>
        <item m="1" x="493"/>
        <item m="1" x="494"/>
        <item m="1" x="495"/>
        <item m="1" x="496"/>
        <item m="1" x="497"/>
        <item m="1" x="498"/>
        <item m="1" x="499"/>
        <item m="1" x="500"/>
        <item m="1" x="501"/>
        <item m="1" x="502"/>
        <item m="1" x="503"/>
        <item m="1" x="504"/>
        <item m="1" x="505"/>
        <item m="1" x="506"/>
        <item m="1" x="293"/>
        <item m="1" x="507"/>
        <item m="1" x="508"/>
        <item m="1" x="509"/>
        <item m="1" x="510"/>
        <item m="1" x="511"/>
        <item m="1" x="512"/>
        <item m="1" x="513"/>
        <item m="1" x="514"/>
        <item m="1" x="515"/>
        <item m="1" x="516"/>
        <item m="1" x="517"/>
        <item m="1" x="537"/>
        <item m="1" x="518"/>
        <item m="1" x="519"/>
        <item m="1" x="520"/>
        <item m="1" x="521"/>
        <item m="1" x="522"/>
        <item m="1" x="523"/>
        <item m="1" x="524"/>
        <item m="1" x="525"/>
        <item m="1" x="526"/>
        <item m="1" x="527"/>
        <item m="1" x="528"/>
        <item m="1" x="529"/>
        <item m="1" x="530"/>
        <item m="1" x="531"/>
        <item m="1" x="532"/>
        <item m="1" x="533"/>
        <item m="1" x="534"/>
        <item m="1" x="535"/>
        <item m="1" x="536"/>
        <item m="1" x="401"/>
        <item m="1" x="402"/>
        <item m="1" x="403"/>
        <item m="1" x="404"/>
        <item m="1" x="405"/>
        <item m="1" x="406"/>
        <item m="1" x="407"/>
        <item m="1" x="408"/>
        <item m="1" x="409"/>
        <item m="1" x="410"/>
        <item m="1" x="411"/>
        <item m="1" x="412"/>
        <item m="1" x="413"/>
        <item m="1" x="414"/>
        <item m="1" x="415"/>
        <item m="1" x="416"/>
        <item m="1" x="417"/>
        <item m="1" x="418"/>
        <item m="1" x="419"/>
        <item m="1" x="420"/>
        <item m="1" x="421"/>
        <item m="1" x="422"/>
        <item m="1" x="423"/>
        <item m="1" x="424"/>
        <item m="1" x="425"/>
        <item m="1" x="426"/>
        <item m="1" x="427"/>
        <item m="1" x="428"/>
        <item m="1" x="429"/>
        <item m="1" x="430"/>
        <item m="1" x="431"/>
        <item m="1" x="432"/>
        <item m="1" x="433"/>
        <item m="1" x="434"/>
        <item m="1" x="435"/>
        <item m="1" x="436"/>
        <item m="1" x="437"/>
        <item m="1" x="438"/>
        <item m="1" x="439"/>
        <item m="1" x="440"/>
        <item m="1" x="441"/>
        <item m="1" x="442"/>
        <item m="1" x="443"/>
        <item m="1" x="444"/>
        <item m="1" x="445"/>
        <item m="1" x="446"/>
        <item m="1" x="447"/>
        <item m="1" x="448"/>
        <item m="1" x="449"/>
        <item m="1" x="450"/>
        <item m="1" x="451"/>
        <item m="1" x="452"/>
        <item m="1" x="453"/>
        <item m="1" x="454"/>
        <item m="1" x="455"/>
        <item m="1" x="333"/>
        <item m="1" x="456"/>
        <item m="1" x="324"/>
        <item m="1" x="325"/>
        <item m="1" x="326"/>
        <item m="1" x="327"/>
        <item m="1" x="328"/>
        <item m="1" x="329"/>
        <item m="1" x="330"/>
        <item m="1" x="331"/>
        <item m="1" x="332"/>
        <item m="1" x="334"/>
        <item m="1" x="335"/>
        <item m="1" x="336"/>
        <item m="1" x="337"/>
        <item m="1" x="338"/>
        <item m="1" x="339"/>
        <item m="1" x="340"/>
        <item m="1" x="341"/>
        <item m="1" x="342"/>
        <item m="1" x="343"/>
        <item m="1" x="344"/>
        <item m="1" x="345"/>
        <item m="1" x="346"/>
        <item m="1" x="347"/>
        <item m="1" x="274"/>
        <item m="1" x="348"/>
        <item m="1" x="349"/>
        <item m="1" x="350"/>
        <item m="1" x="351"/>
        <item m="1" x="352"/>
        <item m="1" x="353"/>
        <item m="1" x="354"/>
        <item m="1" x="355"/>
        <item m="1" x="356"/>
        <item m="1" x="357"/>
        <item m="1" x="358"/>
        <item m="1" x="359"/>
        <item m="1" x="360"/>
        <item m="1" x="361"/>
        <item m="1" x="362"/>
        <item m="1" x="363"/>
        <item m="1" x="364"/>
        <item m="1" x="365"/>
        <item m="1" x="366"/>
        <item m="1" x="367"/>
        <item m="1" x="368"/>
        <item m="1" x="369"/>
        <item m="1" x="278"/>
        <item m="1" x="370"/>
        <item m="1" x="371"/>
        <item m="1" x="372"/>
        <item m="1" x="373"/>
        <item m="1" x="374"/>
        <item m="1" x="375"/>
        <item m="1" x="376"/>
        <item m="1" x="377"/>
        <item m="1" x="378"/>
        <item m="1" x="379"/>
        <item m="1" x="380"/>
        <item m="1" x="381"/>
        <item m="1" x="382"/>
        <item m="1" x="383"/>
        <item m="1" x="384"/>
        <item m="1" x="385"/>
        <item m="1" x="386"/>
        <item m="1" x="387"/>
        <item m="1" x="388"/>
        <item m="1" x="389"/>
        <item m="1" x="390"/>
        <item m="1" x="391"/>
        <item m="1" x="392"/>
        <item m="1" x="393"/>
        <item m="1" x="394"/>
        <item m="1" x="395"/>
        <item m="1" x="396"/>
        <item m="1" x="397"/>
        <item m="1" x="398"/>
        <item m="1" x="275"/>
        <item m="1" x="399"/>
        <item m="1" x="400"/>
        <item m="1" x="272"/>
        <item m="1" x="281"/>
        <item m="1" x="273"/>
        <item m="1" x="276"/>
        <item m="1" x="279"/>
        <item m="1" x="280"/>
        <item m="1" x="282"/>
        <item m="1" x="283"/>
        <item m="1" x="284"/>
        <item m="1" x="285"/>
        <item m="1" x="286"/>
        <item m="1" x="287"/>
        <item m="1" x="288"/>
        <item m="1" x="289"/>
        <item m="1" x="290"/>
        <item m="1" x="291"/>
        <item m="1" x="198"/>
        <item m="1" x="292"/>
        <item m="1" x="294"/>
        <item m="1" x="295"/>
        <item m="1" x="296"/>
        <item m="1" x="253"/>
        <item m="1" x="229"/>
        <item m="1" x="297"/>
        <item m="1" x="298"/>
        <item m="1" x="299"/>
        <item m="1" x="221"/>
        <item m="1" x="300"/>
        <item m="1" x="301"/>
        <item m="1" x="302"/>
        <item m="1" x="303"/>
        <item m="1" x="268"/>
        <item m="1" x="304"/>
        <item m="1" x="305"/>
        <item m="1" x="306"/>
        <item m="1" x="307"/>
        <item m="1" x="308"/>
        <item m="1" x="309"/>
        <item m="1" x="310"/>
        <item m="1" x="311"/>
        <item m="1" x="312"/>
        <item m="1" x="313"/>
        <item m="1" x="314"/>
        <item m="1" x="315"/>
        <item m="1" x="323"/>
        <item m="1" x="316"/>
        <item m="1" x="317"/>
        <item m="1" x="218"/>
        <item m="1" x="219"/>
        <item m="1" x="318"/>
        <item m="1" x="230"/>
        <item m="1" x="319"/>
        <item m="1" x="320"/>
        <item m="1" x="321"/>
        <item m="1" x="322"/>
        <item m="1" x="217"/>
        <item m="1" x="215"/>
        <item m="1" x="214"/>
        <item m="1" x="216"/>
        <item m="1" x="220"/>
        <item m="1" x="167"/>
        <item m="1" x="163"/>
        <item m="1" x="222"/>
        <item m="1" x="223"/>
        <item m="1" x="224"/>
        <item m="1" x="225"/>
        <item m="1" x="226"/>
        <item m="1" x="227"/>
        <item m="1" x="228"/>
        <item m="1" x="231"/>
        <item m="1" x="232"/>
        <item m="1" x="233"/>
        <item m="1" x="234"/>
        <item m="1" x="235"/>
        <item m="1" x="236"/>
        <item m="1" x="237"/>
        <item m="1" x="238"/>
        <item m="1" x="239"/>
        <item m="1" x="240"/>
        <item m="1" x="241"/>
        <item m="1" x="242"/>
        <item m="1" x="243"/>
        <item m="1" x="244"/>
        <item m="1" x="156"/>
        <item m="1" x="245"/>
        <item m="1" x="246"/>
        <item m="1" x="247"/>
        <item m="1" x="164"/>
        <item m="1" x="248"/>
        <item m="1" x="249"/>
        <item m="1" x="250"/>
        <item m="1" x="251"/>
        <item m="1" x="252"/>
        <item m="1" x="254"/>
        <item m="1" x="255"/>
        <item m="1" x="256"/>
        <item m="1" x="257"/>
        <item m="1" x="162"/>
        <item m="1" x="258"/>
        <item m="1" x="259"/>
        <item m="1" x="260"/>
        <item m="1" x="261"/>
        <item m="1" x="262"/>
        <item m="1" x="263"/>
        <item m="1" x="169"/>
        <item m="1" x="264"/>
        <item m="1" x="209"/>
        <item m="1" x="265"/>
        <item m="1" x="161"/>
        <item m="1" x="266"/>
        <item m="1" x="267"/>
        <item m="1" x="173"/>
        <item m="1" x="269"/>
        <item m="1" x="270"/>
        <item m="1" x="271"/>
        <item m="1" x="155"/>
        <item m="1" x="157"/>
        <item m="1" x="158"/>
        <item m="1" x="159"/>
        <item m="1" x="160"/>
        <item m="1" x="165"/>
        <item m="1" x="166"/>
        <item m="1" x="168"/>
        <item m="1" x="170"/>
        <item m="1" x="171"/>
        <item m="1" x="172"/>
        <item m="1" x="174"/>
        <item m="1" x="175"/>
        <item m="1" x="176"/>
        <item m="1" x="177"/>
        <item m="1" x="178"/>
        <item m="1" x="179"/>
        <item m="1" x="180"/>
        <item m="1" x="181"/>
        <item x="84"/>
        <item m="1" x="182"/>
        <item m="1" x="183"/>
        <item m="1" x="184"/>
        <item m="1" x="185"/>
        <item m="1" x="186"/>
        <item m="1" x="187"/>
        <item m="1" x="188"/>
        <item m="1" x="189"/>
        <item m="1" x="190"/>
        <item m="1" x="191"/>
        <item m="1" x="192"/>
        <item m="1" x="193"/>
        <item m="1" x="194"/>
        <item m="1" x="195"/>
        <item m="1" x="196"/>
        <item m="1" x="197"/>
        <item m="1" x="199"/>
        <item m="1" x="200"/>
        <item x="16"/>
        <item m="1" x="201"/>
        <item m="1" x="202"/>
        <item m="1" x="203"/>
        <item m="1" x="204"/>
        <item m="1" x="205"/>
        <item m="1" x="206"/>
        <item m="1" x="207"/>
        <item m="1" x="208"/>
        <item m="1" x="213"/>
        <item m="1" x="210"/>
        <item m="1" x="211"/>
        <item m="1" x="212"/>
        <item x="1"/>
        <item x="2"/>
        <item x="3"/>
        <item x="4"/>
        <item x="5"/>
        <item x="6"/>
        <item x="7"/>
        <item x="8"/>
        <item x="9"/>
        <item x="10"/>
        <item x="11"/>
        <item x="12"/>
        <item x="13"/>
        <item x="14"/>
        <item x="15"/>
        <item x="17"/>
        <item x="18"/>
        <item x="19"/>
        <item x="20"/>
        <item x="21"/>
        <item x="23"/>
        <item x="24"/>
        <item x="25"/>
        <item x="26"/>
        <item x="22"/>
        <item x="27"/>
        <item x="28"/>
        <item x="29"/>
        <item x="30"/>
        <item x="31"/>
        <item x="32"/>
        <item x="33"/>
        <item x="34"/>
        <item x="35"/>
        <item x="36"/>
        <item x="37"/>
        <item x="38"/>
        <item x="39"/>
        <item x="40"/>
        <item x="41"/>
        <item x="42"/>
        <item x="43"/>
        <item x="44"/>
        <item x="45"/>
        <item x="46"/>
        <item x="47"/>
        <item x="48"/>
        <item x="57"/>
        <item x="49"/>
        <item x="50"/>
        <item x="51"/>
        <item x="52"/>
        <item x="54"/>
        <item x="55"/>
        <item x="56"/>
        <item x="53"/>
        <item x="58"/>
        <item x="59"/>
        <item x="60"/>
        <item x="61"/>
        <item x="62"/>
        <item x="63"/>
        <item x="64"/>
        <item x="65"/>
        <item x="66"/>
        <item x="67"/>
        <item x="68"/>
        <item x="69"/>
        <item x="70"/>
        <item x="71"/>
        <item x="72"/>
        <item x="73"/>
        <item x="74"/>
        <item x="75"/>
        <item x="76"/>
        <item x="77"/>
        <item x="78"/>
        <item x="79"/>
        <item x="80"/>
        <item x="81"/>
        <item x="82"/>
        <item x="83"/>
        <item x="85"/>
        <item x="86"/>
        <item x="87"/>
        <item x="88"/>
        <item x="89"/>
        <item x="90"/>
        <item x="91"/>
        <item x="92"/>
        <item x="93"/>
        <item x="94"/>
        <item x="96"/>
        <item x="97"/>
        <item x="98"/>
        <item x="99"/>
        <item x="100"/>
        <item x="101"/>
        <item x="95"/>
        <item x="102"/>
        <item x="103"/>
        <item x="104"/>
        <item x="105"/>
        <item x="107"/>
        <item x="108"/>
        <item x="109"/>
        <item x="110"/>
        <item x="106"/>
        <item x="111"/>
        <item x="112"/>
        <item x="113"/>
        <item x="114"/>
        <item x="115"/>
        <item x="116"/>
        <item x="117"/>
        <item x="118"/>
        <item x="119"/>
        <item x="120"/>
        <item x="121"/>
        <item x="122"/>
        <item x="123"/>
        <item x="125"/>
        <item x="124"/>
        <item x="126"/>
        <item x="127"/>
        <item x="128"/>
        <item x="133"/>
        <item x="134"/>
        <item x="135"/>
        <item x="136"/>
        <item x="129"/>
        <item x="130"/>
        <item x="131"/>
        <item x="132"/>
        <item x="137"/>
        <item x="138"/>
        <item x="139"/>
        <item x="140"/>
        <item x="141"/>
        <item x="142"/>
        <item x="143"/>
        <item x="144"/>
        <item x="145"/>
        <item x="146"/>
        <item x="147"/>
        <item x="148"/>
        <item x="149"/>
        <item x="150"/>
        <item x="151"/>
        <item x="152"/>
        <item x="153"/>
        <item x="154"/>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156">
    <i>
      <x v="55"/>
    </i>
    <i>
      <x v="459"/>
    </i>
    <i>
      <x v="478"/>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25">
      <pivotArea type="all" dataOnly="0" outline="0" fieldPosition="0"/>
    </format>
    <format dxfId="24">
      <pivotArea outline="0" collapsedLevelsAreSubtotals="1" fieldPosition="0"/>
    </format>
    <format dxfId="23">
      <pivotArea field="4" type="button" dataOnly="0" labelOnly="1" outline="0" axis="axisRow" fieldPosition="0"/>
    </format>
    <format dxfId="22">
      <pivotArea dataOnly="0" labelOnly="1" fieldPosition="0">
        <references count="1">
          <reference field="4" count="0"/>
        </references>
      </pivotArea>
    </format>
    <format dxfId="21">
      <pivotArea dataOnly="0" labelOnly="1" grandRow="1" outline="0" fieldPosition="0"/>
    </format>
    <format dxfId="20">
      <pivotArea dataOnly="0" labelOnly="1" outline="0" fieldPosition="0">
        <references count="1">
          <reference field="4294967294" count="2">
            <x v="0"/>
            <x v="1"/>
          </reference>
        </references>
      </pivotArea>
    </format>
    <format dxfId="19">
      <pivotArea grandRow="1" outline="0" collapsedLevelsAreSubtotals="1" fieldPosition="0"/>
    </format>
    <format dxfId="18">
      <pivotArea field="4" type="button" dataOnly="0" labelOnly="1" outline="0" axis="axisRow" fieldPosition="0"/>
    </format>
    <format dxfId="17">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643">
        <i x="83" s="1"/>
        <i x="82" s="1"/>
        <i x="108" s="1"/>
        <i x="84" s="1"/>
        <i x="7" s="1"/>
        <i x="16" s="1"/>
        <i x="8" s="1"/>
        <i x="6" s="1"/>
        <i x="12" s="1"/>
        <i x="5" s="1"/>
        <i x="25" s="1"/>
        <i x="26" s="1"/>
        <i x="24" s="1"/>
        <i x="23" s="1"/>
        <i x="21" s="1"/>
        <i x="9" s="1"/>
        <i x="20" s="1"/>
        <i x="4" s="1"/>
        <i x="39" s="1"/>
        <i x="31" s="1"/>
        <i x="2" s="1"/>
        <i x="10" s="1"/>
        <i x="3" s="1"/>
        <i x="13" s="1"/>
        <i x="15" s="1"/>
        <i x="37" s="1"/>
        <i x="34" s="1"/>
        <i x="14" s="1"/>
        <i x="63" s="1"/>
        <i x="60" s="1"/>
        <i x="11" s="1"/>
        <i x="62" s="1"/>
        <i x="40" s="1"/>
        <i x="18" s="1"/>
        <i x="17" s="1"/>
        <i x="28" s="1"/>
        <i x="38" s="1"/>
        <i x="45" s="1"/>
        <i x="33" s="1"/>
        <i x="29" s="1"/>
        <i x="32" s="1"/>
        <i x="55" s="1"/>
        <i x="61" s="1"/>
        <i x="54" s="1"/>
        <i x="35" s="1"/>
        <i x="30" s="1"/>
        <i x="66" s="1"/>
        <i x="36" s="1"/>
        <i x="49" s="1"/>
        <i x="52" s="1"/>
        <i x="116" s="1"/>
        <i x="41" s="1"/>
        <i x="42" s="1"/>
        <i x="44" s="1"/>
        <i x="47" s="1"/>
        <i x="43" s="1"/>
        <i x="46" s="1"/>
        <i x="51" s="1"/>
        <i x="48" s="1"/>
        <i x="57" s="1"/>
        <i x="50" s="1"/>
        <i x="67" s="1"/>
        <i x="59" s="1"/>
        <i x="58" s="1"/>
        <i x="69" s="1"/>
        <i x="56" s="1"/>
        <i x="86" s="1"/>
        <i x="68" s="1"/>
        <i x="77" s="1"/>
        <i x="74" s="1"/>
        <i x="75" s="1"/>
        <i x="85" s="1"/>
        <i x="101" s="1"/>
        <i x="78" s="1"/>
        <i x="88" s="1"/>
        <i x="89" s="1"/>
        <i x="81" s="1"/>
        <i x="79" s="1"/>
        <i x="80" s="1"/>
        <i x="94" s="1"/>
        <i x="97" s="1"/>
        <i x="91" s="1"/>
        <i x="90" s="1"/>
        <i x="104" s="1"/>
        <i x="92" s="1"/>
        <i x="95" s="1"/>
        <i x="99" s="1"/>
        <i x="96" s="1"/>
        <i x="105" s="1"/>
        <i x="107" s="1"/>
        <i x="103" s="1"/>
        <i x="119" s="1"/>
        <i x="110" s="1"/>
        <i x="113" s="1"/>
        <i x="120" s="1"/>
        <i x="102" s="1"/>
        <i x="109" s="1"/>
        <i x="112" s="1"/>
        <i x="131" s="1"/>
        <i x="117" s="1"/>
        <i x="118" s="1"/>
        <i x="121" s="1"/>
        <i x="122" s="1"/>
        <i x="123" s="1"/>
        <i x="136" s="1"/>
        <i x="135" s="1"/>
        <i x="126" s="1"/>
        <i x="138" s="1"/>
        <i x="139" s="1"/>
        <i x="128" s="1"/>
        <i x="134" s="1"/>
        <i x="133" s="1"/>
        <i x="137" s="1"/>
        <i x="144" s="1"/>
        <i x="148" s="1"/>
        <i x="129" s="1"/>
        <i x="146" s="1"/>
        <i x="130" s="1"/>
        <i x="141" s="1"/>
        <i x="145" s="1"/>
        <i x="154" s="1"/>
        <i x="143" s="1"/>
        <i x="147" s="1"/>
        <i x="142" s="1"/>
        <i x="153" s="1"/>
        <i x="151" s="1"/>
        <i x="149" s="1"/>
        <i x="152" s="1"/>
        <i x="150" s="1"/>
        <i x="73" s="1"/>
        <i x="65" s="1"/>
        <i x="93" s="1"/>
        <i x="1" s="1"/>
        <i x="22" s="1"/>
        <i x="27" s="1"/>
        <i x="64" s="1"/>
        <i x="72" s="1"/>
        <i x="19" s="1"/>
        <i x="53" s="1"/>
        <i x="76" s="1"/>
        <i x="71" s="1"/>
        <i x="106" s="1"/>
        <i x="124" s="1"/>
        <i x="100" s="1"/>
        <i x="127" s="1"/>
        <i x="115" s="1"/>
        <i x="111" s="1"/>
        <i x="125" s="1"/>
        <i x="114" s="1"/>
        <i x="132" s="1"/>
        <i x="140" s="1"/>
        <i x="87" s="1"/>
        <i x="98" s="1"/>
        <i x="70" s="1"/>
        <i x="597" s="1" nd="1"/>
        <i x="626" s="1" nd="1"/>
        <i x="627" s="1" nd="1"/>
        <i x="635" s="1" nd="1"/>
        <i x="625" s="1" nd="1"/>
        <i x="624" s="1" nd="1"/>
        <i x="628" s="1" nd="1"/>
        <i x="639" s="1" nd="1"/>
        <i x="631" s="1" nd="1"/>
        <i x="632" s="1" nd="1"/>
        <i x="629" s="1" nd="1"/>
        <i x="630" s="1" nd="1"/>
        <i x="640" s="1" nd="1"/>
        <i x="633" s="1" nd="1"/>
        <i x="634" s="1" nd="1"/>
        <i x="637" s="1" nd="1"/>
        <i x="638" s="1" nd="1"/>
        <i x="636" s="1" nd="1"/>
        <i x="592" s="1" nd="1"/>
        <i x="642" s="1" nd="1"/>
        <i x="591" s="1" nd="1"/>
        <i x="641" s="1" nd="1"/>
        <i x="594" s="1" nd="1"/>
        <i x="555" s="1" nd="1"/>
        <i x="593" s="1" nd="1"/>
        <i x="595" s="1" nd="1"/>
        <i x="601" s="1" nd="1"/>
        <i x="596" s="1" nd="1"/>
        <i x="598" s="1" nd="1"/>
        <i x="614" s="1" nd="1"/>
        <i x="538" s="1" nd="1"/>
        <i x="602" s="1" nd="1"/>
        <i x="543" s="1" nd="1"/>
        <i x="608" s="1" nd="1"/>
        <i x="603" s="1" nd="1"/>
        <i x="606" s="1" nd="1"/>
        <i x="611" s="1" nd="1"/>
        <i x="622" s="1" nd="1"/>
        <i x="604" s="1" nd="1"/>
        <i x="616" s="1" nd="1"/>
        <i x="619" s="1" nd="1"/>
        <i x="610" s="1" nd="1"/>
        <i x="599" s="1" nd="1"/>
        <i x="607" s="1" nd="1"/>
        <i x="600" s="1" nd="1"/>
        <i x="605" s="1" nd="1"/>
        <i x="539" s="1" nd="1"/>
        <i x="609" s="1" nd="1"/>
        <i x="615" s="1" nd="1"/>
        <i x="277" s="1" nd="1"/>
        <i x="612" s="1" nd="1"/>
        <i x="617" s="1" nd="1"/>
        <i x="613" s="1" nd="1"/>
        <i x="579" s="1" nd="1"/>
        <i x="618" s="1" nd="1"/>
        <i x="620" s="1" nd="1"/>
        <i x="541" s="1" nd="1"/>
        <i x="548" s="1" nd="1"/>
        <i x="621" s="1" nd="1"/>
        <i x="545" s="1" nd="1"/>
        <i x="546" s="1" nd="1"/>
        <i x="540" s="1" nd="1"/>
        <i x="544" s="1" nd="1"/>
        <i x="432" s="1" nd="1"/>
        <i x="542" s="1" nd="1"/>
        <i x="551" s="1" nd="1"/>
        <i x="547" s="1" nd="1"/>
        <i x="549" s="1" nd="1"/>
        <i x="552" s="1" nd="1"/>
        <i x="559" s="1" nd="1"/>
        <i x="550" s="1" nd="1"/>
        <i x="558" s="1" nd="1"/>
        <i x="563" s="1" nd="1"/>
        <i x="557" s="1" nd="1"/>
        <i x="560" s="1" nd="1"/>
        <i x="570" s="1" nd="1"/>
        <i x="556" s="1" nd="1"/>
        <i x="553" s="1" nd="1"/>
        <i x="554" s="1" nd="1"/>
        <i x="569" s="1" nd="1"/>
        <i x="428" s="1" nd="1"/>
        <i x="562" s="1" nd="1"/>
        <i x="573" s="1" nd="1"/>
        <i x="568" s="1" nd="1"/>
        <i x="561" s="1" nd="1"/>
        <i x="585" s="1" nd="1"/>
        <i x="566" s="1" nd="1"/>
        <i x="576" s="1" nd="1"/>
        <i x="574" s="1" nd="1"/>
        <i x="564" s="1" nd="1"/>
        <i x="572" s="1" nd="1"/>
        <i x="571" s="1" nd="1"/>
        <i x="567" s="1" nd="1"/>
        <i x="577" s="1" nd="1"/>
        <i x="575" s="1" nd="1"/>
        <i x="578" s="1" nd="1"/>
        <i x="565" s="1" nd="1"/>
        <i x="507" s="1" nd="1"/>
        <i x="580" s="1" nd="1"/>
        <i x="581" s="1" nd="1"/>
        <i x="466" s="1" nd="1"/>
        <i x="468" s="1" nd="1"/>
        <i x="588" s="1" nd="1"/>
        <i x="462" s="1" nd="1"/>
        <i x="508" s="1" nd="1"/>
        <i x="582" s="1" nd="1"/>
        <i x="583" s="1" nd="1"/>
        <i x="465" s="1" nd="1"/>
        <i x="590" s="1" nd="1"/>
        <i x="464" s="1" nd="1"/>
        <i x="479" s="1" nd="1"/>
        <i x="589" s="1" nd="1"/>
        <i x="584" s="1" nd="1"/>
        <i x="483" s="1" nd="1"/>
        <i x="196" s="1" nd="1"/>
        <i x="587" s="1" nd="1"/>
        <i x="586" s="1" nd="1"/>
        <i x="504" s="1" nd="1"/>
        <i x="457" s="1" nd="1"/>
        <i x="469" s="1" nd="1"/>
        <i x="505" s="1" nd="1"/>
        <i x="503" s="1" nd="1"/>
        <i x="461" s="1" nd="1"/>
        <i x="463" s="1" nd="1"/>
        <i x="296" s="1" nd="1"/>
        <i x="467" s="1" nd="1"/>
        <i x="458" s="1" nd="1"/>
        <i x="493" s="1" nd="1"/>
        <i x="498" s="1" nd="1"/>
        <i x="459" s="1" nd="1"/>
        <i x="460" s="1" nd="1"/>
        <i x="470" s="1" nd="1"/>
        <i x="473" s="1" nd="1"/>
        <i x="480" s="1" nd="1"/>
        <i x="472" s="1" nd="1"/>
        <i x="475" s="1" nd="1"/>
        <i x="474" s="1" nd="1"/>
        <i x="516" s="1" nd="1"/>
        <i x="471" s="1" nd="1"/>
        <i x="197" s="1" nd="1"/>
        <i x="194" s="1" nd="1"/>
        <i x="496" s="1" nd="1"/>
        <i x="511" s="1" nd="1"/>
        <i x="476" s="1" nd="1"/>
        <i x="501" s="1" nd="1"/>
        <i x="513" s="1" nd="1"/>
        <i x="485" s="1" nd="1"/>
        <i x="525" s="1" nd="1"/>
        <i x="484" s="1" nd="1"/>
        <i x="481" s="1" nd="1"/>
        <i x="477" s="1" nd="1"/>
        <i x="478" s="1" nd="1"/>
        <i x="497" s="1" nd="1"/>
        <i x="486" s="1" nd="1"/>
        <i x="409" s="1" nd="1"/>
        <i x="487" s="1" nd="1"/>
        <i x="482" s="1" nd="1"/>
        <i x="489" s="1" nd="1"/>
        <i x="490" s="1" nd="1"/>
        <i x="518" s="1" nd="1"/>
        <i x="488" s="1" nd="1"/>
        <i x="506" s="1" nd="1"/>
        <i x="494" s="1" nd="1"/>
        <i x="491" s="1" nd="1"/>
        <i x="495" s="1" nd="1"/>
        <i x="492" s="1" nd="1"/>
        <i x="499" s="1" nd="1"/>
        <i x="198" s="1" nd="1"/>
        <i x="517" s="1" nd="1"/>
        <i x="512" s="1" nd="1"/>
        <i x="531" s="1" nd="1"/>
        <i x="500" s="1" nd="1"/>
        <i x="402" s="1" nd="1"/>
        <i x="510" s="1" nd="1"/>
        <i x="502" s="1" nd="1"/>
        <i x="526" s="1" nd="1"/>
        <i x="509" s="1" nd="1"/>
        <i x="524" s="1" nd="1"/>
        <i x="410" s="1" nd="1"/>
        <i x="515" s="1" nd="1"/>
        <i x="514" s="1" nd="1"/>
        <i x="530" s="1" nd="1"/>
        <i x="527" s="1" nd="1"/>
        <i x="421" s="1" nd="1"/>
        <i x="535" s="1" nd="1"/>
        <i x="519" s="1" nd="1"/>
        <i x="528" s="1" nd="1"/>
        <i x="533" s="1" nd="1"/>
        <i x="412" s="1" nd="1"/>
        <i x="438" s="1" nd="1"/>
        <i x="537" s="1" nd="1"/>
        <i x="534" s="1" nd="1"/>
        <i x="403" s="1" nd="1"/>
        <i x="423" s="1" nd="1"/>
        <i x="529" s="1" nd="1"/>
        <i x="405" s="1" nd="1"/>
        <i x="520" s="1" nd="1"/>
        <i x="523" s="1" nd="1"/>
        <i x="420" s="1" nd="1"/>
        <i x="532" s="1" nd="1"/>
        <i x="159" s="1" nd="1"/>
        <i x="193" s="1" nd="1"/>
        <i x="521" s="1" nd="1"/>
        <i x="522" s="1" nd="1"/>
        <i x="407" s="1" nd="1"/>
        <i x="425" s="1" nd="1"/>
        <i x="426" s="1" nd="1"/>
        <i x="439" s="1" nd="1"/>
        <i x="536" s="1" nd="1"/>
        <i x="401" s="1" nd="1"/>
        <i x="424" s="1" nd="1"/>
        <i x="417" s="1" nd="1"/>
        <i x="404" s="1" nd="1"/>
        <i x="408" s="1" nd="1"/>
        <i x="414" s="1" nd="1"/>
        <i x="406" s="1" nd="1"/>
        <i x="430" s="1" nd="1"/>
        <i x="434" s="1" nd="1"/>
        <i x="435" s="1" nd="1"/>
        <i x="427" s="1" nd="1"/>
        <i x="411" s="1" nd="1"/>
        <i x="276" s="1" nd="1"/>
        <i x="413" s="1" nd="1"/>
        <i x="415" s="1" nd="1"/>
        <i x="418" s="1" nd="1"/>
        <i x="431" s="1" nd="1"/>
        <i x="416" s="1" nd="1"/>
        <i x="437" s="1" nd="1"/>
        <i x="369" s="1" nd="1"/>
        <i x="348" s="1" nd="1"/>
        <i x="452" s="1" nd="1"/>
        <i x="419" s="1" nd="1"/>
        <i x="440" s="1" nd="1"/>
        <i x="436" s="1" nd="1"/>
        <i x="422" s="1" nd="1"/>
        <i x="444" s="1" nd="1"/>
        <i x="380" s="1" nd="1"/>
        <i x="343" s="1" nd="1"/>
        <i x="429" s="1" nd="1"/>
        <i x="453" s="1" nd="1"/>
        <i x="433" s="1" nd="1"/>
        <i x="456" s="1" nd="1"/>
        <i x="443" s="1" nd="1"/>
        <i x="448" s="1" nd="1"/>
        <i x="325" s="1" nd="1"/>
        <i x="445" s="1" nd="1"/>
        <i x="447" s="1" nd="1"/>
        <i x="365" s="1" nd="1"/>
        <i x="333" s="1" nd="1"/>
        <i x="442" s="1" nd="1"/>
        <i x="330" s="1" nd="1"/>
        <i x="441" s="1" nd="1"/>
        <i x="342" s="1" nd="1"/>
        <i x="326" s="1" nd="1"/>
        <i x="324" s="1" nd="1"/>
        <i x="446" s="1" nd="1"/>
        <i x="340" s="1" nd="1"/>
        <i x="334" s="1" nd="1"/>
        <i x="345" s="1" nd="1"/>
        <i x="362" s="1" nd="1"/>
        <i x="339" s="1" nd="1"/>
        <i x="350" s="1" nd="1"/>
        <i x="344" s="1" nd="1"/>
        <i x="341" s="1" nd="1"/>
        <i x="454" s="1" nd="1"/>
        <i x="398" s="1" nd="1"/>
        <i x="352" s="1" nd="1"/>
        <i x="353" s="1" nd="1"/>
        <i x="450" s="1" nd="1"/>
        <i x="449" s="1" nd="1"/>
        <i x="327" s="1" nd="1"/>
        <i x="329" s="1" nd="1"/>
        <i x="360" s="1" nd="1"/>
        <i x="336" s="1" nd="1"/>
        <i x="455" s="1" nd="1"/>
        <i x="394" s="1" nd="1"/>
        <i x="385" s="1" nd="1"/>
        <i x="373" s="1" nd="1"/>
        <i x="347" s="1" nd="1"/>
        <i x="332" s="1" nd="1"/>
        <i x="363" s="1" nd="1"/>
        <i x="382" s="1" nd="1"/>
        <i x="374" s="1" nd="1"/>
        <i x="370" s="1" nd="1"/>
        <i x="338" s="1" nd="1"/>
        <i x="358" s="1" nd="1"/>
        <i x="357" s="1" nd="1"/>
        <i x="372" s="1" nd="1"/>
        <i x="359" s="1" nd="1"/>
        <i x="451" s="1" nd="1"/>
        <i x="335" s="1" nd="1"/>
        <i x="331" s="1" nd="1"/>
        <i x="361" s="1" nd="1"/>
        <i x="328" s="1" nd="1"/>
        <i x="366" s="1" nd="1"/>
        <i x="367" s="1" nd="1"/>
        <i x="371" s="1" nd="1"/>
        <i x="275" s="1" nd="1"/>
        <i x="351" s="1" nd="1"/>
        <i x="346" s="1" nd="1"/>
        <i x="379" s="1" nd="1"/>
        <i x="378" s="1" nd="1"/>
        <i x="383" s="1" nd="1"/>
        <i x="337" s="1" nd="1"/>
        <i x="381" s="1" nd="1"/>
        <i x="368" s="1" nd="1"/>
        <i x="274" s="1" nd="1"/>
        <i x="349" s="1" nd="1"/>
        <i x="354" s="1" nd="1"/>
        <i x="355" s="1" nd="1"/>
        <i x="364" s="1" nd="1"/>
        <i x="356" s="1" nd="1"/>
        <i x="375" s="1" nd="1"/>
        <i x="292" s="1" nd="1"/>
        <i x="386" s="1" nd="1"/>
        <i x="376" s="1" nd="1"/>
        <i x="392" s="1" nd="1"/>
        <i x="389" s="1" nd="1"/>
        <i x="387" s="1" nd="1"/>
        <i x="287" s="1" nd="1"/>
        <i x="286" s="1" nd="1"/>
        <i x="399" s="1" nd="1"/>
        <i x="273" s="1" nd="1"/>
        <i x="285" s="1" nd="1"/>
        <i x="393" s="1" nd="1"/>
        <i x="400" s="1" nd="1"/>
        <i x="278" s="1" nd="1"/>
        <i x="395" s="1" nd="1"/>
        <i x="396" s="1" nd="1"/>
        <i x="377" s="1" nd="1"/>
        <i x="390" s="1" nd="1"/>
        <i x="397" s="1" nd="1"/>
        <i x="388" s="1" nd="1"/>
        <i x="308" s="1" nd="1"/>
        <i x="391" s="1" nd="1"/>
        <i x="272" s="1" nd="1"/>
        <i x="281" s="1" nd="1"/>
        <i x="280" s="1" nd="1"/>
        <i x="384" s="1" nd="1"/>
        <i x="268" s="1" nd="1"/>
        <i x="262" s="1" nd="1"/>
        <i x="233" s="1" nd="1"/>
        <i x="267" s="1" nd="1"/>
        <i x="187" s="1" nd="1"/>
        <i x="284" s="1" nd="1"/>
        <i x="282" s="1" nd="1"/>
        <i x="289" s="1" nd="1"/>
        <i x="290" s="1" nd="1"/>
        <i x="288" s="1" nd="1"/>
        <i x="283" s="1" nd="1"/>
        <i x="279" s="1" nd="1"/>
        <i x="229" s="1" nd="1"/>
        <i x="253" s="1" nd="1"/>
        <i x="305" s="1" nd="1"/>
        <i x="295" s="1" nd="1"/>
        <i x="291" s="1" nd="1"/>
        <i x="309" s="1" nd="1"/>
        <i x="294" s="1" nd="1"/>
        <i x="177" s="1" nd="1"/>
        <i x="304" s="1" nd="1"/>
        <i x="306" s="1" nd="1"/>
        <i x="293" s="1" nd="1"/>
        <i x="297" s="1" nd="1"/>
        <i x="307" s="1" nd="1"/>
        <i x="300" s="1" nd="1"/>
        <i x="298" s="1" nd="1"/>
        <i x="299" s="1" nd="1"/>
        <i x="221" s="1" nd="1"/>
        <i x="303" s="1" nd="1"/>
        <i x="301" s="1" nd="1"/>
        <i x="302" s="1" nd="1"/>
        <i x="311" s="1" nd="1"/>
        <i x="310" s="1" nd="1"/>
        <i x="230" s="1" nd="1"/>
        <i x="320" s="1" nd="1"/>
        <i x="319" s="1" nd="1"/>
        <i x="231" s="1" nd="1"/>
        <i x="318" s="1" nd="1"/>
        <i x="323" s="1" nd="1"/>
        <i x="316" s="1" nd="1"/>
        <i x="322" s="1" nd="1"/>
        <i x="222" s="1" nd="1"/>
        <i x="227" s="1" nd="1"/>
        <i x="312" s="1" nd="1"/>
        <i x="215" s="1" nd="1"/>
        <i x="214" s="1" nd="1"/>
        <i x="216" s="1" nd="1"/>
        <i x="219" s="1" nd="1"/>
        <i x="313" s="1" nd="1"/>
        <i x="314" s="1" nd="1"/>
        <i x="315" s="1" nd="1"/>
        <i x="317" s="1" nd="1"/>
        <i x="321" s="1" nd="1"/>
        <i x="226" s="1" nd="1"/>
        <i x="225" s="1" nd="1"/>
        <i x="223" s="1" nd="1"/>
        <i x="167" s="1" nd="1"/>
        <i x="240" s="1" nd="1"/>
        <i x="218" s="1" nd="1"/>
        <i x="217" s="1" nd="1"/>
        <i x="163" s="1" nd="1"/>
        <i x="220" s="1" nd="1"/>
        <i x="239" s="1" nd="1"/>
        <i x="234" s="1" nd="1"/>
        <i x="235" s="1" nd="1"/>
        <i x="209" s="1" nd="1"/>
        <i x="224" s="1" nd="1"/>
        <i x="247" s="1" nd="1"/>
        <i x="269" s="1" nd="1"/>
        <i x="164" s="1" nd="1"/>
        <i x="236" s="1" nd="1"/>
        <i x="238" s="1" nd="1"/>
        <i x="228" s="1" nd="1"/>
        <i x="244" s="1" nd="1"/>
        <i x="248" s="1" nd="1"/>
        <i x="242" s="1" nd="1"/>
        <i x="241" s="1" nd="1"/>
        <i x="157" s="1" nd="1"/>
        <i x="237" s="1" nd="1"/>
        <i x="160" s="1" nd="1"/>
        <i x="232" s="1" nd="1"/>
        <i x="255" s="1" nd="1"/>
        <i x="256" s="1" nd="1"/>
        <i x="254" s="1" nd="1"/>
        <i x="243" s="1" nd="1"/>
        <i x="265" s="1" nd="1"/>
        <i x="246" s="1" nd="1"/>
        <i x="245" s="1" nd="1"/>
        <i x="158" s="1" nd="1"/>
        <i x="252" s="1" nd="1"/>
        <i x="257" s="1" nd="1"/>
        <i x="261" s="1" nd="1"/>
        <i x="271" s="1" nd="1"/>
        <i x="270" s="1" nd="1"/>
        <i x="251" s="1" nd="1"/>
        <i x="250" s="1" nd="1"/>
        <i x="162" s="1" nd="1"/>
        <i x="264" s="1" nd="1"/>
        <i x="156" s="1" nd="1"/>
        <i x="211" s="1" nd="1"/>
        <i x="166" s="1" nd="1"/>
        <i x="260" s="1" nd="1"/>
        <i x="171" s="1" nd="1"/>
        <i x="161" s="1" nd="1"/>
        <i x="249" s="1" nd="1"/>
        <i x="176" s="1" nd="1"/>
        <i x="169" s="1" nd="1"/>
        <i x="259" s="1" nd="1"/>
        <i x="258" s="1" nd="1"/>
        <i x="188" s="1" nd="1"/>
        <i x="263" s="1" nd="1"/>
        <i x="165" s="1" nd="1"/>
        <i x="173" s="1" nd="1"/>
        <i x="207" s="1" nd="1"/>
        <i x="210" s="1" nd="1"/>
        <i x="266" s="1" nd="1"/>
        <i x="155" s="1" nd="1"/>
        <i x="170" s="1" nd="1"/>
        <i x="168" s="1" nd="1"/>
        <i x="172" s="1" nd="1"/>
        <i x="175" s="1" nd="1"/>
        <i x="174" s="1" nd="1"/>
        <i x="183" s="1" nd="1"/>
        <i x="179" s="1" nd="1"/>
        <i x="180" s="1" nd="1"/>
        <i x="182" s="1" nd="1"/>
        <i x="192" s="1" nd="1"/>
        <i x="185" s="1" nd="1"/>
        <i x="178" s="1" nd="1"/>
        <i x="181" s="1" nd="1"/>
        <i x="186" s="1" nd="1"/>
        <i x="203" s="1" nd="1"/>
        <i x="191" s="1" nd="1"/>
        <i x="184" s="1" nd="1"/>
        <i x="200" s="1" nd="1"/>
        <i x="189" s="1" nd="1"/>
        <i x="202" s="1" nd="1"/>
        <i x="201" s="1" nd="1"/>
        <i x="195" s="1" nd="1"/>
        <i x="199" s="1" nd="1"/>
        <i x="190" s="1" nd="1"/>
        <i x="205" s="1" nd="1"/>
        <i x="204" s="1" nd="1"/>
        <i x="206" s="1" nd="1"/>
        <i x="212" s="1" nd="1"/>
        <i x="208" s="1" nd="1"/>
        <i x="213" s="1" nd="1"/>
        <i x="623"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6"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22">
      <calculatedColumnFormula>B49</calculatedColumnFormula>
    </tableColumn>
    <tableColumn id="2" xr3:uid="{7EDCC2ED-0339-42B3-9633-FFEA7A3DD9F3}" name="Tiyaar" dataDxfId="121">
      <calculatedColumnFormula>SUMIFS(ledger!G:G, ledger!B:B, B2, ledger!E:E, "&lt;&gt;*RD*") / 1.0936</calculatedColumnFormula>
    </tableColumn>
    <tableColumn id="3" xr3:uid="{CC1535DD-3FE7-4F55-8040-E7643388A78E}" name="Rate"/>
    <tableColumn id="4" xr3:uid="{059CB70B-ADAD-4985-84AA-0D530BAC5567}" name="Total" dataDxfId="120">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19" dataDxfId="118">
  <autoFilter ref="B7:E20" xr:uid="{449E5D32-DF9C-4018-96AB-CA98E118D910}"/>
  <tableColumns count="4">
    <tableColumn id="1" xr3:uid="{F663704C-91DD-4BB9-B7EB-EEB0C5EDED6C}" name="Description" dataDxfId="117"/>
    <tableColumn id="2" xr3:uid="{6D94D495-CD0B-4FD3-9771-81D731982A97}" name="Rate" dataDxfId="116" dataCellStyle="Comma"/>
    <tableColumn id="3" xr3:uid="{2D14CEAD-3602-40E7-A488-3584EBC9141E}" name="gazana" dataDxfId="115" dataCellStyle="Comma"/>
    <tableColumn id="4" xr3:uid="{06FEE63C-6480-4079-8426-51BC26B38B34}" name="sum" dataDxfId="114"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13" totalsRowDxfId="112" dataCellStyle="Comma">
      <totalsRowFormula>SUM(Table12[Amount])</totalsRowFormula>
    </tableColumn>
    <tableColumn id="3" xr3:uid="{12F975D1-A51D-47BD-82DF-F0C35A709016}" name="Description"/>
    <tableColumn id="4" xr3:uid="{96712812-B120-49C2-B905-59FC86A743E8}" name="cost per meter" totalsRowFunction="custom" dataDxfId="111" totalsRowDxfId="110">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09" dataDxfId="108" headerRowCellStyle="Comma" dataCellStyle="Comma">
  <autoFilter ref="B2:C5" xr:uid="{136E8F7F-D03F-4198-8335-91A003EA9E45}"/>
  <tableColumns count="2">
    <tableColumn id="1" xr3:uid="{279FA697-9952-479A-AC05-0D4992B41374}" name="Column1" dataDxfId="107" dataCellStyle="Comma"/>
    <tableColumn id="2" xr3:uid="{8A64998B-65EF-41CD-BCB0-3DDB7B359C54}" name="Column2" dataDxfId="106"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05"/>
    <tableColumn id="2" xr3:uid="{51D27FA2-8DDF-4369-BAF7-7D1FE90E16A0}" name="Column2" dataDxfId="104"/>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190" totalsRowCount="1">
  <autoFilter ref="B2:F189" xr:uid="{A0F58B95-D9E6-473F-8BE5-C4A8DDED103B}"/>
  <tableColumns count="5">
    <tableColumn id="1" xr3:uid="{8D801E24-A4A4-436D-ACAE-08E5208293FB}" name="Date" dataDxfId="103" totalsRowDxfId="102"/>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01">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345" totalsRowCount="1" headerRowDxfId="100" dataDxfId="99" headerRowCellStyle="Comma" dataCellStyle="Comma">
  <autoFilter ref="A1:K344" xr:uid="{11DACEC6-751B-4B1D-817F-5C5BCD38EF6D}"/>
  <sortState xmlns:xlrd2="http://schemas.microsoft.com/office/spreadsheetml/2017/richdata2" ref="A2:K344">
    <sortCondition ref="C1:C344"/>
  </sortState>
  <tableColumns count="11">
    <tableColumn id="1" xr3:uid="{2FCE3FA8-A48C-4685-8919-AE44C6C71FD9}" name="Date" dataDxfId="98" dataCellStyle="Comma"/>
    <tableColumn id="2" xr3:uid="{5780FD5F-0890-44E6-B59C-8E37A559FE36}" name="Party Name" dataDxfId="97" dataCellStyle="Comma"/>
    <tableColumn id="3" xr3:uid="{5B3ECD85-9174-40AC-BFBD-49CAC97A83D3}" name="Bill Number" dataDxfId="96" dataCellStyle="Comma"/>
    <tableColumn id="4" xr3:uid="{11B50761-04B6-4262-AD4D-7182450037D1}" name="Quality" dataDxfId="95" dataCellStyle="Comma"/>
    <tableColumn id="5" xr3:uid="{2C556969-B713-4967-BD24-466AACCBE5F5}" name="Shipment Number" dataDxfId="94" totalsRowDxfId="93" dataCellStyle="Comma"/>
    <tableColumn id="6" xr3:uid="{F4E1FD2B-9017-4DEB-B772-BF447ECE56F7}" name="Kora/metre" dataDxfId="92" totalsRowDxfId="91" dataCellStyle="Comma"/>
    <tableColumn id="7" xr3:uid="{52ACC1DA-7A76-4A90-B809-3A1AE728E7EA}" name="Tiyaar/gaz" dataDxfId="90" totalsRowDxfId="89" dataCellStyle="Comma"/>
    <tableColumn id="8" xr3:uid="{31A0FF5E-56F0-44D1-9865-73256B964660}" name="shortage %" dataDxfId="88" totalsRowDxfId="87" dataCellStyle="Comma">
      <calculatedColumnFormula>_xlfn.XLOOKUP(Table1[[#This Row],[Shipment Number]], 'pivot '!A:A,'pivot '!G:G, "NF")</calculatedColumnFormula>
    </tableColumn>
    <tableColumn id="9" xr3:uid="{F99075E0-AC8E-094D-BB85-272AD2C6C568}" name="tiyar/meters" totalsRowFunction="custom" dataDxfId="86" totalsRowDxfId="85" dataCellStyle="Comma">
      <totalsRowFormula array="1">SUMPRODUCT( SUBTOTAL(109, OFFSET(Table1[tiyar/meters], ROW(Table1[tiyar/meters])-MIN(ROW(Table1[tiyar/meters])), 0, 1)), --(Table1[Bill Number]&lt;&gt;"Closing CF") )</totalsRowFormula>
    </tableColumn>
    <tableColumn id="10" xr3:uid="{4B2AF87E-7D86-A946-B130-EA2852096C91}" name="billing" totalsRowFunction="custom" dataDxfId="84" totalsRowDxfId="83" dataCellStyle="Comma">
      <totalsRowFormula array="1">SUMPRODUCT( SUBTOTAL(109, OFFSET(Table1[billing], ROW(Table1[billing])-MIN(ROW(Table1[billing])), 0, 1)), --(Table1[Bill Number]&lt;&gt;"Closing CF") )</totalsRowFormula>
    </tableColumn>
    <tableColumn id="11" xr3:uid="{0D198F0C-D2D3-4F75-9F3B-25A393B5D570}" name="Total Billing" totalsRowFunction="custom" dataDxfId="82" totalsRowDxfId="81" dataCellStyle="Comma">
      <totalsRowFormula>SUMIFS(Table1[billing], Table1[Bill Number], "&lt;&gt;January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D235100C-27E3-420C-A1F1-6E9CD4EFE89F}" name="Table29" displayName="Table29" ref="G1:L22" totalsRowCount="1">
  <autoFilter ref="G1:L21" xr:uid="{D235100C-27E3-420C-A1F1-6E9CD4EFE89F}"/>
  <tableColumns count="6">
    <tableColumn id="1" xr3:uid="{7EAC67C4-4C46-49FD-9CF9-72E15FCD98F9}" name="Date"/>
    <tableColumn id="2" xr3:uid="{B5F9661C-AFBC-4D4E-B025-1D9FB2C764AC}" name="Production" totalsRowFunction="sum"/>
    <tableColumn id="3" xr3:uid="{D9224540-0D78-4C98-92B4-14428C057D65}" name="Machines"/>
    <tableColumn id="4" xr3:uid="{D5850A66-0F8B-4AA4-B9A9-C3EE591C3B21}" name="Total" totalsRowFunction="sum" dataDxfId="80">
      <calculatedColumnFormula>Table29[[#This Row],[Production]]*5</calculatedColumnFormula>
    </tableColumn>
    <tableColumn id="5" xr3:uid="{61BAD31A-7476-4DFA-AA0E-D8493144CFE9}" name="Paid" totalsRowFunction="sum"/>
    <tableColumn id="6" xr3:uid="{B4A08D30-B37A-4FB3-9696-F3E66FA4D037}" name="Balance" totalsRowFunction="sum" dataDxfId="79">
      <calculatedColumnFormula>Table29[[#This Row],[Total]]-Table29[[#This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97" totalsRowCount="1" headerRowDxfId="76" headerRowBorderDxfId="75" tableBorderDxfId="74">
  <autoFilter ref="A1:I96" xr:uid="{F8E8C957-ABE7-4E4F-8D4E-7D44E26B334F}"/>
  <tableColumns count="9">
    <tableColumn id="1" xr3:uid="{C2E817D6-AB98-4DDD-8890-736B27F261CD}" name="Date" dataDxfId="73" totalsRowDxfId="72"/>
    <tableColumn id="2" xr3:uid="{CFB51890-CCDC-463C-81C9-3F8BD7469CB9}" name="Party Name"/>
    <tableColumn id="3" xr3:uid="{A113D971-1C9D-4733-99C4-BD0CC4333209}" name="Vehicle Number"/>
    <tableColumn id="4" xr3:uid="{49780304-3DD1-4AE9-98EE-2BC7EB8F3B57}" name="Weight" dataDxfId="71" totalsRowDxfId="70" dataCellStyle="Comma"/>
    <tableColumn id="5" xr3:uid="{FCAF1BC6-1D8C-42AD-8BBC-F924BF2DC7FE}" name="Rate" dataDxfId="69" totalsRowDxfId="68" dataCellStyle="Comma"/>
    <tableColumn id="6" xr3:uid="{8C70A624-4134-410C-9C45-9FDEB51D51BF}" name="Rent" dataDxfId="67" totalsRowDxfId="66" dataCellStyle="Comma"/>
    <tableColumn id="7" xr3:uid="{EBCE10AE-9634-4982-9C95-37ABC8A7078C}" name="Total" totalsRowFunction="sum" dataDxfId="65" totalsRowDxfId="64" dataCellStyle="Comma">
      <calculatedColumnFormula>D2*E2</calculatedColumnFormula>
    </tableColumn>
    <tableColumn id="9" xr3:uid="{D4788559-C94A-44D9-B9AE-E72B214355AC}" name="Paid" totalsRowFunction="sum" dataDxfId="63" totalsRowDxfId="62" dataCellStyle="Comma"/>
    <tableColumn id="8" xr3:uid="{E26F5BF0-1875-4FC6-994D-49F202ED562B}" name="balance" totalsRowFunction="sum" dataDxfId="61" totalsRowDxfId="60" dataCellStyle="Comma">
      <calculatedColumnFormula>(D2*E2)-Table3[[#This Row],[Paid]]</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1535" totalsRowCount="1">
  <autoFilter ref="A1:G1534" xr:uid="{CB032221-B416-47A8-9A76-693DE76CFD04}"/>
  <sortState xmlns:xlrd2="http://schemas.microsoft.com/office/spreadsheetml/2017/richdata2" ref="A2:G1478">
    <sortCondition ref="A1:A1478"/>
  </sortState>
  <tableColumns count="7">
    <tableColumn id="1" xr3:uid="{554B1EED-65B6-4E9A-B646-82727FAC40DE}" name="Date" dataDxfId="144" totalsRowDxfId="8"/>
    <tableColumn id="2" xr3:uid="{32259059-42CF-4947-83DE-115AA430BE2B}" name="Party"/>
    <tableColumn id="3" xr3:uid="{A1320223-D55D-483C-91C3-AB19B95CC9D8}" name="Debit" totalsRowFunction="sum" dataDxfId="143" totalsRowDxfId="7" dataCellStyle="Comma"/>
    <tableColumn id="4" xr3:uid="{E9745767-9FF0-4B1C-9052-FF335D1D7588}" name="Credit" totalsRowFunction="sum" dataDxfId="142" totalsRowDxfId="6" dataCellStyle="Comma"/>
    <tableColumn id="5" xr3:uid="{5C88A48E-2467-4E6D-B626-2442B7FD0BE4}" name="Description"/>
    <tableColumn id="6" xr3:uid="{63CA4666-144E-4BE6-8B7C-7CB992BD3041}" name="Mode" totalsRowFunction="custom" dataDxfId="141" totalsRowDxfId="5">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140" tableBorderDxfId="139" totalsRowBorderDxfId="138">
  <autoFilter ref="J3:K6" xr:uid="{DCE01694-23ED-48BF-8B92-4186B9ED10A8}"/>
  <tableColumns count="2">
    <tableColumn id="1" xr3:uid="{C8484DAF-2989-4C2F-9AEC-A6917E1C57F6}" name="Type" dataDxfId="137"/>
    <tableColumn id="2" xr3:uid="{B07B7A2A-4D4E-4654-BED6-FE2F0A7BEC34}" name="Amount" dataDxfId="136"/>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135" headerRowBorderDxfId="134" tableBorderDxfId="133" totalsRowBorderDxfId="132">
  <autoFilter ref="M3:O6" xr:uid="{D166BDD1-ACD7-45D7-8AE9-7350373F8CEB}"/>
  <tableColumns count="3">
    <tableColumn id="1" xr3:uid="{64F0205E-DEA7-4571-BA86-E4374A5FEE28}" name="Type" totalsRowLabel="Total" dataDxfId="131" totalsRowDxfId="130"/>
    <tableColumn id="2" xr3:uid="{15FA05F9-789C-4459-9BE0-5C1EC84D3365}" name="amount" totalsRowFunction="custom" dataDxfId="129" totalsRowDxfId="128">
      <totalsRowFormula>SUM(N5:N6)</totalsRowFormula>
    </tableColumn>
    <tableColumn id="3" xr3:uid="{3681D409-90C6-44D0-BDE2-4B5943A516F0}" name="Actual" totalsRowFunction="custom" totalsRowDxfId="127">
      <totalsRowFormula>SUM(O5,O6)</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59" totalsRowDxfId="58"/>
    <tableColumn id="2" xr3:uid="{5B9D0FEE-4304-4C5C-A05C-5B27CF7841D3}" name="Type"/>
    <tableColumn id="3" xr3:uid="{6A91CA0D-C802-4C6F-9F39-CA53687E8EDE}" name="Description"/>
    <tableColumn id="4" xr3:uid="{A251D40C-AB87-4BB4-85F8-444B20E32FDF}" name="Total" totalsRowFunction="custom" dataDxfId="57" totalsRowDxfId="56" dataCellStyle="Comma">
      <totalsRowFormula>SUM(Table7[Total])</totalsRowFormula>
    </tableColum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49" totalsRowCount="1" headerRowDxfId="55" headerRowBorderDxfId="54">
  <autoFilter ref="A1:I48" xr:uid="{B276AC52-D856-4F5C-BAC5-B41503DDA11B}"/>
  <sortState xmlns:xlrd2="http://schemas.microsoft.com/office/spreadsheetml/2017/richdata2" ref="A2:I32">
    <sortCondition ref="A1:A32"/>
  </sortState>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53"/>
    <tableColumn id="4" xr3:uid="{1889A312-9B41-4EC4-BD8F-05252F27084A}" name="Price" totalsRowFunction="sum"/>
    <tableColumn id="6" xr3:uid="{8B974B20-F003-4E67-8660-024FA4F324A9}" name="Party"/>
    <tableColumn id="7" xr3:uid="{0A5A5C21-FD61-47DA-9F54-66A6479FA557}" name="Paid" totalsRowFunction="sum" dataDxfId="52">
      <calculatedColumnFormula>SUMIFS(Table14[Debit], Table14[Date], Table8[[#This Row],[Date]], Table14[Party], Table8[[#This Row],[Party]])</calculatedColumnFormula>
    </tableColumn>
    <tableColumn id="8" xr3:uid="{8DCB3B43-2161-4081-82EC-CDB0F4DE4E6F}" name="Balance" totalsRowFunction="sum" dataDxfId="51">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65:E92" totalsRowCount="1">
  <autoFilter ref="A65:E91"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50" totalsRowCount="1" headerRowDxfId="50" headerRowBorderDxfId="49">
  <autoFilter ref="A4:H49" xr:uid="{A4C80688-A8BA-4BA7-90B4-791CD99446B4}"/>
  <sortState xmlns:xlrd2="http://schemas.microsoft.com/office/spreadsheetml/2017/richdata2" ref="A5:H6">
    <sortCondition ref="A4:A6"/>
  </sortState>
  <tableColumns count="8">
    <tableColumn id="1" xr3:uid="{4A818912-918E-4111-ACFC-BC93FEF7C1AD}" name="Date" dataDxfId="48" totalsRowDxfId="47"/>
    <tableColumn id="8" xr3:uid="{477ACFD5-62AF-4F69-974B-E9B974C11D7D}" name="Party Name" dataDxfId="46"/>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45">
      <calculatedColumnFormula>Table2[[#This Row],[Quantity]]*200*Table2[[#This Row],[Boxes]]</calculatedColumnFormula>
    </tableColumn>
    <tableColumn id="6" xr3:uid="{30432929-CBD4-4BA8-B63F-CD0F6CF6405F}" name="Paid" totalsRowFunction="sum" dataDxfId="44">
      <calculatedColumnFormula>SUMIFS(Table14[Debit], Table14[Date], Table2[[#This Row],[Date]], Table14[Party], Table2[[#This Row],[Party Name]])</calculatedColumnFormula>
    </tableColumn>
    <tableColumn id="7" xr3:uid="{BB689DF2-5D1E-436D-84C4-9745D88E8F3D}" name="Balance" totalsRowFunction="sum" dataDxfId="43">
      <calculatedColumnFormula>Table2[[#This Row],[Price]]-Table2[[#This Row],[Paid]]</calculatedColumnFormula>
    </tableColumn>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42" totalsRowDxfId="41" dataCellStyle="Comma"/>
    <tableColumn id="6" xr3:uid="{8816813F-07CA-42C2-B1D6-851406F94D6E}" name="Column1" totalsRowFunction="count"/>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40" totalsRowDxfId="39"/>
    <tableColumn id="2" xr3:uid="{053BFC14-4828-417C-9F9F-95B6E232A945}" name="Amount" totalsRowFunction="custom" dataDxfId="38" totalsRowDxfId="37"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36" totalsRowDxfId="35"/>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2C0FB00E-7891-4B95-9745-5B80379EF134}" name="Table27" displayName="Table27" ref="I1:J15" totalsRowShown="0">
  <autoFilter ref="I1:J15" xr:uid="{2C0FB00E-7891-4B95-9745-5B80379EF134}"/>
  <tableColumns count="2">
    <tableColumn id="1" xr3:uid="{0127B7E3-21DB-49D4-AC92-5E0DDEB604DB}" name="Dyes"/>
    <tableColumn id="2" xr3:uid="{14AC71FD-4E06-408F-AE98-D9DF389D6D96}" name="Rat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FAC86A1A-C912-4DAC-8EB2-BAD98D6C0765}" name="Table30" displayName="Table30" ref="A5:D21" totalsRowCount="1">
  <autoFilter ref="A5:D20" xr:uid="{FAC86A1A-C912-4DAC-8EB2-BAD98D6C0765}"/>
  <tableColumns count="4">
    <tableColumn id="1" xr3:uid="{DBAD9FC1-B863-4C1E-99A9-8B6EF191A924}" name="Dyes"/>
    <tableColumn id="2" xr3:uid="{887B1384-54AE-4684-AA2D-D5833F2CD73F}" name="Weight" totalsRowFunction="sum"/>
    <tableColumn id="3" xr3:uid="{310941F3-4E7A-47CD-8271-59D35A9B7B50}" name="Cost" totalsRowFunction="custom" dataDxfId="34" totalsRowDxfId="33">
      <calculatedColumnFormula>_xlfn.XLOOKUP(Table30[[#This Row],[Dyes]],Table27[Dyes],Table27[Rate],"NF")*Table30[[#This Row],[Weight]]</calculatedColumnFormula>
      <totalsRowFormula>SUBTOTAL(9,C6:C19)</totalsRowFormula>
    </tableColumn>
    <tableColumn id="4" xr3:uid="{8C7F84A0-37EF-4D75-BA57-D6CF409E45BB}" name="Column1"/>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D972889E-3FB0-4F9B-AE43-6178CAC7755E}" name="Table3032" displayName="Table3032" ref="A30:D46" totalsRowCount="1">
  <autoFilter ref="A30:D45" xr:uid="{D972889E-3FB0-4F9B-AE43-6178CAC7755E}"/>
  <tableColumns count="4">
    <tableColumn id="1" xr3:uid="{481287B9-92CA-4310-B36E-9B6F65FCBD87}" name="Dyes"/>
    <tableColumn id="2" xr3:uid="{55843578-EAB2-42BE-932E-5DD7A24E5F39}" name="Weight" totalsRowFunction="sum"/>
    <tableColumn id="3" xr3:uid="{87DA0B8B-494D-4A25-908C-30771C62B82E}" name="Cost" totalsRowFunction="custom" dataDxfId="32" totalsRowDxfId="31">
      <calculatedColumnFormula>_xlfn.XLOOKUP(Table3032[[#This Row],[Dyes]],Table27[Dyes],Table27[Rate],"NF")*Table3032[[#This Row],[Weight]]</calculatedColumnFormula>
      <totalsRowFormula>SUBTOTAL(9,C31:C44)</totalsRowFormula>
    </tableColumn>
    <tableColumn id="4" xr3:uid="{63ABAD64-16E8-4C5C-91CA-26F96215DC8D}" name="Column1"/>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0EAB1A1-AA73-4D4A-AFFB-70B2CD2912FE}" name="Table3033" displayName="Table3033" ref="A53:D69" totalsRowCount="1">
  <autoFilter ref="A53:D68" xr:uid="{40EAB1A1-AA73-4D4A-AFFB-70B2CD2912FE}"/>
  <tableColumns count="4">
    <tableColumn id="1" xr3:uid="{EED2467C-C23D-42C3-B99A-42ED6ADB8CF2}" name="Dyes"/>
    <tableColumn id="2" xr3:uid="{64A2FCE8-2BE0-4858-B6D1-5030B9D49397}" name="Weight" totalsRowFunction="sum"/>
    <tableColumn id="3" xr3:uid="{07BF2BAC-F894-465C-9471-CE20A50594B6}" name="Cost" totalsRowFunction="custom" dataDxfId="30" totalsRowDxfId="29">
      <calculatedColumnFormula>_xlfn.XLOOKUP(Table3033[[#This Row],[Dyes]],Table27[Dyes],Table27[Rate],"NF")*Table3033[[#This Row],[Weight]]</calculatedColumnFormula>
      <totalsRowFormula>SUBTOTAL(9,C54:C67)</totalsRowFormula>
    </tableColumn>
    <tableColumn id="4" xr3:uid="{0C640DA5-A53E-4A2A-A3D8-EA10D400E5C6}" name="Column1"/>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DFFFFBED-A8B0-4298-8633-34594D0BE7A6}" name="Table303334" displayName="Table303334" ref="A76:D92" totalsRowCount="1">
  <autoFilter ref="A76:D91" xr:uid="{DFFFFBED-A8B0-4298-8633-34594D0BE7A6}"/>
  <tableColumns count="4">
    <tableColumn id="1" xr3:uid="{3D2EE0E1-6A2B-422B-BE3E-A93AC23DF24A}" name="Dyes"/>
    <tableColumn id="2" xr3:uid="{7069FED8-0F8E-44B4-AFA1-DACDA43A3F1B}" name="Weight" totalsRowFunction="sum"/>
    <tableColumn id="3" xr3:uid="{4BA80529-75F2-4698-B3C2-DB32DD2E1A85}" name="Cost" totalsRowFunction="custom" dataDxfId="28" totalsRowDxfId="27">
      <calculatedColumnFormula>_xlfn.XLOOKUP(Table303334[[#This Row],[Dyes]],Table27[Dyes],Table27[Rate],"NF")*Table303334[[#This Row],[Weight]]</calculatedColumnFormula>
      <totalsRowFormula>SUBTOTAL(9,C78:C90)</totalsRowFormula>
    </tableColumn>
    <tableColumn id="4" xr3:uid="{24AFA5D6-3D93-4B13-B118-7FAE7F887277}" name="Column1"/>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D6F3B5B-1BA6-42ED-8E5E-90EFEE598B56}" name="Table30333429" displayName="Table30333429" ref="A98:D114" totalsRowCount="1">
  <autoFilter ref="A98:D113" xr:uid="{0D6F3B5B-1BA6-42ED-8E5E-90EFEE598B56}"/>
  <tableColumns count="4">
    <tableColumn id="1" xr3:uid="{66FEF71F-3559-436C-B3FB-63BB43CF3302}" name="Dyes"/>
    <tableColumn id="2" xr3:uid="{15663AC0-991C-48D7-8AD0-8D2C62CF9A5C}" name="Weight" totalsRowFunction="sum"/>
    <tableColumn id="3" xr3:uid="{0126191F-06D2-4380-9200-1F4206EA7C18}" name="Cost" totalsRowFunction="custom" dataDxfId="26">
      <calculatedColumnFormula>_xlfn.XLOOKUP(Table30333429[[#This Row],[Dyes]],Table27[Dyes],Table27[Rate],"NF")*Table30333429[[#This Row],[Weight]]</calculatedColumnFormula>
      <totalsRowFormula>SUBTOTAL(9,C101:C112)</totalsRowFormula>
    </tableColumn>
    <tableColumn id="4" xr3:uid="{0FB412E0-2507-42B4-BA01-58E92831B08A}" name="Column1"/>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206" totalsRowCount="1">
  <autoFilter ref="B2:E205" xr:uid="{4694C645-BA0B-477E-AE5E-02046C12E841}"/>
  <tableColumns count="4">
    <tableColumn id="1" xr3:uid="{1D391A77-9D14-4B37-AD91-EEEDC97B6A4E}" name="Date" dataDxfId="16" totalsRowDxfId="15"/>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207" totalsRowCount="1">
  <autoFilter ref="H2:J206" xr:uid="{A7265B0E-A50D-4BC5-9C1C-E62AF5B48CAF}"/>
  <tableColumns count="3">
    <tableColumn id="1" xr3:uid="{AB5830E5-ECCF-4406-AB96-EB98EE86F300}" name="Date" dataDxfId="14" totalsRowDxfId="13"/>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sortState xmlns:xlrd2="http://schemas.microsoft.com/office/spreadsheetml/2017/richdata2" ref="A2:C40">
    <sortCondition descending="1" ref="C1:C40"/>
  </sortState>
  <tableColumns count="3">
    <tableColumn id="1" xr3:uid="{DF7536DF-F3D0-48F5-83DE-312320C1F7F4}" name="Party Name" dataDxfId="12">
      <calculatedColumnFormula>Billing!R5</calculatedColumnFormula>
    </tableColumn>
    <tableColumn id="2" xr3:uid="{7093A59E-B58F-487D-888A-9AA8156B5F9A}" name="Amount Paid" dataDxfId="11">
      <calculatedColumnFormula>Billing!AF5</calculatedColumnFormula>
    </tableColumn>
    <tableColumn id="3" xr3:uid="{82D37DD3-FDA4-4C89-BBC6-89947894747E}" name="Balance"/>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42" totalsRowShown="0">
  <autoFilter ref="A1:B42" xr:uid="{EFFCFD9F-93FF-4AFC-90E2-CE42E8512CA2}"/>
  <tableColumns count="2">
    <tableColumn id="1" xr3:uid="{31AA849F-784A-4EE5-9A44-4DB4BC5751A0}" name="Party Names" dataDxfId="10">
      <calculatedColumnFormula>G2</calculatedColumnFormula>
    </tableColumn>
    <tableColumn id="2" xr3:uid="{F72CFEEB-BA11-4A49-BD19-88592EB6A27C}" name="Credit" dataDxfId="9" dataCellStyle="Comma">
      <calculatedColumnFormula>_xlfn.XLOOKUP($A2,[1]Billing!$R$5:$R$40,[1]Billing!$AF$5:$AF$40)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8" Type="http://schemas.microsoft.com/office/2007/relationships/slicer" Target="../slicers/slicer3.xml"/><Relationship Id="rId3" Type="http://schemas.openxmlformats.org/officeDocument/2006/relationships/printerSettings" Target="../printerSettings/printerSettings7.bin"/><Relationship Id="rId7" Type="http://schemas.openxmlformats.org/officeDocument/2006/relationships/table" Target="../tables/table14.xml"/><Relationship Id="rId2" Type="http://schemas.openxmlformats.org/officeDocument/2006/relationships/hyperlink" Target="mailto:36789@59" TargetMode="External"/><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table" Target="../tables/table15.xml"/><Relationship Id="rId1" Type="http://schemas.openxmlformats.org/officeDocument/2006/relationships/pivotTable" Target="../pivotTables/pivotTable4.xml"/><Relationship Id="rId5" Type="http://schemas.openxmlformats.org/officeDocument/2006/relationships/table" Target="../tables/table18.xml"/><Relationship Id="rId4"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9.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2.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3.xml"/></Relationships>
</file>

<file path=xl/worksheets/_rels/sheet15.xml.rels><?xml version="1.0" encoding="UTF-8" standalone="yes"?>
<Relationships xmlns="http://schemas.openxmlformats.org/package/2006/relationships"><Relationship Id="rId3" Type="http://schemas.openxmlformats.org/officeDocument/2006/relationships/table" Target="../tables/table26.xml"/><Relationship Id="rId2" Type="http://schemas.openxmlformats.org/officeDocument/2006/relationships/table" Target="../tables/table25.xml"/><Relationship Id="rId1" Type="http://schemas.openxmlformats.org/officeDocument/2006/relationships/table" Target="../tables/table24.xml"/><Relationship Id="rId6" Type="http://schemas.openxmlformats.org/officeDocument/2006/relationships/table" Target="../tables/table29.xml"/><Relationship Id="rId5" Type="http://schemas.openxmlformats.org/officeDocument/2006/relationships/table" Target="../tables/table28.xml"/><Relationship Id="rId4" Type="http://schemas.openxmlformats.org/officeDocument/2006/relationships/table" Target="../tables/table27.xml"/></Relationships>
</file>

<file path=xl/worksheets/_rels/sheet16.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table" Target="../tables/table30.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32.xml"/><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table" Target="../tables/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L139"/>
  <sheetViews>
    <sheetView topLeftCell="G2" zoomScaleNormal="100" workbookViewId="0">
      <selection activeCell="W8" sqref="W8"/>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3.6640625" customWidth="1"/>
    <col min="13" max="13" width="11.109375" bestFit="1" customWidth="1"/>
    <col min="14" max="14" width="14.44140625" customWidth="1"/>
    <col min="15" max="16" width="16.21875" customWidth="1"/>
    <col min="17" max="17" width="11.44140625" customWidth="1"/>
    <col min="18" max="18" width="16.21875" customWidth="1"/>
    <col min="19" max="19" width="19.109375" customWidth="1"/>
    <col min="20" max="20" width="11.109375" customWidth="1"/>
    <col min="21" max="21" width="13.88671875" customWidth="1"/>
    <col min="22" max="22" width="15.21875" bestFit="1" customWidth="1"/>
    <col min="23" max="23" width="12" bestFit="1" customWidth="1"/>
    <col min="24" max="24" width="11.44140625" bestFit="1" customWidth="1"/>
    <col min="25" max="25" width="15.5546875" bestFit="1" customWidth="1"/>
    <col min="26" max="26" width="12.33203125" bestFit="1" customWidth="1"/>
    <col min="27" max="27" width="12.33203125" customWidth="1"/>
    <col min="28" max="28" width="14.21875" customWidth="1"/>
    <col min="29" max="30" width="12.33203125" customWidth="1"/>
    <col min="31" max="31" width="11.33203125" bestFit="1" customWidth="1"/>
    <col min="32" max="32" width="15.5546875" customWidth="1"/>
    <col min="33" max="33" width="13.6640625" customWidth="1"/>
    <col min="35" max="35" width="15.88671875" customWidth="1"/>
    <col min="38" max="38" width="12.109375" customWidth="1"/>
    <col min="39" max="39" width="11.44140625" customWidth="1"/>
  </cols>
  <sheetData>
    <row r="1" spans="2:38" ht="28.8" x14ac:dyDescent="0.55000000000000004">
      <c r="B1" t="s">
        <v>2</v>
      </c>
      <c r="C1" t="s">
        <v>3</v>
      </c>
      <c r="D1" t="s">
        <v>4</v>
      </c>
      <c r="E1" t="s">
        <v>5</v>
      </c>
      <c r="G1" s="9" t="s">
        <v>0</v>
      </c>
    </row>
    <row r="2" spans="2:38" x14ac:dyDescent="0.3">
      <c r="B2" t="str">
        <f t="shared" ref="B2:B18" si="0">B49</f>
        <v>BSC</v>
      </c>
      <c r="C2" s="18">
        <f>SUMIFS(ledger!G:G, ledger!B:B, B2, ledger!E:E, "&lt;&gt;*RD*") / 1.0936</f>
        <v>1067194.5866861742</v>
      </c>
      <c r="D2">
        <v>10</v>
      </c>
      <c r="E2" s="14">
        <f>(SUMIFS(ledger!G:G, ledger!B:B, B2, ledger!E:E, "&lt;&gt;*RD*",ledger!D:D, "Silky") / 1.0936)*12 + (SUMIFS(ledger!G:G, ledger!B:B, B2, ledger!E:E, "&lt;&gt;*RD*",ledger!D:D, "Chamki") / 1.0936)*10</f>
        <v>9800459.034381859</v>
      </c>
      <c r="I2" t="s">
        <v>21</v>
      </c>
      <c r="R2" t="s">
        <v>1</v>
      </c>
    </row>
    <row r="3" spans="2:38" x14ac:dyDescent="0.3">
      <c r="B3" t="str">
        <f t="shared" si="0"/>
        <v>Ejaz Sahab</v>
      </c>
      <c r="C3" s="18">
        <f>SUMIFS(ledger!G:G, ledger!B:B, B3, ledger!E:E, "&lt;&gt;*RD*") / 1.0936</f>
        <v>49525.420629114851</v>
      </c>
      <c r="D3">
        <v>10</v>
      </c>
      <c r="E3" s="14">
        <f>(SUMIFS(ledger!G:G, ledger!B:B, B3, ledger!E:E, "&lt;&gt;*RD*",ledger!D:D, "Silky") / 1.0936)*12 + (SUMIFS(ledger!G:G, ledger!B:B, B3, ledger!E:E, "&lt;&gt;*RD*",ledger!D:D, "Chamki") / 1.0936)*10</f>
        <v>594305.04754937824</v>
      </c>
      <c r="I3" t="s">
        <v>22</v>
      </c>
    </row>
    <row r="4" spans="2:38" x14ac:dyDescent="0.3">
      <c r="B4" t="str">
        <f t="shared" si="0"/>
        <v>Arshad</v>
      </c>
      <c r="C4" s="18">
        <f>SUMIFS(ledger!G:G, ledger!B:B, B4, ledger!E:E, "&lt;&gt;*RD*") / 1.0936</f>
        <v>48639.356254572063</v>
      </c>
      <c r="D4">
        <v>10</v>
      </c>
      <c r="E4" s="14">
        <f>(SUMIFS(ledger!G:G, ledger!B:B, B4, ledger!E:E, "&lt;&gt;*RD*",ledger!D:D, "Silky") / 1.0936)*12 + (SUMIFS(ledger!G:G, ledger!B:B, B4, ledger!E:E, "&lt;&gt;*RD*",ledger!D:D, "Chamki") / 1.0936)*10</f>
        <v>486393.5625457206</v>
      </c>
      <c r="I4" t="s">
        <v>9</v>
      </c>
      <c r="R4" s="21"/>
      <c r="S4" s="23" t="s">
        <v>10</v>
      </c>
      <c r="T4" s="23" t="s">
        <v>11</v>
      </c>
      <c r="U4" s="23" t="s">
        <v>12</v>
      </c>
      <c r="V4" s="23" t="s">
        <v>13</v>
      </c>
      <c r="W4" s="23" t="s">
        <v>14</v>
      </c>
      <c r="X4" s="23" t="s">
        <v>15</v>
      </c>
      <c r="Y4" s="23" t="s">
        <v>178</v>
      </c>
      <c r="Z4" s="23" t="s">
        <v>179</v>
      </c>
      <c r="AA4" s="23" t="s">
        <v>199</v>
      </c>
      <c r="AB4" s="23" t="s">
        <v>200</v>
      </c>
      <c r="AC4" s="23" t="s">
        <v>205</v>
      </c>
      <c r="AD4" s="23" t="s">
        <v>275</v>
      </c>
      <c r="AE4" s="23" t="s">
        <v>16</v>
      </c>
      <c r="AF4" s="23" t="s">
        <v>17</v>
      </c>
      <c r="AG4" s="23" t="s">
        <v>18</v>
      </c>
      <c r="AH4" s="23" t="s">
        <v>19</v>
      </c>
      <c r="AI4" s="23" t="s">
        <v>20</v>
      </c>
      <c r="AL4" s="140" t="s">
        <v>626</v>
      </c>
    </row>
    <row r="5" spans="2:38"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R5" s="24" t="str" cm="1">
        <f t="array" ref="R5:R46">_xlfn.UNIQUE(Table1[Party Name])</f>
        <v>BSC</v>
      </c>
      <c r="S5" s="22" cm="1">
        <f t="array" ref="S5">_xlfn.BYROW(B49,_xlfn.LAMBDA(_xlpm.party,SUMIFS(ledger!G:G,ledger!B:B,_xlpm.party,ledger!E:E,"&lt;&gt;*RD*")))+_xlfn.IFNA(C98,0)</f>
        <v>5513597.8824000005</v>
      </c>
      <c r="T5" s="22" cm="1">
        <f t="array" ref="T5">_xlfn.BYROW(B49, _xlfn.LAMBDA(_xlpm.party, SUMIFS(ledger!G:G, ledger!B:B, _xlpm.party, ledger!E:E, "&lt;&gt;*RD*") / 1.0936 ))+_xlfn.IFNA(E98,0)</f>
        <v>4193881.5676664235</v>
      </c>
      <c r="U5" s="22" cm="1">
        <f t="array" ref="U5">(_xlfn.BYROW(B49,_xlfn.LAMBDA(_xlpm.party,SUMIFS(ledger!G:G,ledger!B:B,_xlpm.party,ledger!E:E,"&lt;&gt;*RD*",ledger!D:D,"Chamki")+SUMIFS(ledger!G:G, ledger!B:B, _xlpm.party, ledger!E:E, "&lt;&gt;*RD*", ledger!D:D, "Crinkle")))/1.0936)+_xlfn.IFNA(E98,0)</f>
        <v>3828449.9656181424</v>
      </c>
      <c r="V5" s="70" cm="1">
        <f t="array" ref="V5">(_xlfn.BYROW(B49,_xlfn.LAMBDA(_xlpm.party,SUMIFS(ledger!G:G,ledger!B:B,_xlpm.party,ledger!E:E,"&lt;&gt;*RD*",ledger!D:D,"Silky")))/1.0936)+_xlfn.IFNA(F98,0)</f>
        <v>1019872.8968544258</v>
      </c>
      <c r="W5" s="22" cm="1">
        <f t="array" ref="W5">(_xlfn.BYROW(B49,_xlfn.LAMBDA(_xlpm.party,
(SUMIFS(ledger!J:J,ledger!B:B,_xlpm.party,ledger!E:E,"&lt;&gt;*RD*",ledger!D:D,"Chamki",ledger!C:C,"&lt;&gt;Closing CF")+
SUMIFS(ledger!J:J,ledger!B:B,_xlpm.party,ledger!E:E,"&lt;&gt;*RD*",ledger!D:D,"Crinkle",ledger!C:C,"&lt;&gt;Closing CF")
)+_xlfn.IFNA(G98,0))))</f>
        <v>38284499.656181425</v>
      </c>
      <c r="X5" s="70" cm="1">
        <f t="array" ref="X5">_xlfn.BYROW(B49, _xlfn.LAMBDA(_xlpm.party,
   SUMIFS(ledger!J:J, ledger!B:B, _xlpm.party, ledger!E:E, "&lt;&gt;*RD*", ledger!D:D, "Silky", ledger!C:C, "&lt;&gt;Closing CF")
)) + _xlfn.IFNA(H98, 0)</f>
        <v>13024716.532553036</v>
      </c>
      <c r="Y5" s="70" cm="1">
        <f t="array" ref="Y5">_xlfn.BYROW(B49, _xlfn.LAMBDA(_xlpm.party,
   SUMIFS(ledger!J:J, ledger!B:B, _xlpm.party, ledger!E:E, "&lt;&gt;*RD*", ledger!D:D, "Slub", ledger!C:C, "&lt;&gt;Closing CF")
))+ _xlfn.IFNA(I98, 0)</f>
        <v>0</v>
      </c>
      <c r="Z5" s="70" cm="1">
        <f t="array" ref="Z5">_xlfn.BYROW(B49, _xlfn.LAMBDA(_xlpm.party,
   SUMIFS(ledger!J:J, ledger!B:B, _xlpm.party, ledger!E:E, "&lt;&gt;*RD*", ledger!D:D, "Satin", ledger!C:C, "&lt;&gt;Closing CF")
))+ _xlfn.IFNA(J98, 0)</f>
        <v>0</v>
      </c>
      <c r="AA5" s="70" cm="1">
        <f t="array" ref="AA5">_xlfn.BYROW(B49, _xlfn.LAMBDA(_xlpm.party,
   SUMIFS(ledger!J:J, ledger!B:B, _xlpm.party, ledger!E:E, "&lt;&gt;*RD*", ledger!D:D, "Black-Chamki", ledger!C:C, "&lt;&gt;Closing CF")
))+ _xlfn.IFNA(K98, 0)</f>
        <v>0</v>
      </c>
      <c r="AB5" s="70" cm="1">
        <f t="array" ref="AB5">_xlfn.BYROW(B49, _xlfn.LAMBDA(_xlpm.party,
   SUMIFS(ledger!J:J, ledger!B:B, _xlpm.party, ledger!E:E, "&lt;&gt;*RD*", ledger!D:D, "Kataan", ledger!C:C, "&lt;&gt;Closing CF")
))+ _xlfn.IFNA(L98, 0)</f>
        <v>2127095.8302852963</v>
      </c>
      <c r="AC5" s="70" cm="1">
        <f t="array" ref="AC5">_xlfn.BYROW(B49, _xlfn.LAMBDA(_xlpm.party,
   SUMIFS(ledger!J:J, ledger!B:B, _xlpm.party, ledger!E:E, "&lt;&gt;*RD*", ledger!D:D, "Munaar", ledger!C:C, "&lt;&gt;Closing CF")
))+ _xlfn.IFNA(M98, 0)</f>
        <v>0</v>
      </c>
      <c r="AD5" s="70" cm="1">
        <f t="array" ref="AD5">_xlfn.BYROW(B49, _xlfn.LAMBDA(_xlpm.party,
   SUMIFS(ledger!J:J, ledger!B:B, _xlpm.party, ledger!E:E, "&lt;&gt;*RD*", ledger!D:D, "Custom", ledger!C:C, "&lt;&gt;Closing CF")
))+ _xlfn.IFNA(N98, 0)</f>
        <v>0</v>
      </c>
      <c r="AE5" s="39">
        <f>W5+X5+Y5+Z5+AA5+AB5+AC5+AD5</f>
        <v>53436312.019019753</v>
      </c>
      <c r="AF5" s="22">
        <f>(SUMIF(Table14[Party],#REF!,Table14[Credit]))+_xlfn.IFNA(P98,0)</f>
        <v>19750734</v>
      </c>
      <c r="AG5" s="33">
        <f>AE5-AF5</f>
        <v>33685578.019019753</v>
      </c>
      <c r="AH5" s="21">
        <v>10</v>
      </c>
      <c r="AI5" s="21">
        <v>13</v>
      </c>
      <c r="AL5" s="14">
        <f>SUM(AG5:AG47)</f>
        <v>39085160.070446238</v>
      </c>
    </row>
    <row r="6" spans="2:38"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P6" s="24"/>
      <c r="R6" t="str">
        <v>Ejaz Sahab</v>
      </c>
      <c r="S6" s="22" cm="1">
        <f t="array" ref="S6">_xlfn.BYROW(B50,_xlfn.LAMBDA(_xlpm.party,SUMIFS(ledger!G:G,ledger!B:B,_xlpm.party,ledger!E:E,"&lt;&gt;*RD*")))+_xlfn.IFNA(C99,0)</f>
        <v>703440</v>
      </c>
      <c r="T6" s="22" cm="1">
        <f t="array" ref="T6">_xlfn.BYROW(B50, _xlfn.LAMBDA(_xlpm.party, SUMIFS(ledger!G:G, ledger!B:B, _xlpm.party, ledger!E:E, "&lt;&gt;*RD*") / 1.0936 ))+_xlfn.IFNA(D99,0)</f>
        <v>643233.35771762987</v>
      </c>
      <c r="U6" s="22" cm="1">
        <f t="array" ref="U6">(_xlfn.BYROW(B50,_xlfn.LAMBDA(_xlpm.party,SUMIFS(ledger!G:G,ledger!B:B,_xlpm.party,ledger!E:E,"&lt;&gt;*RD*",ledger!D:D,"Chamki")+SUMIFS(ledger!G:G, ledger!B:B, _xlpm.party, ledger!E:E, "&lt;&gt;*RD*", ledger!D:D, "Crinkle")))/1.0936)+_xlfn.IFNA(E99,0)</f>
        <v>148145.57425018289</v>
      </c>
      <c r="V6" s="70" cm="1">
        <f t="array" ref="V6">(_xlfn.BYROW(B50,_xlfn.LAMBDA(_xlpm.party,SUMIFS(ledger!G:G,ledger!B:B,_xlpm.party,ledger!E:E,"&lt;&gt;*RD*",ledger!D:D,"Silky")))/1.0936)+_xlfn.IFNA(F99,0)</f>
        <v>495087.78346744698</v>
      </c>
      <c r="W6" s="22" cm="1">
        <f t="array" ref="W6">(_xlfn.BYROW(B50,_xlfn.LAMBDA(_xlpm.party,
(SUMIFS(ledger!J:J,ledger!B:B,_xlpm.party,ledger!E:E,"&lt;&gt;*RD*",ledger!D:D,"Chamki",ledger!C:C,"&lt;&gt;Closing CF")+
SUMIFS(ledger!J:J,ledger!B:B,_xlpm.party,ledger!E:E,"&lt;&gt;*RD*",ledger!D:D,"Crinkle",ledger!C:C,"&lt;&gt;Closing CF")
)+_xlfn.IFNA(G99,0))))</f>
        <v>1481455.7425018288</v>
      </c>
      <c r="X6" s="70" cm="1">
        <f t="array" ref="X6">_xlfn.BYROW(B50, _xlfn.LAMBDA(_xlpm.party,
   SUMIFS(ledger!J:J, ledger!B:B, _xlpm.party, ledger!E:E, "&lt;&gt;*RD*", ledger!D:D, "Silky", ledger!C:C, "&lt;&gt;Closing CF")
)) + _xlfn.IFNA(H99, 0)</f>
        <v>6376997.0738844192</v>
      </c>
      <c r="Y6" s="70" cm="1">
        <f t="array" ref="Y6">_xlfn.BYROW(B50, _xlfn.LAMBDA(_xlpm.party,
   SUMIFS(ledger!J:J, ledger!B:B, _xlpm.party, ledger!E:E, "&lt;&gt;*RD*", ledger!D:D, "Slub", ledger!C:C, "&lt;&gt;Closing CF")
))+ _xlfn.IFNA(I99, 0)</f>
        <v>0</v>
      </c>
      <c r="Z6" s="70" cm="1">
        <f t="array" ref="Z6">_xlfn.BYROW(B50, _xlfn.LAMBDA(_xlpm.party,
   SUMIFS(ledger!J:J, ledger!B:B, _xlpm.party, ledger!E:E, "&lt;&gt;*RD*", ledger!D:D, "Satin", ledger!C:C, "&lt;&gt;Closing CF")
))+ _xlfn.IFNA(J99, 0)</f>
        <v>0</v>
      </c>
      <c r="AA6" s="70" cm="1">
        <f t="array" ref="AA6">_xlfn.BYROW(B50, _xlfn.LAMBDA(_xlpm.party,
   SUMIFS(ledger!J:J, ledger!B:B, _xlpm.party, ledger!E:E, "&lt;&gt;*RD*", ledger!D:D, "Black-Chamki", ledger!C:C, "&lt;&gt;Closing CF")
))+ _xlfn.IFNA(K99, 0)</f>
        <v>0</v>
      </c>
      <c r="AB6" s="70" cm="1">
        <f t="array" ref="AB6">_xlfn.BYROW(B50, _xlfn.LAMBDA(_xlpm.party,
   SUMIFS(ledger!J:J, ledger!B:B, _xlpm.party, ledger!E:E, "&lt;&gt;*RD*", ledger!D:D, "Kataan", ledger!C:C, "&lt;&gt;Closing CF")
))+ _xlfn.IFNA(L99, 0)</f>
        <v>0</v>
      </c>
      <c r="AC6" s="70" cm="1">
        <f t="array" ref="AC6">_xlfn.BYROW(B50, _xlfn.LAMBDA(_xlpm.party,
   SUMIFS(ledger!J:J, ledger!B:B, _xlpm.party, ledger!E:E, "&lt;&gt;*RD*", ledger!D:D, "Munaar", ledger!C:C, "&lt;&gt;Closing CF")
))+ _xlfn.IFNA(M99, 0)</f>
        <v>0</v>
      </c>
      <c r="AD6" s="70" cm="1">
        <f t="array" ref="AD6">_xlfn.BYROW(B50, _xlfn.LAMBDA(_xlpm.party,
   SUMIFS(ledger!J:J, ledger!B:B, _xlpm.party, ledger!E:E, "&lt;&gt;*RD*", ledger!D:D, "Custom", ledger!C:C, "&lt;&gt;Closing CF")
))+ _xlfn.IFNA(N99, 0)</f>
        <v>0</v>
      </c>
      <c r="AE6" s="39">
        <f t="shared" ref="AE6:AE38" si="1">W6+X6+Y6+Z6+AA6+AB6+AC6+AD6</f>
        <v>7858452.816386248</v>
      </c>
      <c r="AF6" s="22">
        <f>(SUMIF(Table14[Party],R6,Table14[Credit]))+_xlfn.IFNA(P99,0)</f>
        <v>7214622</v>
      </c>
      <c r="AG6" s="33">
        <f t="shared" ref="AG6:AG36" si="2">AE6-AF6</f>
        <v>643830.81638624799</v>
      </c>
      <c r="AH6" s="21">
        <v>10</v>
      </c>
      <c r="AI6" s="21">
        <v>13</v>
      </c>
    </row>
    <row r="7" spans="2:38"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P7" s="24"/>
      <c r="R7" t="str">
        <v>Arshad</v>
      </c>
      <c r="S7" s="22" cm="1">
        <f t="array" ref="S7">_xlfn.BYROW(B51,_xlfn.LAMBDA(_xlpm.party,SUMIFS(ledger!G:G,ledger!B:B,_xlpm.party,ledger!E:E,"&lt;&gt;*RD*")))+_xlfn.IFNA(C100,0)</f>
        <v>1020419</v>
      </c>
      <c r="T7" s="22" cm="1">
        <f t="array" ref="T7">_xlfn.BYROW(B51, _xlfn.LAMBDA(_xlpm.party, SUMIFS(ledger!G:G, ledger!B:B, _xlpm.party, ledger!E:E, "&lt;&gt;*RD*") / 1.0936 ))+_xlfn.IFNA(D100,0)</f>
        <v>933082.47988295555</v>
      </c>
      <c r="U7" s="22" cm="1">
        <f t="array" ref="U7">(_xlfn.BYROW(B51,_xlfn.LAMBDA(_xlpm.party,SUMIFS(ledger!G:G,ledger!B:B,_xlpm.party,ledger!E:E,"&lt;&gt;*RD*",ledger!D:D,"Chamki")+SUMIFS(ledger!G:G, ledger!B:B, _xlpm.party, ledger!E:E, "&lt;&gt;*RD*", ledger!D:D, "Crinkle")))/1.0936)+_xlfn.IFNA(E100,0)</f>
        <v>767556.69348939287</v>
      </c>
      <c r="V7" s="70" cm="1">
        <f t="array" ref="V7">(_xlfn.BYROW(B51,_xlfn.LAMBDA(_xlpm.party,SUMIFS(ledger!G:G,ledger!B:B,_xlpm.party,ledger!E:E,"&lt;&gt;*RD*",ledger!D:D,"Silky")))/1.0936)+_xlfn.IFNA(F100,0)</f>
        <v>165525.78639356254</v>
      </c>
      <c r="W7" s="22" cm="1">
        <f t="array" ref="W7">(_xlfn.BYROW(B51,_xlfn.LAMBDA(_xlpm.party,
(SUMIFS(ledger!J:J,ledger!B:B,_xlpm.party,ledger!E:E,"&lt;&gt;*RD*",ledger!D:D,"Chamki",ledger!C:C,"&lt;&gt;Closing CF")+
SUMIFS(ledger!J:J,ledger!B:B,_xlpm.party,ledger!E:E,"&lt;&gt;*RD*",ledger!D:D,"Crinkle",ledger!C:C,"&lt;&gt;Closing CF")
)+_xlfn.IFNA(G100,0))))</f>
        <v>7675566.9348939285</v>
      </c>
      <c r="X7" s="70" cm="1">
        <f t="array" ref="X7">_xlfn.BYROW(B51, _xlfn.LAMBDA(_xlpm.party,
   SUMIFS(ledger!J:J, ledger!B:B, _xlpm.party, ledger!E:E, "&lt;&gt;*RD*", ledger!D:D, "Silky", ledger!C:C, "&lt;&gt;Closing CF")
)) + _xlfn.IFNA(H100, 0)</f>
        <v>2137040.9656181419</v>
      </c>
      <c r="Y7" s="70" cm="1">
        <f t="array" ref="Y7">_xlfn.BYROW(B51, _xlfn.LAMBDA(_xlpm.party,
   SUMIFS(ledger!J:J, ledger!B:B, _xlpm.party, ledger!E:E, "&lt;&gt;*RD*", ledger!D:D, "Slub", ledger!C:C, "&lt;&gt;Closing CF")
))+ _xlfn.IFNA(I100, 0)</f>
        <v>0</v>
      </c>
      <c r="Z7" s="70" cm="1">
        <f t="array" ref="Z7">_xlfn.BYROW(B51, _xlfn.LAMBDA(_xlpm.party,
   SUMIFS(ledger!J:J, ledger!B:B, _xlpm.party, ledger!E:E, "&lt;&gt;*RD*", ledger!D:D, "Satin", ledger!C:C, "&lt;&gt;Closing CF")
))+ _xlfn.IFNA(J100, 0)</f>
        <v>0</v>
      </c>
      <c r="AA7" s="70" cm="1">
        <f t="array" ref="AA7">_xlfn.BYROW(B51, _xlfn.LAMBDA(_xlpm.party,
   SUMIFS(ledger!J:J, ledger!B:B, _xlpm.party, ledger!E:E, "&lt;&gt;*RD*", ledger!D:D, "Black-Chamki", ledger!C:C, "&lt;&gt;Closing CF")
))+ _xlfn.IFNA(K100, 0)</f>
        <v>0</v>
      </c>
      <c r="AB7" s="70" cm="1">
        <f t="array" ref="AB7">_xlfn.BYROW(B51, _xlfn.LAMBDA(_xlpm.party,
   SUMIFS(ledger!J:J, ledger!B:B, _xlpm.party, ledger!E:E, "&lt;&gt;*RD*", ledger!D:D, "Kataan", ledger!C:C, "&lt;&gt;Closing CF")
))+ _xlfn.IFNA(L100, 0)</f>
        <v>0</v>
      </c>
      <c r="AC7" s="70" cm="1">
        <f t="array" ref="AC7">_xlfn.BYROW(B51, _xlfn.LAMBDA(_xlpm.party,
   SUMIFS(ledger!J:J, ledger!B:B, _xlpm.party, ledger!E:E, "&lt;&gt;*RD*", ledger!D:D, "Munaar", ledger!C:C, "&lt;&gt;Closing CF")
))+ _xlfn.IFNA(M100, 0)</f>
        <v>0</v>
      </c>
      <c r="AD7" s="70" cm="1">
        <f t="array" ref="AD7">_xlfn.BYROW(B51, _xlfn.LAMBDA(_xlpm.party,
   SUMIFS(ledger!J:J, ledger!B:B, _xlpm.party, ledger!E:E, "&lt;&gt;*RD*", ledger!D:D, "Custom", ledger!C:C, "&lt;&gt;Closing CF")
))+ _xlfn.IFNA(N100, 0)</f>
        <v>0</v>
      </c>
      <c r="AE7" s="39">
        <f t="shared" si="1"/>
        <v>9812607.9005120695</v>
      </c>
      <c r="AF7" s="22">
        <f>(SUMIF(Table14[Party],R7,Table14[Credit]))+_xlfn.IFNA(P100,0)</f>
        <v>9812586</v>
      </c>
      <c r="AG7" s="33">
        <f t="shared" si="2"/>
        <v>21.90051206946373</v>
      </c>
      <c r="AH7" s="21">
        <v>10</v>
      </c>
      <c r="AI7" s="21">
        <v>13</v>
      </c>
    </row>
    <row r="8" spans="2:38" x14ac:dyDescent="0.3">
      <c r="B8" t="str">
        <f t="shared" si="0"/>
        <v>Raaz Fabrics</v>
      </c>
      <c r="C8" s="18">
        <f>SUMIFS(ledger!G:G, ledger!B:B, B8, ledger!E:E, "&lt;&gt;*RD*") / 1.0936</f>
        <v>73510.424286759328</v>
      </c>
      <c r="D8">
        <v>10</v>
      </c>
      <c r="E8" s="14">
        <f>(SUMIFS(ledger!G:G, ledger!B:B, B8, ledger!E:E, "&lt;&gt;*RD*",ledger!D:D, "Silky") / 1.0936)*12 + (SUMIFS(ledger!G:G, ledger!B:B, B8, ledger!E:E, "&lt;&gt;*RD*",ledger!D:D, "chamki") / 1.0936)*10 +(SUMIFS(ledger!G:G, ledger!B:B, B8, ledger!E:E, "&lt;&gt;*RD*",ledger!D:D, "Crinkle") / 1.0936)*10</f>
        <v>735104.2428675933</v>
      </c>
      <c r="I8" t="s">
        <v>26</v>
      </c>
      <c r="P8" s="24"/>
      <c r="R8" t="str">
        <v>Shehzad Kamoki</v>
      </c>
      <c r="S8" s="22" cm="1">
        <f t="array" ref="S8">_xlfn.BYROW(B52,_xlfn.LAMBDA(_xlpm.party,SUMIFS(ledger!G:G,ledger!B:B,_xlpm.party,ledger!E:E,"&lt;&gt;*RD*")))+_xlfn.IFNA(C101,0)</f>
        <v>143457</v>
      </c>
      <c r="T8" s="22" cm="1">
        <f t="array" ref="T8">_xlfn.BYROW(B52, _xlfn.LAMBDA(_xlpm.party, SUMIFS(ledger!G:G, ledger!B:B, _xlpm.party, ledger!E:E, "&lt;&gt;*RD*") / 1.0936 ))+_xlfn.IFNA(D101,0)</f>
        <v>131178.67593269935</v>
      </c>
      <c r="U8" s="22" cm="1">
        <f t="array" ref="U8">(_xlfn.BYROW(B52,_xlfn.LAMBDA(_xlpm.party,SUMIFS(ledger!G:G,ledger!B:B,_xlpm.party,ledger!E:E,"&lt;&gt;*RD*",ledger!D:D,"Chamki")+SUMIFS(ledger!G:G, ledger!B:B, _xlpm.party, ledger!E:E, "&lt;&gt;*RD*", ledger!D:D, "Crinkle")))/1.0936)+_xlfn.IFNA(E101,0)</f>
        <v>131178.67593269935</v>
      </c>
      <c r="V8" s="70" cm="1">
        <f t="array" ref="V8">(_xlfn.BYROW(B52,_xlfn.LAMBDA(_xlpm.party,SUMIFS(ledger!G:G,ledger!B:B,_xlpm.party,ledger!E:E,"&lt;&gt;*RD*",ledger!D:D,"Silky")))/1.0936)+_xlfn.IFNA(F101,0)</f>
        <v>0</v>
      </c>
      <c r="W8" s="22" cm="1">
        <f t="array" ref="W8">(_xlfn.BYROW(B52,_xlfn.LAMBDA(_xlpm.party,
(SUMIFS(ledger!J:J,ledger!B:B,_xlpm.party,ledger!E:E,"&lt;&gt;*RD*",ledger!D:D,"Chamki",ledger!C:C,"&lt;&gt;Closing CF")+
SUMIFS(ledger!J:J,ledger!B:B,_xlpm.party,ledger!E:E,"&lt;&gt;*RD*",ledger!D:D,"Crinkle",ledger!C:C,"&lt;&gt;Closing CF")
)+_xlfn.IFNA(G101,0))))</f>
        <v>1354241.9972933433</v>
      </c>
      <c r="X8" s="70" cm="1">
        <f t="array" ref="X8">_xlfn.BYROW(B52, _xlfn.LAMBDA(_xlpm.party,
   SUMIFS(ledger!J:J, ledger!B:B, _xlpm.party, ledger!E:E, "&lt;&gt;*RD*", ledger!D:D, "Silky", ledger!C:C, "&lt;&gt;Closing CF")
)) + _xlfn.IFNA(H101, 0)</f>
        <v>0</v>
      </c>
      <c r="Y8" s="70" cm="1">
        <f t="array" ref="Y8">_xlfn.BYROW(B52, _xlfn.LAMBDA(_xlpm.party,
   SUMIFS(ledger!J:J, ledger!B:B, _xlpm.party, ledger!E:E, "&lt;&gt;*RD*", ledger!D:D, "Slub", ledger!C:C, "&lt;&gt;Closing CF")
))+ _xlfn.IFNA(I101, 0)</f>
        <v>0</v>
      </c>
      <c r="Z8" s="70" cm="1">
        <f t="array" ref="Z8">_xlfn.BYROW(B52, _xlfn.LAMBDA(_xlpm.party,
   SUMIFS(ledger!J:J, ledger!B:B, _xlpm.party, ledger!E:E, "&lt;&gt;*RD*", ledger!D:D, "Satin", ledger!C:C, "&lt;&gt;Closing CF")
))+ _xlfn.IFNA(J101, 0)</f>
        <v>0</v>
      </c>
      <c r="AA8" s="70" cm="1">
        <f t="array" ref="AA8">_xlfn.BYROW(B52, _xlfn.LAMBDA(_xlpm.party,
   SUMIFS(ledger!J:J, ledger!B:B, _xlpm.party, ledger!E:E, "&lt;&gt;*RD*", ledger!D:D, "Black-Chamki", ledger!C:C, "&lt;&gt;Closing CF")
))+ _xlfn.IFNA(K101, 0)</f>
        <v>0</v>
      </c>
      <c r="AB8" s="70" cm="1">
        <f t="array" ref="AB8">_xlfn.BYROW(B52, _xlfn.LAMBDA(_xlpm.party,
   SUMIFS(ledger!J:J, ledger!B:B, _xlpm.party, ledger!E:E, "&lt;&gt;*RD*", ledger!D:D, "Kataan", ledger!C:C, "&lt;&gt;Closing CF")
))+ _xlfn.IFNA(L101, 0)</f>
        <v>0</v>
      </c>
      <c r="AC8" s="70" cm="1">
        <f t="array" ref="AC8">_xlfn.BYROW(B52, _xlfn.LAMBDA(_xlpm.party,
   SUMIFS(ledger!J:J, ledger!B:B, _xlpm.party, ledger!E:E, "&lt;&gt;*RD*", ledger!D:D, "Munaar", ledger!C:C, "&lt;&gt;Closing CF")
))+ _xlfn.IFNA(M101, 0)</f>
        <v>0</v>
      </c>
      <c r="AD8" s="70" cm="1">
        <f t="array" ref="AD8">_xlfn.BYROW(B52, _xlfn.LAMBDA(_xlpm.party,
   SUMIFS(ledger!J:J, ledger!B:B, _xlpm.party, ledger!E:E, "&lt;&gt;*RD*", ledger!D:D, "Custom", ledger!C:C, "&lt;&gt;Closing CF")
))+ _xlfn.IFNA(N101, 0)</f>
        <v>0</v>
      </c>
      <c r="AE8" s="39">
        <f t="shared" si="1"/>
        <v>1354241.9972933433</v>
      </c>
      <c r="AF8" s="22">
        <f>(SUMIF(Table14[Party],R8,Table14[Credit]))+_xlfn.IFNA(P101,0)</f>
        <v>1353710</v>
      </c>
      <c r="AG8" s="33">
        <f t="shared" si="2"/>
        <v>531.99729334330186</v>
      </c>
      <c r="AH8" s="21">
        <v>10.5</v>
      </c>
      <c r="AI8" s="21">
        <v>13</v>
      </c>
    </row>
    <row r="9" spans="2:38"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151</v>
      </c>
      <c r="P9" s="24"/>
      <c r="R9" t="str">
        <v>Sufi Nawaz Sahab</v>
      </c>
      <c r="S9" s="22" cm="1">
        <f t="array" ref="S9">_xlfn.BYROW(B53,_xlfn.LAMBDA(_xlpm.party,SUMIFS(ledger!G:G,ledger!B:B,_xlpm.party,ledger!E:E,"&lt;&gt;*RD*")))+_xlfn.IFNA(C102,0)</f>
        <v>1212967</v>
      </c>
      <c r="T9" s="22" cm="1">
        <f t="array" ref="T9">_xlfn.BYROW(B53, _xlfn.LAMBDA(_xlpm.party, SUMIFS(ledger!G:G, ledger!B:B, _xlpm.party, ledger!E:E, "&lt;&gt;*RD*") / 1.0936 ))+_xlfn.IFNA(D102,0)</f>
        <v>1109150.5120702267</v>
      </c>
      <c r="U9" s="22" cm="1">
        <f t="array" ref="U9">(_xlfn.BYROW(B53,_xlfn.LAMBDA(_xlpm.party,SUMIFS(ledger!G:G,ledger!B:B,_xlpm.party,ledger!E:E,"&lt;&gt;*RD*",ledger!D:D,"Chamki")+SUMIFS(ledger!G:G, ledger!B:B, _xlpm.party, ledger!E:E, "&lt;&gt;*RD*", ledger!D:D, "Crinkle")))/1.0936)+_xlfn.IFNA(E102,0)</f>
        <v>599330.65106071695</v>
      </c>
      <c r="V9" s="70" cm="1">
        <f t="array" ref="V9">(_xlfn.BYROW(B53,_xlfn.LAMBDA(_xlpm.party,SUMIFS(ledger!G:G,ledger!B:B,_xlpm.party,ledger!E:E,"&lt;&gt;*RD*",ledger!D:D,"Silky")))/1.0936)+_xlfn.IFNA(F102,0)</f>
        <v>485823.88441843458</v>
      </c>
      <c r="W9" s="22" cm="1">
        <f t="array" ref="W9">(_xlfn.BYROW(B53,_xlfn.LAMBDA(_xlpm.party,
(SUMIFS(ledger!J:J,ledger!B:B,_xlpm.party,ledger!E:E,"&lt;&gt;*RD*",ledger!D:D,"Chamki",ledger!C:C,"&lt;&gt;Closing CF")+
SUMIFS(ledger!J:J,ledger!B:B,_xlpm.party,ledger!E:E,"&lt;&gt;*RD*",ledger!D:D,"Crinkle",ledger!C:C,"&lt;&gt;Closing CF")
)+_xlfn.IFNA(G102,0))))</f>
        <v>5408917.8595464528</v>
      </c>
      <c r="X9" s="70" cm="1">
        <f t="array" ref="X9">_xlfn.BYROW(B53, _xlfn.LAMBDA(_xlpm.party,
   SUMIFS(ledger!J:J, ledger!B:B, _xlpm.party, ledger!E:E, "&lt;&gt;*RD*", ledger!D:D, "Silky", ledger!C:C, "&lt;&gt;Closing CF")
)) + _xlfn.IFNA(H102, 0)</f>
        <v>5829886.6130212145</v>
      </c>
      <c r="Y9" s="70" cm="1">
        <f t="array" ref="Y9">_xlfn.BYROW(B53, _xlfn.LAMBDA(_xlpm.party,
   SUMIFS(ledger!J:J, ledger!B:B, _xlpm.party, ledger!E:E, "&lt;&gt;*RD*", ledger!D:D, "Slub", ledger!C:C, "&lt;&gt;Closing CF")
))+ _xlfn.IFNA(I102, 0)</f>
        <v>0</v>
      </c>
      <c r="Z9" s="70" cm="1">
        <f t="array" ref="Z9">_xlfn.BYROW(B53, _xlfn.LAMBDA(_xlpm.party,
   SUMIFS(ledger!J:J, ledger!B:B, _xlpm.party, ledger!E:E, "&lt;&gt;*RD*", ledger!D:D, "Satin", ledger!C:C, "&lt;&gt;Closing CF")
))+ _xlfn.IFNA(J102, 0)</f>
        <v>239959.76591075349</v>
      </c>
      <c r="AA9" s="70" cm="1">
        <f t="array" ref="AA9">_xlfn.BYROW(B53, _xlfn.LAMBDA(_xlpm.party,
   SUMIFS(ledger!J:J, ledger!B:B, _xlpm.party, ledger!E:E, "&lt;&gt;*RD*", ledger!D:D, "Black-Chamki", ledger!C:C, "&lt;&gt;Closing CF")
))+ _xlfn.IFNA(K102, 0)</f>
        <v>0</v>
      </c>
      <c r="AB9" s="70" cm="1">
        <f t="array" ref="AB9">_xlfn.BYROW(B53, _xlfn.LAMBDA(_xlpm.party,
   SUMIFS(ledger!J:J, ledger!B:B, _xlpm.party, ledger!E:E, "&lt;&gt;*RD*", ledger!D:D, "Kataan", ledger!C:C, "&lt;&gt;Closing CF")
))+ _xlfn.IFNA(L102, 0)</f>
        <v>0</v>
      </c>
      <c r="AC9" s="70" cm="1">
        <f t="array" ref="AC9">_xlfn.BYROW(B53, _xlfn.LAMBDA(_xlpm.party,
   SUMIFS(ledger!J:J, ledger!B:B, _xlpm.party, ledger!E:E, "&lt;&gt;*RD*", ledger!D:D, "Munaar", ledger!C:C, "&lt;&gt;Closing CF")
))+ _xlfn.IFNA(M102, 0)</f>
        <v>0</v>
      </c>
      <c r="AD9" s="70" cm="1">
        <f t="array" ref="AD9">_xlfn.BYROW(B53, _xlfn.LAMBDA(_xlpm.party,
   SUMIFS(ledger!J:J, ledger!B:B, _xlpm.party, ledger!E:E, "&lt;&gt;*RD*", ledger!D:D, "Custom", ledger!C:C, "&lt;&gt;Closing CF")
))+ _xlfn.IFNA(N102, 0)</f>
        <v>0</v>
      </c>
      <c r="AE9" s="39">
        <f t="shared" si="1"/>
        <v>11478764.23847842</v>
      </c>
      <c r="AF9" s="22">
        <f>(SUMIF(Table14[Party],R9,Table14[Credit]))+_xlfn.IFNA(P102,0)</f>
        <v>11478764</v>
      </c>
      <c r="AG9" s="33">
        <f t="shared" si="2"/>
        <v>0.23847842030227184</v>
      </c>
      <c r="AH9" s="21">
        <v>10</v>
      </c>
      <c r="AI9" s="21">
        <v>13</v>
      </c>
    </row>
    <row r="10" spans="2:38" x14ac:dyDescent="0.3">
      <c r="B10" t="str">
        <f t="shared" si="0"/>
        <v>Ubaidullah</v>
      </c>
      <c r="C10" s="18">
        <f>SUMIFS(ledger!G:G, ledger!B:B, B10, ledger!E:E, "&lt;&gt;*RD*") / 1.0936</f>
        <v>100178.31016825166</v>
      </c>
      <c r="D10">
        <v>10</v>
      </c>
      <c r="E10" s="14">
        <f>(SUMIFS(ledger!G:G, ledger!B:B, B10, ledger!E:E, "&lt;&gt;*RD*",ledger!D:D, "Silky") / 1.0936)*12 + (SUMIFS(ledger!G:G, ledger!B:B, B10, ledger!E:E, "&lt;&gt;*RD*",ledger!D:D, "Chamki") / 1.0936)*10</f>
        <v>1202139.72201902</v>
      </c>
      <c r="I10" t="s">
        <v>35</v>
      </c>
      <c r="P10" s="24"/>
      <c r="R10" t="str">
        <v>Sajad Khan</v>
      </c>
      <c r="S10" s="22" cm="1">
        <f t="array" ref="S10">_xlfn.BYROW(B54,_xlfn.LAMBDA(_xlpm.party,SUMIFS(ledger!G:G,ledger!B:B,_xlpm.party,ledger!E:E,"&lt;&gt;*RD*")))+_xlfn.IFNA(C103,0)</f>
        <v>1135029</v>
      </c>
      <c r="T10" s="22" cm="1">
        <f t="array" ref="T10">_xlfn.BYROW(B54, _xlfn.LAMBDA(_xlpm.party, SUMIFS(ledger!G:G, ledger!B:B, _xlpm.party, ledger!E:E, "&lt;&gt;*RD*") / 1.0936 ))+_xlfn.IFNA(D103,0)</f>
        <v>1037883.1382589615</v>
      </c>
      <c r="U10" s="22" cm="1">
        <f t="array" ref="U10">(_xlfn.BYROW(B54,_xlfn.LAMBDA(_xlpm.party,SUMIFS(ledger!G:G,ledger!B:B,_xlpm.party,ledger!E:E,"&lt;&gt;*RD*",ledger!D:D,"Chamki")+SUMIFS(ledger!G:G, ledger!B:B, _xlpm.party, ledger!E:E, "&lt;&gt;*RD*", ledger!D:D, "Crinkle")))/1.0936)+_xlfn.IFNA(E103,0)</f>
        <v>1005535.8449158743</v>
      </c>
      <c r="V10" s="70" cm="1">
        <f t="array" ref="V10">(_xlfn.BYROW(B54,_xlfn.LAMBDA(_xlpm.party,SUMIFS(ledger!G:G,ledger!B:B,_xlpm.party,ledger!E:E,"&lt;&gt;*RD*",ledger!D:D,"Silky")))/1.0936)+_xlfn.IFNA(F103,0)</f>
        <v>0</v>
      </c>
      <c r="W10" s="22" cm="1">
        <f t="array" ref="W10">(_xlfn.BYROW(B54,_xlfn.LAMBDA(_xlpm.party,
(SUMIFS(ledger!J:J,ledger!B:B,_xlpm.party,ledger!E:E,"&lt;&gt;*RD*",ledger!D:D,"Chamki",ledger!C:C,"&lt;&gt;Closing CF")+
SUMIFS(ledger!J:J,ledger!B:B,_xlpm.party,ledger!E:E,"&lt;&gt;*RD*",ledger!D:D,"Crinkle",ledger!C:C,"&lt;&gt;Closing CF")
)+_xlfn.IFNA(G103,0))))</f>
        <v>10055358.449158743</v>
      </c>
      <c r="X10" s="70" cm="1">
        <f t="array" ref="X10">_xlfn.BYROW(B54, _xlfn.LAMBDA(_xlpm.party,
   SUMIFS(ledger!J:J, ledger!B:B, _xlpm.party, ledger!E:E, "&lt;&gt;*RD*", ledger!D:D, "Silky", ledger!C:C, "&lt;&gt;Closing CF")
)) + _xlfn.IFNA(H103, 0)</f>
        <v>0</v>
      </c>
      <c r="Y10" s="70" cm="1">
        <f t="array" ref="Y10">_xlfn.BYROW(B54, _xlfn.LAMBDA(_xlpm.party,
   SUMIFS(ledger!J:J, ledger!B:B, _xlpm.party, ledger!E:E, "&lt;&gt;*RD*", ledger!D:D, "Slub", ledger!C:C, "&lt;&gt;Closing CF")
))+ _xlfn.IFNA(I103, 0)</f>
        <v>71359.729334308722</v>
      </c>
      <c r="Z10" s="70" cm="1">
        <f t="array" ref="Z10">_xlfn.BYROW(B54, _xlfn.LAMBDA(_xlpm.party,
   SUMIFS(ledger!J:J, ledger!B:B, _xlpm.party, ledger!E:E, "&lt;&gt;*RD*", ledger!D:D, "Satin", ledger!C:C, "&lt;&gt;Closing CF")
))+ _xlfn.IFNA(J103, 0)</f>
        <v>0</v>
      </c>
      <c r="AA10" s="70" cm="1">
        <f t="array" ref="AA10">_xlfn.BYROW(B54, _xlfn.LAMBDA(_xlpm.party,
   SUMIFS(ledger!J:J, ledger!B:B, _xlpm.party, ledger!E:E, "&lt;&gt;*RD*", ledger!D:D, "Black-Chamki", ledger!C:C, "&lt;&gt;Closing CF")
))+ _xlfn.IFNA(K103, 0)</f>
        <v>322297.00073152891</v>
      </c>
      <c r="AB10" s="70" cm="1">
        <f t="array" ref="AB10">_xlfn.BYROW(B54, _xlfn.LAMBDA(_xlpm.party,
   SUMIFS(ledger!J:J, ledger!B:B, _xlpm.party, ledger!E:E, "&lt;&gt;*RD*", ledger!D:D, "Kataan", ledger!C:C, "&lt;&gt;Closing CF")
))+ _xlfn.IFNA(L103, 0)</f>
        <v>0</v>
      </c>
      <c r="AC10" s="70" cm="1">
        <f t="array" ref="AC10">_xlfn.BYROW(B54, _xlfn.LAMBDA(_xlpm.party,
   SUMIFS(ledger!J:J, ledger!B:B, _xlpm.party, ledger!E:E, "&lt;&gt;*RD*", ledger!D:D, "Munaar", ledger!C:C, "&lt;&gt;Closing CF")
))+ _xlfn.IFNA(M103, 0)</f>
        <v>0</v>
      </c>
      <c r="AD10" s="70" cm="1">
        <f t="array" ref="AD10">_xlfn.BYROW(B54, _xlfn.LAMBDA(_xlpm.party,
   SUMIFS(ledger!J:J, ledger!B:B, _xlpm.party, ledger!E:E, "&lt;&gt;*RD*", ledger!D:D, "Custom", ledger!C:C, "&lt;&gt;Closing CF")
))+ _xlfn.IFNA(N103, 0)</f>
        <v>0</v>
      </c>
      <c r="AE10" s="39">
        <f t="shared" si="1"/>
        <v>10449015.179224581</v>
      </c>
      <c r="AF10" s="22">
        <f>(SUMIF(Table14[Party],R10,Table14[Credit]))+_xlfn.IFNA(P103,0)</f>
        <v>10448871</v>
      </c>
      <c r="AG10" s="33">
        <f t="shared" si="2"/>
        <v>144.17922458052635</v>
      </c>
      <c r="AH10" s="21">
        <v>10</v>
      </c>
      <c r="AI10" s="21">
        <v>13</v>
      </c>
    </row>
    <row r="11" spans="2:38"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147</v>
      </c>
      <c r="P11" s="24"/>
      <c r="R11" t="str">
        <v>Raaz Fabrics</v>
      </c>
      <c r="S11" s="22" cm="1">
        <f t="array" ref="S11">_xlfn.BYROW(B55,_xlfn.LAMBDA(_xlpm.party,SUMIFS(ledger!G:G,ledger!B:B,_xlpm.party,ledger!E:E,"&lt;&gt;*RD*")))+_xlfn.IFNA(C104,0)</f>
        <v>283694</v>
      </c>
      <c r="T11" s="22" cm="1">
        <f t="array" ref="T11">_xlfn.BYROW(B55, _xlfn.LAMBDA(_xlpm.party, SUMIFS(ledger!G:G, ledger!B:B, _xlpm.party, ledger!E:E, "&lt;&gt;*RD*") / 1.0936 ))+_xlfn.IFNA(D104,0)</f>
        <v>259412.94806144846</v>
      </c>
      <c r="U11" s="22" cm="1">
        <f t="array" ref="U11">(_xlfn.BYROW(B55,_xlfn.LAMBDA(_xlpm.party,SUMIFS(ledger!G:G,ledger!B:B,_xlpm.party,ledger!E:E,"&lt;&gt;*RD*",ledger!D:D,"Chamki")+SUMIFS(ledger!G:G, ledger!B:B, _xlpm.party, ledger!E:E, "&lt;&gt;*RD*", ledger!D:D, "Crinkle")))/1.0936)+_xlfn.IFNA(E104,0)</f>
        <v>259412.94806144846</v>
      </c>
      <c r="V11" s="70" cm="1">
        <f t="array" ref="V11">(_xlfn.BYROW(B55,_xlfn.LAMBDA(_xlpm.party,SUMIFS(ledger!G:G,ledger!B:B,_xlpm.party,ledger!E:E,"&lt;&gt;*RD*",ledger!D:D,"Silky")))/1.0936)+_xlfn.IFNA(F104,0)</f>
        <v>0</v>
      </c>
      <c r="W11" s="22" cm="1">
        <f t="array" ref="W11">(_xlfn.BYROW(B55,_xlfn.LAMBDA(_xlpm.party,
(SUMIFS(ledger!J:J,ledger!B:B,_xlpm.party,ledger!E:E,"&lt;&gt;*RD*",ledger!D:D,"Chamki",ledger!C:C,"&lt;&gt;Closing CF")+
SUMIFS(ledger!J:J,ledger!B:B,_xlpm.party,ledger!E:E,"&lt;&gt;*RD*",ledger!D:D,"Crinkle",ledger!C:C,"&lt;&gt;Closing CF")
)+_xlfn.IFNA(G104,0))))</f>
        <v>2594129.4806144848</v>
      </c>
      <c r="X11" s="70" cm="1">
        <f t="array" ref="X11">_xlfn.BYROW(B55, _xlfn.LAMBDA(_xlpm.party,
   SUMIFS(ledger!J:J, ledger!B:B, _xlpm.party, ledger!E:E, "&lt;&gt;*RD*", ledger!D:D, "Silky", ledger!C:C, "&lt;&gt;Closing CF")
)) + _xlfn.IFNA(H104, 0)</f>
        <v>0</v>
      </c>
      <c r="Y11" s="70" cm="1">
        <f t="array" ref="Y11">_xlfn.BYROW(B55, _xlfn.LAMBDA(_xlpm.party,
   SUMIFS(ledger!J:J, ledger!B:B, _xlpm.party, ledger!E:E, "&lt;&gt;*RD*", ledger!D:D, "Slub", ledger!C:C, "&lt;&gt;Closing CF")
))+ _xlfn.IFNA(I104, 0)</f>
        <v>0</v>
      </c>
      <c r="Z11" s="70" cm="1">
        <f t="array" ref="Z11">_xlfn.BYROW(B55, _xlfn.LAMBDA(_xlpm.party,
   SUMIFS(ledger!J:J, ledger!B:B, _xlpm.party, ledger!E:E, "&lt;&gt;*RD*", ledger!D:D, "Satin", ledger!C:C, "&lt;&gt;Closing CF")
))+ _xlfn.IFNA(J104, 0)</f>
        <v>0</v>
      </c>
      <c r="AA11" s="70" cm="1">
        <f t="array" ref="AA11">_xlfn.BYROW(B55, _xlfn.LAMBDA(_xlpm.party,
   SUMIFS(ledger!J:J, ledger!B:B, _xlpm.party, ledger!E:E, "&lt;&gt;*RD*", ledger!D:D, "Black-Chamki", ledger!C:C, "&lt;&gt;Closing CF")
))+ _xlfn.IFNA(K104, 0)</f>
        <v>0</v>
      </c>
      <c r="AB11" s="70" cm="1">
        <f t="array" ref="AB11">_xlfn.BYROW(B55, _xlfn.LAMBDA(_xlpm.party,
   SUMIFS(ledger!J:J, ledger!B:B, _xlpm.party, ledger!E:E, "&lt;&gt;*RD*", ledger!D:D, "Kataan", ledger!C:C, "&lt;&gt;Closing CF")
))+ _xlfn.IFNA(L104, 0)</f>
        <v>0</v>
      </c>
      <c r="AC11" s="70" cm="1">
        <f t="array" ref="AC11">_xlfn.BYROW(B55, _xlfn.LAMBDA(_xlpm.party,
   SUMIFS(ledger!J:J, ledger!B:B, _xlpm.party, ledger!E:E, "&lt;&gt;*RD*", ledger!D:D, "Munaar", ledger!C:C, "&lt;&gt;Closing CF")
))+ _xlfn.IFNA(M104, 0)</f>
        <v>0</v>
      </c>
      <c r="AD11" s="70" cm="1">
        <f t="array" ref="AD11">_xlfn.BYROW(B55, _xlfn.LAMBDA(_xlpm.party,
   SUMIFS(ledger!J:J, ledger!B:B, _xlpm.party, ledger!E:E, "&lt;&gt;*RD*", ledger!D:D, "Custom", ledger!C:C, "&lt;&gt;Closing CF")
))+ _xlfn.IFNA(N104, 0)</f>
        <v>0</v>
      </c>
      <c r="AE11" s="39">
        <f t="shared" si="1"/>
        <v>2594129.4806144848</v>
      </c>
      <c r="AF11" s="22">
        <f>(SUMIF(Table14[Party],R11,Table14[Credit]))+_xlfn.IFNA(P104,0)</f>
        <v>2176321</v>
      </c>
      <c r="AG11" s="33">
        <f t="shared" si="2"/>
        <v>417808.48061448475</v>
      </c>
      <c r="AH11" s="21">
        <v>10</v>
      </c>
      <c r="AI11" s="21">
        <v>13</v>
      </c>
    </row>
    <row r="12" spans="2:38" x14ac:dyDescent="0.3">
      <c r="B12" t="str">
        <f t="shared" si="0"/>
        <v>Hafiz Qureshi</v>
      </c>
      <c r="C12" s="18">
        <f>SUMIFS(ledger!G:G, ledger!B:B, B12, ledger!E:E, "&lt;&gt;*RD*") / 1.0936</f>
        <v>157118.69056327725</v>
      </c>
      <c r="E12" s="14">
        <f>(SUMIFS(ledger!G:G, ledger!B:B, B12, ledger!E:E, "&lt;&gt;*RD*",ledger!D:D, "Silky") / 1.0936)*12 + (SUMIFS(ledger!G:G, ledger!B:B, B12, ledger!E:E, "&lt;&gt;*RD*",ledger!D:D, "Chamki") / 1.0936)*10</f>
        <v>1212006.217995611</v>
      </c>
      <c r="I12" t="s">
        <v>27</v>
      </c>
      <c r="P12" s="24"/>
      <c r="Q12" s="28"/>
      <c r="R12" t="str">
        <v>Azam</v>
      </c>
      <c r="S12" s="22" cm="1">
        <f t="array" ref="S12">_xlfn.BYROW(B56,_xlfn.LAMBDA(_xlpm.party,SUMIFS(ledger!G:G,ledger!B:B,_xlpm.party,ledger!E:E,"&lt;&gt;*RD*")))+_xlfn.IFNA(C105,0)</f>
        <v>749236</v>
      </c>
      <c r="T12" s="22" cm="1">
        <f t="array" ref="T12">_xlfn.BYROW(B56, _xlfn.LAMBDA(_xlpm.party, SUMIFS(ledger!G:G, ledger!B:B, _xlpm.party, ledger!E:E, "&lt;&gt;*RD*") / 1.0936 ))+_xlfn.IFNA(D105,0)</f>
        <v>685109.72933430877</v>
      </c>
      <c r="U12" s="22" cm="1">
        <f t="array" ref="U12">(_xlfn.BYROW(B56,_xlfn.LAMBDA(_xlpm.party,SUMIFS(ledger!G:G,ledger!B:B,_xlpm.party,ledger!E:E,"&lt;&gt;*RD*",ledger!D:D,"Chamki")+SUMIFS(ledger!G:G, ledger!B:B, _xlpm.party, ledger!E:E, "&lt;&gt;*RD*", ledger!D:D, "Crinkle")))/1.0936)+_xlfn.IFNA(E105,0)</f>
        <v>501118.32479882962</v>
      </c>
      <c r="V12" s="70" cm="1">
        <f t="array" ref="V12">(_xlfn.BYROW(B56,_xlfn.LAMBDA(_xlpm.party,SUMIFS(ledger!G:G,ledger!B:B,_xlpm.party,ledger!E:E,"&lt;&gt;*RD*",ledger!D:D,"Silky")))/1.0936)+_xlfn.IFNA(F105,0)</f>
        <v>183991.40453547917</v>
      </c>
      <c r="W12" s="22" cm="1">
        <f t="array" ref="W12">(_xlfn.BYROW(B56,_xlfn.LAMBDA(_xlpm.party,
(SUMIFS(ledger!J:J,ledger!B:B,_xlpm.party,ledger!E:E,"&lt;&gt;*RD*",ledger!D:D,"Chamki",ledger!C:C,"&lt;&gt;Closing CF")+
SUMIFS(ledger!J:J,ledger!B:B,_xlpm.party,ledger!E:E,"&lt;&gt;*RD*",ledger!D:D,"Crinkle",ledger!C:C,"&lt;&gt;Closing CF")
)+_xlfn.IFNA(G105,0))))</f>
        <v>5011183.2479882967</v>
      </c>
      <c r="X12" s="70" cm="1">
        <f t="array" ref="X12">_xlfn.BYROW(B56, _xlfn.LAMBDA(_xlpm.party,
   SUMIFS(ledger!J:J, ledger!B:B, _xlpm.party, ledger!E:E, "&lt;&gt;*RD*", ledger!D:D, "Silky", ledger!C:C, "&lt;&gt;Closing CF")
)) + _xlfn.IFNA(H105, 0)</f>
        <v>2391888.2589612291</v>
      </c>
      <c r="Y12" s="70" cm="1">
        <f t="array" ref="Y12">_xlfn.BYROW(B56, _xlfn.LAMBDA(_xlpm.party,
   SUMIFS(ledger!J:J, ledger!B:B, _xlpm.party, ledger!E:E, "&lt;&gt;*RD*", ledger!D:D, "Slub", ledger!C:C, "&lt;&gt;Closing CF")
))+ _xlfn.IFNA(I105, 0)</f>
        <v>0</v>
      </c>
      <c r="Z12" s="70" cm="1">
        <f t="array" ref="Z12">_xlfn.BYROW(B56, _xlfn.LAMBDA(_xlpm.party,
   SUMIFS(ledger!J:J, ledger!B:B, _xlpm.party, ledger!E:E, "&lt;&gt;*RD*", ledger!D:D, "Satin", ledger!C:C, "&lt;&gt;Closing CF")
))+ _xlfn.IFNA(J105, 0)</f>
        <v>0</v>
      </c>
      <c r="AA12" s="70" cm="1">
        <f t="array" ref="AA12">_xlfn.BYROW(B56, _xlfn.LAMBDA(_xlpm.party,
   SUMIFS(ledger!J:J, ledger!B:B, _xlpm.party, ledger!E:E, "&lt;&gt;*RD*", ledger!D:D, "Black-Chamki", ledger!C:C, "&lt;&gt;Closing CF")
))+ _xlfn.IFNA(K105, 0)</f>
        <v>0</v>
      </c>
      <c r="AB12" s="70" cm="1">
        <f t="array" ref="AB12">_xlfn.BYROW(B56, _xlfn.LAMBDA(_xlpm.party,
   SUMIFS(ledger!J:J, ledger!B:B, _xlpm.party, ledger!E:E, "&lt;&gt;*RD*", ledger!D:D, "Kataan", ledger!C:C, "&lt;&gt;Closing CF")
))+ _xlfn.IFNA(L105, 0)</f>
        <v>0</v>
      </c>
      <c r="AC12" s="70" cm="1">
        <f t="array" ref="AC12">_xlfn.BYROW(B56, _xlfn.LAMBDA(_xlpm.party,
   SUMIFS(ledger!J:J, ledger!B:B, _xlpm.party, ledger!E:E, "&lt;&gt;*RD*", ledger!D:D, "Munaar", ledger!C:C, "&lt;&gt;Closing CF")
))+ _xlfn.IFNA(M105, 0)</f>
        <v>0</v>
      </c>
      <c r="AD12" s="70" cm="1">
        <f t="array" ref="AD12">_xlfn.BYROW(B56, _xlfn.LAMBDA(_xlpm.party,
   SUMIFS(ledger!J:J, ledger!B:B, _xlpm.party, ledger!E:E, "&lt;&gt;*RD*", ledger!D:D, "Custom", ledger!C:C, "&lt;&gt;Closing CF")
))+ _xlfn.IFNA(N105, 0)</f>
        <v>0</v>
      </c>
      <c r="AE12" s="39">
        <f t="shared" si="1"/>
        <v>7403071.5069495253</v>
      </c>
      <c r="AF12" s="22">
        <f>(SUMIF(Table14[Party],R12,Table14[Credit]))+_xlfn.IFNA(P105,0)</f>
        <v>7402540</v>
      </c>
      <c r="AG12" s="33">
        <f t="shared" si="2"/>
        <v>531.50694952532649</v>
      </c>
      <c r="AH12" s="21">
        <v>10</v>
      </c>
      <c r="AI12" s="21">
        <v>13</v>
      </c>
    </row>
    <row r="13" spans="2:38"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165</v>
      </c>
      <c r="P13" s="24"/>
      <c r="R13" t="str">
        <v>Ubaidullah</v>
      </c>
      <c r="S13" s="22" cm="1">
        <f t="array" ref="S13">_xlfn.BYROW(B57,_xlfn.LAMBDA(_xlpm.party,SUMIFS(ledger!G:G,ledger!B:B,_xlpm.party,ledger!E:E,"&lt;&gt;*RD*")))+_xlfn.IFNA(C106,0)</f>
        <v>283089</v>
      </c>
      <c r="T13" s="22" cm="1">
        <f t="array" ref="T13">_xlfn.BYROW(B57, _xlfn.LAMBDA(_xlpm.party, SUMIFS(ledger!G:G, ledger!B:B, _xlpm.party, ledger!E:E, "&lt;&gt;*RD*") / 1.0936 ))+_xlfn.IFNA(D106,0)</f>
        <v>258859.72933430874</v>
      </c>
      <c r="U13" s="22" cm="1">
        <f t="array" ref="U13">(_xlfn.BYROW(B57,_xlfn.LAMBDA(_xlpm.party,SUMIFS(ledger!G:G,ledger!B:B,_xlpm.party,ledger!E:E,"&lt;&gt;*RD*",ledger!D:D,"Chamki")+SUMIFS(ledger!G:G, ledger!B:B, _xlpm.party, ledger!E:E, "&lt;&gt;*RD*", ledger!D:D, "Crinkle")))/1.0936)+_xlfn.IFNA(E106,0)</f>
        <v>46132.955376737387</v>
      </c>
      <c r="V13" s="70" cm="1">
        <f t="array" ref="V13">(_xlfn.BYROW(B57,_xlfn.LAMBDA(_xlpm.party,SUMIFS(ledger!G:G,ledger!B:B,_xlpm.party,ledger!E:E,"&lt;&gt;*RD*",ledger!D:D,"Silky")))/1.0936)+_xlfn.IFNA(F106,0)</f>
        <v>212726.77395757136</v>
      </c>
      <c r="W13" s="22" cm="1">
        <f t="array" ref="W13">(_xlfn.BYROW(B57,_xlfn.LAMBDA(_xlpm.party,
(SUMIFS(ledger!J:J,ledger!B:B,_xlpm.party,ledger!E:E,"&lt;&gt;*RD*",ledger!D:D,"Chamki",ledger!C:C,"&lt;&gt;Closing CF")+
SUMIFS(ledger!J:J,ledger!B:B,_xlpm.party,ledger!E:E,"&lt;&gt;*RD*",ledger!D:D,"Crinkle",ledger!C:C,"&lt;&gt;Closing CF")
)+_xlfn.IFNA(G106,0))))</f>
        <v>461329.5537673739</v>
      </c>
      <c r="X13" s="70" cm="1">
        <f t="array" ref="X13">_xlfn.BYROW(B57, _xlfn.LAMBDA(_xlpm.party,
   SUMIFS(ledger!J:J, ledger!B:B, _xlpm.party, ledger!E:E, "&lt;&gt;*RD*", ledger!D:D, "Silky", ledger!C:C, "&lt;&gt;Closing CF")
)) + _xlfn.IFNA(H106, 0)</f>
        <v>2650274.3233357719</v>
      </c>
      <c r="Y13" s="70" cm="1">
        <f t="array" ref="Y13">_xlfn.BYROW(B57, _xlfn.LAMBDA(_xlpm.party,
   SUMIFS(ledger!J:J, ledger!B:B, _xlpm.party, ledger!E:E, "&lt;&gt;*RD*", ledger!D:D, "Slub", ledger!C:C, "&lt;&gt;Closing CF")
))+ _xlfn.IFNA(I106, 0)</f>
        <v>0</v>
      </c>
      <c r="Z13" s="70" cm="1">
        <f t="array" ref="Z13">_xlfn.BYROW(B57, _xlfn.LAMBDA(_xlpm.party,
   SUMIFS(ledger!J:J, ledger!B:B, _xlpm.party, ledger!E:E, "&lt;&gt;*RD*", ledger!D:D, "Satin", ledger!C:C, "&lt;&gt;Closing CF")
))+ _xlfn.IFNA(J106, 0)</f>
        <v>0</v>
      </c>
      <c r="AA13" s="70" cm="1">
        <f t="array" ref="AA13">_xlfn.BYROW(B57, _xlfn.LAMBDA(_xlpm.party,
   SUMIFS(ledger!J:J, ledger!B:B, _xlpm.party, ledger!E:E, "&lt;&gt;*RD*", ledger!D:D, "Black-Chamki", ledger!C:C, "&lt;&gt;Closing CF")
))+ _xlfn.IFNA(K106, 0)</f>
        <v>0</v>
      </c>
      <c r="AB13" s="70" cm="1">
        <f t="array" ref="AB13">_xlfn.BYROW(B57, _xlfn.LAMBDA(_xlpm.party,
   SUMIFS(ledger!J:J, ledger!B:B, _xlpm.party, ledger!E:E, "&lt;&gt;*RD*", ledger!D:D, "Kataan", ledger!C:C, "&lt;&gt;Closing CF")
))+ _xlfn.IFNA(L106, 0)</f>
        <v>0</v>
      </c>
      <c r="AC13" s="70" cm="1">
        <f t="array" ref="AC13">_xlfn.BYROW(B57, _xlfn.LAMBDA(_xlpm.party,
   SUMIFS(ledger!J:J, ledger!B:B, _xlpm.party, ledger!E:E, "&lt;&gt;*RD*", ledger!D:D, "Munaar", ledger!C:C, "&lt;&gt;Closing CF")
))+ _xlfn.IFNA(M106, 0)</f>
        <v>0</v>
      </c>
      <c r="AD13" s="70" cm="1">
        <f t="array" ref="AD13">_xlfn.BYROW(B57, _xlfn.LAMBDA(_xlpm.party,
   SUMIFS(ledger!J:J, ledger!B:B, _xlpm.party, ledger!E:E, "&lt;&gt;*RD*", ledger!D:D, "Custom", ledger!C:C, "&lt;&gt;Closing CF")
))+ _xlfn.IFNA(N106, 0)</f>
        <v>0</v>
      </c>
      <c r="AE13" s="39">
        <f t="shared" si="1"/>
        <v>3111603.8771031457</v>
      </c>
      <c r="AF13" s="22">
        <f>(SUMIF(Table14[Party],R13,Table14[Credit]))+_xlfn.IFNA(P106,0)</f>
        <v>3109990</v>
      </c>
      <c r="AG13" s="33">
        <f t="shared" si="2"/>
        <v>1613.8771031456999</v>
      </c>
      <c r="AH13" s="21">
        <v>10</v>
      </c>
      <c r="AI13" s="21">
        <v>13</v>
      </c>
    </row>
    <row r="14" spans="2:38" x14ac:dyDescent="0.3">
      <c r="B14" t="str">
        <f t="shared" si="0"/>
        <v>Gauhar Kashif</v>
      </c>
      <c r="C14" s="18">
        <f>SUMIFS(ledger!G:G, ledger!B:B, B14, ledger!E:E, "&lt;&gt;*RD*") / 1.0936</f>
        <v>0</v>
      </c>
      <c r="E14" s="14">
        <f>(SUMIFS(ledger!G:G, ledger!B:B, B14, ledger!E:E, "&lt;&gt;*RD*",ledger!D:D, "Silky") / 1.0936)*12 + (SUMIFS(ledger!G:G, ledger!B:B, B14, ledger!E:E, "&lt;&gt;*RD*",ledger!D:D, "Chamki") / 1.0936)*10</f>
        <v>0</v>
      </c>
      <c r="I14" t="s">
        <v>167</v>
      </c>
      <c r="P14" s="24"/>
      <c r="R14" t="str">
        <v>Ashraf Zia</v>
      </c>
      <c r="S14" s="22" cm="1">
        <f t="array" ref="S14">_xlfn.BYROW(B58,_xlfn.LAMBDA(_xlpm.party,SUMIFS(ledger!G:G,ledger!B:B,_xlpm.party,ledger!E:E,"&lt;&gt;*RD*")))+_xlfn.IFNA(C107,0)</f>
        <v>23305</v>
      </c>
      <c r="T14" s="22" cm="1">
        <f t="array" ref="T14">_xlfn.BYROW(B58, _xlfn.LAMBDA(_xlpm.party, SUMIFS(ledger!G:G, ledger!B:B, _xlpm.party, ledger!E:E, "&lt;&gt;*RD*") / 1.0936 ))+_xlfn.IFNA(D107,0)</f>
        <v>21310.35113386979</v>
      </c>
      <c r="U14" s="22" cm="1">
        <f t="array" ref="U14">(_xlfn.BYROW(B58,_xlfn.LAMBDA(_xlpm.party,SUMIFS(ledger!G:G,ledger!B:B,_xlpm.party,ledger!E:E,"&lt;&gt;*RD*",ledger!D:D,"Chamki")+SUMIFS(ledger!G:G, ledger!B:B, _xlpm.party, ledger!E:E, "&lt;&gt;*RD*", ledger!D:D, "Crinkle")))/1.0936)+_xlfn.IFNA(E107,0)</f>
        <v>21310.35113386979</v>
      </c>
      <c r="V14" s="70" cm="1">
        <f t="array" ref="V14">(_xlfn.BYROW(B58,_xlfn.LAMBDA(_xlpm.party,SUMIFS(ledger!G:G,ledger!B:B,_xlpm.party,ledger!E:E,"&lt;&gt;*RD*",ledger!D:D,"Silky")))/1.0936)+_xlfn.IFNA(F107,0)</f>
        <v>0</v>
      </c>
      <c r="W14" s="22" cm="1">
        <f t="array" ref="W14">(_xlfn.BYROW(B58,_xlfn.LAMBDA(_xlpm.party,
(SUMIFS(ledger!J:J,ledger!B:B,_xlpm.party,ledger!E:E,"&lt;&gt;*RD*",ledger!D:D,"Chamki",ledger!C:C,"&lt;&gt;Closing CF")+
SUMIFS(ledger!J:J,ledger!B:B,_xlpm.party,ledger!E:E,"&lt;&gt;*RD*",ledger!D:D,"Crinkle",ledger!C:C,"&lt;&gt;Closing CF")
)+_xlfn.IFNA(G107,0))))</f>
        <v>255724.21360643749</v>
      </c>
      <c r="X14" s="70" cm="1">
        <f t="array" ref="X14">_xlfn.BYROW(B58, _xlfn.LAMBDA(_xlpm.party,
   SUMIFS(ledger!J:J, ledger!B:B, _xlpm.party, ledger!E:E, "&lt;&gt;*RD*", ledger!D:D, "Silky", ledger!C:C, "&lt;&gt;Closing CF")
)) + _xlfn.IFNA(H107, 0)</f>
        <v>0</v>
      </c>
      <c r="Y14" s="70" cm="1">
        <f t="array" ref="Y14">_xlfn.BYROW(B58, _xlfn.LAMBDA(_xlpm.party,
   SUMIFS(ledger!J:J, ledger!B:B, _xlpm.party, ledger!E:E, "&lt;&gt;*RD*", ledger!D:D, "Slub", ledger!C:C, "&lt;&gt;Closing CF")
))+ _xlfn.IFNA(I107, 0)</f>
        <v>0</v>
      </c>
      <c r="Z14" s="70" cm="1">
        <f t="array" ref="Z14">_xlfn.BYROW(B58, _xlfn.LAMBDA(_xlpm.party,
   SUMIFS(ledger!J:J, ledger!B:B, _xlpm.party, ledger!E:E, "&lt;&gt;*RD*", ledger!D:D, "Satin", ledger!C:C, "&lt;&gt;Closing CF")
))+ _xlfn.IFNA(J107, 0)</f>
        <v>0</v>
      </c>
      <c r="AA14" s="70" cm="1">
        <f t="array" ref="AA14">_xlfn.BYROW(B58, _xlfn.LAMBDA(_xlpm.party,
   SUMIFS(ledger!J:J, ledger!B:B, _xlpm.party, ledger!E:E, "&lt;&gt;*RD*", ledger!D:D, "Black-Chamki", ledger!C:C, "&lt;&gt;Closing CF")
))+ _xlfn.IFNA(K107, 0)</f>
        <v>0</v>
      </c>
      <c r="AB14" s="70" cm="1">
        <f t="array" ref="AB14">_xlfn.BYROW(B58, _xlfn.LAMBDA(_xlpm.party,
   SUMIFS(ledger!J:J, ledger!B:B, _xlpm.party, ledger!E:E, "&lt;&gt;*RD*", ledger!D:D, "Kataan", ledger!C:C, "&lt;&gt;Closing CF")
))+ _xlfn.IFNA(L107, 0)</f>
        <v>0</v>
      </c>
      <c r="AC14" s="70" cm="1">
        <f t="array" ref="AC14">_xlfn.BYROW(B58, _xlfn.LAMBDA(_xlpm.party,
   SUMIFS(ledger!J:J, ledger!B:B, _xlpm.party, ledger!E:E, "&lt;&gt;*RD*", ledger!D:D, "Munaar", ledger!C:C, "&lt;&gt;Closing CF")
))+ _xlfn.IFNA(M107, 0)</f>
        <v>0</v>
      </c>
      <c r="AD14" s="70" cm="1">
        <f t="array" ref="AD14">_xlfn.BYROW(B58, _xlfn.LAMBDA(_xlpm.party,
   SUMIFS(ledger!J:J, ledger!B:B, _xlpm.party, ledger!E:E, "&lt;&gt;*RD*", ledger!D:D, "Custom", ledger!C:C, "&lt;&gt;Closing CF")
))+ _xlfn.IFNA(N107, 0)</f>
        <v>0</v>
      </c>
      <c r="AE14" s="39">
        <f t="shared" si="1"/>
        <v>255724.21360643749</v>
      </c>
      <c r="AF14" s="22">
        <f>(SUMIF(Table14[Party],R14,Table14[Credit]))+_xlfn.IFNA(P107,0)</f>
        <v>130000</v>
      </c>
      <c r="AG14" s="33">
        <f t="shared" si="2"/>
        <v>125724.21360643749</v>
      </c>
      <c r="AH14" s="21">
        <v>12</v>
      </c>
      <c r="AI14" s="21">
        <v>13</v>
      </c>
    </row>
    <row r="15" spans="2:38"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169</v>
      </c>
      <c r="P15" s="24"/>
      <c r="R15" t="str">
        <v>Hafiz Qureshi</v>
      </c>
      <c r="S15" s="22" cm="1">
        <f t="array" ref="S15">_xlfn.BYROW(B59,_xlfn.LAMBDA(_xlpm.party,SUMIFS(ledger!G:G,ledger!B:B,_xlpm.party,ledger!E:E,"&lt;&gt;*RD*")))+_xlfn.IFNA(C108,0)</f>
        <v>809806</v>
      </c>
      <c r="T15" s="22" cm="1">
        <f t="array" ref="T15">_xlfn.BYROW(B59, _xlfn.LAMBDA(_xlpm.party, SUMIFS(ledger!G:G, ledger!B:B, _xlpm.party, ledger!E:E, "&lt;&gt;*RD*") / 1.0936 ))+_xlfn.IFNA(D108,0)</f>
        <v>740495.6108266277</v>
      </c>
      <c r="U15" s="22" cm="1">
        <f t="array" ref="U15">(_xlfn.BYROW(B59,_xlfn.LAMBDA(_xlpm.party,SUMIFS(ledger!G:G,ledger!B:B,_xlpm.party,ledger!E:E,"&lt;&gt;*RD*",ledger!D:D,"Chamki")+SUMIFS(ledger!G:G, ledger!B:B, _xlpm.party, ledger!E:E, "&lt;&gt;*RD*", ledger!D:D, "Crinkle")))/1.0936)+_xlfn.IFNA(E108,0)</f>
        <v>635991.2216532554</v>
      </c>
      <c r="V15" s="70" cm="1">
        <f t="array" ref="V15">(_xlfn.BYROW(B59,_xlfn.LAMBDA(_xlpm.party,SUMIFS(ledger!G:G,ledger!B:B,_xlpm.party,ledger!E:E,"&lt;&gt;*RD*",ledger!D:D,"Silky")))/1.0936)+_xlfn.IFNA(F108,0)</f>
        <v>57155.267008046823</v>
      </c>
      <c r="W15" s="22" cm="1">
        <f t="array" ref="W15">(_xlfn.BYROW(B59,_xlfn.LAMBDA(_xlpm.party,
(SUMIFS(ledger!J:J,ledger!B:B,_xlpm.party,ledger!E:E,"&lt;&gt;*RD*",ledger!D:D,"Chamki",ledger!C:C,"&lt;&gt;Closing CF")+
SUMIFS(ledger!J:J,ledger!B:B,_xlpm.party,ledger!E:E,"&lt;&gt;*RD*",ledger!D:D,"Crinkle",ledger!C:C,"&lt;&gt;Closing CF")
)+_xlfn.IFNA(G108,0))))</f>
        <v>6359912.2165325535</v>
      </c>
      <c r="X15" s="70" cm="1">
        <f t="array" ref="X15">_xlfn.BYROW(B59, _xlfn.LAMBDA(_xlpm.party,
   SUMIFS(ledger!J:J, ledger!B:B, _xlpm.party, ledger!E:E, "&lt;&gt;*RD*", ledger!D:D, "Silky", ledger!C:C, "&lt;&gt;Closing CF")
)) + _xlfn.IFNA(H108, 0)</f>
        <v>743018.47110460862</v>
      </c>
      <c r="Y15" s="70" cm="1">
        <f t="array" ref="Y15">_xlfn.BYROW(B59, _xlfn.LAMBDA(_xlpm.party,
   SUMIFS(ledger!J:J, ledger!B:B, _xlpm.party, ledger!E:E, "&lt;&gt;*RD*", ledger!D:D, "Slub", ledger!C:C, "&lt;&gt;Closing CF")
))+ _xlfn.IFNA(I108, 0)</f>
        <v>0</v>
      </c>
      <c r="Z15" s="70" cm="1">
        <f t="array" ref="Z15">_xlfn.BYROW(B59, _xlfn.LAMBDA(_xlpm.party,
   SUMIFS(ledger!J:J, ledger!B:B, _xlpm.party, ledger!E:E, "&lt;&gt;*RD*", ledger!D:D, "Satin", ledger!C:C, "&lt;&gt;Closing CF")
))+ _xlfn.IFNA(J108, 0)</f>
        <v>0</v>
      </c>
      <c r="AA15" s="70" cm="1">
        <f t="array" ref="AA15">_xlfn.BYROW(B59, _xlfn.LAMBDA(_xlpm.party,
   SUMIFS(ledger!J:J, ledger!B:B, _xlpm.party, ledger!E:E, "&lt;&gt;*RD*", ledger!D:D, "Black-Chamki", ledger!C:C, "&lt;&gt;Closing CF")
))+ _xlfn.IFNA(K108, 0)</f>
        <v>0</v>
      </c>
      <c r="AB15" s="70" cm="1">
        <f t="array" ref="AB15">_xlfn.BYROW(B59, _xlfn.LAMBDA(_xlpm.party,
   SUMIFS(ledger!J:J, ledger!B:B, _xlpm.party, ledger!E:E, "&lt;&gt;*RD*", ledger!D:D, "Kataan", ledger!C:C, "&lt;&gt;Closing CF")
))+ _xlfn.IFNA(L108, 0)</f>
        <v>520840.34381858085</v>
      </c>
      <c r="AC15" s="70" cm="1">
        <f t="array" ref="AC15">_xlfn.BYROW(B59, _xlfn.LAMBDA(_xlpm.party,
   SUMIFS(ledger!J:J, ledger!B:B, _xlpm.party, ledger!E:E, "&lt;&gt;*RD*", ledger!D:D, "Munaar", ledger!C:C, "&lt;&gt;Closing CF")
))+ _xlfn.IFNA(M108, 0)</f>
        <v>0</v>
      </c>
      <c r="AD15" s="70" cm="1">
        <f t="array" ref="AD15">_xlfn.BYROW(B59, _xlfn.LAMBDA(_xlpm.party,
   SUMIFS(ledger!J:J, ledger!B:B, _xlpm.party, ledger!E:E, "&lt;&gt;*RD*", ledger!D:D, "Custom", ledger!C:C, "&lt;&gt;Closing CF")
))+ _xlfn.IFNA(N108, 0)</f>
        <v>0</v>
      </c>
      <c r="AE15" s="39">
        <f t="shared" si="1"/>
        <v>7623771.0314557431</v>
      </c>
      <c r="AF15" s="22">
        <f>(SUMIF(Table14[Party],R15,Table14[Credit]))+_xlfn.IFNA(P108,0)</f>
        <v>6325853</v>
      </c>
      <c r="AG15" s="33">
        <f t="shared" si="2"/>
        <v>1297918.0314557431</v>
      </c>
      <c r="AH15" s="21">
        <v>10</v>
      </c>
      <c r="AI15" s="21">
        <v>13</v>
      </c>
    </row>
    <row r="16" spans="2:38"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170</v>
      </c>
      <c r="P16" s="24"/>
      <c r="R16" t="str">
        <v>Badshah Fabrics</v>
      </c>
      <c r="S16" s="22" cm="1">
        <f t="array" ref="S16">_xlfn.BYROW(B60,_xlfn.LAMBDA(_xlpm.party,SUMIFS(ledger!G:G,ledger!B:B,_xlpm.party,ledger!E:E,"&lt;&gt;*RD*")))+_xlfn.IFNA(C109,0)</f>
        <v>681314</v>
      </c>
      <c r="T16" s="22" cm="1">
        <f t="array" ref="T16">_xlfn.BYROW(B60, _xlfn.LAMBDA(_xlpm.party, SUMIFS(ledger!G:G, ledger!B:B, _xlpm.party, ledger!E:E, "&lt;&gt;*RD*") / 1.0936 ))+_xlfn.IFNA(D109,0)</f>
        <v>623001.09729334316</v>
      </c>
      <c r="U16" s="22" cm="1">
        <f t="array" ref="U16">(_xlfn.BYROW(B60,_xlfn.LAMBDA(_xlpm.party,SUMIFS(ledger!G:G,ledger!B:B,_xlpm.party,ledger!E:E,"&lt;&gt;*RD*",ledger!D:D,"Chamki")+SUMIFS(ledger!G:G, ledger!B:B, _xlpm.party, ledger!E:E, "&lt;&gt;*RD*", ledger!D:D, "Crinkle")))/1.0936)+_xlfn.IFNA(E109,0)</f>
        <v>481526.15215801029</v>
      </c>
      <c r="V16" s="70" cm="1">
        <f t="array" ref="V16">(_xlfn.BYROW(B60,_xlfn.LAMBDA(_xlpm.party,SUMIFS(ledger!G:G,ledger!B:B,_xlpm.party,ledger!E:E,"&lt;&gt;*RD*",ledger!D:D,"Silky")))/1.0936)+_xlfn.IFNA(F109,0)</f>
        <v>141474.94513533285</v>
      </c>
      <c r="W16" s="22" cm="1">
        <f t="array" ref="W16">(_xlfn.BYROW(B60,_xlfn.LAMBDA(_xlpm.party,
(SUMIFS(ledger!J:J,ledger!B:B,_xlpm.party,ledger!E:E,"&lt;&gt;*RD*",ledger!D:D,"Chamki",ledger!C:C,"&lt;&gt;Closing CF")+
SUMIFS(ledger!J:J,ledger!B:B,_xlpm.party,ledger!E:E,"&lt;&gt;*RD*",ledger!D:D,"Crinkle",ledger!C:C,"&lt;&gt;Closing CF")
)+_xlfn.IFNA(G109,0))))</f>
        <v>4861679.7732260432</v>
      </c>
      <c r="X16" s="70" cm="1">
        <f t="array" ref="X16">_xlfn.BYROW(B60, _xlfn.LAMBDA(_xlpm.party,
   SUMIFS(ledger!J:J, ledger!B:B, _xlpm.party, ledger!E:E, "&lt;&gt;*RD*", ledger!D:D, "Silky", ledger!C:C, "&lt;&gt;Closing CF")
)) + _xlfn.IFNA(H109, 0)</f>
        <v>1776019.5683979518</v>
      </c>
      <c r="Y16" s="70" cm="1">
        <f t="array" ref="Y16">_xlfn.BYROW(B60, _xlfn.LAMBDA(_xlpm.party,
   SUMIFS(ledger!J:J, ledger!B:B, _xlpm.party, ledger!E:E, "&lt;&gt;*RD*", ledger!D:D, "Slub", ledger!C:C, "&lt;&gt;Closing CF")
))+ _xlfn.IFNA(I109, 0)</f>
        <v>0</v>
      </c>
      <c r="Z16" s="70" cm="1">
        <f t="array" ref="Z16">_xlfn.BYROW(B60, _xlfn.LAMBDA(_xlpm.party,
   SUMIFS(ledger!J:J, ledger!B:B, _xlpm.party, ledger!E:E, "&lt;&gt;*RD*", ledger!D:D, "Satin", ledger!C:C, "&lt;&gt;Closing CF")
))+ _xlfn.IFNA(J109, 0)</f>
        <v>0</v>
      </c>
      <c r="AA16" s="70" cm="1">
        <f t="array" ref="AA16">_xlfn.BYROW(B60, _xlfn.LAMBDA(_xlpm.party,
   SUMIFS(ledger!J:J, ledger!B:B, _xlpm.party, ledger!E:E, "&lt;&gt;*RD*", ledger!D:D, "Black-Chamki", ledger!C:C, "&lt;&gt;Closing CF")
))+ _xlfn.IFNA(K109, 0)</f>
        <v>0</v>
      </c>
      <c r="AB16" s="70" cm="1">
        <f t="array" ref="AB16">_xlfn.BYROW(B60, _xlfn.LAMBDA(_xlpm.party,
   SUMIFS(ledger!J:J, ledger!B:B, _xlpm.party, ledger!E:E, "&lt;&gt;*RD*", ledger!D:D, "Kataan", ledger!C:C, "&lt;&gt;Closing CF")
))+ _xlfn.IFNA(L109, 0)</f>
        <v>0</v>
      </c>
      <c r="AC16" s="70" cm="1">
        <f t="array" ref="AC16">_xlfn.BYROW(B60, _xlfn.LAMBDA(_xlpm.party,
   SUMIFS(ledger!J:J, ledger!B:B, _xlpm.party, ledger!E:E, "&lt;&gt;*RD*", ledger!D:D, "Munaar", ledger!C:C, "&lt;&gt;Closing CF")
))+ _xlfn.IFNA(M109, 0)</f>
        <v>0</v>
      </c>
      <c r="AD16" s="70" cm="1">
        <f t="array" ref="AD16">_xlfn.BYROW(B60, _xlfn.LAMBDA(_xlpm.party,
   SUMIFS(ledger!J:J, ledger!B:B, _xlpm.party, ledger!E:E, "&lt;&gt;*RD*", ledger!D:D, "Custom", ledger!C:C, "&lt;&gt;Closing CF")
))+ _xlfn.IFNA(N109, 0)</f>
        <v>0</v>
      </c>
      <c r="AE16" s="39">
        <f t="shared" si="1"/>
        <v>6637699.3416239955</v>
      </c>
      <c r="AF16" s="22">
        <f>(SUMIF(Table14[Party],R16,Table14[Credit]))+_xlfn.IFNA(P109,0)</f>
        <v>6545761</v>
      </c>
      <c r="AG16" s="33">
        <f t="shared" si="2"/>
        <v>91938.341623995453</v>
      </c>
      <c r="AH16" s="21">
        <v>10</v>
      </c>
      <c r="AI16" s="21">
        <v>13</v>
      </c>
    </row>
    <row r="17" spans="2:35"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172</v>
      </c>
      <c r="P17" s="24"/>
      <c r="R17" t="str">
        <v>Gauhar Kashif</v>
      </c>
      <c r="S17" s="22" cm="1">
        <f t="array" ref="S17">_xlfn.BYROW(B61,_xlfn.LAMBDA(_xlpm.party,SUMIFS(ledger!G:G,ledger!B:B,_xlpm.party,ledger!E:E,"&lt;&gt;*RD*")))+_xlfn.IFNA(C110,0)</f>
        <v>132768</v>
      </c>
      <c r="T17" s="22" cm="1">
        <f t="array" ref="T17">_xlfn.BYROW(B61, _xlfn.LAMBDA(_xlpm.party, SUMIFS(ledger!G:G, ledger!B:B, _xlpm.party, ledger!E:E, "&lt;&gt;*RD*") / 1.0936 ))+_xlfn.IFNA(D110,0)</f>
        <v>121404.53547915144</v>
      </c>
      <c r="U17" s="22" cm="1">
        <f t="array" ref="U17">(_xlfn.BYROW(B61,_xlfn.LAMBDA(_xlpm.party,SUMIFS(ledger!G:G,ledger!B:B,_xlpm.party,ledger!E:E,"&lt;&gt;*RD*",ledger!D:D,"Chamki")+SUMIFS(ledger!G:G, ledger!B:B, _xlpm.party, ledger!E:E, "&lt;&gt;*RD*", ledger!D:D, "Crinkle")))/1.0936)+_xlfn.IFNA(E110,0)</f>
        <v>121404.53547915144</v>
      </c>
      <c r="V17" s="70" cm="1">
        <f t="array" ref="V17">(_xlfn.BYROW(B61,_xlfn.LAMBDA(_xlpm.party,SUMIFS(ledger!G:G,ledger!B:B,_xlpm.party,ledger!E:E,"&lt;&gt;*RD*",ledger!D:D,"Silky")))/1.0936)+_xlfn.IFNA(F110,0)</f>
        <v>0</v>
      </c>
      <c r="W17" s="22" cm="1">
        <f t="array" ref="W17">(_xlfn.BYROW(B61,_xlfn.LAMBDA(_xlpm.party,
(SUMIFS(ledger!J:J,ledger!B:B,_xlpm.party,ledger!E:E,"&lt;&gt;*RD*",ledger!D:D,"Chamki",ledger!C:C,"&lt;&gt;Closing CF")+
SUMIFS(ledger!J:J,ledger!B:B,_xlpm.party,ledger!E:E,"&lt;&gt;*RD*",ledger!D:D,"Crinkle",ledger!C:C,"&lt;&gt;Closing CF")
)+_xlfn.IFNA(G110,0))))</f>
        <v>1214045.3547915143</v>
      </c>
      <c r="X17" s="70" cm="1">
        <f t="array" ref="X17">_xlfn.BYROW(B61, _xlfn.LAMBDA(_xlpm.party,
   SUMIFS(ledger!J:J, ledger!B:B, _xlpm.party, ledger!E:E, "&lt;&gt;*RD*", ledger!D:D, "Silky", ledger!C:C, "&lt;&gt;Closing CF")
)) + _xlfn.IFNA(H110, 0)</f>
        <v>0</v>
      </c>
      <c r="Y17" s="70" cm="1">
        <f t="array" ref="Y17">_xlfn.BYROW(B61, _xlfn.LAMBDA(_xlpm.party,
   SUMIFS(ledger!J:J, ledger!B:B, _xlpm.party, ledger!E:E, "&lt;&gt;*RD*", ledger!D:D, "Slub", ledger!C:C, "&lt;&gt;Closing CF")
))+ _xlfn.IFNA(I110, 0)</f>
        <v>0</v>
      </c>
      <c r="Z17" s="70" cm="1">
        <f t="array" ref="Z17">_xlfn.BYROW(B61, _xlfn.LAMBDA(_xlpm.party,
   SUMIFS(ledger!J:J, ledger!B:B, _xlpm.party, ledger!E:E, "&lt;&gt;*RD*", ledger!D:D, "Satin", ledger!C:C, "&lt;&gt;Closing CF")
))+ _xlfn.IFNA(J110, 0)</f>
        <v>0</v>
      </c>
      <c r="AA17" s="70" cm="1">
        <f t="array" ref="AA17">_xlfn.BYROW(B61, _xlfn.LAMBDA(_xlpm.party,
   SUMIFS(ledger!J:J, ledger!B:B, _xlpm.party, ledger!E:E, "&lt;&gt;*RD*", ledger!D:D, "Black-Chamki", ledger!C:C, "&lt;&gt;Closing CF")
))+ _xlfn.IFNA(K110, 0)</f>
        <v>0</v>
      </c>
      <c r="AB17" s="70" cm="1">
        <f t="array" ref="AB17">_xlfn.BYROW(B61, _xlfn.LAMBDA(_xlpm.party,
   SUMIFS(ledger!J:J, ledger!B:B, _xlpm.party, ledger!E:E, "&lt;&gt;*RD*", ledger!D:D, "Kataan", ledger!C:C, "&lt;&gt;Closing CF")
))+ _xlfn.IFNA(L110, 0)</f>
        <v>0</v>
      </c>
      <c r="AC17" s="70" cm="1">
        <f t="array" ref="AC17">_xlfn.BYROW(B61, _xlfn.LAMBDA(_xlpm.party,
   SUMIFS(ledger!J:J, ledger!B:B, _xlpm.party, ledger!E:E, "&lt;&gt;*RD*", ledger!D:D, "Munaar", ledger!C:C, "&lt;&gt;Closing CF")
))+ _xlfn.IFNA(M110, 0)</f>
        <v>0</v>
      </c>
      <c r="AD17" s="70" cm="1">
        <f t="array" ref="AD17">_xlfn.BYROW(B61, _xlfn.LAMBDA(_xlpm.party,
   SUMIFS(ledger!J:J, ledger!B:B, _xlpm.party, ledger!E:E, "&lt;&gt;*RD*", ledger!D:D, "Custom", ledger!C:C, "&lt;&gt;Closing CF")
))+ _xlfn.IFNA(N110, 0)</f>
        <v>0</v>
      </c>
      <c r="AE17" s="39">
        <f t="shared" si="1"/>
        <v>1214045.3547915143</v>
      </c>
      <c r="AF17" s="22">
        <f>(SUMIF(Table14[Party],R17,Table14[Credit]))+_xlfn.IFNA(P110,0)</f>
        <v>1214045</v>
      </c>
      <c r="AG17" s="33">
        <f t="shared" si="2"/>
        <v>0.35479151434265077</v>
      </c>
      <c r="AH17" s="21">
        <v>10</v>
      </c>
      <c r="AI17" s="21">
        <v>13</v>
      </c>
    </row>
    <row r="18" spans="2:35"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174</v>
      </c>
      <c r="P18" s="97"/>
      <c r="R18" t="str">
        <v>Amjad 7up</v>
      </c>
      <c r="S18" s="22" cm="1">
        <f t="array" ref="S18">_xlfn.BYROW(B62,_xlfn.LAMBDA(_xlpm.party,SUMIFS(ledger!G:G,ledger!B:B,_xlpm.party,ledger!E:E,"&lt;&gt;*RD*")))+_xlfn.IFNA(C111,0)</f>
        <v>52914</v>
      </c>
      <c r="T18" s="22" cm="1">
        <f t="array" ref="T18">_xlfn.BYROW(B62, _xlfn.LAMBDA(_xlpm.party, SUMIFS(ledger!G:G, ledger!B:B, _xlpm.party, ledger!E:E, "&lt;&gt;*RD*") / 1.0936 ))+_xlfn.IFNA(D111,0)</f>
        <v>48385.149963423559</v>
      </c>
      <c r="U18" s="22" cm="1">
        <f t="array" ref="U18">(_xlfn.BYROW(B62,_xlfn.LAMBDA(_xlpm.party,SUMIFS(ledger!G:G,ledger!B:B,_xlpm.party,ledger!E:E,"&lt;&gt;*RD*",ledger!D:D,"Chamki")+SUMIFS(ledger!G:G, ledger!B:B, _xlpm.party, ledger!E:E, "&lt;&gt;*RD*", ledger!D:D, "Crinkle")))/1.0936)+_xlfn.IFNA(E111,0)</f>
        <v>48385.149963423559</v>
      </c>
      <c r="V18" s="70" cm="1">
        <f t="array" ref="V18">(_xlfn.BYROW(B62,_xlfn.LAMBDA(_xlpm.party,SUMIFS(ledger!G:G,ledger!B:B,_xlpm.party,ledger!E:E,"&lt;&gt;*RD*",ledger!D:D,"Silky")))/1.0936)+_xlfn.IFNA(F111,0)</f>
        <v>0</v>
      </c>
      <c r="W18" s="22" cm="1">
        <f t="array" ref="W18">(_xlfn.BYROW(B62,_xlfn.LAMBDA(_xlpm.party,
(SUMIFS(ledger!J:J,ledger!B:B,_xlpm.party,ledger!E:E,"&lt;&gt;*RD*",ledger!D:D,"Chamki",ledger!C:C,"&lt;&gt;Closing CF")+
SUMIFS(ledger!J:J,ledger!B:B,_xlpm.party,ledger!E:E,"&lt;&gt;*RD*",ledger!D:D,"Crinkle",ledger!C:C,"&lt;&gt;Closing CF")
)+_xlfn.IFNA(G111,0))))</f>
        <v>483851.49963423557</v>
      </c>
      <c r="X18" s="70" cm="1">
        <f t="array" ref="X18">_xlfn.BYROW(B62, _xlfn.LAMBDA(_xlpm.party,
   SUMIFS(ledger!J:J, ledger!B:B, _xlpm.party, ledger!E:E, "&lt;&gt;*RD*", ledger!D:D, "Silky", ledger!C:C, "&lt;&gt;Closing CF")
)) + _xlfn.IFNA(H111, 0)</f>
        <v>0</v>
      </c>
      <c r="Y18" s="70" cm="1">
        <f t="array" ref="Y18">_xlfn.BYROW(B62, _xlfn.LAMBDA(_xlpm.party,
   SUMIFS(ledger!J:J, ledger!B:B, _xlpm.party, ledger!E:E, "&lt;&gt;*RD*", ledger!D:D, "Slub", ledger!C:C, "&lt;&gt;Closing CF")
))+ _xlfn.IFNA(I111, 0)</f>
        <v>0</v>
      </c>
      <c r="Z18" s="70" cm="1">
        <f t="array" ref="Z18">_xlfn.BYROW(B62, _xlfn.LAMBDA(_xlpm.party,
   SUMIFS(ledger!J:J, ledger!B:B, _xlpm.party, ledger!E:E, "&lt;&gt;*RD*", ledger!D:D, "Satin", ledger!C:C, "&lt;&gt;Closing CF")
))+ _xlfn.IFNA(J111, 0)</f>
        <v>0</v>
      </c>
      <c r="AA18" s="70" cm="1">
        <f t="array" ref="AA18">_xlfn.BYROW(B62, _xlfn.LAMBDA(_xlpm.party,
   SUMIFS(ledger!J:J, ledger!B:B, _xlpm.party, ledger!E:E, "&lt;&gt;*RD*", ledger!D:D, "Black-Chamki", ledger!C:C, "&lt;&gt;Closing CF")
))+ _xlfn.IFNA(K111, 0)</f>
        <v>0</v>
      </c>
      <c r="AB18" s="70" cm="1">
        <f t="array" ref="AB18">_xlfn.BYROW(B62, _xlfn.LAMBDA(_xlpm.party,
   SUMIFS(ledger!J:J, ledger!B:B, _xlpm.party, ledger!E:E, "&lt;&gt;*RD*", ledger!D:D, "Kataan", ledger!C:C, "&lt;&gt;Closing CF")
))+ _xlfn.IFNA(L111, 0)</f>
        <v>0</v>
      </c>
      <c r="AC18" s="70" cm="1">
        <f t="array" ref="AC18">_xlfn.BYROW(B62, _xlfn.LAMBDA(_xlpm.party,
   SUMIFS(ledger!J:J, ledger!B:B, _xlpm.party, ledger!E:E, "&lt;&gt;*RD*", ledger!D:D, "Munaar", ledger!C:C, "&lt;&gt;Closing CF")
))+ _xlfn.IFNA(M111, 0)</f>
        <v>0</v>
      </c>
      <c r="AD18" s="70" cm="1">
        <f t="array" ref="AD18">_xlfn.BYROW(B62, _xlfn.LAMBDA(_xlpm.party,
   SUMIFS(ledger!J:J, ledger!B:B, _xlpm.party, ledger!E:E, "&lt;&gt;*RD*", ledger!D:D, "Custom", ledger!C:C, "&lt;&gt;Closing CF")
))+ _xlfn.IFNA(N111, 0)</f>
        <v>0</v>
      </c>
      <c r="AE18" s="39">
        <f t="shared" si="1"/>
        <v>483851.49963423557</v>
      </c>
      <c r="AF18" s="22">
        <f>(SUMIF(Table14[Party],R18,Table14[Credit]))+_xlfn.IFNA(P111,0)</f>
        <v>480000</v>
      </c>
      <c r="AG18" s="33">
        <f t="shared" si="2"/>
        <v>3851.4996342355735</v>
      </c>
      <c r="AH18" s="21">
        <v>10</v>
      </c>
      <c r="AI18" s="21">
        <v>13</v>
      </c>
    </row>
    <row r="19" spans="2:35" x14ac:dyDescent="0.3">
      <c r="I19" t="s">
        <v>176</v>
      </c>
      <c r="P19" s="97"/>
      <c r="R19" t="str">
        <v>Hazrat Khan</v>
      </c>
      <c r="S19" s="22" cm="1">
        <f t="array" ref="S19">_xlfn.BYROW(B63,_xlfn.LAMBDA(_xlpm.party,SUMIFS(ledger!G:G,ledger!B:B,_xlpm.party,ledger!E:E,"&lt;&gt;*RD*")))+_xlfn.IFNA(C112,0)</f>
        <v>9750</v>
      </c>
      <c r="T19" s="22" cm="1">
        <f t="array" ref="T19">_xlfn.BYROW(B63, _xlfn.LAMBDA(_xlpm.party, SUMIFS(ledger!G:G, ledger!B:B, _xlpm.party, ledger!E:E, "&lt;&gt;*RD*") / 1.0936 ))+_xlfn.IFNA(D112,0)</f>
        <v>8915.5084125822978</v>
      </c>
      <c r="U19" s="22" cm="1">
        <f t="array" ref="U19">(_xlfn.BYROW(B63,_xlfn.LAMBDA(_xlpm.party,SUMIFS(ledger!G:G,ledger!B:B,_xlpm.party,ledger!E:E,"&lt;&gt;*RD*",ledger!D:D,"Chamki")+SUMIFS(ledger!G:G, ledger!B:B, _xlpm.party, ledger!E:E, "&lt;&gt;*RD*", ledger!D:D, "Crinkle")))/1.0936)+_xlfn.IFNA(E112,0)</f>
        <v>8915.5084125822978</v>
      </c>
      <c r="V19" s="70" cm="1">
        <f t="array" ref="V19">(_xlfn.BYROW(B63,_xlfn.LAMBDA(_xlpm.party,SUMIFS(ledger!G:G,ledger!B:B,_xlpm.party,ledger!E:E,"&lt;&gt;*RD*",ledger!D:D,"Silky")))/1.0936)+_xlfn.IFNA(F112,0)</f>
        <v>0</v>
      </c>
      <c r="W19" s="22" cm="1">
        <f t="array" ref="W19">(_xlfn.BYROW(B63,_xlfn.LAMBDA(_xlpm.party,
(SUMIFS(ledger!J:J,ledger!B:B,_xlpm.party,ledger!E:E,"&lt;&gt;*RD*",ledger!D:D,"Chamki",ledger!C:C,"&lt;&gt;Closing CF")+
SUMIFS(ledger!J:J,ledger!B:B,_xlpm.party,ledger!E:E,"&lt;&gt;*RD*",ledger!D:D,"Crinkle",ledger!C:C,"&lt;&gt;Closing CF")
)+_xlfn.IFNA(G112,0))))</f>
        <v>89155.084125822978</v>
      </c>
      <c r="X19" s="70" cm="1">
        <f t="array" ref="X19">_xlfn.BYROW(B63, _xlfn.LAMBDA(_xlpm.party,
   SUMIFS(ledger!J:J, ledger!B:B, _xlpm.party, ledger!E:E, "&lt;&gt;*RD*", ledger!D:D, "Silky", ledger!C:C, "&lt;&gt;Closing CF")
)) + _xlfn.IFNA(H112, 0)</f>
        <v>0</v>
      </c>
      <c r="Y19" s="70" cm="1">
        <f t="array" ref="Y19">_xlfn.BYROW(B63, _xlfn.LAMBDA(_xlpm.party,
   SUMIFS(ledger!J:J, ledger!B:B, _xlpm.party, ledger!E:E, "&lt;&gt;*RD*", ledger!D:D, "Slub", ledger!C:C, "&lt;&gt;Closing CF")
))+ _xlfn.IFNA(I112, 0)</f>
        <v>0</v>
      </c>
      <c r="Z19" s="70" cm="1">
        <f t="array" ref="Z19">_xlfn.BYROW(B63, _xlfn.LAMBDA(_xlpm.party,
   SUMIFS(ledger!J:J, ledger!B:B, _xlpm.party, ledger!E:E, "&lt;&gt;*RD*", ledger!D:D, "Satin", ledger!C:C, "&lt;&gt;Closing CF")
))+ _xlfn.IFNA(J112, 0)</f>
        <v>0</v>
      </c>
      <c r="AA19" s="70" cm="1">
        <f t="array" ref="AA19">_xlfn.BYROW(B63, _xlfn.LAMBDA(_xlpm.party,
   SUMIFS(ledger!J:J, ledger!B:B, _xlpm.party, ledger!E:E, "&lt;&gt;*RD*", ledger!D:D, "Black-Chamki", ledger!C:C, "&lt;&gt;Closing CF")
))+ _xlfn.IFNA(K112, 0)</f>
        <v>0</v>
      </c>
      <c r="AB19" s="70" cm="1">
        <f t="array" ref="AB19">_xlfn.BYROW(B63, _xlfn.LAMBDA(_xlpm.party,
   SUMIFS(ledger!J:J, ledger!B:B, _xlpm.party, ledger!E:E, "&lt;&gt;*RD*", ledger!D:D, "Kataan", ledger!C:C, "&lt;&gt;Closing CF")
))+ _xlfn.IFNA(L112, 0)</f>
        <v>0</v>
      </c>
      <c r="AC19" s="70" cm="1">
        <f t="array" ref="AC19">_xlfn.BYROW(B63, _xlfn.LAMBDA(_xlpm.party,
   SUMIFS(ledger!J:J, ledger!B:B, _xlpm.party, ledger!E:E, "&lt;&gt;*RD*", ledger!D:D, "Munaar", ledger!C:C, "&lt;&gt;Closing CF")
))+ _xlfn.IFNA(M112, 0)</f>
        <v>0</v>
      </c>
      <c r="AD19" s="70" cm="1">
        <f t="array" ref="AD19">_xlfn.BYROW(B63, _xlfn.LAMBDA(_xlpm.party,
   SUMIFS(ledger!J:J, ledger!B:B, _xlpm.party, ledger!E:E, "&lt;&gt;*RD*", ledger!D:D, "Custom", ledger!C:C, "&lt;&gt;Closing CF")
))+ _xlfn.IFNA(N112, 0)</f>
        <v>0</v>
      </c>
      <c r="AE19" s="39">
        <f t="shared" si="1"/>
        <v>89155.084125822978</v>
      </c>
      <c r="AF19" s="22">
        <f>(SUMIF(Table14[Party],R19,Table14[Credit]))+_xlfn.IFNA(P112,0)</f>
        <v>95000</v>
      </c>
      <c r="AG19" s="33">
        <f t="shared" si="2"/>
        <v>-5844.9158741770225</v>
      </c>
      <c r="AH19" s="21">
        <v>10</v>
      </c>
      <c r="AI19" s="21">
        <v>13</v>
      </c>
    </row>
    <row r="20" spans="2:35" x14ac:dyDescent="0.3">
      <c r="I20" t="s">
        <v>177</v>
      </c>
      <c r="P20" s="97"/>
      <c r="R20" t="str">
        <v>Haseeb Shamsi</v>
      </c>
      <c r="S20" s="22" cm="1">
        <f t="array" ref="S20">_xlfn.BYROW(B64,_xlfn.LAMBDA(_xlpm.party,SUMIFS(ledger!G:G,ledger!B:B,_xlpm.party,ledger!E:E,"&lt;&gt;*RD*")))+_xlfn.IFNA(C113,0)</f>
        <v>61975</v>
      </c>
      <c r="T20" s="22" cm="1">
        <f t="array" ref="T20">_xlfn.BYROW(B64, _xlfn.LAMBDA(_xlpm.party, SUMIFS(ledger!G:G, ledger!B:B, _xlpm.party, ledger!E:E, "&lt;&gt;*RD*") / 1.0936 ))+_xlfn.IFNA(D113,0)</f>
        <v>56670.629114850046</v>
      </c>
      <c r="U20" s="22" cm="1">
        <f t="array" ref="U20">(_xlfn.BYROW(B64,_xlfn.LAMBDA(_xlpm.party,SUMIFS(ledger!G:G,ledger!B:B,_xlpm.party,ledger!E:E,"&lt;&gt;*RD*",ledger!D:D,"Chamki")+SUMIFS(ledger!G:G, ledger!B:B, _xlpm.party, ledger!E:E, "&lt;&gt;*RD*", ledger!D:D, "Crinkle")))/1.0936)+_xlfn.IFNA(E113,0)</f>
        <v>47437.820043891741</v>
      </c>
      <c r="V20" s="70" cm="1">
        <f t="array" ref="V20">(_xlfn.BYROW(B64,_xlfn.LAMBDA(_xlpm.party,SUMIFS(ledger!G:G,ledger!B:B,_xlpm.party,ledger!E:E,"&lt;&gt;*RD*",ledger!D:D,"Silky")))/1.0936)+_xlfn.IFNA(F113,0)</f>
        <v>9232.809070958303</v>
      </c>
      <c r="W20" s="22" cm="1">
        <f t="array" ref="W20">(_xlfn.BYROW(B64,_xlfn.LAMBDA(_xlpm.party,
(SUMIFS(ledger!J:J,ledger!B:B,_xlpm.party,ledger!E:E,"&lt;&gt;*RD*",ledger!D:D,"Chamki",ledger!C:C,"&lt;&gt;Closing CF")+
SUMIFS(ledger!J:J,ledger!B:B,_xlpm.party,ledger!E:E,"&lt;&gt;*RD*",ledger!D:D,"Crinkle",ledger!C:C,"&lt;&gt;Closing CF")
)+_xlfn.IFNA(G113,0))))</f>
        <v>474378.20043891744</v>
      </c>
      <c r="X20" s="70" cm="1">
        <f t="array" ref="X20">_xlfn.BYROW(B64, _xlfn.LAMBDA(_xlpm.party,
   SUMIFS(ledger!J:J, ledger!B:B, _xlpm.party, ledger!E:E, "&lt;&gt;*RD*", ledger!D:D, "Silky", ledger!C:C, "&lt;&gt;Closing CF")
)) + _xlfn.IFNA(H113, 0)</f>
        <v>120026.51792245793</v>
      </c>
      <c r="Y20" s="70" cm="1">
        <f t="array" ref="Y20">_xlfn.BYROW(B64, _xlfn.LAMBDA(_xlpm.party,
   SUMIFS(ledger!J:J, ledger!B:B, _xlpm.party, ledger!E:E, "&lt;&gt;*RD*", ledger!D:D, "Slub", ledger!C:C, "&lt;&gt;Closing CF")
))+ _xlfn.IFNA(I113, 0)</f>
        <v>0</v>
      </c>
      <c r="Z20" s="70" cm="1">
        <f t="array" ref="Z20">_xlfn.BYROW(B64, _xlfn.LAMBDA(_xlpm.party,
   SUMIFS(ledger!J:J, ledger!B:B, _xlpm.party, ledger!E:E, "&lt;&gt;*RD*", ledger!D:D, "Satin", ledger!C:C, "&lt;&gt;Closing CF")
))+ _xlfn.IFNA(J113, 0)</f>
        <v>0</v>
      </c>
      <c r="AA20" s="70" cm="1">
        <f t="array" ref="AA20">_xlfn.BYROW(B64, _xlfn.LAMBDA(_xlpm.party,
   SUMIFS(ledger!J:J, ledger!B:B, _xlpm.party, ledger!E:E, "&lt;&gt;*RD*", ledger!D:D, "Black-Chamki", ledger!C:C, "&lt;&gt;Closing CF")
))+ _xlfn.IFNA(K113, 0)</f>
        <v>0</v>
      </c>
      <c r="AB20" s="70" cm="1">
        <f t="array" ref="AB20">_xlfn.BYROW(B64, _xlfn.LAMBDA(_xlpm.party,
   SUMIFS(ledger!J:J, ledger!B:B, _xlpm.party, ledger!E:E, "&lt;&gt;*RD*", ledger!D:D, "Kataan", ledger!C:C, "&lt;&gt;Closing CF")
))+ _xlfn.IFNA(L113, 0)</f>
        <v>0</v>
      </c>
      <c r="AC20" s="70" cm="1">
        <f t="array" ref="AC20">_xlfn.BYROW(B64, _xlfn.LAMBDA(_xlpm.party,
   SUMIFS(ledger!J:J, ledger!B:B, _xlpm.party, ledger!E:E, "&lt;&gt;*RD*", ledger!D:D, "Munaar", ledger!C:C, "&lt;&gt;Closing CF")
))+ _xlfn.IFNA(M113, 0)</f>
        <v>0</v>
      </c>
      <c r="AD20" s="70" cm="1">
        <f t="array" ref="AD20">_xlfn.BYROW(B64, _xlfn.LAMBDA(_xlpm.party,
   SUMIFS(ledger!J:J, ledger!B:B, _xlpm.party, ledger!E:E, "&lt;&gt;*RD*", ledger!D:D, "Custom", ledger!C:C, "&lt;&gt;Closing CF")
))+ _xlfn.IFNA(N113, 0)</f>
        <v>0</v>
      </c>
      <c r="AE20" s="39">
        <f t="shared" si="1"/>
        <v>594404.71836137539</v>
      </c>
      <c r="AF20" s="22">
        <f>(SUMIF(Table14[Party],R20,Table14[Credit]))+_xlfn.IFNA(P113,0)</f>
        <v>594405</v>
      </c>
      <c r="AG20" s="33">
        <f t="shared" si="2"/>
        <v>-0.28163862461224198</v>
      </c>
      <c r="AH20" s="21">
        <v>10</v>
      </c>
      <c r="AI20" s="21">
        <v>13</v>
      </c>
    </row>
    <row r="21" spans="2:35" x14ac:dyDescent="0.3">
      <c r="B21" s="40" t="s">
        <v>29</v>
      </c>
      <c r="C21" s="41">
        <f>SUM(O49:O85)</f>
        <v>35971950.621799566</v>
      </c>
      <c r="D21" t="s">
        <v>30</v>
      </c>
      <c r="I21" t="s">
        <v>182</v>
      </c>
      <c r="P21" s="98"/>
      <c r="R21" t="str">
        <v>Faizan</v>
      </c>
      <c r="S21" s="22" cm="1">
        <f t="array" ref="S21">_xlfn.BYROW(B65,_xlfn.LAMBDA(_xlpm.party,SUMIFS(ledger!G:G,ledger!B:B,_xlpm.party,ledger!E:E,"&lt;&gt;*RD*")))+_xlfn.IFNA(C114,0)</f>
        <v>565150</v>
      </c>
      <c r="T21" s="22" cm="1">
        <f t="array" ref="T21">_xlfn.BYROW(B65, _xlfn.LAMBDA(_xlpm.party, SUMIFS(ledger!G:G, ledger!B:B, _xlpm.party, ledger!E:E, "&lt;&gt;*RD*") / 1.0936 ))+_xlfn.IFNA(D114,0)</f>
        <v>516779.44403803954</v>
      </c>
      <c r="U21" s="22" cm="1">
        <f t="array" ref="U21">(_xlfn.BYROW(B65,_xlfn.LAMBDA(_xlpm.party,SUMIFS(ledger!G:G,ledger!B:B,_xlpm.party,ledger!E:E,"&lt;&gt;*RD*",ledger!D:D,"Chamki")+SUMIFS(ledger!G:G, ledger!B:B, _xlpm.party, ledger!E:E, "&lt;&gt;*RD*", ledger!D:D, "Crinkle")))/1.0936)+_xlfn.IFNA(E114,0)</f>
        <v>0</v>
      </c>
      <c r="V21" s="70" cm="1">
        <f t="array" ref="V21">(_xlfn.BYROW(B65,_xlfn.LAMBDA(_xlpm.party,SUMIFS(ledger!G:G,ledger!B:B,_xlpm.party,ledger!E:E,"&lt;&gt;*RD*",ledger!D:D,"Silky")))/1.0936)+_xlfn.IFNA(F114,0)</f>
        <v>513809.43672275054</v>
      </c>
      <c r="W21" s="22" cm="1">
        <f t="array" ref="W21">(_xlfn.BYROW(B65,_xlfn.LAMBDA(_xlpm.party,
(SUMIFS(ledger!J:J,ledger!B:B,_xlpm.party,ledger!E:E,"&lt;&gt;*RD*",ledger!D:D,"Chamki",ledger!C:C,"&lt;&gt;Closing CF")+
SUMIFS(ledger!J:J,ledger!B:B,_xlpm.party,ledger!E:E,"&lt;&gt;*RD*",ledger!D:D,"Crinkle",ledger!C:C,"&lt;&gt;Closing CF")
)+_xlfn.IFNA(G114,0))))</f>
        <v>30000</v>
      </c>
      <c r="X21" s="70" cm="1">
        <f t="array" ref="X21">_xlfn.BYROW(B65, _xlfn.LAMBDA(_xlpm.party,
   SUMIFS(ledger!J:J, ledger!B:B, _xlpm.party, ledger!E:E, "&lt;&gt;*RD*", ledger!D:D, "Silky", ledger!C:C, "&lt;&gt;Closing CF")
)) + _xlfn.IFNA(H114, 0)</f>
        <v>6679522.6773957582</v>
      </c>
      <c r="Y21" s="70" cm="1">
        <f t="array" ref="Y21">_xlfn.BYROW(B65, _xlfn.LAMBDA(_xlpm.party,
   SUMIFS(ledger!J:J, ledger!B:B, _xlpm.party, ledger!E:E, "&lt;&gt;*RD*", ledger!D:D, "Slub", ledger!C:C, "&lt;&gt;Closing CF")
))+ _xlfn.IFNA(I114, 0)</f>
        <v>44550.109729334312</v>
      </c>
      <c r="Z21" s="70" cm="1">
        <f t="array" ref="Z21">_xlfn.BYROW(B65, _xlfn.LAMBDA(_xlpm.party,
   SUMIFS(ledger!J:J, ledger!B:B, _xlpm.party, ledger!E:E, "&lt;&gt;*RD*", ledger!D:D, "Satin", ledger!C:C, "&lt;&gt;Closing CF")
))+ _xlfn.IFNA(J114, 0)</f>
        <v>0</v>
      </c>
      <c r="AA21" s="70" cm="1">
        <f t="array" ref="AA21">_xlfn.BYROW(B65, _xlfn.LAMBDA(_xlpm.party,
   SUMIFS(ledger!J:J, ledger!B:B, _xlpm.party, ledger!E:E, "&lt;&gt;*RD*", ledger!D:D, "Black-Chamki", ledger!C:C, "&lt;&gt;Closing CF")
))+ _xlfn.IFNA(K114, 0)</f>
        <v>0</v>
      </c>
      <c r="AB21" s="70" cm="1">
        <f t="array" ref="AB21">_xlfn.BYROW(B65, _xlfn.LAMBDA(_xlpm.party,
   SUMIFS(ledger!J:J, ledger!B:B, _xlpm.party, ledger!E:E, "&lt;&gt;*RD*", ledger!D:D, "Kataan", ledger!C:C, "&lt;&gt;Closing CF")
))+ _xlfn.IFNA(L114, 0)</f>
        <v>0</v>
      </c>
      <c r="AC21" s="70" cm="1">
        <f t="array" ref="AC21">_xlfn.BYROW(B65, _xlfn.LAMBDA(_xlpm.party,
   SUMIFS(ledger!J:J, ledger!B:B, _xlpm.party, ledger!E:E, "&lt;&gt;*RD*", ledger!D:D, "Munaar", ledger!C:C, "&lt;&gt;Closing CF")
))+ _xlfn.IFNA(M114, 0)</f>
        <v>0</v>
      </c>
      <c r="AD21" s="70" cm="1">
        <f t="array" ref="AD21">_xlfn.BYROW(B65, _xlfn.LAMBDA(_xlpm.party,
   SUMIFS(ledger!J:J, ledger!B:B, _xlpm.party, ledger!E:E, "&lt;&gt;*RD*", ledger!D:D, "Custom", ledger!C:C, "&lt;&gt;Closing CF")
))+ _xlfn.IFNA(N114, 0)</f>
        <v>0</v>
      </c>
      <c r="AE21" s="39">
        <f t="shared" si="1"/>
        <v>6754072.7871250929</v>
      </c>
      <c r="AF21" s="22">
        <f>(SUMIF(Table14[Party],R21,Table14[Credit]))+_xlfn.IFNA(P114,0)</f>
        <v>6728187</v>
      </c>
      <c r="AG21" s="33">
        <f t="shared" si="2"/>
        <v>25885.787125092931</v>
      </c>
      <c r="AH21" s="21">
        <v>10</v>
      </c>
      <c r="AI21" s="21">
        <v>13</v>
      </c>
    </row>
    <row r="22" spans="2:35" x14ac:dyDescent="0.3">
      <c r="C22" s="18"/>
      <c r="I22" t="s">
        <v>189</v>
      </c>
      <c r="P22" s="21"/>
      <c r="R22" t="str">
        <v>Shafique Ansari</v>
      </c>
      <c r="S22" s="22" cm="1">
        <f t="array" ref="S22">_xlfn.BYROW(B66,_xlfn.LAMBDA(_xlpm.party,SUMIFS(ledger!G:G,ledger!B:B,_xlpm.party,ledger!E:E,"&lt;&gt;*RD*")))+_xlfn.IFNA(C115,0)</f>
        <v>347302</v>
      </c>
      <c r="T22" s="22" cm="1">
        <f t="array" ref="T22">_xlfn.BYROW(B66, _xlfn.LAMBDA(_xlpm.party, SUMIFS(ledger!G:G, ledger!B:B, _xlpm.party, ledger!E:E, "&lt;&gt;*RD*") / 1.0936 ))+_xlfn.IFNA(D115,0)</f>
        <v>317576.81053401611</v>
      </c>
      <c r="U22" s="22" cm="1">
        <f t="array" ref="U22">(_xlfn.BYROW(B66,_xlfn.LAMBDA(_xlpm.party,SUMIFS(ledger!G:G,ledger!B:B,_xlpm.party,ledger!E:E,"&lt;&gt;*RD*",ledger!D:D,"Chamki")+SUMIFS(ledger!G:G, ledger!B:B, _xlpm.party, ledger!E:E, "&lt;&gt;*RD*", ledger!D:D, "Crinkle")))/1.0936)+_xlfn.IFNA(E115,0)</f>
        <v>90599.853694220932</v>
      </c>
      <c r="V22" s="70" cm="1">
        <f t="array" ref="V22">(_xlfn.BYROW(B66,_xlfn.LAMBDA(_xlpm.party,SUMIFS(ledger!G:G,ledger!B:B,_xlpm.party,ledger!E:E,"&lt;&gt;*RD*",ledger!D:D,"Silky")))/1.0936)+_xlfn.IFNA(F115,0)</f>
        <v>26182.333577176301</v>
      </c>
      <c r="W22" s="22" cm="1">
        <f t="array" ref="W22">(_xlfn.BYROW(B66,_xlfn.LAMBDA(_xlpm.party,
(SUMIFS(ledger!J:J,ledger!B:B,_xlpm.party,ledger!E:E,"&lt;&gt;*RD*",ledger!D:D,"Chamki",ledger!C:C,"&lt;&gt;Closing CF")+
SUMIFS(ledger!J:J,ledger!B:B,_xlpm.party,ledger!E:E,"&lt;&gt;*RD*",ledger!D:D,"Crinkle",ledger!C:C,"&lt;&gt;Closing CF")
)+_xlfn.IFNA(G115,0))))</f>
        <v>932297.91514264827</v>
      </c>
      <c r="X22" s="70" cm="1">
        <f t="array" ref="X22">_xlfn.BYROW(B66, _xlfn.LAMBDA(_xlpm.party,
   SUMIFS(ledger!J:J, ledger!B:B, _xlpm.party, ledger!E:E, "&lt;&gt;*RD*", ledger!D:D, "Silky", ledger!C:C, "&lt;&gt;Closing CF")
)) + _xlfn.IFNA(H115, 0)</f>
        <v>314704.64520848577</v>
      </c>
      <c r="Y22" s="70" cm="1">
        <f t="array" ref="Y22">_xlfn.BYROW(B66, _xlfn.LAMBDA(_xlpm.party,
   SUMIFS(ledger!J:J, ledger!B:B, _xlpm.party, ledger!E:E, "&lt;&gt;*RD*", ledger!D:D, "Slub", ledger!C:C, "&lt;&gt;Closing CF")
))+ _xlfn.IFNA(I115, 0)</f>
        <v>0</v>
      </c>
      <c r="Z22" s="70" cm="1">
        <f t="array" ref="Z22">_xlfn.BYROW(B66, _xlfn.LAMBDA(_xlpm.party,
   SUMIFS(ledger!J:J, ledger!B:B, _xlpm.party, ledger!E:E, "&lt;&gt;*RD*", ledger!D:D, "Satin", ledger!C:C, "&lt;&gt;Closing CF")
))+ _xlfn.IFNA(J115, 0)</f>
        <v>470003.65764447697</v>
      </c>
      <c r="AA22" s="70" cm="1">
        <f t="array" ref="AA22">_xlfn.BYROW(B66, _xlfn.LAMBDA(_xlpm.party,
   SUMIFS(ledger!J:J, ledger!B:B, _xlpm.party, ledger!E:E, "&lt;&gt;*RD*", ledger!D:D, "Black-Chamki", ledger!C:C, "&lt;&gt;Closing CF")
))+ _xlfn.IFNA(K115, 0)</f>
        <v>0</v>
      </c>
      <c r="AB22" s="70" cm="1">
        <f t="array" ref="AB22">_xlfn.BYROW(B66, _xlfn.LAMBDA(_xlpm.party,
   SUMIFS(ledger!J:J, ledger!B:B, _xlpm.party, ledger!E:E, "&lt;&gt;*RD*", ledger!D:D, "Kataan", ledger!C:C, "&lt;&gt;Closing CF")
))+ _xlfn.IFNA(L115, 0)</f>
        <v>1439947.8785662036</v>
      </c>
      <c r="AC22" s="70" cm="1">
        <f t="array" ref="AC22">_xlfn.BYROW(B66, _xlfn.LAMBDA(_xlpm.party,
   SUMIFS(ledger!J:J, ledger!B:B, _xlpm.party, ledger!E:E, "&lt;&gt;*RD*", ledger!D:D, "Munaar", ledger!C:C, "&lt;&gt;Closing CF")
))+ _xlfn.IFNA(M115, 0)</f>
        <v>0</v>
      </c>
      <c r="AD22" s="70" cm="1">
        <f t="array" ref="AD22">_xlfn.BYROW(B66, _xlfn.LAMBDA(_xlpm.party,
   SUMIFS(ledger!J:J, ledger!B:B, _xlpm.party, ledger!E:E, "&lt;&gt;*RD*", ledger!D:D, "Custom", ledger!C:C, "&lt;&gt;Closing CF")
))+ _xlfn.IFNA(N115, 0)</f>
        <v>701356.98610095098</v>
      </c>
      <c r="AE22" s="39">
        <f t="shared" si="1"/>
        <v>3858311.0826627659</v>
      </c>
      <c r="AF22" s="22">
        <f>(SUMIF(Table14[Party],R22,Table14[Credit]))+_xlfn.IFNA(P115,0)</f>
        <v>2860660</v>
      </c>
      <c r="AG22" s="33">
        <f t="shared" si="2"/>
        <v>997651.08266276587</v>
      </c>
      <c r="AH22" s="21">
        <v>10</v>
      </c>
      <c r="AI22" s="21">
        <v>13</v>
      </c>
    </row>
    <row r="23" spans="2:35" x14ac:dyDescent="0.3">
      <c r="B23" s="24" t="s">
        <v>31</v>
      </c>
      <c r="C23" s="37">
        <f>SUM(O49:O85)</f>
        <v>35971950.621799566</v>
      </c>
      <c r="D23" t="s">
        <v>32</v>
      </c>
      <c r="I23" t="s">
        <v>192</v>
      </c>
      <c r="P23" s="21"/>
      <c r="R23" t="str">
        <v>Amjad sohail</v>
      </c>
      <c r="S23" s="22" cm="1">
        <f t="array" ref="S23">_xlfn.BYROW(B67,_xlfn.LAMBDA(_xlpm.party,SUMIFS(ledger!G:G,ledger!B:B,_xlpm.party,ledger!E:E,"&lt;&gt;*RD*")))+_xlfn.IFNA(C116,0)</f>
        <v>508635</v>
      </c>
      <c r="T23" s="22" cm="1">
        <f t="array" ref="T23">_xlfn.BYROW(B67, _xlfn.LAMBDA(_xlpm.party, SUMIFS(ledger!G:G, ledger!B:B, _xlpm.party, ledger!E:E, "&lt;&gt;*RD*") / 1.0936 ))+_xlfn.IFNA(D116,0)</f>
        <v>465101.49963423552</v>
      </c>
      <c r="U23" s="22" cm="1">
        <f t="array" ref="U23">(_xlfn.BYROW(B67,_xlfn.LAMBDA(_xlpm.party,SUMIFS(ledger!G:G,ledger!B:B,_xlpm.party,ledger!E:E,"&lt;&gt;*RD*",ledger!D:D,"Chamki")+SUMIFS(ledger!G:G, ledger!B:B, _xlpm.party, ledger!E:E, "&lt;&gt;*RD*", ledger!D:D, "Crinkle")))/1.0936)+_xlfn.IFNA(E116,0)</f>
        <v>362820.04389173369</v>
      </c>
      <c r="V23" s="70" cm="1">
        <f t="array" ref="V23">(_xlfn.BYROW(B67,_xlfn.LAMBDA(_xlpm.party,SUMIFS(ledger!G:G,ledger!B:B,_xlpm.party,ledger!E:E,"&lt;&gt;*RD*",ledger!D:D,"Silky")))/1.0936)+_xlfn.IFNA(F116,0)</f>
        <v>95441.660570592547</v>
      </c>
      <c r="W23" s="22" cm="1">
        <f t="array" ref="W23">(_xlfn.BYROW(B67,_xlfn.LAMBDA(_xlpm.party,
(SUMIFS(ledger!J:J,ledger!B:B,_xlpm.party,ledger!E:E,"&lt;&gt;*RD*",ledger!D:D,"Chamki",ledger!C:C,"&lt;&gt;Closing CF")+
SUMIFS(ledger!J:J,ledger!B:B,_xlpm.party,ledger!E:E,"&lt;&gt;*RD*",ledger!D:D,"Crinkle",ledger!C:C,"&lt;&gt;Closing CF")
)+_xlfn.IFNA(G116,0))))</f>
        <v>3628200.4389173379</v>
      </c>
      <c r="X23" s="70" cm="1">
        <f t="array" ref="X23">_xlfn.BYROW(B67, _xlfn.LAMBDA(_xlpm.party,
   SUMIFS(ledger!J:J, ledger!B:B, _xlpm.party, ledger!E:E, "&lt;&gt;*RD*", ledger!D:D, "Silky", ledger!C:C, "&lt;&gt;Closing CF")
)) + _xlfn.IFNA(H116, 0)</f>
        <v>1240741.5874177031</v>
      </c>
      <c r="Y23" s="70" cm="1">
        <f t="array" ref="Y23">_xlfn.BYROW(B67, _xlfn.LAMBDA(_xlpm.party,
   SUMIFS(ledger!J:J, ledger!B:B, _xlpm.party, ledger!E:E, "&lt;&gt;*RD*", ledger!D:D, "Slub", ledger!C:C, "&lt;&gt;Closing CF")
))+ _xlfn.IFNA(I116, 0)</f>
        <v>0</v>
      </c>
      <c r="Z23" s="70" cm="1">
        <f t="array" ref="Z23">_xlfn.BYROW(B67, _xlfn.LAMBDA(_xlpm.party,
   SUMIFS(ledger!J:J, ledger!B:B, _xlpm.party, ledger!E:E, "&lt;&gt;*RD*", ledger!D:D, "Satin", ledger!C:C, "&lt;&gt;Closing CF")
))+ _xlfn.IFNA(J116, 0)</f>
        <v>0</v>
      </c>
      <c r="AA23" s="70" cm="1">
        <f t="array" ref="AA23">_xlfn.BYROW(B67, _xlfn.LAMBDA(_xlpm.party,
   SUMIFS(ledger!J:J, ledger!B:B, _xlpm.party, ledger!E:E, "&lt;&gt;*RD*", ledger!D:D, "Black-Chamki", ledger!C:C, "&lt;&gt;Closing CF")
))+ _xlfn.IFNA(K116, 0)</f>
        <v>0</v>
      </c>
      <c r="AB23" s="70" cm="1">
        <f t="array" ref="AB23">_xlfn.BYROW(B67, _xlfn.LAMBDA(_xlpm.party,
   SUMIFS(ledger!J:J, ledger!B:B, _xlpm.party, ledger!E:E, "&lt;&gt;*RD*", ledger!D:D, "Kataan", ledger!C:C, "&lt;&gt;Closing CF")
))+ _xlfn.IFNA(L116, 0)</f>
        <v>0</v>
      </c>
      <c r="AC23" s="70" cm="1">
        <f t="array" ref="AC23">_xlfn.BYROW(B67, _xlfn.LAMBDA(_xlpm.party,
   SUMIFS(ledger!J:J, ledger!B:B, _xlpm.party, ledger!E:E, "&lt;&gt;*RD*", ledger!D:D, "Munaar", ledger!C:C, "&lt;&gt;Closing CF")
))+ _xlfn.IFNA(M116, 0)</f>
        <v>0</v>
      </c>
      <c r="AD23" s="70" cm="1">
        <f t="array" ref="AD23">_xlfn.BYROW(B67, _xlfn.LAMBDA(_xlpm.party,
   SUMIFS(ledger!J:J, ledger!B:B, _xlpm.party, ledger!E:E, "&lt;&gt;*RD*", ledger!D:D, "Custom", ledger!C:C, "&lt;&gt;Closing CF")
))+ _xlfn.IFNA(N116, 0)</f>
        <v>0</v>
      </c>
      <c r="AE23" s="39">
        <f t="shared" si="1"/>
        <v>4868942.026335041</v>
      </c>
      <c r="AF23" s="22">
        <f>(SUMIF(Table14[Party],R23,Table14[Credit]))+_xlfn.IFNA(P116,0)</f>
        <v>4417830</v>
      </c>
      <c r="AG23" s="33">
        <f t="shared" si="2"/>
        <v>451112.02633504104</v>
      </c>
      <c r="AH23" s="21">
        <v>10</v>
      </c>
      <c r="AI23" s="21">
        <v>13</v>
      </c>
    </row>
    <row r="24" spans="2:35" x14ac:dyDescent="0.3">
      <c r="I24" t="s">
        <v>191</v>
      </c>
      <c r="R24" t="str">
        <v>Salman Zaffar</v>
      </c>
      <c r="S24" s="22" cm="1">
        <f t="array" ref="S24">_xlfn.BYROW(B68,_xlfn.LAMBDA(_xlpm.party,SUMIFS(ledger!G:G,ledger!B:B,_xlpm.party,ledger!E:E,"&lt;&gt;*RD*")))+_xlfn.IFNA(C117,0)</f>
        <v>344332</v>
      </c>
      <c r="T24" s="22" cm="1">
        <f t="array" ref="T24">_xlfn.BYROW(B68, _xlfn.LAMBDA(_xlpm.party, SUMIFS(ledger!G:G, ledger!B:B, _xlpm.party, ledger!E:E, "&lt;&gt;*RD*") / 1.0936 ))+_xlfn.IFNA(D117,0)</f>
        <v>314861.00950987567</v>
      </c>
      <c r="U24" s="22" cm="1">
        <f t="array" ref="U24">(_xlfn.BYROW(B68,_xlfn.LAMBDA(_xlpm.party,SUMIFS(ledger!G:G,ledger!B:B,_xlpm.party,ledger!E:E,"&lt;&gt;*RD*",ledger!D:D,"Chamki")+SUMIFS(ledger!G:G, ledger!B:B, _xlpm.party, ledger!E:E, "&lt;&gt;*RD*", ledger!D:D, "Crinkle")))/1.0936)+_xlfn.IFNA(E117,0)</f>
        <v>72939.831748354074</v>
      </c>
      <c r="V24" s="70" cm="1">
        <f t="array" ref="V24">(_xlfn.BYROW(B68,_xlfn.LAMBDA(_xlpm.party,SUMIFS(ledger!G:G,ledger!B:B,_xlpm.party,ledger!E:E,"&lt;&gt;*RD*",ledger!D:D,"Silky")))/1.0936)+_xlfn.IFNA(F117,0)</f>
        <v>31409.107534747625</v>
      </c>
      <c r="W24" s="22" cm="1">
        <f t="array" ref="W24">(_xlfn.BYROW(B68,_xlfn.LAMBDA(_xlpm.party,
(SUMIFS(ledger!J:J,ledger!B:B,_xlpm.party,ledger!E:E,"&lt;&gt;*RD*",ledger!D:D,"Chamki",ledger!C:C,"&lt;&gt;Closing CF")+
SUMIFS(ledger!J:J,ledger!B:B,_xlpm.party,ledger!E:E,"&lt;&gt;*RD*",ledger!D:D,"Crinkle",ledger!C:C,"&lt;&gt;Closing CF")
)+_xlfn.IFNA(G117,0))))</f>
        <v>729398.31748354062</v>
      </c>
      <c r="X24" s="70" cm="1">
        <f t="array" ref="X24">_xlfn.BYROW(B68, _xlfn.LAMBDA(_xlpm.party,
   SUMIFS(ledger!J:J, ledger!B:B, _xlpm.party, ledger!E:E, "&lt;&gt;*RD*", ledger!D:D, "Silky", ledger!C:C, "&lt;&gt;Closing CF")
)) + _xlfn.IFNA(H117, 0)</f>
        <v>408318.39795171918</v>
      </c>
      <c r="Y24" s="70" cm="1">
        <f t="array" ref="Y24">_xlfn.BYROW(B68, _xlfn.LAMBDA(_xlpm.party,
   SUMIFS(ledger!J:J, ledger!B:B, _xlpm.party, ledger!E:E, "&lt;&gt;*RD*", ledger!D:D, "Slub", ledger!C:C, "&lt;&gt;Closing CF")
))+ _xlfn.IFNA(I117, 0)</f>
        <v>0</v>
      </c>
      <c r="Z24" s="70" cm="1">
        <f t="array" ref="Z24">_xlfn.BYROW(B68, _xlfn.LAMBDA(_xlpm.party,
   SUMIFS(ledger!J:J, ledger!B:B, _xlpm.party, ledger!E:E, "&lt;&gt;*RD*", ledger!D:D, "Satin", ledger!C:C, "&lt;&gt;Closing CF")
))+ _xlfn.IFNA(J117, 0)</f>
        <v>0</v>
      </c>
      <c r="AA24" s="70" cm="1">
        <f t="array" ref="AA24">_xlfn.BYROW(B68, _xlfn.LAMBDA(_xlpm.party,
   SUMIFS(ledger!J:J, ledger!B:B, _xlpm.party, ledger!E:E, "&lt;&gt;*RD*", ledger!D:D, "Black-Chamki", ledger!C:C, "&lt;&gt;Closing CF")
))+ _xlfn.IFNA(K117, 0)</f>
        <v>161653.2553035845</v>
      </c>
      <c r="AB24" s="70" cm="1">
        <f t="array" ref="AB24">_xlfn.BYROW(B68, _xlfn.LAMBDA(_xlpm.party,
   SUMIFS(ledger!J:J, ledger!B:B, _xlpm.party, ledger!E:E, "&lt;&gt;*RD*", ledger!D:D, "Kataan", ledger!C:C, "&lt;&gt;Closing CF")
))+ _xlfn.IFNA(L117, 0)</f>
        <v>1970409.6561814193</v>
      </c>
      <c r="AC24" s="70" cm="1">
        <f t="array" ref="AC24">_xlfn.BYROW(B68, _xlfn.LAMBDA(_xlpm.party,
   SUMIFS(ledger!J:J, ledger!B:B, _xlpm.party, ledger!E:E, "&lt;&gt;*RD*", ledger!D:D, "Munaar", ledger!C:C, "&lt;&gt;Closing CF")
))+ _xlfn.IFNA(M117, 0)</f>
        <v>0</v>
      </c>
      <c r="AD24" s="70" cm="1">
        <f t="array" ref="AD24">_xlfn.BYROW(B68, _xlfn.LAMBDA(_xlpm.party,
   SUMIFS(ledger!J:J, ledger!B:B, _xlpm.party, ledger!E:E, "&lt;&gt;*RD*", ledger!D:D, "Custom", ledger!C:C, "&lt;&gt;Closing CF")
))+ _xlfn.IFNA(N117, 0)</f>
        <v>0</v>
      </c>
      <c r="AE24" s="39">
        <f t="shared" si="1"/>
        <v>3269779.6269202633</v>
      </c>
      <c r="AF24" s="22">
        <f>(SUMIF(Table14[Party],R24,Table14[Credit]))+_xlfn.IFNA(P117,0)</f>
        <v>3296025</v>
      </c>
      <c r="AG24" s="33">
        <f t="shared" si="2"/>
        <v>-26245.373079736717</v>
      </c>
      <c r="AH24" s="21">
        <v>10</v>
      </c>
      <c r="AI24" s="21">
        <v>13</v>
      </c>
    </row>
    <row r="25" spans="2:35" x14ac:dyDescent="0.3">
      <c r="I25" t="s">
        <v>196</v>
      </c>
      <c r="R25" t="str">
        <v>Shahid Qasayi</v>
      </c>
      <c r="S25" s="22" cm="1">
        <f t="array" ref="S25">_xlfn.BYROW(B69,_xlfn.LAMBDA(_xlpm.party,SUMIFS(ledger!G:G,ledger!B:B,_xlpm.party,ledger!E:E,"&lt;&gt;*RD*")))+_xlfn.IFNA(C118,0)</f>
        <v>514433</v>
      </c>
      <c r="T25" s="22" cm="1">
        <f t="array" ref="T25">_xlfn.BYROW(B69, _xlfn.LAMBDA(_xlpm.party, SUMIFS(ledger!G:G, ledger!B:B, _xlpm.party, ledger!E:E, "&lt;&gt;*RD*") / 1.0936 ))+_xlfn.IFNA(D118,0)</f>
        <v>470403.2553035845</v>
      </c>
      <c r="U25" s="22" cm="1">
        <f t="array" ref="U25">(_xlfn.BYROW(B69,_xlfn.LAMBDA(_xlpm.party,SUMIFS(ledger!G:G,ledger!B:B,_xlpm.party,ledger!E:E,"&lt;&gt;*RD*",ledger!D:D,"Chamki")+SUMIFS(ledger!G:G, ledger!B:B, _xlpm.party, ledger!E:E, "&lt;&gt;*RD*", ledger!D:D, "Crinkle")))/1.0936)+_xlfn.IFNA(E118,0)</f>
        <v>416798.64667154354</v>
      </c>
      <c r="V25" s="70" cm="1">
        <f t="array" ref="V25">(_xlfn.BYROW(B69,_xlfn.LAMBDA(_xlpm.party,SUMIFS(ledger!G:G,ledger!B:B,_xlpm.party,ledger!E:E,"&lt;&gt;*RD*",ledger!D:D,"Silky")))/1.0936)+_xlfn.IFNA(F118,0)</f>
        <v>4065.4718361375276</v>
      </c>
      <c r="W25" s="22" cm="1">
        <f t="array" ref="W25">(_xlfn.BYROW(B69,_xlfn.LAMBDA(_xlpm.party,
(SUMIFS(ledger!J:J,ledger!B:B,_xlpm.party,ledger!E:E,"&lt;&gt;*RD*",ledger!D:D,"Chamki",ledger!C:C,"&lt;&gt;Closing CF")+
SUMIFS(ledger!J:J,ledger!B:B,_xlpm.party,ledger!E:E,"&lt;&gt;*RD*",ledger!D:D,"Crinkle",ledger!C:C,"&lt;&gt;Closing CF")
)+_xlfn.IFNA(G118,0))))</f>
        <v>4167986.4667154355</v>
      </c>
      <c r="X25" s="70" cm="1">
        <f t="array" ref="X25">_xlfn.BYROW(B69, _xlfn.LAMBDA(_xlpm.party,
   SUMIFS(ledger!J:J, ledger!B:B, _xlpm.party, ledger!E:E, "&lt;&gt;*RD*", ledger!D:D, "Silky", ledger!C:C, "&lt;&gt;Closing CF")
)) + _xlfn.IFNA(H118, 0)</f>
        <v>52851.13386978786</v>
      </c>
      <c r="Y25" s="70" cm="1">
        <f t="array" ref="Y25">_xlfn.BYROW(B69, _xlfn.LAMBDA(_xlpm.party,
   SUMIFS(ledger!J:J, ledger!B:B, _xlpm.party, ledger!E:E, "&lt;&gt;*RD*", ledger!D:D, "Slub", ledger!C:C, "&lt;&gt;Closing CF")
))+ _xlfn.IFNA(I118, 0)</f>
        <v>0</v>
      </c>
      <c r="Z25" s="70" cm="1">
        <f t="array" ref="Z25">_xlfn.BYROW(B69, _xlfn.LAMBDA(_xlpm.party,
   SUMIFS(ledger!J:J, ledger!B:B, _xlpm.party, ledger!E:E, "&lt;&gt;*RD*", ledger!D:D, "Satin", ledger!C:C, "&lt;&gt;Closing CF")
))+ _xlfn.IFNA(J118, 0)</f>
        <v>0</v>
      </c>
      <c r="AA25" s="70" cm="1">
        <f t="array" ref="AA25">_xlfn.BYROW(B69, _xlfn.LAMBDA(_xlpm.party,
   SUMIFS(ledger!J:J, ledger!B:B, _xlpm.party, ledger!E:E, "&lt;&gt;*RD*", ledger!D:D, "Black-Chamki", ledger!C:C, "&lt;&gt;Closing CF")
))+ _xlfn.IFNA(K118, 0)</f>
        <v>23767.373811265548</v>
      </c>
      <c r="AB25" s="70" cm="1">
        <f t="array" ref="AB25">_xlfn.BYROW(B69, _xlfn.LAMBDA(_xlpm.party,
   SUMIFS(ledger!J:J, ledger!B:B, _xlpm.party, ledger!E:E, "&lt;&gt;*RD*", ledger!D:D, "Kataan", ledger!C:C, "&lt;&gt;Closing CF")
))+ _xlfn.IFNA(L118, 0)</f>
        <v>523143.74542794435</v>
      </c>
      <c r="AC25" s="70" cm="1">
        <f t="array" ref="AC25">_xlfn.BYROW(B69, _xlfn.LAMBDA(_xlpm.party,
   SUMIFS(ledger!J:J, ledger!B:B, _xlpm.party, ledger!E:E, "&lt;&gt;*RD*", ledger!D:D, "Munaar", ledger!C:C, "&lt;&gt;Closing CF")
))+ _xlfn.IFNA(M118, 0)</f>
        <v>0</v>
      </c>
      <c r="AD25" s="70" cm="1">
        <f t="array" ref="AD25">_xlfn.BYROW(B69, _xlfn.LAMBDA(_xlpm.party,
   SUMIFS(ledger!J:J, ledger!B:B, _xlpm.party, ledger!E:E, "&lt;&gt;*RD*", ledger!D:D, "Custom", ledger!C:C, "&lt;&gt;Closing CF")
))+ _xlfn.IFNA(N118, 0)</f>
        <v>0</v>
      </c>
      <c r="AE25" s="39">
        <f t="shared" si="1"/>
        <v>4767748.7198244333</v>
      </c>
      <c r="AF25" s="22">
        <f>(SUMIF(Table14[Party],R25,Table14[Credit]))+_xlfn.IFNA(P118,0)</f>
        <v>4752127</v>
      </c>
      <c r="AG25" s="33">
        <f t="shared" si="2"/>
        <v>15621.719824433327</v>
      </c>
      <c r="AH25" s="21">
        <v>10</v>
      </c>
      <c r="AI25" s="21">
        <v>13</v>
      </c>
    </row>
    <row r="26" spans="2:35" x14ac:dyDescent="0.3">
      <c r="I26" t="s">
        <v>201</v>
      </c>
      <c r="R26" t="str">
        <v>Hameed corporation</v>
      </c>
      <c r="S26" s="22" cm="1">
        <f t="array" ref="S26">_xlfn.BYROW(B70,_xlfn.LAMBDA(_xlpm.party,SUMIFS(ledger!G:G,ledger!B:B,_xlpm.party,ledger!E:E,"&lt;&gt;*RD*")))+_xlfn.IFNA(C119,0)</f>
        <v>46404</v>
      </c>
      <c r="T26" s="22" cm="1">
        <f t="array" ref="T26">_xlfn.BYROW(B70, _xlfn.LAMBDA(_xlpm.party, SUMIFS(ledger!G:G, ledger!B:B, _xlpm.party, ledger!E:E, "&lt;&gt;*RD*") / 1.0936 ))+_xlfn.IFNA(D119,0)</f>
        <v>42432.333577176301</v>
      </c>
      <c r="U26" s="22" cm="1">
        <f t="array" ref="U26">(_xlfn.BYROW(B70,_xlfn.LAMBDA(_xlpm.party,SUMIFS(ledger!G:G,ledger!B:B,_xlpm.party,ledger!E:E,"&lt;&gt;*RD*",ledger!D:D,"Chamki")+SUMIFS(ledger!G:G, ledger!B:B, _xlpm.party, ledger!E:E, "&lt;&gt;*RD*", ledger!D:D, "Crinkle")))/1.0936)+_xlfn.IFNA(E119,0)</f>
        <v>42432.333577176301</v>
      </c>
      <c r="V26" s="70" cm="1">
        <f t="array" ref="V26">(_xlfn.BYROW(B70,_xlfn.LAMBDA(_xlpm.party,SUMIFS(ledger!G:G,ledger!B:B,_xlpm.party,ledger!E:E,"&lt;&gt;*RD*",ledger!D:D,"Silky")))/1.0936)+_xlfn.IFNA(F119,0)</f>
        <v>0</v>
      </c>
      <c r="W26" s="22" cm="1">
        <f t="array" ref="W26">(_xlfn.BYROW(B70,_xlfn.LAMBDA(_xlpm.party,
(SUMIFS(ledger!J:J,ledger!B:B,_xlpm.party,ledger!E:E,"&lt;&gt;*RD*",ledger!D:D,"Chamki",ledger!C:C,"&lt;&gt;Closing CF")+
SUMIFS(ledger!J:J,ledger!B:B,_xlpm.party,ledger!E:E,"&lt;&gt;*RD*",ledger!D:D,"Crinkle",ledger!C:C,"&lt;&gt;Closing CF")
)+_xlfn.IFNA(G119,0))))</f>
        <v>424323.335771763</v>
      </c>
      <c r="X26" s="70" cm="1">
        <f t="array" ref="X26">_xlfn.BYROW(B70, _xlfn.LAMBDA(_xlpm.party,
   SUMIFS(ledger!J:J, ledger!B:B, _xlpm.party, ledger!E:E, "&lt;&gt;*RD*", ledger!D:D, "Silky", ledger!C:C, "&lt;&gt;Closing CF")
)) + _xlfn.IFNA(H119, 0)</f>
        <v>0</v>
      </c>
      <c r="Y26" s="70" cm="1">
        <f t="array" ref="Y26">_xlfn.BYROW(B70, _xlfn.LAMBDA(_xlpm.party,
   SUMIFS(ledger!J:J, ledger!B:B, _xlpm.party, ledger!E:E, "&lt;&gt;*RD*", ledger!D:D, "Slub", ledger!C:C, "&lt;&gt;Closing CF")
))+ _xlfn.IFNA(I119, 0)</f>
        <v>0</v>
      </c>
      <c r="Z26" s="70" cm="1">
        <f t="array" ref="Z26">_xlfn.BYROW(B70, _xlfn.LAMBDA(_xlpm.party,
   SUMIFS(ledger!J:J, ledger!B:B, _xlpm.party, ledger!E:E, "&lt;&gt;*RD*", ledger!D:D, "Satin", ledger!C:C, "&lt;&gt;Closing CF")
))+ _xlfn.IFNA(J119, 0)</f>
        <v>0</v>
      </c>
      <c r="AA26" s="70" cm="1">
        <f t="array" ref="AA26">_xlfn.BYROW(B70, _xlfn.LAMBDA(_xlpm.party,
   SUMIFS(ledger!J:J, ledger!B:B, _xlpm.party, ledger!E:E, "&lt;&gt;*RD*", ledger!D:D, "Black-Chamki", ledger!C:C, "&lt;&gt;Closing CF")
))+ _xlfn.IFNA(K119, 0)</f>
        <v>0</v>
      </c>
      <c r="AB26" s="70" cm="1">
        <f t="array" ref="AB26">_xlfn.BYROW(B70, _xlfn.LAMBDA(_xlpm.party,
   SUMIFS(ledger!J:J, ledger!B:B, _xlpm.party, ledger!E:E, "&lt;&gt;*RD*", ledger!D:D, "Kataan", ledger!C:C, "&lt;&gt;Closing CF")
))+ _xlfn.IFNA(L119, 0)</f>
        <v>0</v>
      </c>
      <c r="AC26" s="70" cm="1">
        <f t="array" ref="AC26">_xlfn.BYROW(B70, _xlfn.LAMBDA(_xlpm.party,
   SUMIFS(ledger!J:J, ledger!B:B, _xlpm.party, ledger!E:E, "&lt;&gt;*RD*", ledger!D:D, "Munaar", ledger!C:C, "&lt;&gt;Closing CF")
))+ _xlfn.IFNA(M119, 0)</f>
        <v>0</v>
      </c>
      <c r="AD26" s="70" cm="1">
        <f t="array" ref="AD26">_xlfn.BYROW(B70, _xlfn.LAMBDA(_xlpm.party,
   SUMIFS(ledger!J:J, ledger!B:B, _xlpm.party, ledger!E:E, "&lt;&gt;*RD*", ledger!D:D, "Custom", ledger!C:C, "&lt;&gt;Closing CF")
))+ _xlfn.IFNA(N119, 0)</f>
        <v>0</v>
      </c>
      <c r="AE26" s="39">
        <f t="shared" si="1"/>
        <v>424323.335771763</v>
      </c>
      <c r="AF26" s="22">
        <f>(SUMIF(Table14[Party],R26,Table14[Credit]))+_xlfn.IFNA(P119,0)</f>
        <v>424323</v>
      </c>
      <c r="AG26" s="33">
        <f t="shared" si="2"/>
        <v>0.33577176299877465</v>
      </c>
      <c r="AH26" s="21">
        <v>10</v>
      </c>
      <c r="AI26" s="21">
        <v>13</v>
      </c>
    </row>
    <row r="27" spans="2:35" x14ac:dyDescent="0.3">
      <c r="I27" t="s">
        <v>203</v>
      </c>
      <c r="R27" t="str">
        <v>ibraheem behraam</v>
      </c>
      <c r="S27" s="22" cm="1">
        <f t="array" ref="S27">_xlfn.BYROW(B71,_xlfn.LAMBDA(_xlpm.party,SUMIFS(ledger!G:G,ledger!B:B,_xlpm.party,ledger!E:E,"&lt;&gt;*RD*")))+_xlfn.IFNA(C120,0)</f>
        <v>160320</v>
      </c>
      <c r="T27" s="22" cm="1">
        <f t="array" ref="T27">_xlfn.BYROW(B71, _xlfn.LAMBDA(_xlpm.party, SUMIFS(ledger!G:G, ledger!B:B, _xlpm.party, ledger!E:E, "&lt;&gt;*RD*") / 1.0936 ))+_xlfn.IFNA(D120,0)</f>
        <v>146598.39063643015</v>
      </c>
      <c r="U27" s="22" cm="1">
        <f t="array" ref="U27">(_xlfn.BYROW(B71,_xlfn.LAMBDA(_xlpm.party,SUMIFS(ledger!G:G,ledger!B:B,_xlpm.party,ledger!E:E,"&lt;&gt;*RD*",ledger!D:D,"Chamki")+SUMIFS(ledger!G:G, ledger!B:B, _xlpm.party, ledger!E:E, "&lt;&gt;*RD*", ledger!D:D, "Crinkle")))/1.0936)+_xlfn.IFNA(E120,0)</f>
        <v>0</v>
      </c>
      <c r="V27" s="70" cm="1">
        <f t="array" ref="V27">(_xlfn.BYROW(B71,_xlfn.LAMBDA(_xlpm.party,SUMIFS(ledger!G:G,ledger!B:B,_xlpm.party,ledger!E:E,"&lt;&gt;*RD*",ledger!D:D,"Silky")))/1.0936)+_xlfn.IFNA(F120,0)</f>
        <v>146598.39063643015</v>
      </c>
      <c r="W27" s="22" cm="1">
        <f t="array" ref="W27">(_xlfn.BYROW(B71,_xlfn.LAMBDA(_xlpm.party,
(SUMIFS(ledger!J:J,ledger!B:B,_xlpm.party,ledger!E:E,"&lt;&gt;*RD*",ledger!D:D,"Chamki",ledger!C:C,"&lt;&gt;Closing CF")+
SUMIFS(ledger!J:J,ledger!B:B,_xlpm.party,ledger!E:E,"&lt;&gt;*RD*",ledger!D:D,"Crinkle",ledger!C:C,"&lt;&gt;Closing CF")
)+_xlfn.IFNA(G120,0))))</f>
        <v>0</v>
      </c>
      <c r="X27" s="70" cm="1">
        <f t="array" ref="X27">_xlfn.BYROW(B71, _xlfn.LAMBDA(_xlpm.party,
   SUMIFS(ledger!J:J, ledger!B:B, _xlpm.party, ledger!E:E, "&lt;&gt;*RD*", ledger!D:D, "Silky", ledger!C:C, "&lt;&gt;Closing CF")
)) + _xlfn.IFNA(H120, 0)</f>
        <v>1905779.0782735921</v>
      </c>
      <c r="Y27" s="70" cm="1">
        <f t="array" ref="Y27">_xlfn.BYROW(B71, _xlfn.LAMBDA(_xlpm.party,
   SUMIFS(ledger!J:J, ledger!B:B, _xlpm.party, ledger!E:E, "&lt;&gt;*RD*", ledger!D:D, "Slub", ledger!C:C, "&lt;&gt;Closing CF")
))+ _xlfn.IFNA(I120, 0)</f>
        <v>0</v>
      </c>
      <c r="Z27" s="70" cm="1">
        <f t="array" ref="Z27">_xlfn.BYROW(B71, _xlfn.LAMBDA(_xlpm.party,
   SUMIFS(ledger!J:J, ledger!B:B, _xlpm.party, ledger!E:E, "&lt;&gt;*RD*", ledger!D:D, "Satin", ledger!C:C, "&lt;&gt;Closing CF")
))+ _xlfn.IFNA(J120, 0)</f>
        <v>0</v>
      </c>
      <c r="AA27" s="70" cm="1">
        <f t="array" ref="AA27">_xlfn.BYROW(B71, _xlfn.LAMBDA(_xlpm.party,
   SUMIFS(ledger!J:J, ledger!B:B, _xlpm.party, ledger!E:E, "&lt;&gt;*RD*", ledger!D:D, "Black-Chamki", ledger!C:C, "&lt;&gt;Closing CF")
))+ _xlfn.IFNA(K120, 0)</f>
        <v>0</v>
      </c>
      <c r="AB27" s="70" cm="1">
        <f t="array" ref="AB27">_xlfn.BYROW(B71, _xlfn.LAMBDA(_xlpm.party,
   SUMIFS(ledger!J:J, ledger!B:B, _xlpm.party, ledger!E:E, "&lt;&gt;*RD*", ledger!D:D, "Kataan", ledger!C:C, "&lt;&gt;Closing CF")
))+ _xlfn.IFNA(L120, 0)</f>
        <v>0</v>
      </c>
      <c r="AC27" s="70" cm="1">
        <f t="array" ref="AC27">_xlfn.BYROW(B71, _xlfn.LAMBDA(_xlpm.party,
   SUMIFS(ledger!J:J, ledger!B:B, _xlpm.party, ledger!E:E, "&lt;&gt;*RD*", ledger!D:D, "Munaar", ledger!C:C, "&lt;&gt;Closing CF")
))+ _xlfn.IFNA(M120, 0)</f>
        <v>0</v>
      </c>
      <c r="AD27" s="70" cm="1">
        <f t="array" ref="AD27">_xlfn.BYROW(B71, _xlfn.LAMBDA(_xlpm.party,
   SUMIFS(ledger!J:J, ledger!B:B, _xlpm.party, ledger!E:E, "&lt;&gt;*RD*", ledger!D:D, "Custom", ledger!C:C, "&lt;&gt;Closing CF")
))+ _xlfn.IFNA(N120, 0)</f>
        <v>0</v>
      </c>
      <c r="AE27" s="39">
        <f t="shared" si="1"/>
        <v>1905779.0782735921</v>
      </c>
      <c r="AF27" s="22">
        <f>(SUMIF(Table14[Party],R27,Table14[Credit]))+_xlfn.IFNA(P120,0)</f>
        <v>1902400</v>
      </c>
      <c r="AG27" s="33">
        <f t="shared" si="2"/>
        <v>3379.0782735920511</v>
      </c>
      <c r="AH27" s="21">
        <v>10</v>
      </c>
      <c r="AI27" s="21">
        <v>13</v>
      </c>
    </row>
    <row r="28" spans="2:35" x14ac:dyDescent="0.3">
      <c r="R28" t="str">
        <v>Zia-ullah karachi</v>
      </c>
      <c r="S28" s="22" cm="1">
        <f t="array" ref="S28">_xlfn.BYROW(B72,_xlfn.LAMBDA(_xlpm.party,SUMIFS(ledger!G:G,ledger!B:B,_xlpm.party,ledger!E:E,"&lt;&gt;*RD*")))+_xlfn.IFNA(C121,0)</f>
        <v>13622</v>
      </c>
      <c r="T28" s="22" cm="1">
        <f t="array" ref="T28">_xlfn.BYROW(B72, _xlfn.LAMBDA(_xlpm.party, SUMIFS(ledger!G:G, ledger!B:B, _xlpm.party, ledger!E:E, "&lt;&gt;*RD*") / 1.0936 ))+_xlfn.IFNA(D121,0)</f>
        <v>12456.108266276518</v>
      </c>
      <c r="U28" s="22" cm="1">
        <f t="array" ref="U28">(_xlfn.BYROW(B72,_xlfn.LAMBDA(_xlpm.party,SUMIFS(ledger!G:G,ledger!B:B,_xlpm.party,ledger!E:E,"&lt;&gt;*RD*",ledger!D:D,"Chamki")+SUMIFS(ledger!G:G, ledger!B:B, _xlpm.party, ledger!E:E, "&lt;&gt;*RD*", ledger!D:D, "Crinkle")))/1.0936)+_xlfn.IFNA(E121,0)</f>
        <v>12456.108266276518</v>
      </c>
      <c r="V28" s="70" cm="1">
        <f t="array" ref="V28">(_xlfn.BYROW(B72,_xlfn.LAMBDA(_xlpm.party,SUMIFS(ledger!G:G,ledger!B:B,_xlpm.party,ledger!E:E,"&lt;&gt;*RD*",ledger!D:D,"Silky")))/1.0936)+_xlfn.IFNA(F121,0)</f>
        <v>0</v>
      </c>
      <c r="W28" s="22" cm="1">
        <f t="array" ref="W28">(_xlfn.BYROW(B72,_xlfn.LAMBDA(_xlpm.party,
(SUMIFS(ledger!J:J,ledger!B:B,_xlpm.party,ledger!E:E,"&lt;&gt;*RD*",ledger!D:D,"Chamki",ledger!C:C,"&lt;&gt;Closing CF")+
SUMIFS(ledger!J:J,ledger!B:B,_xlpm.party,ledger!E:E,"&lt;&gt;*RD*",ledger!D:D,"Crinkle",ledger!C:C,"&lt;&gt;Closing CF")
)+_xlfn.IFNA(G121,0))))</f>
        <v>124561.08266276518</v>
      </c>
      <c r="X28" s="70" cm="1">
        <f t="array" ref="X28">_xlfn.BYROW(B72, _xlfn.LAMBDA(_xlpm.party,
   SUMIFS(ledger!J:J, ledger!B:B, _xlpm.party, ledger!E:E, "&lt;&gt;*RD*", ledger!D:D, "Silky", ledger!C:C, "&lt;&gt;Closing CF")
)) + _xlfn.IFNA(H121, 0)</f>
        <v>0</v>
      </c>
      <c r="Y28" s="70" cm="1">
        <f t="array" ref="Y28">_xlfn.BYROW(B72, _xlfn.LAMBDA(_xlpm.party,
   SUMIFS(ledger!J:J, ledger!B:B, _xlpm.party, ledger!E:E, "&lt;&gt;*RD*", ledger!D:D, "Slub", ledger!C:C, "&lt;&gt;Closing CF")
))+ _xlfn.IFNA(I121, 0)</f>
        <v>0</v>
      </c>
      <c r="Z28" s="70" cm="1">
        <f t="array" ref="Z28">_xlfn.BYROW(B72, _xlfn.LAMBDA(_xlpm.party,
   SUMIFS(ledger!J:J, ledger!B:B, _xlpm.party, ledger!E:E, "&lt;&gt;*RD*", ledger!D:D, "Satin", ledger!C:C, "&lt;&gt;Closing CF")
))+ _xlfn.IFNA(J121, 0)</f>
        <v>0</v>
      </c>
      <c r="AA28" s="70" cm="1">
        <f t="array" ref="AA28">_xlfn.BYROW(B72, _xlfn.LAMBDA(_xlpm.party,
   SUMIFS(ledger!J:J, ledger!B:B, _xlpm.party, ledger!E:E, "&lt;&gt;*RD*", ledger!D:D, "Black-Chamki", ledger!C:C, "&lt;&gt;Closing CF")
))+ _xlfn.IFNA(K121, 0)</f>
        <v>0</v>
      </c>
      <c r="AB28" s="70" cm="1">
        <f t="array" ref="AB28">_xlfn.BYROW(B72, _xlfn.LAMBDA(_xlpm.party,
   SUMIFS(ledger!J:J, ledger!B:B, _xlpm.party, ledger!E:E, "&lt;&gt;*RD*", ledger!D:D, "Kataan", ledger!C:C, "&lt;&gt;Closing CF")
))+ _xlfn.IFNA(L121, 0)</f>
        <v>0</v>
      </c>
      <c r="AC28" s="70" cm="1">
        <f t="array" ref="AC28">_xlfn.BYROW(B72, _xlfn.LAMBDA(_xlpm.party,
   SUMIFS(ledger!J:J, ledger!B:B, _xlpm.party, ledger!E:E, "&lt;&gt;*RD*", ledger!D:D, "Munaar", ledger!C:C, "&lt;&gt;Closing CF")
))+ _xlfn.IFNA(M121, 0)</f>
        <v>0</v>
      </c>
      <c r="AD28" s="70" cm="1">
        <f t="array" ref="AD28">_xlfn.BYROW(B72, _xlfn.LAMBDA(_xlpm.party,
   SUMIFS(ledger!J:J, ledger!B:B, _xlpm.party, ledger!E:E, "&lt;&gt;*RD*", ledger!D:D, "Custom", ledger!C:C, "&lt;&gt;Closing CF")
))+ _xlfn.IFNA(N121, 0)</f>
        <v>0</v>
      </c>
      <c r="AE28" s="39">
        <f t="shared" si="1"/>
        <v>124561.08266276518</v>
      </c>
      <c r="AF28" s="22">
        <f>(SUMIF(Table14[Party],R28,Table14[Credit]))+_xlfn.IFNA(P121,0)</f>
        <v>124560</v>
      </c>
      <c r="AG28" s="33">
        <f t="shared" si="2"/>
        <v>1.0826627651840681</v>
      </c>
      <c r="AH28" s="21">
        <v>10</v>
      </c>
      <c r="AI28" s="21">
        <v>13</v>
      </c>
    </row>
    <row r="29" spans="2:35" x14ac:dyDescent="0.3">
      <c r="R29" t="str">
        <v>ZA</v>
      </c>
      <c r="S29" s="22" cm="1">
        <f t="array" ref="S29">_xlfn.BYROW(B73,_xlfn.LAMBDA(_xlpm.party,SUMIFS(ledger!G:G,ledger!B:B,_xlpm.party,ledger!E:E,"&lt;&gt;*RD*")))+_xlfn.IFNA(C122,0)</f>
        <v>32399</v>
      </c>
      <c r="T29" s="22" cm="1">
        <f t="array" ref="T29">_xlfn.BYROW(B73, _xlfn.LAMBDA(_xlpm.party, SUMIFS(ledger!G:G, ledger!B:B, _xlpm.party, ledger!E:E, "&lt;&gt;*RD*") / 1.0936 ))+_xlfn.IFNA(D122,0)</f>
        <v>29626.005852231167</v>
      </c>
      <c r="U29" s="22" cm="1">
        <f t="array" ref="U29">(_xlfn.BYROW(B73,_xlfn.LAMBDA(_xlpm.party,SUMIFS(ledger!G:G,ledger!B:B,_xlpm.party,ledger!E:E,"&lt;&gt;*RD*",ledger!D:D,"Chamki")+SUMIFS(ledger!G:G, ledger!B:B, _xlpm.party, ledger!E:E, "&lt;&gt;*RD*", ledger!D:D, "Crinkle")))/1.0936)+_xlfn.IFNA(E122,0)</f>
        <v>0</v>
      </c>
      <c r="V29" s="70" cm="1">
        <f t="array" ref="V29">(_xlfn.BYROW(B73,_xlfn.LAMBDA(_xlpm.party,SUMIFS(ledger!G:G,ledger!B:B,_xlpm.party,ledger!E:E,"&lt;&gt;*RD*",ledger!D:D,"Silky")))/1.0936)+_xlfn.IFNA(F122,0)</f>
        <v>29626.005852231167</v>
      </c>
      <c r="W29" s="22" cm="1">
        <f t="array" ref="W29">(_xlfn.BYROW(B73,_xlfn.LAMBDA(_xlpm.party,
(SUMIFS(ledger!J:J,ledger!B:B,_xlpm.party,ledger!E:E,"&lt;&gt;*RD*",ledger!D:D,"Chamki",ledger!C:C,"&lt;&gt;Closing CF")+
SUMIFS(ledger!J:J,ledger!B:B,_xlpm.party,ledger!E:E,"&lt;&gt;*RD*",ledger!D:D,"Crinkle",ledger!C:C,"&lt;&gt;Closing CF")
)+_xlfn.IFNA(G122,0))))</f>
        <v>0</v>
      </c>
      <c r="X29" s="70" cm="1">
        <f t="array" ref="X29">_xlfn.BYROW(B73, _xlfn.LAMBDA(_xlpm.party,
   SUMIFS(ledger!J:J, ledger!B:B, _xlpm.party, ledger!E:E, "&lt;&gt;*RD*", ledger!D:D, "Silky", ledger!C:C, "&lt;&gt;Closing CF")
)) + _xlfn.IFNA(H122, 0)</f>
        <v>385138.07607900514</v>
      </c>
      <c r="Y29" s="70" cm="1">
        <f t="array" ref="Y29">_xlfn.BYROW(B73, _xlfn.LAMBDA(_xlpm.party,
   SUMIFS(ledger!J:J, ledger!B:B, _xlpm.party, ledger!E:E, "&lt;&gt;*RD*", ledger!D:D, "Slub", ledger!C:C, "&lt;&gt;Closing CF")
))+ _xlfn.IFNA(I122, 0)</f>
        <v>0</v>
      </c>
      <c r="Z29" s="70" cm="1">
        <f t="array" ref="Z29">_xlfn.BYROW(B73, _xlfn.LAMBDA(_xlpm.party,
   SUMIFS(ledger!J:J, ledger!B:B, _xlpm.party, ledger!E:E, "&lt;&gt;*RD*", ledger!D:D, "Satin", ledger!C:C, "&lt;&gt;Closing CF")
))+ _xlfn.IFNA(J122, 0)</f>
        <v>0</v>
      </c>
      <c r="AA29" s="70" cm="1">
        <f t="array" ref="AA29">_xlfn.BYROW(B73, _xlfn.LAMBDA(_xlpm.party,
   SUMIFS(ledger!J:J, ledger!B:B, _xlpm.party, ledger!E:E, "&lt;&gt;*RD*", ledger!D:D, "Black-Chamki", ledger!C:C, "&lt;&gt;Closing CF")
))+ _xlfn.IFNA(K122, 0)</f>
        <v>0</v>
      </c>
      <c r="AB29" s="70" cm="1">
        <f t="array" ref="AB29">_xlfn.BYROW(B73, _xlfn.LAMBDA(_xlpm.party,
   SUMIFS(ledger!J:J, ledger!B:B, _xlpm.party, ledger!E:E, "&lt;&gt;*RD*", ledger!D:D, "Kataan", ledger!C:C, "&lt;&gt;Closing CF")
))+ _xlfn.IFNA(L122, 0)</f>
        <v>0</v>
      </c>
      <c r="AC29" s="70" cm="1">
        <f t="array" ref="AC29">_xlfn.BYROW(B73, _xlfn.LAMBDA(_xlpm.party,
   SUMIFS(ledger!J:J, ledger!B:B, _xlpm.party, ledger!E:E, "&lt;&gt;*RD*", ledger!D:D, "Munaar", ledger!C:C, "&lt;&gt;Closing CF")
))+ _xlfn.IFNA(M122, 0)</f>
        <v>0</v>
      </c>
      <c r="AD29" s="70" cm="1">
        <f t="array" ref="AD29">_xlfn.BYROW(B73, _xlfn.LAMBDA(_xlpm.party,
   SUMIFS(ledger!J:J, ledger!B:B, _xlpm.party, ledger!E:E, "&lt;&gt;*RD*", ledger!D:D, "Custom", ledger!C:C, "&lt;&gt;Closing CF")
))+ _xlfn.IFNA(N122, 0)</f>
        <v>0</v>
      </c>
      <c r="AE29" s="39">
        <f t="shared" si="1"/>
        <v>385138.07607900514</v>
      </c>
      <c r="AF29" s="22">
        <f>(SUMIF(Table14[Party],R29,Table14[Credit]))+_xlfn.IFNA(P122,0)</f>
        <v>385000</v>
      </c>
      <c r="AG29" s="33">
        <f t="shared" si="2"/>
        <v>138.07607900514267</v>
      </c>
      <c r="AH29" s="21">
        <v>10</v>
      </c>
      <c r="AI29" s="21">
        <v>13</v>
      </c>
    </row>
    <row r="30" spans="2:35" x14ac:dyDescent="0.3">
      <c r="R30" t="str">
        <v>Ahmad Javaid</v>
      </c>
      <c r="S30" s="22" cm="1">
        <f t="array" ref="S30">_xlfn.BYROW(B74,_xlfn.LAMBDA(_xlpm.party,SUMIFS(ledger!G:G,ledger!B:B,_xlpm.party,ledger!E:E,"&lt;&gt;*RD*")))+_xlfn.IFNA(C123,0)</f>
        <v>12745</v>
      </c>
      <c r="T30" s="22" cm="1">
        <f t="array" ref="T30">_xlfn.BYROW(B74, _xlfn.LAMBDA(_xlpm.party, SUMIFS(ledger!G:G, ledger!B:B, _xlpm.party, ledger!E:E, "&lt;&gt;*RD*") / 1.0936 ))+_xlfn.IFNA(D123,0)</f>
        <v>11654.16971470373</v>
      </c>
      <c r="U30" s="22" cm="1">
        <f t="array" ref="U30">(_xlfn.BYROW(B74,_xlfn.LAMBDA(_xlpm.party,SUMIFS(ledger!G:G,ledger!B:B,_xlpm.party,ledger!E:E,"&lt;&gt;*RD*",ledger!D:D,"Chamki")+SUMIFS(ledger!G:G, ledger!B:B, _xlpm.party, ledger!E:E, "&lt;&gt;*RD*", ledger!D:D, "Crinkle")))/1.0936)+_xlfn.IFNA(E123,0)</f>
        <v>0</v>
      </c>
      <c r="V30" s="70" cm="1">
        <f t="array" ref="V30">(_xlfn.BYROW(B74,_xlfn.LAMBDA(_xlpm.party,SUMIFS(ledger!G:G,ledger!B:B,_xlpm.party,ledger!E:E,"&lt;&gt;*RD*",ledger!D:D,"Silky")))/1.0936)+_xlfn.IFNA(F123,0)</f>
        <v>0</v>
      </c>
      <c r="W30" s="22" cm="1">
        <f t="array" ref="W30">(_xlfn.BYROW(B74,_xlfn.LAMBDA(_xlpm.party,
(SUMIFS(ledger!J:J,ledger!B:B,_xlpm.party,ledger!E:E,"&lt;&gt;*RD*",ledger!D:D,"Chamki",ledger!C:C,"&lt;&gt;Closing CF")+
SUMIFS(ledger!J:J,ledger!B:B,_xlpm.party,ledger!E:E,"&lt;&gt;*RD*",ledger!D:D,"Crinkle",ledger!C:C,"&lt;&gt;Closing CF")
)+_xlfn.IFNA(G123,0))))</f>
        <v>0</v>
      </c>
      <c r="X30" s="70" cm="1">
        <f t="array" ref="X30">_xlfn.BYROW(B74, _xlfn.LAMBDA(_xlpm.party,
   SUMIFS(ledger!J:J, ledger!B:B, _xlpm.party, ledger!E:E, "&lt;&gt;*RD*", ledger!D:D, "Silky", ledger!C:C, "&lt;&gt;Closing CF")
)) + _xlfn.IFNA(H123, 0)</f>
        <v>0</v>
      </c>
      <c r="Y30" s="70" cm="1">
        <f t="array" ref="Y30">_xlfn.BYROW(B74, _xlfn.LAMBDA(_xlpm.party,
   SUMIFS(ledger!J:J, ledger!B:B, _xlpm.party, ledger!E:E, "&lt;&gt;*RD*", ledger!D:D, "Slub", ledger!C:C, "&lt;&gt;Closing CF")
))+ _xlfn.IFNA(I123, 0)</f>
        <v>0</v>
      </c>
      <c r="Z30" s="70" cm="1">
        <f t="array" ref="Z30">_xlfn.BYROW(B74, _xlfn.LAMBDA(_xlpm.party,
   SUMIFS(ledger!J:J, ledger!B:B, _xlpm.party, ledger!E:E, "&lt;&gt;*RD*", ledger!D:D, "Satin", ledger!C:C, "&lt;&gt;Closing CF")
))+ _xlfn.IFNA(J123, 0)</f>
        <v>0</v>
      </c>
      <c r="AA30" s="70" cm="1">
        <f t="array" ref="AA30">_xlfn.BYROW(B74, _xlfn.LAMBDA(_xlpm.party,
   SUMIFS(ledger!J:J, ledger!B:B, _xlpm.party, ledger!E:E, "&lt;&gt;*RD*", ledger!D:D, "Black-Chamki", ledger!C:C, "&lt;&gt;Closing CF")
))+ _xlfn.IFNA(K123, 0)</f>
        <v>0</v>
      </c>
      <c r="AB30" s="70" cm="1">
        <f t="array" ref="AB30">_xlfn.BYROW(B74, _xlfn.LAMBDA(_xlpm.party,
   SUMIFS(ledger!J:J, ledger!B:B, _xlpm.party, ledger!E:E, "&lt;&gt;*RD*", ledger!D:D, "Kataan", ledger!C:C, "&lt;&gt;Closing CF")
))+ _xlfn.IFNA(L123, 0)</f>
        <v>0</v>
      </c>
      <c r="AC30" s="70" cm="1">
        <f t="array" ref="AC30">_xlfn.BYROW(B74, _xlfn.LAMBDA(_xlpm.party,
   SUMIFS(ledger!J:J, ledger!B:B, _xlpm.party, ledger!E:E, "&lt;&gt;*RD*", ledger!D:D, "Munaar", ledger!C:C, "&lt;&gt;Closing CF")
))+ _xlfn.IFNA(M123, 0)</f>
        <v>151504.2062911485</v>
      </c>
      <c r="AD30" s="70" cm="1">
        <f t="array" ref="AD30">_xlfn.BYROW(B74, _xlfn.LAMBDA(_xlpm.party,
   SUMIFS(ledger!J:J, ledger!B:B, _xlpm.party, ledger!E:E, "&lt;&gt;*RD*", ledger!D:D, "Custom", ledger!C:C, "&lt;&gt;Closing CF")
))+ _xlfn.IFNA(N123, 0)</f>
        <v>0</v>
      </c>
      <c r="AE30" s="39">
        <f t="shared" si="1"/>
        <v>151504.2062911485</v>
      </c>
      <c r="AF30" s="22">
        <f>(SUMIF(Table14[Party],R30,Table14[Credit]))+_xlfn.IFNA(P123,0)</f>
        <v>130000</v>
      </c>
      <c r="AG30" s="33">
        <f t="shared" si="2"/>
        <v>21504.206291148497</v>
      </c>
      <c r="AH30" s="21">
        <v>10</v>
      </c>
      <c r="AI30" s="21">
        <v>13</v>
      </c>
    </row>
    <row r="31" spans="2:35" x14ac:dyDescent="0.3">
      <c r="R31" t="str">
        <v>Shani Badshah</v>
      </c>
      <c r="S31" s="22" cm="1">
        <f t="array" ref="S31">_xlfn.BYROW(B75,_xlfn.LAMBDA(_xlpm.party,SUMIFS(ledger!G:G,ledger!B:B,_xlpm.party,ledger!E:E,"&lt;&gt;*RD*")))+_xlfn.IFNA(C124,0)</f>
        <v>312320</v>
      </c>
      <c r="T31" s="22" cm="1">
        <f t="array" ref="T31">_xlfn.BYROW(B75, _xlfn.LAMBDA(_xlpm.party, SUMIFS(ledger!G:G, ledger!B:B, _xlpm.party, ledger!E:E, "&lt;&gt;*RD*") / 1.0936 ))+_xlfn.IFNA(D124,0)</f>
        <v>285588.88076079008</v>
      </c>
      <c r="U31" s="22" cm="1">
        <f t="array" ref="U31">(_xlfn.BYROW(B75,_xlfn.LAMBDA(_xlpm.party,SUMIFS(ledger!G:G,ledger!B:B,_xlpm.party,ledger!E:E,"&lt;&gt;*RD*",ledger!D:D,"Chamki")+SUMIFS(ledger!G:G, ledger!B:B, _xlpm.party, ledger!E:E, "&lt;&gt;*RD*", ledger!D:D, "Crinkle")))/1.0936)+_xlfn.IFNA(E124,0)</f>
        <v>198861.55815654719</v>
      </c>
      <c r="V31" s="70" cm="1">
        <f t="array" ref="V31">(_xlfn.BYROW(B75,_xlfn.LAMBDA(_xlpm.party,SUMIFS(ledger!G:G,ledger!B:B,_xlpm.party,ledger!E:E,"&lt;&gt;*RD*",ledger!D:D,"Silky")))/1.0936)+_xlfn.IFNA(F124,0)</f>
        <v>86727.322604242872</v>
      </c>
      <c r="W31" s="22" cm="1">
        <f t="array" ref="W31">(_xlfn.BYROW(B75,_xlfn.LAMBDA(_xlpm.party,
(SUMIFS(ledger!J:J,ledger!B:B,_xlpm.party,ledger!E:E,"&lt;&gt;*RD*",ledger!D:D,"Chamki",ledger!C:C,"&lt;&gt;Closing CF")+
SUMIFS(ledger!J:J,ledger!B:B,_xlpm.party,ledger!E:E,"&lt;&gt;*RD*",ledger!D:D,"Crinkle",ledger!C:C,"&lt;&gt;Closing CF")
)+_xlfn.IFNA(G124,0))))</f>
        <v>1988615.5815654721</v>
      </c>
      <c r="X31" s="70" cm="1">
        <f t="array" ref="X31">_xlfn.BYROW(B75, _xlfn.LAMBDA(_xlpm.party,
   SUMIFS(ledger!J:J, ledger!B:B, _xlpm.party, ledger!E:E, "&lt;&gt;*RD*", ledger!D:D, "Silky", ledger!C:C, "&lt;&gt;Closing CF")
)) + _xlfn.IFNA(H124, 0)</f>
        <v>1127455.1938551574</v>
      </c>
      <c r="Y31" s="70" cm="1">
        <f t="array" ref="Y31">_xlfn.BYROW(B75, _xlfn.LAMBDA(_xlpm.party,
   SUMIFS(ledger!J:J, ledger!B:B, _xlpm.party, ledger!E:E, "&lt;&gt;*RD*", ledger!D:D, "Slub", ledger!C:C, "&lt;&gt;Closing CF")
))+ _xlfn.IFNA(I124, 0)</f>
        <v>0</v>
      </c>
      <c r="Z31" s="70" cm="1">
        <f t="array" ref="Z31">_xlfn.BYROW(B75, _xlfn.LAMBDA(_xlpm.party,
   SUMIFS(ledger!J:J, ledger!B:B, _xlpm.party, ledger!E:E, "&lt;&gt;*RD*", ledger!D:D, "Satin", ledger!C:C, "&lt;&gt;Closing CF")
))+ _xlfn.IFNA(J124, 0)</f>
        <v>0</v>
      </c>
      <c r="AA31" s="70" cm="1">
        <f t="array" ref="AA31">_xlfn.BYROW(B75, _xlfn.LAMBDA(_xlpm.party,
   SUMIFS(ledger!J:J, ledger!B:B, _xlpm.party, ledger!E:E, "&lt;&gt;*RD*", ledger!D:D, "Black-Chamki", ledger!C:C, "&lt;&gt;Closing CF")
))+ _xlfn.IFNA(K124, 0)</f>
        <v>0</v>
      </c>
      <c r="AB31" s="70" cm="1">
        <f t="array" ref="AB31">_xlfn.BYROW(B75, _xlfn.LAMBDA(_xlpm.party,
   SUMIFS(ledger!J:J, ledger!B:B, _xlpm.party, ledger!E:E, "&lt;&gt;*RD*", ledger!D:D, "Kataan", ledger!C:C, "&lt;&gt;Closing CF")
))+ _xlfn.IFNA(L124, 0)</f>
        <v>0</v>
      </c>
      <c r="AC31" s="70" cm="1">
        <f t="array" ref="AC31">_xlfn.BYROW(B75, _xlfn.LAMBDA(_xlpm.party,
   SUMIFS(ledger!J:J, ledger!B:B, _xlpm.party, ledger!E:E, "&lt;&gt;*RD*", ledger!D:D, "Munaar", ledger!C:C, "&lt;&gt;Closing CF")
))+ _xlfn.IFNA(M124, 0)</f>
        <v>0</v>
      </c>
      <c r="AD31" s="70" cm="1">
        <f t="array" ref="AD31">_xlfn.BYROW(B75, _xlfn.LAMBDA(_xlpm.party,
   SUMIFS(ledger!J:J, ledger!B:B, _xlpm.party, ledger!E:E, "&lt;&gt;*RD*", ledger!D:D, "Custom", ledger!C:C, "&lt;&gt;Closing CF")
))+ _xlfn.IFNA(N124, 0)</f>
        <v>0</v>
      </c>
      <c r="AE31" s="39">
        <f t="shared" si="1"/>
        <v>3116070.7754206294</v>
      </c>
      <c r="AF31" s="22">
        <f>(SUMIF(Table14[Party],R31,Table14[Credit]))+_xlfn.IFNA(P124,0)</f>
        <v>3116071</v>
      </c>
      <c r="AG31" s="33">
        <f t="shared" si="2"/>
        <v>-0.22457937058061361</v>
      </c>
      <c r="AH31" s="21">
        <v>10</v>
      </c>
      <c r="AI31" s="21">
        <v>13</v>
      </c>
    </row>
    <row r="32" spans="2:35" x14ac:dyDescent="0.3">
      <c r="R32" t="str">
        <v>Rehman Ali</v>
      </c>
      <c r="S32" s="22" cm="1">
        <f t="array" ref="S32">_xlfn.BYROW(B76,_xlfn.LAMBDA(_xlpm.party,SUMIFS(ledger!G:G,ledger!B:B,_xlpm.party,ledger!E:E,"&lt;&gt;*RD*")))+_xlfn.IFNA(C125,0)</f>
        <v>50131</v>
      </c>
      <c r="T32" s="22" cm="1">
        <f t="array" ref="T32">_xlfn.BYROW(B76, _xlfn.LAMBDA(_xlpm.party, SUMIFS(ledger!G:G, ledger!B:B, _xlpm.party, ledger!E:E, "&lt;&gt;*RD*") / 1.0936 ))+_xlfn.IFNA(D125,0)</f>
        <v>45840.343818580841</v>
      </c>
      <c r="U32" s="22" cm="1">
        <f t="array" ref="U32">(_xlfn.BYROW(B76,_xlfn.LAMBDA(_xlpm.party,SUMIFS(ledger!G:G,ledger!B:B,_xlpm.party,ledger!E:E,"&lt;&gt;*RD*",ledger!D:D,"Chamki")+SUMIFS(ledger!G:G, ledger!B:B, _xlpm.party, ledger!E:E, "&lt;&gt;*RD*", ledger!D:D, "Crinkle")))/1.0936)+_xlfn.IFNA(E125,0)</f>
        <v>0</v>
      </c>
      <c r="V32" s="70" cm="1">
        <f t="array" ref="V32">(_xlfn.BYROW(B76,_xlfn.LAMBDA(_xlpm.party,SUMIFS(ledger!G:G,ledger!B:B,_xlpm.party,ledger!E:E,"&lt;&gt;*RD*",ledger!D:D,"Silky")))/1.0936)+_xlfn.IFNA(F125,0)</f>
        <v>45840.343818580841</v>
      </c>
      <c r="W32" s="22" cm="1">
        <f t="array" ref="W32">(_xlfn.BYROW(B76,_xlfn.LAMBDA(_xlpm.party,
(SUMIFS(ledger!J:J,ledger!B:B,_xlpm.party,ledger!E:E,"&lt;&gt;*RD*",ledger!D:D,"Chamki",ledger!C:C,"&lt;&gt;Closing CF")+
SUMIFS(ledger!J:J,ledger!B:B,_xlpm.party,ledger!E:E,"&lt;&gt;*RD*",ledger!D:D,"Crinkle",ledger!C:C,"&lt;&gt;Closing CF")
)+_xlfn.IFNA(G125,0))))</f>
        <v>0</v>
      </c>
      <c r="X32" s="70" cm="1">
        <f t="array" ref="X32">_xlfn.BYROW(B76, _xlfn.LAMBDA(_xlpm.party,
   SUMIFS(ledger!J:J, ledger!B:B, _xlpm.party, ledger!E:E, "&lt;&gt;*RD*", ledger!D:D, "Silky", ledger!C:C, "&lt;&gt;Closing CF")
)) + _xlfn.IFNA(H125, 0)</f>
        <v>595924.46964155091</v>
      </c>
      <c r="Y32" s="70" cm="1">
        <f t="array" ref="Y32">_xlfn.BYROW(B76, _xlfn.LAMBDA(_xlpm.party,
   SUMIFS(ledger!J:J, ledger!B:B, _xlpm.party, ledger!E:E, "&lt;&gt;*RD*", ledger!D:D, "Slub", ledger!C:C, "&lt;&gt;Closing CF")
))+ _xlfn.IFNA(I125, 0)</f>
        <v>0</v>
      </c>
      <c r="Z32" s="70" cm="1">
        <f t="array" ref="Z32">_xlfn.BYROW(B76, _xlfn.LAMBDA(_xlpm.party,
   SUMIFS(ledger!J:J, ledger!B:B, _xlpm.party, ledger!E:E, "&lt;&gt;*RD*", ledger!D:D, "Satin", ledger!C:C, "&lt;&gt;Closing CF")
))+ _xlfn.IFNA(J125, 0)</f>
        <v>0</v>
      </c>
      <c r="AA32" s="70" cm="1">
        <f t="array" ref="AA32">_xlfn.BYROW(B76, _xlfn.LAMBDA(_xlpm.party,
   SUMIFS(ledger!J:J, ledger!B:B, _xlpm.party, ledger!E:E, "&lt;&gt;*RD*", ledger!D:D, "Black-Chamki", ledger!C:C, "&lt;&gt;Closing CF")
))+ _xlfn.IFNA(K125, 0)</f>
        <v>0</v>
      </c>
      <c r="AB32" s="70" cm="1">
        <f t="array" ref="AB32">_xlfn.BYROW(B76, _xlfn.LAMBDA(_xlpm.party,
   SUMIFS(ledger!J:J, ledger!B:B, _xlpm.party, ledger!E:E, "&lt;&gt;*RD*", ledger!D:D, "Kataan", ledger!C:C, "&lt;&gt;Closing CF")
))+ _xlfn.IFNA(L125, 0)</f>
        <v>0</v>
      </c>
      <c r="AC32" s="70" cm="1">
        <f t="array" ref="AC32">_xlfn.BYROW(B76, _xlfn.LAMBDA(_xlpm.party,
   SUMIFS(ledger!J:J, ledger!B:B, _xlpm.party, ledger!E:E, "&lt;&gt;*RD*", ledger!D:D, "Munaar", ledger!C:C, "&lt;&gt;Closing CF")
))+ _xlfn.IFNA(M125, 0)</f>
        <v>0</v>
      </c>
      <c r="AD32" s="70" cm="1">
        <f t="array" ref="AD32">_xlfn.BYROW(B76, _xlfn.LAMBDA(_xlpm.party,
   SUMIFS(ledger!J:J, ledger!B:B, _xlpm.party, ledger!E:E, "&lt;&gt;*RD*", ledger!D:D, "Custom", ledger!C:C, "&lt;&gt;Closing CF")
))+ _xlfn.IFNA(N125, 0)</f>
        <v>0</v>
      </c>
      <c r="AE32" s="39">
        <f t="shared" si="1"/>
        <v>595924.46964155091</v>
      </c>
      <c r="AF32" s="22">
        <f>(SUMIF(Table14[Party],R32,Table14[Credit]))+_xlfn.IFNA(P125,0)</f>
        <v>550000</v>
      </c>
      <c r="AG32" s="33">
        <f t="shared" si="2"/>
        <v>45924.46964155091</v>
      </c>
      <c r="AH32" s="21">
        <v>10</v>
      </c>
      <c r="AI32" s="21">
        <v>13</v>
      </c>
    </row>
    <row r="33" spans="2:35" x14ac:dyDescent="0.3">
      <c r="R33" t="str">
        <v>Ahmad Shafique</v>
      </c>
      <c r="S33" s="22" cm="1">
        <f t="array" ref="S33">_xlfn.BYROW(B77,_xlfn.LAMBDA(_xlpm.party,SUMIFS(ledger!G:G,ledger!B:B,_xlpm.party,ledger!E:E,"&lt;&gt;*RD*")))+_xlfn.IFNA(C126,0)</f>
        <v>53541</v>
      </c>
      <c r="T33" s="22" cm="1">
        <f t="array" ref="T33">_xlfn.BYROW(B77, _xlfn.LAMBDA(_xlpm.party, SUMIFS(ledger!G:G, ledger!B:B, _xlpm.party, ledger!E:E, "&lt;&gt;*RD*") / 1.0936 ))+_xlfn.IFNA(D126,0)</f>
        <v>48958.485735186543</v>
      </c>
      <c r="U33" s="22" cm="1">
        <f t="array" ref="U33">(_xlfn.BYROW(B77,_xlfn.LAMBDA(_xlpm.party,SUMIFS(ledger!G:G,ledger!B:B,_xlpm.party,ledger!E:E,"&lt;&gt;*RD*",ledger!D:D,"Chamki")+SUMIFS(ledger!G:G, ledger!B:B, _xlpm.party, ledger!E:E, "&lt;&gt;*RD*", ledger!D:D, "Crinkle")))/1.0936)+_xlfn.IFNA(E126,0)</f>
        <v>0</v>
      </c>
      <c r="V33" s="70" cm="1">
        <f t="array" ref="V33">(_xlfn.BYROW(B77,_xlfn.LAMBDA(_xlpm.party,SUMIFS(ledger!G:G,ledger!B:B,_xlpm.party,ledger!E:E,"&lt;&gt;*RD*",ledger!D:D,"Silky")))/1.0936)+_xlfn.IFNA(F126,0)</f>
        <v>48958.485735186543</v>
      </c>
      <c r="W33" s="22" cm="1">
        <f t="array" ref="W33">(_xlfn.BYROW(B77,_xlfn.LAMBDA(_xlpm.party,
(SUMIFS(ledger!J:J,ledger!B:B,_xlpm.party,ledger!E:E,"&lt;&gt;*RD*",ledger!D:D,"Chamki",ledger!C:C,"&lt;&gt;Closing CF")+
SUMIFS(ledger!J:J,ledger!B:B,_xlpm.party,ledger!E:E,"&lt;&gt;*RD*",ledger!D:D,"Crinkle",ledger!C:C,"&lt;&gt;Closing CF")
)+_xlfn.IFNA(G126,0))))</f>
        <v>0</v>
      </c>
      <c r="X33" s="70" cm="1">
        <f t="array" ref="X33">_xlfn.BYROW(B77, _xlfn.LAMBDA(_xlpm.party,
   SUMIFS(ledger!J:J, ledger!B:B, _xlpm.party, ledger!E:E, "&lt;&gt;*RD*", ledger!D:D, "Silky", ledger!C:C, "&lt;&gt;Closing CF")
)) + _xlfn.IFNA(H126, 0)</f>
        <v>636460.3145574251</v>
      </c>
      <c r="Y33" s="70" cm="1">
        <f t="array" ref="Y33">_xlfn.BYROW(B77, _xlfn.LAMBDA(_xlpm.party,
   SUMIFS(ledger!J:J, ledger!B:B, _xlpm.party, ledger!E:E, "&lt;&gt;*RD*", ledger!D:D, "Slub", ledger!C:C, "&lt;&gt;Closing CF")
))+ _xlfn.IFNA(I126, 0)</f>
        <v>0</v>
      </c>
      <c r="Z33" s="70" cm="1">
        <f t="array" ref="Z33">_xlfn.BYROW(B77, _xlfn.LAMBDA(_xlpm.party,
   SUMIFS(ledger!J:J, ledger!B:B, _xlpm.party, ledger!E:E, "&lt;&gt;*RD*", ledger!D:D, "Satin", ledger!C:C, "&lt;&gt;Closing CF")
))+ _xlfn.IFNA(J126, 0)</f>
        <v>0</v>
      </c>
      <c r="AA33" s="70" cm="1">
        <f t="array" ref="AA33">_xlfn.BYROW(B77, _xlfn.LAMBDA(_xlpm.party,
   SUMIFS(ledger!J:J, ledger!B:B, _xlpm.party, ledger!E:E, "&lt;&gt;*RD*", ledger!D:D, "Black-Chamki", ledger!C:C, "&lt;&gt;Closing CF")
))+ _xlfn.IFNA(K126, 0)</f>
        <v>0</v>
      </c>
      <c r="AB33" s="70" cm="1">
        <f t="array" ref="AB33">_xlfn.BYROW(B77, _xlfn.LAMBDA(_xlpm.party,
   SUMIFS(ledger!J:J, ledger!B:B, _xlpm.party, ledger!E:E, "&lt;&gt;*RD*", ledger!D:D, "Kataan", ledger!C:C, "&lt;&gt;Closing CF")
))+ _xlfn.IFNA(L126, 0)</f>
        <v>0</v>
      </c>
      <c r="AC33" s="70" cm="1">
        <f t="array" ref="AC33">_xlfn.BYROW(B77, _xlfn.LAMBDA(_xlpm.party,
   SUMIFS(ledger!J:J, ledger!B:B, _xlpm.party, ledger!E:E, "&lt;&gt;*RD*", ledger!D:D, "Munaar", ledger!C:C, "&lt;&gt;Closing CF")
))+ _xlfn.IFNA(M126, 0)</f>
        <v>0</v>
      </c>
      <c r="AD33" s="70" cm="1">
        <f t="array" ref="AD33">_xlfn.BYROW(B77, _xlfn.LAMBDA(_xlpm.party,
   SUMIFS(ledger!J:J, ledger!B:B, _xlpm.party, ledger!E:E, "&lt;&gt;*RD*", ledger!D:D, "Custom", ledger!C:C, "&lt;&gt;Closing CF")
))+ _xlfn.IFNA(N126, 0)</f>
        <v>0</v>
      </c>
      <c r="AE33" s="39">
        <f t="shared" si="1"/>
        <v>636460.3145574251</v>
      </c>
      <c r="AF33" s="22">
        <f>(SUMIF(Table14[Party],R33,Table14[Credit]))+_xlfn.IFNA(P126,0)</f>
        <v>636000</v>
      </c>
      <c r="AG33" s="33">
        <f t="shared" si="2"/>
        <v>460.3145574250957</v>
      </c>
      <c r="AH33" s="21">
        <v>10</v>
      </c>
      <c r="AI33" s="21">
        <v>13</v>
      </c>
    </row>
    <row r="34" spans="2:35" x14ac:dyDescent="0.3">
      <c r="R34" t="str">
        <v>Hafiz Shawl</v>
      </c>
      <c r="S34" s="22" cm="1">
        <f t="array" ref="S34">_xlfn.BYROW(B78,_xlfn.LAMBDA(_xlpm.party,SUMIFS(ledger!G:G,ledger!B:B,_xlpm.party,ledger!E:E,"&lt;&gt;*RD*")))+_xlfn.IFNA(C127,0)</f>
        <v>33395</v>
      </c>
      <c r="T34" s="22" cm="1">
        <f t="array" ref="T34">_xlfn.BYROW(B78, _xlfn.LAMBDA(_xlpm.party, SUMIFS(ledger!G:G, ledger!B:B, _xlpm.party, ledger!E:E, "&lt;&gt;*RD*") / 1.0936 ))+_xlfn.IFNA(D127,0)</f>
        <v>30536.759326993419</v>
      </c>
      <c r="U34" s="22" cm="1">
        <f t="array" ref="U34">(_xlfn.BYROW(B78,_xlfn.LAMBDA(_xlpm.party,SUMIFS(ledger!G:G,ledger!B:B,_xlpm.party,ledger!E:E,"&lt;&gt;*RD*",ledger!D:D,"Chamki")+SUMIFS(ledger!G:G, ledger!B:B, _xlpm.party, ledger!E:E, "&lt;&gt;*RD*", ledger!D:D, "Crinkle")))/1.0936)+_xlfn.IFNA(E127,0)</f>
        <v>0</v>
      </c>
      <c r="V34" s="70" cm="1">
        <f t="array" ref="V34">(_xlfn.BYROW(B78,_xlfn.LAMBDA(_xlpm.party,SUMIFS(ledger!G:G,ledger!B:B,_xlpm.party,ledger!E:E,"&lt;&gt;*RD*",ledger!D:D,"Silky")))/1.0936)+_xlfn.IFNA(F127,0)</f>
        <v>1321.3240673006585</v>
      </c>
      <c r="W34" s="22" cm="1">
        <f t="array" ref="W34">(_xlfn.BYROW(B78,_xlfn.LAMBDA(_xlpm.party,
(SUMIFS(ledger!J:J,ledger!B:B,_xlpm.party,ledger!E:E,"&lt;&gt;*RD*",ledger!D:D,"Chamki",ledger!C:C,"&lt;&gt;Closing CF")+
SUMIFS(ledger!J:J,ledger!B:B,_xlpm.party,ledger!E:E,"&lt;&gt;*RD*",ledger!D:D,"Crinkle",ledger!C:C,"&lt;&gt;Closing CF")
)+_xlfn.IFNA(G127,0))))</f>
        <v>0</v>
      </c>
      <c r="X34" s="70" cm="1">
        <f t="array" ref="X34">_xlfn.BYROW(B78, _xlfn.LAMBDA(_xlpm.party,
   SUMIFS(ledger!J:J, ledger!B:B, _xlpm.party, ledger!E:E, "&lt;&gt;*RD*", ledger!D:D, "Silky", ledger!C:C, "&lt;&gt;Closing CF")
)) + _xlfn.IFNA(H127, 0)</f>
        <v>15855.888807607902</v>
      </c>
      <c r="Y34" s="70" cm="1">
        <f t="array" ref="Y34">_xlfn.BYROW(B78, _xlfn.LAMBDA(_xlpm.party,
   SUMIFS(ledger!J:J, ledger!B:B, _xlpm.party, ledger!E:E, "&lt;&gt;*RD*", ledger!D:D, "Slub", ledger!C:C, "&lt;&gt;Closing CF")
))+ _xlfn.IFNA(I127, 0)</f>
        <v>0</v>
      </c>
      <c r="Z34" s="70" cm="1">
        <f t="array" ref="Z34">_xlfn.BYROW(B78, _xlfn.LAMBDA(_xlpm.party,
   SUMIFS(ledger!J:J, ledger!B:B, _xlpm.party, ledger!E:E, "&lt;&gt;*RD*", ledger!D:D, "Satin", ledger!C:C, "&lt;&gt;Closing CF")
))+ _xlfn.IFNA(J127, 0)</f>
        <v>0</v>
      </c>
      <c r="AA34" s="70" cm="1">
        <f t="array" ref="AA34">_xlfn.BYROW(B78, _xlfn.LAMBDA(_xlpm.party,
   SUMIFS(ledger!J:J, ledger!B:B, _xlpm.party, ledger!E:E, "&lt;&gt;*RD*", ledger!D:D, "Black-Chamki", ledger!C:C, "&lt;&gt;Closing CF")
))+ _xlfn.IFNA(K127, 0)</f>
        <v>0</v>
      </c>
      <c r="AB34" s="70" cm="1">
        <f t="array" ref="AB34">_xlfn.BYROW(B78, _xlfn.LAMBDA(_xlpm.party,
   SUMIFS(ledger!J:J, ledger!B:B, _xlpm.party, ledger!E:E, "&lt;&gt;*RD*", ledger!D:D, "Kataan", ledger!C:C, "&lt;&gt;Closing CF")
))+ _xlfn.IFNA(L127, 0)</f>
        <v>0</v>
      </c>
      <c r="AC34" s="70" cm="1">
        <f t="array" ref="AC34">_xlfn.BYROW(B78, _xlfn.LAMBDA(_xlpm.party,
   SUMIFS(ledger!J:J, ledger!B:B, _xlpm.party, ledger!E:E, "&lt;&gt;*RD*", ledger!D:D, "Munaar", ledger!C:C, "&lt;&gt;Closing CF")
))+ _xlfn.IFNA(M127, 0)</f>
        <v>0</v>
      </c>
      <c r="AD34" s="70" cm="1">
        <f t="array" ref="AD34">_xlfn.BYROW(B78, _xlfn.LAMBDA(_xlpm.party,
   SUMIFS(ledger!J:J, ledger!B:B, _xlpm.party, ledger!E:E, "&lt;&gt;*RD*", ledger!D:D, "Custom", ledger!C:C, "&lt;&gt;Closing CF")
))+ _xlfn.IFNA(N127, 0)</f>
        <v>584043.52596927597</v>
      </c>
      <c r="AE34" s="39">
        <f t="shared" si="1"/>
        <v>599899.4147768839</v>
      </c>
      <c r="AF34" s="22">
        <f>(SUMIF(Table14[Party],R34,Table14[Credit]))+_xlfn.IFNA(P127,0)</f>
        <v>55855</v>
      </c>
      <c r="AG34" s="33">
        <f t="shared" si="2"/>
        <v>544044.4147768839</v>
      </c>
      <c r="AH34" s="21">
        <v>10</v>
      </c>
      <c r="AI34" s="21">
        <v>13</v>
      </c>
    </row>
    <row r="35" spans="2:35" x14ac:dyDescent="0.3">
      <c r="R35" t="str">
        <v>Zahid Ejaz</v>
      </c>
      <c r="S35" s="22" cm="1">
        <f t="array" ref="S35">_xlfn.BYROW(B79,_xlfn.LAMBDA(_xlpm.party,SUMIFS(ledger!G:G,ledger!B:B,_xlpm.party,ledger!E:E,"&lt;&gt;*RD*")))+_xlfn.IFNA(C128,0)</f>
        <v>16060</v>
      </c>
      <c r="T35" s="22" cm="1">
        <f t="array" ref="T35">_xlfn.BYROW(B79, _xlfn.LAMBDA(_xlpm.party, SUMIFS(ledger!G:G, ledger!B:B, _xlpm.party, ledger!E:E, "&lt;&gt;*RD*") / 1.0936 ))+_xlfn.IFNA(D128,0)</f>
        <v>14685.442574981713</v>
      </c>
      <c r="U35" s="22" cm="1">
        <f t="array" ref="U35">(_xlfn.BYROW(B79,_xlfn.LAMBDA(_xlpm.party,SUMIFS(ledger!G:G,ledger!B:B,_xlpm.party,ledger!E:E,"&lt;&gt;*RD*",ledger!D:D,"Chamki")+SUMIFS(ledger!G:G, ledger!B:B, _xlpm.party, ledger!E:E, "&lt;&gt;*RD*", ledger!D:D, "Crinkle")))/1.0936)+_xlfn.IFNA(E128,0)</f>
        <v>14685.442574981713</v>
      </c>
      <c r="V35" s="70" cm="1">
        <f t="array" ref="V35">(_xlfn.BYROW(B79,_xlfn.LAMBDA(_xlpm.party,SUMIFS(ledger!G:G,ledger!B:B,_xlpm.party,ledger!E:E,"&lt;&gt;*RD*",ledger!D:D,"Silky")))/1.0936)+_xlfn.IFNA(F128,0)</f>
        <v>0</v>
      </c>
      <c r="W35" s="22" cm="1">
        <f t="array" ref="W35">(_xlfn.BYROW(B79,_xlfn.LAMBDA(_xlpm.party,
(SUMIFS(ledger!J:J,ledger!B:B,_xlpm.party,ledger!E:E,"&lt;&gt;*RD*",ledger!D:D,"Chamki",ledger!C:C,"&lt;&gt;Closing CF")+
SUMIFS(ledger!J:J,ledger!B:B,_xlpm.party,ledger!E:E,"&lt;&gt;*RD*",ledger!D:D,"Crinkle",ledger!C:C,"&lt;&gt;Closing CF")
)+_xlfn.IFNA(G128,0))))</f>
        <v>161539.86832479882</v>
      </c>
      <c r="X35" s="70" cm="1">
        <f t="array" ref="X35">_xlfn.BYROW(B79, _xlfn.LAMBDA(_xlpm.party,
   SUMIFS(ledger!J:J, ledger!B:B, _xlpm.party, ledger!E:E, "&lt;&gt;*RD*", ledger!D:D, "Silky", ledger!C:C, "&lt;&gt;Closing CF")
)) + _xlfn.IFNA(H128, 0)</f>
        <v>0</v>
      </c>
      <c r="Y35" s="70" cm="1">
        <f t="array" ref="Y35">_xlfn.BYROW(B79, _xlfn.LAMBDA(_xlpm.party,
   SUMIFS(ledger!J:J, ledger!B:B, _xlpm.party, ledger!E:E, "&lt;&gt;*RD*", ledger!D:D, "Slub", ledger!C:C, "&lt;&gt;Closing CF")
))+ _xlfn.IFNA(I128, 0)</f>
        <v>0</v>
      </c>
      <c r="Z35" s="70" cm="1">
        <f t="array" ref="Z35">_xlfn.BYROW(B79, _xlfn.LAMBDA(_xlpm.party,
   SUMIFS(ledger!J:J, ledger!B:B, _xlpm.party, ledger!E:E, "&lt;&gt;*RD*", ledger!D:D, "Satin", ledger!C:C, "&lt;&gt;Closing CF")
))+ _xlfn.IFNA(J128, 0)</f>
        <v>0</v>
      </c>
      <c r="AA35" s="70" cm="1">
        <f t="array" ref="AA35">_xlfn.BYROW(B79, _xlfn.LAMBDA(_xlpm.party,
   SUMIFS(ledger!J:J, ledger!B:B, _xlpm.party, ledger!E:E, "&lt;&gt;*RD*", ledger!D:D, "Black-Chamki", ledger!C:C, "&lt;&gt;Closing CF")
))+ _xlfn.IFNA(K128, 0)</f>
        <v>0</v>
      </c>
      <c r="AB35" s="70" cm="1">
        <f t="array" ref="AB35">_xlfn.BYROW(B79, _xlfn.LAMBDA(_xlpm.party,
   SUMIFS(ledger!J:J, ledger!B:B, _xlpm.party, ledger!E:E, "&lt;&gt;*RD*", ledger!D:D, "Kataan", ledger!C:C, "&lt;&gt;Closing CF")
))+ _xlfn.IFNA(L128, 0)</f>
        <v>0</v>
      </c>
      <c r="AC35" s="70" cm="1">
        <f t="array" ref="AC35">_xlfn.BYROW(B79, _xlfn.LAMBDA(_xlpm.party,
   SUMIFS(ledger!J:J, ledger!B:B, _xlpm.party, ledger!E:E, "&lt;&gt;*RD*", ledger!D:D, "Munaar", ledger!C:C, "&lt;&gt;Closing CF")
))+ _xlfn.IFNA(M128, 0)</f>
        <v>0</v>
      </c>
      <c r="AD35" s="70" cm="1">
        <f t="array" ref="AD35">_xlfn.BYROW(B79, _xlfn.LAMBDA(_xlpm.party,
   SUMIFS(ledger!J:J, ledger!B:B, _xlpm.party, ledger!E:E, "&lt;&gt;*RD*", ledger!D:D, "Custom", ledger!C:C, "&lt;&gt;Closing CF")
))+ _xlfn.IFNA(N128, 0)</f>
        <v>0</v>
      </c>
      <c r="AE35" s="39">
        <f t="shared" si="1"/>
        <v>161539.86832479882</v>
      </c>
      <c r="AF35" s="22">
        <f>(SUMIF(Table14[Party],R35,Table14[Credit]))+_xlfn.IFNA(P128,0)</f>
        <v>169278</v>
      </c>
      <c r="AG35" s="33">
        <f t="shared" si="2"/>
        <v>-7738.1316752011771</v>
      </c>
      <c r="AH35" s="21">
        <v>10</v>
      </c>
      <c r="AI35" s="21">
        <v>13</v>
      </c>
    </row>
    <row r="36" spans="2:35" x14ac:dyDescent="0.3">
      <c r="R36" t="str">
        <v>Faizan Kamoki</v>
      </c>
      <c r="S36" s="22" cm="1">
        <f t="array" ref="S36">_xlfn.BYROW(B80,_xlfn.LAMBDA(_xlpm.party,SUMIFS(ledger!G:G,ledger!B:B,_xlpm.party,ledger!E:E,"&lt;&gt;*RD*")))+_xlfn.IFNA(C129,0)</f>
        <v>763887</v>
      </c>
      <c r="T36" s="22" cm="1">
        <f t="array" ref="T36">_xlfn.BYROW(B80, _xlfn.LAMBDA(_xlpm.party, SUMIFS(ledger!G:G, ledger!B:B, _xlpm.party, ledger!E:E, "&lt;&gt;*RD*") / 1.0936 ))+_xlfn.IFNA(D129,0)</f>
        <v>698506.76664228248</v>
      </c>
      <c r="U36" s="22" cm="1">
        <f t="array" ref="U36">(_xlfn.BYROW(B80,_xlfn.LAMBDA(_xlpm.party,SUMIFS(ledger!G:G,ledger!B:B,_xlpm.party,ledger!E:E,"&lt;&gt;*RD*",ledger!D:D,"Chamki")+SUMIFS(ledger!G:G, ledger!B:B, _xlpm.party, ledger!E:E, "&lt;&gt;*RD*", ledger!D:D, "Crinkle")))/1.0936)+_xlfn.IFNA(E129,0)</f>
        <v>0</v>
      </c>
      <c r="V36" s="70" cm="1">
        <f t="array" ref="V36">(_xlfn.BYROW(B80,_xlfn.LAMBDA(_xlpm.party,SUMIFS(ledger!G:G,ledger!B:B,_xlpm.party,ledger!E:E,"&lt;&gt;*RD*",ledger!D:D,"Silky")))/1.0936)+_xlfn.IFNA(F129,0)</f>
        <v>502652.70665691298</v>
      </c>
      <c r="W36" s="22" cm="1">
        <f t="array" ref="W36">(_xlfn.BYROW(B80,_xlfn.LAMBDA(_xlpm.party,
(SUMIFS(ledger!J:J,ledger!B:B,_xlpm.party,ledger!E:E,"&lt;&gt;*RD*",ledger!D:D,"Chamki",ledger!C:C,"&lt;&gt;Closing CF")+
SUMIFS(ledger!J:J,ledger!B:B,_xlpm.party,ledger!E:E,"&lt;&gt;*RD*",ledger!D:D,"Crinkle",ledger!C:C,"&lt;&gt;Closing CF")
)+_xlfn.IFNA(G129,0))))</f>
        <v>0</v>
      </c>
      <c r="X36" s="70" cm="1">
        <f t="array" ref="X36">_xlfn.BYROW(B80, _xlfn.LAMBDA(_xlpm.party,
   SUMIFS(ledger!J:J, ledger!B:B, _xlpm.party, ledger!E:E, "&lt;&gt;*RD*", ledger!D:D, "Silky", ledger!C:C, "&lt;&gt;Closing CF")
)) + _xlfn.IFNA(H129, 0)</f>
        <v>6534485.1865398679</v>
      </c>
      <c r="Y36" s="70" cm="1">
        <f t="array" ref="Y36">_xlfn.BYROW(B80, _xlfn.LAMBDA(_xlpm.party,
   SUMIFS(ledger!J:J, ledger!B:B, _xlpm.party, ledger!E:E, "&lt;&gt;*RD*", ledger!D:D, "Slub", ledger!C:C, "&lt;&gt;Closing CF")
))+ _xlfn.IFNA(I129, 0)</f>
        <v>0</v>
      </c>
      <c r="Z36" s="70" cm="1">
        <f t="array" ref="Z36">_xlfn.BYROW(B80, _xlfn.LAMBDA(_xlpm.party,
   SUMIFS(ledger!J:J, ledger!B:B, _xlpm.party, ledger!E:E, "&lt;&gt;*RD*", ledger!D:D, "Satin", ledger!C:C, "&lt;&gt;Closing CF")
))+ _xlfn.IFNA(J129, 0)</f>
        <v>0</v>
      </c>
      <c r="AA36" s="70" cm="1">
        <f t="array" ref="AA36">_xlfn.BYROW(B80, _xlfn.LAMBDA(_xlpm.party,
   SUMIFS(ledger!J:J, ledger!B:B, _xlpm.party, ledger!E:E, "&lt;&gt;*RD*", ledger!D:D, "Black-Chamki", ledger!C:C, "&lt;&gt;Closing CF")
))+ _xlfn.IFNA(K129, 0)</f>
        <v>0</v>
      </c>
      <c r="AB36" s="70" cm="1">
        <f t="array" ref="AB36">_xlfn.BYROW(B80, _xlfn.LAMBDA(_xlpm.party,
   SUMIFS(ledger!J:J, ledger!B:B, _xlpm.party, ledger!E:E, "&lt;&gt;*RD*", ledger!D:D, "Kataan", ledger!C:C, "&lt;&gt;Closing CF")
))+ _xlfn.IFNA(L129, 0)</f>
        <v>1894656.1814191663</v>
      </c>
      <c r="AC36" s="70" cm="1">
        <f t="array" ref="AC36">_xlfn.BYROW(B80, _xlfn.LAMBDA(_xlpm.party,
   SUMIFS(ledger!J:J, ledger!B:B, _xlpm.party, ledger!E:E, "&lt;&gt;*RD*", ledger!D:D, "Munaar", ledger!C:C, "&lt;&gt;Closing CF")
))+ _xlfn.IFNA(M129, 0)</f>
        <v>0</v>
      </c>
      <c r="AD36" s="70" cm="1">
        <f t="array" ref="AD36">_xlfn.BYROW(B80, _xlfn.LAMBDA(_xlpm.party,
   SUMIFS(ledger!J:J, ledger!B:B, _xlpm.party, ledger!E:E, "&lt;&gt;*RD*", ledger!D:D, "Custom", ledger!C:C, "&lt;&gt;Closing CF")
))+ _xlfn.IFNA(N129, 0)</f>
        <v>272523.77468910022</v>
      </c>
      <c r="AE36" s="39">
        <f t="shared" si="1"/>
        <v>8701665.1426481344</v>
      </c>
      <c r="AF36" s="22">
        <f>(SUMIF(Table14[Party],R36,Table14[Credit]))+_xlfn.IFNA(P129,0)</f>
        <v>9129845.4930504747</v>
      </c>
      <c r="AG36" s="33">
        <f t="shared" si="2"/>
        <v>-428180.35040234029</v>
      </c>
    </row>
    <row r="37" spans="2:35" x14ac:dyDescent="0.3">
      <c r="R37" t="str">
        <v>KK fabrics</v>
      </c>
      <c r="S37" s="22" cm="1">
        <f t="array" ref="S37">_xlfn.BYROW(B81,_xlfn.LAMBDA(_xlpm.party,SUMIFS(ledger!G:G,ledger!B:B,_xlpm.party,ledger!E:E,"&lt;&gt;*RD*")))+_xlfn.IFNA(C130,0)</f>
        <v>59639</v>
      </c>
      <c r="T37" s="22" cm="1">
        <f t="array" ref="T37">_xlfn.BYROW(B81, _xlfn.LAMBDA(_xlpm.party, SUMIFS(ledger!G:G, ledger!B:B, _xlpm.party, ledger!E:E, "&lt;&gt;*RD*") / 1.0936 ))+_xlfn.IFNA(D130,0)</f>
        <v>54534.564740307251</v>
      </c>
      <c r="U37" s="22" cm="1">
        <f t="array" ref="U37">(_xlfn.BYROW(B81,_xlfn.LAMBDA(_xlpm.party,SUMIFS(ledger!G:G,ledger!B:B,_xlpm.party,ledger!E:E,"&lt;&gt;*RD*",ledger!D:D,"Chamki")+SUMIFS(ledger!G:G, ledger!B:B, _xlpm.party, ledger!E:E, "&lt;&gt;*RD*", ledger!D:D, "Crinkle")))/1.0936)+_xlfn.IFNA(E130,0)</f>
        <v>54534.564740307251</v>
      </c>
      <c r="V37" s="70" cm="1">
        <f t="array" ref="V37">(_xlfn.BYROW(B81,_xlfn.LAMBDA(_xlpm.party,SUMIFS(ledger!G:G,ledger!B:B,_xlpm.party,ledger!E:E,"&lt;&gt;*RD*",ledger!D:D,"Silky")))/1.0936)+_xlfn.IFNA(F130,0)</f>
        <v>0</v>
      </c>
      <c r="W37" s="22" cm="1">
        <f t="array" ref="W37">(_xlfn.BYROW(B81,_xlfn.LAMBDA(_xlpm.party,
(SUMIFS(ledger!J:J,ledger!B:B,_xlpm.party,ledger!E:E,"&lt;&gt;*RD*",ledger!D:D,"Chamki",ledger!C:C,"&lt;&gt;Closing CF")+
SUMIFS(ledger!J:J,ledger!B:B,_xlpm.party,ledger!E:E,"&lt;&gt;*RD*",ledger!D:D,"Crinkle",ledger!C:C,"&lt;&gt;Closing CF")
)+_xlfn.IFNA(G130,0))))</f>
        <v>545345.64740307245</v>
      </c>
      <c r="X37" s="70" cm="1">
        <f t="array" ref="X37">_xlfn.BYROW(B81, _xlfn.LAMBDA(_xlpm.party,
   SUMIFS(ledger!J:J, ledger!B:B, _xlpm.party, ledger!E:E, "&lt;&gt;*RD*", ledger!D:D, "Silky", ledger!C:C, "&lt;&gt;Closing CF")
)) + _xlfn.IFNA(H130, 0)</f>
        <v>0</v>
      </c>
      <c r="Y37" s="70" cm="1">
        <f t="array" ref="Y37">_xlfn.BYROW(B81, _xlfn.LAMBDA(_xlpm.party,
   SUMIFS(ledger!J:J, ledger!B:B, _xlpm.party, ledger!E:E, "&lt;&gt;*RD*", ledger!D:D, "Slub", ledger!C:C, "&lt;&gt;Closing CF")
))+ _xlfn.IFNA(I130, 0)</f>
        <v>0</v>
      </c>
      <c r="Z37" s="70" cm="1">
        <f t="array" ref="Z37">_xlfn.BYROW(B81, _xlfn.LAMBDA(_xlpm.party,
   SUMIFS(ledger!J:J, ledger!B:B, _xlpm.party, ledger!E:E, "&lt;&gt;*RD*", ledger!D:D, "Satin", ledger!C:C, "&lt;&gt;Closing CF")
))+ _xlfn.IFNA(J130, 0)</f>
        <v>0</v>
      </c>
      <c r="AA37" s="70" cm="1">
        <f t="array" ref="AA37">_xlfn.BYROW(B81, _xlfn.LAMBDA(_xlpm.party,
   SUMIFS(ledger!J:J, ledger!B:B, _xlpm.party, ledger!E:E, "&lt;&gt;*RD*", ledger!D:D, "Black-Chamki", ledger!C:C, "&lt;&gt;Closing CF")
))+ _xlfn.IFNA(K130, 0)</f>
        <v>0</v>
      </c>
      <c r="AB37" s="70" cm="1">
        <f t="array" ref="AB37">_xlfn.BYROW(B81, _xlfn.LAMBDA(_xlpm.party,
   SUMIFS(ledger!J:J, ledger!B:B, _xlpm.party, ledger!E:E, "&lt;&gt;*RD*", ledger!D:D, "Kataan", ledger!C:C, "&lt;&gt;Closing CF")
))+ _xlfn.IFNA(L130, 0)</f>
        <v>0</v>
      </c>
      <c r="AC37" s="70" cm="1">
        <f t="array" ref="AC37">_xlfn.BYROW(B81, _xlfn.LAMBDA(_xlpm.party,
   SUMIFS(ledger!J:J, ledger!B:B, _xlpm.party, ledger!E:E, "&lt;&gt;*RD*", ledger!D:D, "Munaar", ledger!C:C, "&lt;&gt;Closing CF")
))+ _xlfn.IFNA(M130, 0)</f>
        <v>0</v>
      </c>
      <c r="AD37" s="70" cm="1">
        <f t="array" ref="AD37">_xlfn.BYROW(B81, _xlfn.LAMBDA(_xlpm.party,
   SUMIFS(ledger!J:J, ledger!B:B, _xlpm.party, ledger!E:E, "&lt;&gt;*RD*", ledger!D:D, "Custom", ledger!C:C, "&lt;&gt;Closing CF")
))+ _xlfn.IFNA(N130, 0)</f>
        <v>0</v>
      </c>
      <c r="AE37" s="39">
        <f t="shared" si="1"/>
        <v>545345.64740307245</v>
      </c>
      <c r="AF37" s="22">
        <f>(SUMIF(Table14[Party],R37,Table14[Credit]))+_xlfn.IFNA(P130,0)</f>
        <v>544000</v>
      </c>
      <c r="AG37" s="33">
        <f t="shared" ref="AG37" si="3">AE37-AF37</f>
        <v>1345.6474030724494</v>
      </c>
    </row>
    <row r="38" spans="2:35" x14ac:dyDescent="0.3">
      <c r="R38" t="str">
        <v>Rauf Khan</v>
      </c>
      <c r="S38" s="22" cm="1">
        <f t="array" ref="S38">_xlfn.BYROW(B82,_xlfn.LAMBDA(_xlpm.party,SUMIFS(ledger!G:G,ledger!B:B,_xlpm.party,ledger!E:E,"&lt;&gt;*RD*")))+_xlfn.IFNA(C131,0)</f>
        <v>464372</v>
      </c>
      <c r="T38" s="22" cm="1">
        <f t="array" ref="T38">_xlfn.BYROW(B82, _xlfn.LAMBDA(_xlpm.party, SUMIFS(ledger!G:G, ledger!B:B, _xlpm.party, ledger!E:E, "&lt;&gt;*RD*") / 1.0936 ))+_xlfn.IFNA(D131,0)</f>
        <v>424626.92026335042</v>
      </c>
      <c r="U38" s="22" cm="1">
        <f t="array" ref="U38">(_xlfn.BYROW(B82,_xlfn.LAMBDA(_xlpm.party,SUMIFS(ledger!G:G,ledger!B:B,_xlpm.party,ledger!E:E,"&lt;&gt;*RD*",ledger!D:D,"Chamki")+SUMIFS(ledger!G:G, ledger!B:B, _xlpm.party, ledger!E:E, "&lt;&gt;*RD*", ledger!D:D, "Crinkle")))/1.0936)+_xlfn.IFNA(E131,0)</f>
        <v>86493.233357717632</v>
      </c>
      <c r="V38" s="70" cm="1">
        <f t="array" ref="V38">(_xlfn.BYROW(B82,_xlfn.LAMBDA(_xlpm.party,SUMIFS(ledger!G:G,ledger!B:B,_xlpm.party,ledger!E:E,"&lt;&gt;*RD*",ledger!D:D,"Silky")))/1.0936)+_xlfn.IFNA(F131,0)</f>
        <v>243062.36283833213</v>
      </c>
      <c r="W38" s="22" cm="1">
        <f t="array" ref="W38">(_xlfn.BYROW(B82,_xlfn.LAMBDA(_xlpm.party,
(SUMIFS(ledger!J:J,ledger!B:B,_xlpm.party,ledger!E:E,"&lt;&gt;*RD*",ledger!D:D,"Chamki",ledger!C:C,"&lt;&gt;Closing CF")+
SUMIFS(ledger!J:J,ledger!B:B,_xlpm.party,ledger!E:E,"&lt;&gt;*RD*",ledger!D:D,"Crinkle",ledger!C:C,"&lt;&gt;Closing CF")
)+_xlfn.IFNA(G131,0))))</f>
        <v>864932.33357717632</v>
      </c>
      <c r="X38" s="70" cm="1">
        <f t="array" ref="X38">_xlfn.BYROW(B82, _xlfn.LAMBDA(_xlpm.party,
   SUMIFS(ledger!J:J, ledger!B:B, _xlpm.party, ledger!E:E, "&lt;&gt;*RD*", ledger!D:D, "Silky", ledger!C:C, "&lt;&gt;Closing CF")
)) + _xlfn.IFNA(H131, 0)</f>
        <v>2935341.0753474766</v>
      </c>
      <c r="Y38" s="70" cm="1">
        <f t="array" ref="Y38">_xlfn.BYROW(B82, _xlfn.LAMBDA(_xlpm.party,
   SUMIFS(ledger!J:J, ledger!B:B, _xlpm.party, ledger!E:E, "&lt;&gt;*RD*", ledger!D:D, "Slub", ledger!C:C, "&lt;&gt;Closing CF")
))+ _xlfn.IFNA(I131, 0)</f>
        <v>0</v>
      </c>
      <c r="Z38" s="70" cm="1">
        <f t="array" ref="Z38">_xlfn.BYROW(B82, _xlfn.LAMBDA(_xlpm.party,
   SUMIFS(ledger!J:J, ledger!B:B, _xlpm.party, ledger!E:E, "&lt;&gt;*RD*", ledger!D:D, "Satin", ledger!C:C, "&lt;&gt;Closing CF")
))+ _xlfn.IFNA(J131, 0)</f>
        <v>1426069.86100951</v>
      </c>
      <c r="AA38" s="70" cm="1">
        <f t="array" ref="AA38">_xlfn.BYROW(B82, _xlfn.LAMBDA(_xlpm.party,
   SUMIFS(ledger!J:J, ledger!B:B, _xlpm.party, ledger!E:E, "&lt;&gt;*RD*", ledger!D:D, "Black-Chamki", ledger!C:C, "&lt;&gt;Closing CF")
))+ _xlfn.IFNA(K131, 0)</f>
        <v>0</v>
      </c>
      <c r="AB38" s="70" cm="1">
        <f t="array" ref="AB38">_xlfn.BYROW(B82, _xlfn.LAMBDA(_xlpm.party,
   SUMIFS(ledger!J:J, ledger!B:B, _xlpm.party, ledger!E:E, "&lt;&gt;*RD*", ledger!D:D, "Kataan", ledger!C:C, "&lt;&gt;Closing CF")
))+ _xlfn.IFNA(L131, 0)</f>
        <v>0</v>
      </c>
      <c r="AC38" s="70" cm="1">
        <f t="array" ref="AC38">_xlfn.BYROW(B82, _xlfn.LAMBDA(_xlpm.party,
   SUMIFS(ledger!J:J, ledger!B:B, _xlpm.party, ledger!E:E, "&lt;&gt;*RD*", ledger!D:D, "Munaar", ledger!C:C, "&lt;&gt;Closing CF")
))+ _xlfn.IFNA(M131, 0)</f>
        <v>0</v>
      </c>
      <c r="AD38" s="70" cm="1">
        <f t="array" ref="AD38">_xlfn.BYROW(B82, _xlfn.LAMBDA(_xlpm.party,
   SUMIFS(ledger!J:J, ledger!B:B, _xlpm.party, ledger!E:E, "&lt;&gt;*RD*", ledger!D:D, "Custom", ledger!C:C, "&lt;&gt;Closing CF")
))+ _xlfn.IFNA(N131, 0)</f>
        <v>17000</v>
      </c>
      <c r="AE38" s="39">
        <f t="shared" si="1"/>
        <v>5243343.2699341634</v>
      </c>
      <c r="AF38" s="22">
        <f>(SUMIF(Table14[Party],R38,Table14[Credit]))+_xlfn.IFNA(P131,0)</f>
        <v>4298879</v>
      </c>
      <c r="AG38" s="33">
        <f t="shared" ref="AG38" si="4">AE38-AF38</f>
        <v>944464.26993416343</v>
      </c>
    </row>
    <row r="39" spans="2:35" x14ac:dyDescent="0.3">
      <c r="R39">
        <v>0</v>
      </c>
      <c r="S39" s="22" cm="1">
        <f t="array" ref="S39">_xlfn.BYROW(B83,_xlfn.LAMBDA(_xlpm.party,SUMIFS(ledger!G:G,ledger!B:B,_xlpm.party,ledger!E:E,"&lt;&gt;*RD*")))+_xlfn.IFNA(C132,0)</f>
        <v>0</v>
      </c>
      <c r="T39" s="22" cm="1">
        <f t="array" ref="T39">_xlfn.BYROW(B83, _xlfn.LAMBDA(_xlpm.party, SUMIFS(ledger!G:G, ledger!B:B, _xlpm.party, ledger!E:E, "&lt;&gt;*RD*") / 1.0936 ))+_xlfn.IFNA(D132,0)</f>
        <v>0</v>
      </c>
      <c r="U39" s="22" cm="1">
        <f t="array" ref="U39">(_xlfn.BYROW(B83,_xlfn.LAMBDA(_xlpm.party,SUMIFS(ledger!G:G,ledger!B:B,_xlpm.party,ledger!E:E,"&lt;&gt;*RD*",ledger!D:D,"Chamki")+SUMIFS(ledger!G:G, ledger!B:B, _xlpm.party, ledger!E:E, "&lt;&gt;*RD*", ledger!D:D, "Crinkle")))/1.0936)+_xlfn.IFNA(E132,0)</f>
        <v>0</v>
      </c>
      <c r="V39" s="70" cm="1">
        <f t="array" ref="V39">(_xlfn.BYROW(B83,_xlfn.LAMBDA(_xlpm.party,SUMIFS(ledger!G:G,ledger!B:B,_xlpm.party,ledger!E:E,"&lt;&gt;*RD*",ledger!D:D,"Silky")))/1.0936)+_xlfn.IFNA(F132,0)</f>
        <v>0</v>
      </c>
      <c r="W39" s="22" cm="1">
        <f t="array" ref="W39">(_xlfn.BYROW(B83,_xlfn.LAMBDA(_xlpm.party,
(SUMIFS(ledger!J:J,ledger!B:B,_xlpm.party,ledger!E:E,"&lt;&gt;*RD*",ledger!D:D,"Chamki",ledger!C:C,"&lt;&gt;Closing CF")+
SUMIFS(ledger!J:J,ledger!B:B,_xlpm.party,ledger!E:E,"&lt;&gt;*RD*",ledger!D:D,"Crinkle",ledger!C:C,"&lt;&gt;Closing CF")
)+_xlfn.IFNA(G132,0))))</f>
        <v>0</v>
      </c>
      <c r="X39" s="70" cm="1">
        <f t="array" ref="X39">_xlfn.BYROW(B83, _xlfn.LAMBDA(_xlpm.party,
   SUMIFS(ledger!J:J, ledger!B:B, _xlpm.party, ledger!E:E, "&lt;&gt;*RD*", ledger!D:D, "Silky", ledger!C:C, "&lt;&gt;Closing CF")
)) + _xlfn.IFNA(H132, 0)</f>
        <v>0</v>
      </c>
      <c r="Y39" s="70" cm="1">
        <f t="array" ref="Y39">_xlfn.BYROW(B83, _xlfn.LAMBDA(_xlpm.party,
   SUMIFS(ledger!J:J, ledger!B:B, _xlpm.party, ledger!E:E, "&lt;&gt;*RD*", ledger!D:D, "Slub", ledger!C:C, "&lt;&gt;Closing CF")
))+ _xlfn.IFNA(I132, 0)</f>
        <v>0</v>
      </c>
      <c r="Z39" s="70" cm="1">
        <f t="array" ref="Z39">_xlfn.BYROW(B83, _xlfn.LAMBDA(_xlpm.party,
   SUMIFS(ledger!J:J, ledger!B:B, _xlpm.party, ledger!E:E, "&lt;&gt;*RD*", ledger!D:D, "Satin", ledger!C:C, "&lt;&gt;Closing CF")
))+ _xlfn.IFNA(J132, 0)</f>
        <v>0</v>
      </c>
      <c r="AA39" s="70" cm="1">
        <f t="array" ref="AA39">_xlfn.BYROW(B83, _xlfn.LAMBDA(_xlpm.party,
   SUMIFS(ledger!J:J, ledger!B:B, _xlpm.party, ledger!E:E, "&lt;&gt;*RD*", ledger!D:D, "Black-Chamki", ledger!C:C, "&lt;&gt;Closing CF")
))+ _xlfn.IFNA(K132, 0)</f>
        <v>0</v>
      </c>
      <c r="AB39" s="70" cm="1">
        <f t="array" ref="AB39">_xlfn.BYROW(B83, _xlfn.LAMBDA(_xlpm.party,
   SUMIFS(ledger!J:J, ledger!B:B, _xlpm.party, ledger!E:E, "&lt;&gt;*RD*", ledger!D:D, "Kataan", ledger!C:C, "&lt;&gt;Closing CF")
))+ _xlfn.IFNA(L132, 0)</f>
        <v>0</v>
      </c>
      <c r="AC39" s="70" cm="1">
        <f t="array" ref="AC39">_xlfn.BYROW(B83, _xlfn.LAMBDA(_xlpm.party,
   SUMIFS(ledger!J:J, ledger!B:B, _xlpm.party, ledger!E:E, "&lt;&gt;*RD*", ledger!D:D, "Munaar", ledger!C:C, "&lt;&gt;Closing CF")
))+ _xlfn.IFNA(M132, 0)</f>
        <v>0</v>
      </c>
      <c r="AD39" s="70" cm="1">
        <f t="array" ref="AD39">_xlfn.BYROW(B83, _xlfn.LAMBDA(_xlpm.party,
   SUMIFS(ledger!J:J, ledger!B:B, _xlpm.party, ledger!E:E, "&lt;&gt;*RD*", ledger!D:D, "Custom", ledger!C:C, "&lt;&gt;Closing CF")
))+ _xlfn.IFNA(N132, 0)</f>
        <v>0</v>
      </c>
      <c r="AE39" s="39">
        <f t="shared" ref="AE39:AE40" si="5">W39+X39+Y39+Z39+AA39+AB39+AC39+AD39</f>
        <v>0</v>
      </c>
      <c r="AF39" s="22">
        <f>(SUMIF(Table14[Party],R39,Table14[Credit]))+_xlfn.IFNA(P132,0)</f>
        <v>0</v>
      </c>
      <c r="AG39" s="33">
        <f t="shared" ref="AG39:AG40" si="6">AE39-AF39</f>
        <v>0</v>
      </c>
    </row>
    <row r="40" spans="2:35" x14ac:dyDescent="0.3">
      <c r="R40" t="str">
        <v>Farhaan ali</v>
      </c>
      <c r="S40" s="22" cm="1">
        <f t="array" ref="S40">_xlfn.BYROW(B84,_xlfn.LAMBDA(_xlpm.party,SUMIFS(ledger!G:G,ledger!B:B,_xlpm.party,ledger!E:E,"&lt;&gt;*RD*")))+_xlfn.IFNA(C133,0)</f>
        <v>195693</v>
      </c>
      <c r="T40" s="22" cm="1">
        <f t="array" ref="T40">_xlfn.BYROW(B84, _xlfn.LAMBDA(_xlpm.party, SUMIFS(ledger!G:G, ledger!B:B, _xlpm.party, ledger!E:E, "&lt;&gt;*RD*") / 1.0936 ))+_xlfn.IFNA(D133,0)</f>
        <v>178943.85515727874</v>
      </c>
      <c r="U40" s="22" cm="1">
        <f t="array" ref="U40">(_xlfn.BYROW(B84,_xlfn.LAMBDA(_xlpm.party,SUMIFS(ledger!G:G,ledger!B:B,_xlpm.party,ledger!E:E,"&lt;&gt;*RD*",ledger!D:D,"Chamki")+SUMIFS(ledger!G:G, ledger!B:B, _xlpm.party, ledger!E:E, "&lt;&gt;*RD*", ledger!D:D, "Crinkle")))/1.0936)+_xlfn.IFNA(E133,0)</f>
        <v>0</v>
      </c>
      <c r="V40" s="70" cm="1">
        <f t="array" ref="V40">(_xlfn.BYROW(B84,_xlfn.LAMBDA(_xlpm.party,SUMIFS(ledger!G:G,ledger!B:B,_xlpm.party,ledger!E:E,"&lt;&gt;*RD*",ledger!D:D,"Silky")))/1.0936)+_xlfn.IFNA(F133,0)</f>
        <v>178943.85515727874</v>
      </c>
      <c r="W40" s="22" cm="1">
        <f t="array" ref="W40">(_xlfn.BYROW(B84,_xlfn.LAMBDA(_xlpm.party,
(SUMIFS(ledger!J:J,ledger!B:B,_xlpm.party,ledger!E:E,"&lt;&gt;*RD*",ledger!D:D,"Chamki",ledger!C:C,"&lt;&gt;Closing CF")+
SUMIFS(ledger!J:J,ledger!B:B,_xlpm.party,ledger!E:E,"&lt;&gt;*RD*",ledger!D:D,"Crinkle",ledger!C:C,"&lt;&gt;Closing CF")
)+_xlfn.IFNA(G133,0))))</f>
        <v>0</v>
      </c>
      <c r="X40" s="70" cm="1">
        <f t="array" ref="X40">_xlfn.BYROW(B84, _xlfn.LAMBDA(_xlpm.party,
   SUMIFS(ledger!J:J, ledger!B:B, _xlpm.party, ledger!E:E, "&lt;&gt;*RD*", ledger!D:D, "Silky", ledger!C:C, "&lt;&gt;Closing CF")
)) + _xlfn.IFNA(H133, 0)</f>
        <v>2147326.2618873445</v>
      </c>
      <c r="Y40" s="70" cm="1">
        <f t="array" ref="Y40">_xlfn.BYROW(B84, _xlfn.LAMBDA(_xlpm.party,
   SUMIFS(ledger!J:J, ledger!B:B, _xlpm.party, ledger!E:E, "&lt;&gt;*RD*", ledger!D:D, "Slub", ledger!C:C, "&lt;&gt;Closing CF")
))+ _xlfn.IFNA(I133, 0)</f>
        <v>0</v>
      </c>
      <c r="Z40" s="70" cm="1">
        <f t="array" ref="Z40">_xlfn.BYROW(B84, _xlfn.LAMBDA(_xlpm.party,
   SUMIFS(ledger!J:J, ledger!B:B, _xlpm.party, ledger!E:E, "&lt;&gt;*RD*", ledger!D:D, "Satin", ledger!C:C, "&lt;&gt;Closing CF")
))+ _xlfn.IFNA(J133, 0)</f>
        <v>0</v>
      </c>
      <c r="AA40" s="70" cm="1">
        <f t="array" ref="AA40">_xlfn.BYROW(B84, _xlfn.LAMBDA(_xlpm.party,
   SUMIFS(ledger!J:J, ledger!B:B, _xlpm.party, ledger!E:E, "&lt;&gt;*RD*", ledger!D:D, "Black-Chamki", ledger!C:C, "&lt;&gt;Closing CF")
))+ _xlfn.IFNA(K133, 0)</f>
        <v>0</v>
      </c>
      <c r="AB40" s="70" cm="1">
        <f t="array" ref="AB40">_xlfn.BYROW(B84, _xlfn.LAMBDA(_xlpm.party,
   SUMIFS(ledger!J:J, ledger!B:B, _xlpm.party, ledger!E:E, "&lt;&gt;*RD*", ledger!D:D, "Kataan", ledger!C:C, "&lt;&gt;Closing CF")
))+ _xlfn.IFNA(L133, 0)</f>
        <v>0</v>
      </c>
      <c r="AC40" s="70" cm="1">
        <f t="array" ref="AC40">_xlfn.BYROW(B84, _xlfn.LAMBDA(_xlpm.party,
   SUMIFS(ledger!J:J, ledger!B:B, _xlpm.party, ledger!E:E, "&lt;&gt;*RD*", ledger!D:D, "Munaar", ledger!C:C, "&lt;&gt;Closing CF")
))+ _xlfn.IFNA(M133, 0)</f>
        <v>0</v>
      </c>
      <c r="AD40" s="70" cm="1">
        <f t="array" ref="AD40">_xlfn.BYROW(B84, _xlfn.LAMBDA(_xlpm.party,
   SUMIFS(ledger!J:J, ledger!B:B, _xlpm.party, ledger!E:E, "&lt;&gt;*RD*", ledger!D:D, "Custom", ledger!C:C, "&lt;&gt;Closing CF")
))+ _xlfn.IFNA(N133, 0)</f>
        <v>0</v>
      </c>
      <c r="AE40" s="39">
        <f t="shared" si="5"/>
        <v>2147326.2618873445</v>
      </c>
      <c r="AF40" s="22">
        <f>(SUMIF(Table14[Party],R40,Table14[Credit]))+_xlfn.IFNA(P133,0)</f>
        <v>2147000</v>
      </c>
      <c r="AG40" s="33">
        <f t="shared" si="6"/>
        <v>326.26188734453171</v>
      </c>
    </row>
    <row r="41" spans="2:35" x14ac:dyDescent="0.3">
      <c r="R41" t="str">
        <v>ACM salman zaffar</v>
      </c>
      <c r="S41" s="22" cm="1">
        <f t="array" ref="S41">_xlfn.BYROW(B85,_xlfn.LAMBDA(_xlpm.party,SUMIFS(ledger!G:G,ledger!B:B,_xlpm.party,ledger!E:E,"&lt;&gt;*RD*")))+_xlfn.IFNA(C134,0)</f>
        <v>94735</v>
      </c>
      <c r="T41" s="22" cm="1">
        <f t="array" ref="T41">_xlfn.BYROW(B85, _xlfn.LAMBDA(_xlpm.party, SUMIFS(ledger!G:G, ledger!B:B, _xlpm.party, ledger!E:E, "&lt;&gt;*RD*") / 1.0936 ))+_xlfn.IFNA(D134,0)</f>
        <v>86626.737381126557</v>
      </c>
      <c r="U41" s="22" cm="1">
        <f t="array" ref="U41">(_xlfn.BYROW(B85,_xlfn.LAMBDA(_xlpm.party,SUMIFS(ledger!G:G,ledger!B:B,_xlpm.party,ledger!E:E,"&lt;&gt;*RD*",ledger!D:D,"Chamki")+SUMIFS(ledger!G:G, ledger!B:B, _xlpm.party, ledger!E:E, "&lt;&gt;*RD*", ledger!D:D, "Crinkle")))/1.0936)+_xlfn.IFNA(E134,0)</f>
        <v>84342.538405267012</v>
      </c>
      <c r="V41" s="70" cm="1">
        <f t="array" ref="V41">(_xlfn.BYROW(B85,_xlfn.LAMBDA(_xlpm.party,SUMIFS(ledger!G:G,ledger!B:B,_xlpm.party,ledger!E:E,"&lt;&gt;*RD*",ledger!D:D,"Silky")))/1.0936)+_xlfn.IFNA(F134,0)</f>
        <v>2284.1989758595469</v>
      </c>
      <c r="W41" s="22" cm="1">
        <f t="array" ref="W41">(_xlfn.BYROW(B85,_xlfn.LAMBDA(_xlpm.party,
(SUMIFS(ledger!J:J,ledger!B:B,_xlpm.party,ledger!E:E,"&lt;&gt;*RD*",ledger!D:D,"Chamki",ledger!C:C,"&lt;&gt;Closing CF")+
SUMIFS(ledger!J:J,ledger!B:B,_xlpm.party,ledger!E:E,"&lt;&gt;*RD*",ledger!D:D,"Crinkle",ledger!C:C,"&lt;&gt;Closing CF")
)+_xlfn.IFNA(G134,0))))</f>
        <v>843425.38405267021</v>
      </c>
      <c r="X41" s="70" cm="1">
        <f t="array" ref="X41">_xlfn.BYROW(B85, _xlfn.LAMBDA(_xlpm.party,
   SUMIFS(ledger!J:J, ledger!B:B, _xlpm.party, ledger!E:E, "&lt;&gt;*RD*", ledger!D:D, "Silky", ledger!C:C, "&lt;&gt;Closing CF")
)) + _xlfn.IFNA(H134, 0)</f>
        <v>29694.586686174109</v>
      </c>
      <c r="Y41" s="70" cm="1">
        <f t="array" ref="Y41">_xlfn.BYROW(B85, _xlfn.LAMBDA(_xlpm.party,
   SUMIFS(ledger!J:J, ledger!B:B, _xlpm.party, ledger!E:E, "&lt;&gt;*RD*", ledger!D:D, "Slub", ledger!C:C, "&lt;&gt;Closing CF")
))+ _xlfn.IFNA(I134, 0)</f>
        <v>0</v>
      </c>
      <c r="Z41" s="70" cm="1">
        <f t="array" ref="Z41">_xlfn.BYROW(B85, _xlfn.LAMBDA(_xlpm.party,
   SUMIFS(ledger!J:J, ledger!B:B, _xlpm.party, ledger!E:E, "&lt;&gt;*RD*", ledger!D:D, "Satin", ledger!C:C, "&lt;&gt;Closing CF")
))+ _xlfn.IFNA(J134, 0)</f>
        <v>0</v>
      </c>
      <c r="AA41" s="70" cm="1">
        <f t="array" ref="AA41">_xlfn.BYROW(B85, _xlfn.LAMBDA(_xlpm.party,
   SUMIFS(ledger!J:J, ledger!B:B, _xlpm.party, ledger!E:E, "&lt;&gt;*RD*", ledger!D:D, "Black-Chamki", ledger!C:C, "&lt;&gt;Closing CF")
))+ _xlfn.IFNA(K134, 0)</f>
        <v>0</v>
      </c>
      <c r="AB41" s="70" cm="1">
        <f t="array" ref="AB41">_xlfn.BYROW(B85, _xlfn.LAMBDA(_xlpm.party,
   SUMIFS(ledger!J:J, ledger!B:B, _xlpm.party, ledger!E:E, "&lt;&gt;*RD*", ledger!D:D, "Kataan", ledger!C:C, "&lt;&gt;Closing CF")
))+ _xlfn.IFNA(L134, 0)</f>
        <v>0</v>
      </c>
      <c r="AC41" s="70" cm="1">
        <f t="array" ref="AC41">_xlfn.BYROW(B85, _xlfn.LAMBDA(_xlpm.party,
   SUMIFS(ledger!J:J, ledger!B:B, _xlpm.party, ledger!E:E, "&lt;&gt;*RD*", ledger!D:D, "Munaar", ledger!C:C, "&lt;&gt;Closing CF")
))+ _xlfn.IFNA(M134, 0)</f>
        <v>0</v>
      </c>
      <c r="AD41" s="70" cm="1">
        <f t="array" ref="AD41">_xlfn.BYROW(B85, _xlfn.LAMBDA(_xlpm.party,
   SUMIFS(ledger!J:J, ledger!B:B, _xlpm.party, ledger!E:E, "&lt;&gt;*RD*", ledger!D:D, "Custom", ledger!C:C, "&lt;&gt;Closing CF")
))+ _xlfn.IFNA(N134, 0)</f>
        <v>0</v>
      </c>
      <c r="AE41" s="39">
        <f t="shared" ref="AE41:AE42" si="7">W41+X41+Y41+Z41+AA41+AB41+AC41+AD41</f>
        <v>873119.97073884436</v>
      </c>
      <c r="AF41" s="22">
        <f>(SUMIF(Table14[Party],R41,Table14[Credit]))+_xlfn.IFNA(P134,0)</f>
        <v>628000</v>
      </c>
      <c r="AG41" s="33">
        <f t="shared" ref="AG41:AG42" si="8">AE41-AF41</f>
        <v>245119.97073884436</v>
      </c>
    </row>
    <row r="42" spans="2:35" x14ac:dyDescent="0.3">
      <c r="R42" t="str">
        <v>Moeez badshah</v>
      </c>
      <c r="S42" s="22" cm="1">
        <f t="array" ref="S42">_xlfn.BYROW(B86,_xlfn.LAMBDA(_xlpm.party,SUMIFS(ledger!G:G,ledger!B:B,_xlpm.party,ledger!E:E,"&lt;&gt;*RD*")))+_xlfn.IFNA(C135,0)</f>
        <v>168047</v>
      </c>
      <c r="T42" s="22" cm="1">
        <f t="array" ref="T42">_xlfn.BYROW(B86, _xlfn.LAMBDA(_xlpm.party, SUMIFS(ledger!G:G, ledger!B:B, _xlpm.party, ledger!E:E, "&lt;&gt;*RD*") / 1.0936 ))+_xlfn.IFNA(D135,0)</f>
        <v>153664.04535479154</v>
      </c>
      <c r="U42" s="22" cm="1">
        <f t="array" ref="U42">(_xlfn.BYROW(B86,_xlfn.LAMBDA(_xlpm.party,SUMIFS(ledger!G:G,ledger!B:B,_xlpm.party,ledger!E:E,"&lt;&gt;*RD*",ledger!D:D,"Chamki")+SUMIFS(ledger!G:G, ledger!B:B, _xlpm.party, ledger!E:E, "&lt;&gt;*RD*", ledger!D:D, "Crinkle")))/1.0936)+_xlfn.IFNA(E135,0)</f>
        <v>57385.698610095104</v>
      </c>
      <c r="V42" s="70" cm="1">
        <f t="array" ref="V42">(_xlfn.BYROW(B86,_xlfn.LAMBDA(_xlpm.party,SUMIFS(ledger!G:G,ledger!B:B,_xlpm.party,ledger!E:E,"&lt;&gt;*RD*",ledger!D:D,"Silky")))/1.0936)+_xlfn.IFNA(F135,0)</f>
        <v>96278.346744696421</v>
      </c>
      <c r="W42" s="22" cm="1">
        <f t="array" ref="W42">(_xlfn.BYROW(B86,_xlfn.LAMBDA(_xlpm.party,
(SUMIFS(ledger!J:J,ledger!B:B,_xlpm.party,ledger!E:E,"&lt;&gt;*RD*",ledger!D:D,"Chamki",ledger!C:C,"&lt;&gt;Closing CF")+
SUMIFS(ledger!J:J,ledger!B:B,_xlpm.party,ledger!E:E,"&lt;&gt;*RD*",ledger!D:D,"Crinkle",ledger!C:C,"&lt;&gt;Closing CF")
)+_xlfn.IFNA(G135,0))))</f>
        <v>573856.98610095098</v>
      </c>
      <c r="X42" s="70" cm="1">
        <f t="array" ref="X42">_xlfn.BYROW(B86, _xlfn.LAMBDA(_xlpm.party,
   SUMIFS(ledger!J:J, ledger!B:B, _xlpm.party, ledger!E:E, "&lt;&gt;*RD*", ledger!D:D, "Silky", ledger!C:C, "&lt;&gt;Closing CF")
)) + _xlfn.IFNA(H135, 0)</f>
        <v>1155340.160936357</v>
      </c>
      <c r="Y42" s="70" cm="1">
        <f t="array" ref="Y42">_xlfn.BYROW(B86, _xlfn.LAMBDA(_xlpm.party,
   SUMIFS(ledger!J:J, ledger!B:B, _xlpm.party, ledger!E:E, "&lt;&gt;*RD*", ledger!D:D, "Slub", ledger!C:C, "&lt;&gt;Closing CF")
))+ _xlfn.IFNA(I135, 0)</f>
        <v>0</v>
      </c>
      <c r="Z42" s="70" cm="1">
        <f t="array" ref="Z42">_xlfn.BYROW(B86, _xlfn.LAMBDA(_xlpm.party,
   SUMIFS(ledger!J:J, ledger!B:B, _xlpm.party, ledger!E:E, "&lt;&gt;*RD*", ledger!D:D, "Satin", ledger!C:C, "&lt;&gt;Closing CF")
))+ _xlfn.IFNA(J135, 0)</f>
        <v>0</v>
      </c>
      <c r="AA42" s="70" cm="1">
        <f t="array" ref="AA42">_xlfn.BYROW(B86, _xlfn.LAMBDA(_xlpm.party,
   SUMIFS(ledger!J:J, ledger!B:B, _xlpm.party, ledger!E:E, "&lt;&gt;*RD*", ledger!D:D, "Black-Chamki", ledger!C:C, "&lt;&gt;Closing CF")
))+ _xlfn.IFNA(K135, 0)</f>
        <v>0</v>
      </c>
      <c r="AB42" s="70" cm="1">
        <f t="array" ref="AB42">_xlfn.BYROW(B86, _xlfn.LAMBDA(_xlpm.party,
   SUMIFS(ledger!J:J, ledger!B:B, _xlpm.party, ledger!E:E, "&lt;&gt;*RD*", ledger!D:D, "Kataan", ledger!C:C, "&lt;&gt;Closing CF")
))+ _xlfn.IFNA(L135, 0)</f>
        <v>0</v>
      </c>
      <c r="AC42" s="70" cm="1">
        <f t="array" ref="AC42">_xlfn.BYROW(B86, _xlfn.LAMBDA(_xlpm.party,
   SUMIFS(ledger!J:J, ledger!B:B, _xlpm.party, ledger!E:E, "&lt;&gt;*RD*", ledger!D:D, "Munaar", ledger!C:C, "&lt;&gt;Closing CF")
))+ _xlfn.IFNA(M135, 0)</f>
        <v>0</v>
      </c>
      <c r="AD42" s="70" cm="1">
        <f t="array" ref="AD42">_xlfn.BYROW(B86, _xlfn.LAMBDA(_xlpm.party,
   SUMIFS(ledger!J:J, ledger!B:B, _xlpm.party, ledger!E:E, "&lt;&gt;*RD*", ledger!D:D, "Custom", ledger!C:C, "&lt;&gt;Closing CF")
))+ _xlfn.IFNA(N135, 0)</f>
        <v>0</v>
      </c>
      <c r="AE42" s="39">
        <f t="shared" si="7"/>
        <v>1729197.147037308</v>
      </c>
      <c r="AF42" s="22">
        <f>(SUMIF(Table14[Party],R42,Table14[Credit]))+_xlfn.IFNA(P135,0)</f>
        <v>1742500</v>
      </c>
      <c r="AG42" s="33">
        <f t="shared" si="8"/>
        <v>-13302.852962692035</v>
      </c>
    </row>
    <row r="43" spans="2:35" x14ac:dyDescent="0.3">
      <c r="R43" t="str">
        <v>Bablu</v>
      </c>
      <c r="W43" s="22" cm="1">
        <f t="array" ref="W43">(_xlfn.BYROW(B87,_xlfn.LAMBDA(_xlpm.party,
(SUMIFS(ledger!J:J,ledger!B:B,_xlpm.party,ledger!E:E,"&lt;&gt;*RD*",ledger!D:D,"Chamki",ledger!C:C,"&lt;&gt;Closing CF")+
SUMIFS(ledger!J:J,ledger!B:B,_xlpm.party,ledger!E:E,"&lt;&gt;*RD*",ledger!D:D,"Crinkle",ledger!C:C,"&lt;&gt;Closing CF")
)+_xlfn.IFNA(G136,0))))</f>
        <v>0</v>
      </c>
      <c r="X43" s="70" cm="1">
        <f t="array" ref="X43">_xlfn.BYROW(B87, _xlfn.LAMBDA(_xlpm.party,
   SUMIFS(ledger!J:J, ledger!B:B, _xlpm.party, ledger!E:E, "&lt;&gt;*RD*", ledger!D:D, "Silky", ledger!C:C, "&lt;&gt;Closing CF")
)) + _xlfn.IFNA(H136, 0)</f>
        <v>105109.72933430871</v>
      </c>
      <c r="Y43" s="70" cm="1">
        <f t="array" ref="Y43">_xlfn.BYROW(B87, _xlfn.LAMBDA(_xlpm.party,
   SUMIFS(ledger!J:J, ledger!B:B, _xlpm.party, ledger!E:E, "&lt;&gt;*RD*", ledger!D:D, "Slub", ledger!C:C, "&lt;&gt;Closing CF")
))+ _xlfn.IFNA(I136, 0)</f>
        <v>0</v>
      </c>
      <c r="Z43" s="70" cm="1">
        <f t="array" ref="Z43">_xlfn.BYROW(B87, _xlfn.LAMBDA(_xlpm.party,
   SUMIFS(ledger!J:J, ledger!B:B, _xlpm.party, ledger!E:E, "&lt;&gt;*RD*", ledger!D:D, "Satin", ledger!C:C, "&lt;&gt;Closing CF")
))+ _xlfn.IFNA(J136, 0)</f>
        <v>0</v>
      </c>
      <c r="AA43" s="70" cm="1">
        <f t="array" ref="AA43">_xlfn.BYROW(B87, _xlfn.LAMBDA(_xlpm.party,
   SUMIFS(ledger!J:J, ledger!B:B, _xlpm.party, ledger!E:E, "&lt;&gt;*RD*", ledger!D:D, "Black-Chamki", ledger!C:C, "&lt;&gt;Closing CF")
))+ _xlfn.IFNA(K136, 0)</f>
        <v>0</v>
      </c>
      <c r="AB43" s="70" cm="1">
        <f t="array" ref="AB43">_xlfn.BYROW(B87, _xlfn.LAMBDA(_xlpm.party,
   SUMIFS(ledger!J:J, ledger!B:B, _xlpm.party, ledger!E:E, "&lt;&gt;*RD*", ledger!D:D, "Kataan", ledger!C:C, "&lt;&gt;Closing CF")
))+ _xlfn.IFNA(L136, 0)</f>
        <v>0</v>
      </c>
      <c r="AC43" s="70" cm="1">
        <f t="array" ref="AC43">_xlfn.BYROW(B87, _xlfn.LAMBDA(_xlpm.party,
   SUMIFS(ledger!J:J, ledger!B:B, _xlpm.party, ledger!E:E, "&lt;&gt;*RD*", ledger!D:D, "Munaar", ledger!C:C, "&lt;&gt;Closing CF")
))+ _xlfn.IFNA(M136, 0)</f>
        <v>0</v>
      </c>
      <c r="AD43" s="70" cm="1">
        <f t="array" ref="AD43">_xlfn.BYROW(B87, _xlfn.LAMBDA(_xlpm.party,
   SUMIFS(ledger!J:J, ledger!B:B, _xlpm.party, ledger!E:E, "&lt;&gt;*RD*", ledger!D:D, "Custom", ledger!C:C, "&lt;&gt;Closing CF")
))+ _xlfn.IFNA(N136, 0)</f>
        <v>0</v>
      </c>
    </row>
    <row r="44" spans="2:35" x14ac:dyDescent="0.3">
      <c r="R44" t="str">
        <v>Sheikh Naveed</v>
      </c>
      <c r="W44" s="22" cm="1">
        <f t="array" ref="W44">(_xlfn.BYROW(B88,_xlfn.LAMBDA(_xlpm.party,
(SUMIFS(ledger!J:J,ledger!B:B,_xlpm.party,ledger!E:E,"&lt;&gt;*RD*",ledger!D:D,"Chamki",ledger!C:C,"&lt;&gt;Closing CF")+
SUMIFS(ledger!J:J,ledger!B:B,_xlpm.party,ledger!E:E,"&lt;&gt;*RD*",ledger!D:D,"Crinkle",ledger!C:C,"&lt;&gt;Closing CF")
)+_xlfn.IFNA(G137,0))))</f>
        <v>211439.28310168252</v>
      </c>
      <c r="X44" s="70" cm="1">
        <f t="array" ref="X44">_xlfn.BYROW(B88, _xlfn.LAMBDA(_xlpm.party,
   SUMIFS(ledger!J:J, ledger!B:B, _xlpm.party, ledger!E:E, "&lt;&gt;*RD*", ledger!D:D, "Silky", ledger!C:C, "&lt;&gt;Closing CF")
)) + _xlfn.IFNA(H137, 0)</f>
        <v>0</v>
      </c>
      <c r="Y44" s="70" cm="1">
        <f t="array" ref="Y44">_xlfn.BYROW(B88, _xlfn.LAMBDA(_xlpm.party,
   SUMIFS(ledger!J:J, ledger!B:B, _xlpm.party, ledger!E:E, "&lt;&gt;*RD*", ledger!D:D, "Slub", ledger!C:C, "&lt;&gt;Closing CF")
))+ _xlfn.IFNA(I137, 0)</f>
        <v>0</v>
      </c>
      <c r="Z44" s="70" cm="1">
        <f t="array" ref="Z44">_xlfn.BYROW(B88, _xlfn.LAMBDA(_xlpm.party,
   SUMIFS(ledger!J:J, ledger!B:B, _xlpm.party, ledger!E:E, "&lt;&gt;*RD*", ledger!D:D, "Satin", ledger!C:C, "&lt;&gt;Closing CF")
))+ _xlfn.IFNA(J137, 0)</f>
        <v>0</v>
      </c>
      <c r="AA44" s="70" cm="1">
        <f t="array" ref="AA44">_xlfn.BYROW(B88, _xlfn.LAMBDA(_xlpm.party,
   SUMIFS(ledger!J:J, ledger!B:B, _xlpm.party, ledger!E:E, "&lt;&gt;*RD*", ledger!D:D, "Black-Chamki", ledger!C:C, "&lt;&gt;Closing CF")
))+ _xlfn.IFNA(K137, 0)</f>
        <v>0</v>
      </c>
      <c r="AB44" s="70" cm="1">
        <f t="array" ref="AB44">_xlfn.BYROW(B88, _xlfn.LAMBDA(_xlpm.party,
   SUMIFS(ledger!J:J, ledger!B:B, _xlpm.party, ledger!E:E, "&lt;&gt;*RD*", ledger!D:D, "Kataan", ledger!C:C, "&lt;&gt;Closing CF")
))+ _xlfn.IFNA(L137, 0)</f>
        <v>0</v>
      </c>
      <c r="AC44" s="70" cm="1">
        <f t="array" ref="AC44">_xlfn.BYROW(B88, _xlfn.LAMBDA(_xlpm.party,
   SUMIFS(ledger!J:J, ledger!B:B, _xlpm.party, ledger!E:E, "&lt;&gt;*RD*", ledger!D:D, "Munaar", ledger!C:C, "&lt;&gt;Closing CF")
))+ _xlfn.IFNA(M137, 0)</f>
        <v>0</v>
      </c>
      <c r="AD44" s="70" cm="1">
        <f t="array" ref="AD44">_xlfn.BYROW(B88, _xlfn.LAMBDA(_xlpm.party,
   SUMIFS(ledger!J:J, ledger!B:B, _xlpm.party, ledger!E:E, "&lt;&gt;*RD*", ledger!D:D, "Custom", ledger!C:C, "&lt;&gt;Closing CF")
))+ _xlfn.IFNA(N137, 0)</f>
        <v>0</v>
      </c>
    </row>
    <row r="45" spans="2:35" x14ac:dyDescent="0.3">
      <c r="R45" t="str">
        <v>malik salman</v>
      </c>
    </row>
    <row r="46" spans="2:35" x14ac:dyDescent="0.3">
      <c r="R46" t="str">
        <v>Rehan Butt</v>
      </c>
    </row>
    <row r="47" spans="2:35" x14ac:dyDescent="0.3">
      <c r="B47" t="s">
        <v>154</v>
      </c>
    </row>
    <row r="48" spans="2:35" x14ac:dyDescent="0.3">
      <c r="B48" s="21"/>
      <c r="C48" s="23" t="s">
        <v>10</v>
      </c>
      <c r="D48" s="23" t="s">
        <v>11</v>
      </c>
      <c r="E48" s="23" t="s">
        <v>12</v>
      </c>
      <c r="F48" s="23" t="s">
        <v>13</v>
      </c>
      <c r="G48" s="23" t="s">
        <v>14</v>
      </c>
      <c r="H48" s="23" t="s">
        <v>15</v>
      </c>
      <c r="I48" s="23" t="s">
        <v>178</v>
      </c>
      <c r="J48" s="23" t="s">
        <v>179</v>
      </c>
      <c r="K48" s="23" t="s">
        <v>199</v>
      </c>
      <c r="L48" s="23" t="s">
        <v>200</v>
      </c>
      <c r="M48" s="23" t="s">
        <v>205</v>
      </c>
      <c r="N48" s="23" t="s">
        <v>276</v>
      </c>
      <c r="O48" s="23" t="s">
        <v>16</v>
      </c>
      <c r="P48" s="23" t="s">
        <v>17</v>
      </c>
      <c r="Q48" s="23" t="s">
        <v>18</v>
      </c>
      <c r="R48" s="23" t="s">
        <v>19</v>
      </c>
      <c r="S48" s="23" t="s">
        <v>20</v>
      </c>
    </row>
    <row r="49" spans="1:24" x14ac:dyDescent="0.3">
      <c r="A49" t="s">
        <v>33</v>
      </c>
      <c r="B49" s="24" t="str" cm="1">
        <f t="array" ref="B49:B90">_xlfn.UNIQUE(Table1[Party Name])</f>
        <v>BSC</v>
      </c>
      <c r="C49" s="22" cm="1">
        <f t="array" ref="C49:C90">_xlfn.BYROW(_xlfn.ANCHORARRAY(B49),_xlfn.LAMBDA(_xlpm.party,SUMIFS(ledger!G:G,ledger!B:B,_xlpm.party,ledger!E:E,"&lt;&gt;*RD*")))</f>
        <v>1167084</v>
      </c>
      <c r="D49" s="22" cm="1">
        <f t="array" ref="D49:D90">_xlfn.BYROW(_xlfn.ANCHORARRAY(B49), _xlfn.LAMBDA(_xlpm.party, SUMIFS(ledger!G:G, ledger!B:B, _xlpm.party, ledger!E:E, "&lt;&gt;*RD*") / 1.0936 ))</f>
        <v>1067194.5866861742</v>
      </c>
      <c r="E49" s="63" cm="1">
        <f t="array" ref="E49:E90">(_xlfn.BYROW(_xlfn.ANCHORARRAY(B49),_xlfn.LAMBDA(_xlpm.party,SUMIFS(ledger!G:G,ledger!B:B,_xlpm.party,ledger!E:E,"&lt;&gt;*RD*",ledger!D:D,"Chamki")+SUMIFS(ledger!G:G, ledger!B:B, _xlpm.party, ledger!E:E, "&lt;&gt;*RD*", ledger!D:D, "Crinkle")))/1.0936)</f>
        <v>701762.98463789327</v>
      </c>
      <c r="F49" s="63" cm="1">
        <f t="array" ref="F49:F90">(_xlfn.BYROW(_xlfn.ANCHORARRAY(B49),_xlfn.LAMBDA(_xlpm.party,SUMIFS(ledger!G:G,ledger!B:B,_xlpm.party,ledger!E:E,"&lt;&gt;*RD*",ledger!D:D,"Silky")))/1.0936)</f>
        <v>365431.60204828094</v>
      </c>
      <c r="G49" s="22" cm="1">
        <f t="array" ref="G49">(_xlfn.BYROW(B49,_xlfn.LAMBDA(_xlpm.party,
(SUMIFS(ledger!J:J,ledger!B:B,_xlpm.party,ledger!E:E,"&lt;&gt;*RD*",ledger!D:D,"Chamki",ledger!C:C,"&lt;&gt;Closing CF")+
SUMIFS(ledger!J:J,ledger!B:B,_xlpm.party,ledger!E:E,"&lt;&gt;*RD*",ledger!D:D,"Crinkle",ledger!C:C,"&lt;&gt;Closing CF")
))))</f>
        <v>7017629.8463789336</v>
      </c>
      <c r="H49" s="22" cm="1">
        <f t="array" ref="H49">_xlfn.BYROW(B49, _xlfn.LAMBDA(_xlpm.party,
   SUMIFS(ledger!J:J, ledger!B:B, _xlpm.party, ledger!E:E, "&lt;&gt;*RD*", ledger!D:D, "Silky", ledger!C:C, "&lt;&gt;Closing CF")
))</f>
        <v>4605335.5888807606</v>
      </c>
      <c r="I49" s="22" cm="1">
        <f t="array" ref="I49">_xlfn.BYROW(B49, _xlfn.LAMBDA(_xlpm.party,
   SUMIFS(ledger!J:J, ledger!B:B, _xlpm.party, ledger!E:E, "&lt;&gt;*RD*", ledger!D:D, "Slub", ledger!C:C, "&lt;&gt;Closing CF")
))</f>
        <v>0</v>
      </c>
      <c r="J49" s="22" cm="1">
        <f t="array" ref="J49">_xlfn.BYROW(B49, _xlfn.LAMBDA(_xlpm.party,
   SUMIFS(ledger!J:J, ledger!B:B, _xlpm.party, ledger!E:E, "&lt;&gt;*RD*", ledger!D:D, "Satin", ledger!C:C, "&lt;&gt;Closing CF")
))</f>
        <v>0</v>
      </c>
      <c r="K49" s="70" cm="1">
        <f t="array" ref="K49">_xlfn.BYROW(B49, _xlfn.LAMBDA(_xlpm.party,
   SUMIFS(ledger!J:J, ledger!B:B, _xlpm.party, ledger!E:E, "&lt;&gt;*RD*", ledger!D:D, "Black-chamki", ledger!C:C, "&lt;&gt;Closing CF")
))</f>
        <v>0</v>
      </c>
      <c r="L49" s="70" cm="1">
        <f t="array" ref="L49">_xlfn.BYROW(B49, _xlfn.LAMBDA(_xlpm.party,
   SUMIFS(ledger!J:J, ledger!B:B, _xlpm.party, ledger!E:E, "&lt;&gt;*RD*", ledger!D:D, "Kataan", ledger!C:C, "&lt;&gt;Closing CF")
))</f>
        <v>0</v>
      </c>
      <c r="M49" s="70" cm="1">
        <f t="array" ref="M49">_xlfn.BYROW(B49, _xlfn.LAMBDA(_xlpm.party,
   SUMIFS(ledger!J:J, ledger!B:B, _xlpm.party, ledger!E:E, "&lt;&gt;*RD*", ledger!D:D, "Munaar", ledger!C:C, "&lt;&gt;Closing CF")
))</f>
        <v>0</v>
      </c>
      <c r="N49" s="70" cm="1">
        <f t="array" ref="N49">_xlfn.BYROW(B49, _xlfn.LAMBDA(_xlpm.party,
   SUMIFS(ledger!J:J, ledger!B:B, _xlpm.party, ledger!E:E, "&lt;&gt;*RD*", ledger!D:D, "Custom", ledger!C:C, "&lt;&gt;Closing CF")
))</f>
        <v>0</v>
      </c>
      <c r="O49" s="39">
        <f>SUM(G49:N49)</f>
        <v>11622965.435259694</v>
      </c>
      <c r="P49" s="22">
        <f>(SUMIF(Table14[Party],B49,Table14[Credit]))</f>
        <v>0</v>
      </c>
      <c r="Q49" s="37">
        <f t="shared" ref="Q49:Q80" si="9">O49-P49</f>
        <v>11622965.435259694</v>
      </c>
      <c r="R49" s="21">
        <v>10</v>
      </c>
      <c r="S49" s="21">
        <v>12</v>
      </c>
    </row>
    <row r="50" spans="1:24" x14ac:dyDescent="0.3">
      <c r="B50" s="24" t="str">
        <v>Ejaz Sahab</v>
      </c>
      <c r="C50" s="22">
        <v>54161</v>
      </c>
      <c r="D50" s="22">
        <v>49525.420629114851</v>
      </c>
      <c r="E50" s="63">
        <v>0</v>
      </c>
      <c r="F50" s="63">
        <v>49525.420629114851</v>
      </c>
      <c r="G50" s="22" cm="1">
        <f t="array" ref="G50">(_xlfn.BYROW(B50,_xlfn.LAMBDA(_xlpm.party,
(SUMIFS(ledger!J:J,ledger!B:B,_xlpm.party,ledger!E:E,"&lt;&gt;*RD*",ledger!D:D,"Chamki",ledger!C:C,"&lt;&gt;Closing CF")+
SUMIFS(ledger!J:J,ledger!B:B,_xlpm.party,ledger!E:E,"&lt;&gt;*RD*",ledger!D:D,"Crinkle",ledger!C:C,"&lt;&gt;Closing CF")
))))</f>
        <v>0</v>
      </c>
      <c r="H50" s="22" cm="1">
        <f t="array" ref="H50">_xlfn.BYROW(B50, _xlfn.LAMBDA(_xlpm.party,
   SUMIFS(ledger!J:J, ledger!B:B, _xlpm.party, ledger!E:E, "&lt;&gt;*RD*", ledger!D:D, "Silky", ledger!C:C, "&lt;&gt;Closing CF")
))</f>
        <v>643830.46817849309</v>
      </c>
      <c r="I50" s="22" cm="1">
        <f t="array" ref="I50">_xlfn.BYROW(B50, _xlfn.LAMBDA(_xlpm.party,
   SUMIFS(ledger!J:J, ledger!B:B, _xlpm.party, ledger!E:E, "&lt;&gt;*RD*", ledger!D:D, "Slub", ledger!C:C, "&lt;&gt;Closing CF")
))</f>
        <v>0</v>
      </c>
      <c r="J50" s="22" cm="1">
        <f t="array" ref="J50">_xlfn.BYROW(B50, _xlfn.LAMBDA(_xlpm.party,
   SUMIFS(ledger!J:J, ledger!B:B, _xlpm.party, ledger!E:E, "&lt;&gt;*RD*", ledger!D:D, "Satin", ledger!C:C, "&lt;&gt;Closing CF")
))</f>
        <v>0</v>
      </c>
      <c r="K50" s="70" cm="1">
        <f t="array" ref="K50">_xlfn.BYROW(B50, _xlfn.LAMBDA(_xlpm.party,
   SUMIFS(ledger!J:J, ledger!B:B, _xlpm.party, ledger!E:E, "&lt;&gt;*RD*", ledger!D:D, "Black-chamki", ledger!C:C, "&lt;&gt;Closing CF")
))</f>
        <v>0</v>
      </c>
      <c r="L50" s="70" cm="1">
        <f t="array" ref="L50">_xlfn.BYROW(B50, _xlfn.LAMBDA(_xlpm.party,
   SUMIFS(ledger!J:J, ledger!B:B, _xlpm.party, ledger!E:E, "&lt;&gt;*RD*", ledger!D:D, "Kataan", ledger!C:C, "&lt;&gt;Closing CF")
))</f>
        <v>0</v>
      </c>
      <c r="M50" s="70" cm="1">
        <f t="array" ref="M50">_xlfn.BYROW(B50, _xlfn.LAMBDA(_xlpm.party,
   SUMIFS(ledger!J:J, ledger!B:B, _xlpm.party, ledger!E:E, "&lt;&gt;*RD*", ledger!D:D, "Munaar", ledger!C:C, "&lt;&gt;Closing CF")
))</f>
        <v>0</v>
      </c>
      <c r="N50" s="70" cm="1">
        <f t="array" ref="N50">_xlfn.BYROW(B50, _xlfn.LAMBDA(_xlpm.party,
   SUMIFS(ledger!J:J, ledger!B:B, _xlpm.party, ledger!E:E, "&lt;&gt;*RD*", ledger!D:D, "Custom", ledger!C:C, "&lt;&gt;Closing CF")
))</f>
        <v>0</v>
      </c>
      <c r="O50" s="39">
        <f t="shared" ref="O50:O83" si="10">SUM(G50:N50)</f>
        <v>643830.46817849309</v>
      </c>
      <c r="P50" s="22">
        <f>(SUMIF(Table14[Party],B50,Table14[Credit]))</f>
        <v>160635</v>
      </c>
      <c r="Q50" s="37">
        <f t="shared" si="9"/>
        <v>483195.46817849309</v>
      </c>
      <c r="R50" s="21">
        <v>10</v>
      </c>
      <c r="S50" s="21">
        <v>12</v>
      </c>
    </row>
    <row r="51" spans="1:24" x14ac:dyDescent="0.3">
      <c r="B51" s="24" t="str">
        <v>Arshad</v>
      </c>
      <c r="C51" s="22">
        <v>53192</v>
      </c>
      <c r="D51" s="22">
        <v>48639.356254572063</v>
      </c>
      <c r="E51" s="63">
        <v>48639.356254572063</v>
      </c>
      <c r="F51" s="63">
        <v>0</v>
      </c>
      <c r="G51" s="22" cm="1">
        <f t="array" ref="G51">(_xlfn.BYROW(B51,_xlfn.LAMBDA(_xlpm.party,
(SUMIFS(ledger!J:J,ledger!B:B,_xlpm.party,ledger!E:E,"&lt;&gt;*RD*",ledger!D:D,"Chamki",ledger!C:C,"&lt;&gt;Closing CF")+
SUMIFS(ledger!J:J,ledger!B:B,_xlpm.party,ledger!E:E,"&lt;&gt;*RD*",ledger!D:D,"Crinkle",ledger!C:C,"&lt;&gt;Closing CF")
))))</f>
        <v>486393.5625457206</v>
      </c>
      <c r="H51" s="22" cm="1">
        <f t="array" ref="H51">_xlfn.BYROW(B51, _xlfn.LAMBDA(_xlpm.party,
   SUMIFS(ledger!J:J, ledger!B:B, _xlpm.party, ledger!E:E, "&lt;&gt;*RD*", ledger!D:D, "Silky", ledger!C:C, "&lt;&gt;Closing CF")
))</f>
        <v>0</v>
      </c>
      <c r="I51" s="22" cm="1">
        <f t="array" ref="I51">_xlfn.BYROW(B51, _xlfn.LAMBDA(_xlpm.party,
   SUMIFS(ledger!J:J, ledger!B:B, _xlpm.party, ledger!E:E, "&lt;&gt;*RD*", ledger!D:D, "Slub", ledger!C:C, "&lt;&gt;Closing CF")
))</f>
        <v>0</v>
      </c>
      <c r="J51" s="22" cm="1">
        <f t="array" ref="J51">_xlfn.BYROW(B51, _xlfn.LAMBDA(_xlpm.party,
   SUMIFS(ledger!J:J, ledger!B:B, _xlpm.party, ledger!E:E, "&lt;&gt;*RD*", ledger!D:D, "Satin", ledger!C:C, "&lt;&gt;Closing CF")
))</f>
        <v>0</v>
      </c>
      <c r="K51" s="70" cm="1">
        <f t="array" ref="K51">_xlfn.BYROW(B51, _xlfn.LAMBDA(_xlpm.party,
   SUMIFS(ledger!J:J, ledger!B:B, _xlpm.party, ledger!E:E, "&lt;&gt;*RD*", ledger!D:D, "Black-chamki", ledger!C:C, "&lt;&gt;Closing CF")
))</f>
        <v>0</v>
      </c>
      <c r="L51" s="70" cm="1">
        <f t="array" ref="L51">_xlfn.BYROW(B51, _xlfn.LAMBDA(_xlpm.party,
   SUMIFS(ledger!J:J, ledger!B:B, _xlpm.party, ledger!E:E, "&lt;&gt;*RD*", ledger!D:D, "Kataan", ledger!C:C, "&lt;&gt;Closing CF")
))</f>
        <v>0</v>
      </c>
      <c r="M51" s="70" cm="1">
        <f t="array" ref="M51">_xlfn.BYROW(B51, _xlfn.LAMBDA(_xlpm.party,
   SUMIFS(ledger!J:J, ledger!B:B, _xlpm.party, ledger!E:E, "&lt;&gt;*RD*", ledger!D:D, "Munaar", ledger!C:C, "&lt;&gt;Closing CF")
))</f>
        <v>0</v>
      </c>
      <c r="N51" s="70" cm="1">
        <f t="array" ref="N51">_xlfn.BYROW(B51, _xlfn.LAMBDA(_xlpm.party,
   SUMIFS(ledger!J:J, ledger!B:B, _xlpm.party, ledger!E:E, "&lt;&gt;*RD*", ledger!D:D, "Custom", ledger!C:C, "&lt;&gt;Closing CF")
))</f>
        <v>0</v>
      </c>
      <c r="O51" s="39">
        <f t="shared" si="10"/>
        <v>486393.5625457206</v>
      </c>
      <c r="P51" s="22">
        <f>(SUMIF(Table14[Party],B51,Table14[Credit]))</f>
        <v>635085</v>
      </c>
      <c r="Q51" s="37">
        <f t="shared" si="9"/>
        <v>-148691.4374542794</v>
      </c>
      <c r="R51" s="21">
        <v>10</v>
      </c>
      <c r="S51" s="21">
        <v>12</v>
      </c>
    </row>
    <row r="52" spans="1:24" x14ac:dyDescent="0.3">
      <c r="B52" s="24" t="str">
        <v>Shehzad Kamoki</v>
      </c>
      <c r="C52" s="22">
        <v>0</v>
      </c>
      <c r="D52" s="22">
        <v>0</v>
      </c>
      <c r="E52" s="63">
        <v>0</v>
      </c>
      <c r="F52" s="63">
        <v>0</v>
      </c>
      <c r="G52" s="22" cm="1">
        <f t="array" ref="G52">(_xlfn.BYROW(B52,_xlfn.LAMBDA(_xlpm.party,
(SUMIFS(ledger!J:J,ledger!B:B,_xlpm.party,ledger!E:E,"&lt;&gt;*RD*",ledger!D:D,"Chamki",ledger!C:C,"&lt;&gt;Closing CF")+
SUMIFS(ledger!J:J,ledger!B:B,_xlpm.party,ledger!E:E,"&lt;&gt;*RD*",ledger!D:D,"Crinkle",ledger!C:C,"&lt;&gt;Closing CF")
))))</f>
        <v>0</v>
      </c>
      <c r="H52" s="22" cm="1">
        <f t="array" ref="H52">_xlfn.BYROW(B52, _xlfn.LAMBDA(_xlpm.party,
   SUMIFS(ledger!J:J, ledger!B:B, _xlpm.party, ledger!E:E, "&lt;&gt;*RD*", ledger!D:D, "Silky", ledger!C:C, "&lt;&gt;Closing CF")
))</f>
        <v>0</v>
      </c>
      <c r="I52" s="22" cm="1">
        <f t="array" ref="I52">_xlfn.BYROW(B52, _xlfn.LAMBDA(_xlpm.party,
   SUMIFS(ledger!J:J, ledger!B:B, _xlpm.party, ledger!E:E, "&lt;&gt;*RD*", ledger!D:D, "Slub", ledger!C:C, "&lt;&gt;Closing CF")
))</f>
        <v>0</v>
      </c>
      <c r="J52" s="22" cm="1">
        <f t="array" ref="J52">_xlfn.BYROW(B52, _xlfn.LAMBDA(_xlpm.party,
   SUMIFS(ledger!J:J, ledger!B:B, _xlpm.party, ledger!E:E, "&lt;&gt;*RD*", ledger!D:D, "Satin", ledger!C:C, "&lt;&gt;Closing CF")
))</f>
        <v>0</v>
      </c>
      <c r="K52" s="70" cm="1">
        <f t="array" ref="K52">_xlfn.BYROW(B52, _xlfn.LAMBDA(_xlpm.party,
   SUMIFS(ledger!J:J, ledger!B:B, _xlpm.party, ledger!E:E, "&lt;&gt;*RD*", ledger!D:D, "Black-chamki", ledger!C:C, "&lt;&gt;Closing CF")
))</f>
        <v>0</v>
      </c>
      <c r="L52" s="70" cm="1">
        <f t="array" ref="L52">_xlfn.BYROW(B52, _xlfn.LAMBDA(_xlpm.party,
   SUMIFS(ledger!J:J, ledger!B:B, _xlpm.party, ledger!E:E, "&lt;&gt;*RD*", ledger!D:D, "Kataan", ledger!C:C, "&lt;&gt;Closing CF")
))</f>
        <v>0</v>
      </c>
      <c r="M52" s="70" cm="1">
        <f t="array" ref="M52">_xlfn.BYROW(B52, _xlfn.LAMBDA(_xlpm.party,
   SUMIFS(ledger!J:J, ledger!B:B, _xlpm.party, ledger!E:E, "&lt;&gt;*RD*", ledger!D:D, "Munaar", ledger!C:C, "&lt;&gt;Closing CF")
))</f>
        <v>0</v>
      </c>
      <c r="N52" s="70" cm="1">
        <f t="array" ref="N52">_xlfn.BYROW(B52, _xlfn.LAMBDA(_xlpm.party,
   SUMIFS(ledger!J:J, ledger!B:B, _xlpm.party, ledger!E:E, "&lt;&gt;*RD*", ledger!D:D, "Custom", ledger!C:C, "&lt;&gt;Closing CF")
))</f>
        <v>0</v>
      </c>
      <c r="O52" s="39">
        <f t="shared" si="10"/>
        <v>0</v>
      </c>
      <c r="P52" s="22">
        <f>(SUMIF(Table14[Party],B52,Table14[Credit]))</f>
        <v>0</v>
      </c>
      <c r="Q52" s="37">
        <f t="shared" si="9"/>
        <v>0</v>
      </c>
      <c r="R52" s="21">
        <v>10.5</v>
      </c>
      <c r="S52" s="21">
        <v>13</v>
      </c>
    </row>
    <row r="53" spans="1:24" x14ac:dyDescent="0.3">
      <c r="B53" s="24" t="str">
        <v>Sufi Nawaz Sahab</v>
      </c>
      <c r="C53" s="22">
        <v>0</v>
      </c>
      <c r="D53" s="22">
        <v>0</v>
      </c>
      <c r="E53" s="63">
        <v>0</v>
      </c>
      <c r="F53" s="63">
        <v>0</v>
      </c>
      <c r="G53" s="22" cm="1">
        <f t="array" ref="G53">(_xlfn.BYROW(B53,_xlfn.LAMBDA(_xlpm.party,
(SUMIFS(ledger!J:J,ledger!B:B,_xlpm.party,ledger!E:E,"&lt;&gt;*RD*",ledger!D:D,"Chamki",ledger!C:C,"&lt;&gt;Closing CF")+
SUMIFS(ledger!J:J,ledger!B:B,_xlpm.party,ledger!E:E,"&lt;&gt;*RD*",ledger!D:D,"Crinkle",ledger!C:C,"&lt;&gt;Closing CF")
))))</f>
        <v>0</v>
      </c>
      <c r="H53" s="22" cm="1">
        <f t="array" ref="H53">_xlfn.BYROW(B53, _xlfn.LAMBDA(_xlpm.party,
   SUMIFS(ledger!J:J, ledger!B:B, _xlpm.party, ledger!E:E, "&lt;&gt;*RD*", ledger!D:D, "Silky", ledger!C:C, "&lt;&gt;Closing CF")
))</f>
        <v>0</v>
      </c>
      <c r="I53" s="22" cm="1">
        <f t="array" ref="I53">_xlfn.BYROW(B53, _xlfn.LAMBDA(_xlpm.party,
   SUMIFS(ledger!J:J, ledger!B:B, _xlpm.party, ledger!E:E, "&lt;&gt;*RD*", ledger!D:D, "Slub", ledger!C:C, "&lt;&gt;Closing CF")
))</f>
        <v>0</v>
      </c>
      <c r="J53" s="22" cm="1">
        <f t="array" ref="J53">_xlfn.BYROW(B53, _xlfn.LAMBDA(_xlpm.party,
   SUMIFS(ledger!J:J, ledger!B:B, _xlpm.party, ledger!E:E, "&lt;&gt;*RD*", ledger!D:D, "Satin", ledger!C:C, "&lt;&gt;Closing CF")
))</f>
        <v>0</v>
      </c>
      <c r="K53" s="70" cm="1">
        <f t="array" ref="K53">_xlfn.BYROW(B53, _xlfn.LAMBDA(_xlpm.party,
   SUMIFS(ledger!J:J, ledger!B:B, _xlpm.party, ledger!E:E, "&lt;&gt;*RD*", ledger!D:D, "Black-chamki", ledger!C:C, "&lt;&gt;Closing CF")
))</f>
        <v>0</v>
      </c>
      <c r="L53" s="70" cm="1">
        <f t="array" ref="L53">_xlfn.BYROW(B53, _xlfn.LAMBDA(_xlpm.party,
   SUMIFS(ledger!J:J, ledger!B:B, _xlpm.party, ledger!E:E, "&lt;&gt;*RD*", ledger!D:D, "Kataan", ledger!C:C, "&lt;&gt;Closing CF")
))</f>
        <v>0</v>
      </c>
      <c r="M53" s="70" cm="1">
        <f t="array" ref="M53">_xlfn.BYROW(B53, _xlfn.LAMBDA(_xlpm.party,
   SUMIFS(ledger!J:J, ledger!B:B, _xlpm.party, ledger!E:E, "&lt;&gt;*RD*", ledger!D:D, "Munaar", ledger!C:C, "&lt;&gt;Closing CF")
))</f>
        <v>0</v>
      </c>
      <c r="N53" s="70" cm="1">
        <f t="array" ref="N53">_xlfn.BYROW(B53, _xlfn.LAMBDA(_xlpm.party,
   SUMIFS(ledger!J:J, ledger!B:B, _xlpm.party, ledger!E:E, "&lt;&gt;*RD*", ledger!D:D, "Custom", ledger!C:C, "&lt;&gt;Closing CF")
))</f>
        <v>0</v>
      </c>
      <c r="O53" s="39">
        <f t="shared" si="10"/>
        <v>0</v>
      </c>
      <c r="P53" s="22">
        <f>(SUMIF(Table14[Party],B53,Table14[Credit]))</f>
        <v>0</v>
      </c>
      <c r="Q53" s="37">
        <f t="shared" si="9"/>
        <v>0</v>
      </c>
      <c r="R53" s="21">
        <v>10</v>
      </c>
      <c r="S53" s="21">
        <v>12</v>
      </c>
    </row>
    <row r="54" spans="1:24" x14ac:dyDescent="0.3">
      <c r="B54" s="24" t="str">
        <v>Sajad Khan</v>
      </c>
      <c r="C54" s="22">
        <v>0</v>
      </c>
      <c r="D54" s="22">
        <v>0</v>
      </c>
      <c r="E54" s="63">
        <v>0</v>
      </c>
      <c r="F54" s="63">
        <v>0</v>
      </c>
      <c r="G54" s="22" cm="1">
        <f t="array" ref="G54">(_xlfn.BYROW(B54,_xlfn.LAMBDA(_xlpm.party,
(SUMIFS(ledger!J:J,ledger!B:B,_xlpm.party,ledger!E:E,"&lt;&gt;*RD*",ledger!D:D,"Chamki",ledger!C:C,"&lt;&gt;Closing CF")+
SUMIFS(ledger!J:J,ledger!B:B,_xlpm.party,ledger!E:E,"&lt;&gt;*RD*",ledger!D:D,"Crinkle",ledger!C:C,"&lt;&gt;Closing CF")
))))</f>
        <v>0</v>
      </c>
      <c r="H54" s="22" cm="1">
        <f t="array" ref="H54">_xlfn.BYROW(B54, _xlfn.LAMBDA(_xlpm.party,
   SUMIFS(ledger!J:J, ledger!B:B, _xlpm.party, ledger!E:E, "&lt;&gt;*RD*", ledger!D:D, "Silky", ledger!C:C, "&lt;&gt;Closing CF")
))</f>
        <v>0</v>
      </c>
      <c r="I54" s="22" cm="1">
        <f t="array" ref="I54">_xlfn.BYROW(B54, _xlfn.LAMBDA(_xlpm.party,
   SUMIFS(ledger!J:J, ledger!B:B, _xlpm.party, ledger!E:E, "&lt;&gt;*RD*", ledger!D:D, "Slub", ledger!C:C, "&lt;&gt;Closing CF")
))</f>
        <v>0</v>
      </c>
      <c r="J54" s="22" cm="1">
        <f t="array" ref="J54">_xlfn.BYROW(B54, _xlfn.LAMBDA(_xlpm.party,
   SUMIFS(ledger!J:J, ledger!B:B, _xlpm.party, ledger!E:E, "&lt;&gt;*RD*", ledger!D:D, "Satin", ledger!C:C, "&lt;&gt;Closing CF")
))</f>
        <v>0</v>
      </c>
      <c r="K54" s="70" cm="1">
        <f t="array" ref="K54">_xlfn.BYROW(B54, _xlfn.LAMBDA(_xlpm.party,
   SUMIFS(ledger!J:J, ledger!B:B, _xlpm.party, ledger!E:E, "&lt;&gt;*RD*", ledger!D:D, "Black-chamki", ledger!C:C, "&lt;&gt;Closing CF")
))</f>
        <v>0</v>
      </c>
      <c r="L54" s="70" cm="1">
        <f t="array" ref="L54">_xlfn.BYROW(B54, _xlfn.LAMBDA(_xlpm.party,
   SUMIFS(ledger!J:J, ledger!B:B, _xlpm.party, ledger!E:E, "&lt;&gt;*RD*", ledger!D:D, "Kataan", ledger!C:C, "&lt;&gt;Closing CF")
))</f>
        <v>0</v>
      </c>
      <c r="M54" s="70" cm="1">
        <f t="array" ref="M54">_xlfn.BYROW(B54, _xlfn.LAMBDA(_xlpm.party,
   SUMIFS(ledger!J:J, ledger!B:B, _xlpm.party, ledger!E:E, "&lt;&gt;*RD*", ledger!D:D, "Munaar", ledger!C:C, "&lt;&gt;Closing CF")
))</f>
        <v>0</v>
      </c>
      <c r="N54" s="70" cm="1">
        <f t="array" ref="N54">_xlfn.BYROW(B54, _xlfn.LAMBDA(_xlpm.party,
   SUMIFS(ledger!J:J, ledger!B:B, _xlpm.party, ledger!E:E, "&lt;&gt;*RD*", ledger!D:D, "Custom", ledger!C:C, "&lt;&gt;Closing CF")
))</f>
        <v>0</v>
      </c>
      <c r="O54" s="39">
        <f t="shared" si="10"/>
        <v>0</v>
      </c>
      <c r="P54" s="22">
        <f>(SUMIF(Table14[Party],B54,Table14[Credit]))</f>
        <v>164000</v>
      </c>
      <c r="Q54" s="37">
        <f t="shared" si="9"/>
        <v>-164000</v>
      </c>
      <c r="R54" s="21">
        <v>10</v>
      </c>
      <c r="S54" s="21">
        <v>12</v>
      </c>
    </row>
    <row r="55" spans="1:24" x14ac:dyDescent="0.3">
      <c r="B55" s="24" t="str">
        <v>Raaz Fabrics</v>
      </c>
      <c r="C55" s="22">
        <v>80391</v>
      </c>
      <c r="D55" s="22">
        <v>73510.424286759328</v>
      </c>
      <c r="E55" s="63">
        <v>73510.424286759328</v>
      </c>
      <c r="F55" s="63">
        <v>0</v>
      </c>
      <c r="G55" s="22" cm="1">
        <f t="array" ref="G55">(_xlfn.BYROW(B55,_xlfn.LAMBDA(_xlpm.party,
(SUMIFS(ledger!J:J,ledger!B:B,_xlpm.party,ledger!E:E,"&lt;&gt;*RD*",ledger!D:D,"Chamki",ledger!C:C,"&lt;&gt;Closing CF")+
SUMIFS(ledger!J:J,ledger!B:B,_xlpm.party,ledger!E:E,"&lt;&gt;*RD*",ledger!D:D,"Crinkle",ledger!C:C,"&lt;&gt;Closing CF")
))))</f>
        <v>735104.2428675933</v>
      </c>
      <c r="H55" s="22" cm="1">
        <f t="array" ref="H55">_xlfn.BYROW(B55, _xlfn.LAMBDA(_xlpm.party,
   SUMIFS(ledger!J:J, ledger!B:B, _xlpm.party, ledger!E:E, "&lt;&gt;*RD*", ledger!D:D, "Silky", ledger!C:C, "&lt;&gt;Closing CF")
))</f>
        <v>0</v>
      </c>
      <c r="I55" s="22" cm="1">
        <f t="array" ref="I55">_xlfn.BYROW(B55, _xlfn.LAMBDA(_xlpm.party,
   SUMIFS(ledger!J:J, ledger!B:B, _xlpm.party, ledger!E:E, "&lt;&gt;*RD*", ledger!D:D, "Slub", ledger!C:C, "&lt;&gt;Closing CF")
))</f>
        <v>0</v>
      </c>
      <c r="J55" s="22" cm="1">
        <f t="array" ref="J55">_xlfn.BYROW(B55, _xlfn.LAMBDA(_xlpm.party,
   SUMIFS(ledger!J:J, ledger!B:B, _xlpm.party, ledger!E:E, "&lt;&gt;*RD*", ledger!D:D, "Satin", ledger!C:C, "&lt;&gt;Closing CF")
))</f>
        <v>0</v>
      </c>
      <c r="K55" s="70" cm="1">
        <f t="array" ref="K55">_xlfn.BYROW(B55, _xlfn.LAMBDA(_xlpm.party,
   SUMIFS(ledger!J:J, ledger!B:B, _xlpm.party, ledger!E:E, "&lt;&gt;*RD*", ledger!D:D, "Black-chamki", ledger!C:C, "&lt;&gt;Closing CF")
))</f>
        <v>0</v>
      </c>
      <c r="L55" s="70" cm="1">
        <f t="array" ref="L55">_xlfn.BYROW(B55, _xlfn.LAMBDA(_xlpm.party,
   SUMIFS(ledger!J:J, ledger!B:B, _xlpm.party, ledger!E:E, "&lt;&gt;*RD*", ledger!D:D, "Kataan", ledger!C:C, "&lt;&gt;Closing CF")
))</f>
        <v>0</v>
      </c>
      <c r="M55" s="70" cm="1">
        <f t="array" ref="M55">_xlfn.BYROW(B55, _xlfn.LAMBDA(_xlpm.party,
   SUMIFS(ledger!J:J, ledger!B:B, _xlpm.party, ledger!E:E, "&lt;&gt;*RD*", ledger!D:D, "Munaar", ledger!C:C, "&lt;&gt;Closing CF")
))</f>
        <v>0</v>
      </c>
      <c r="N55" s="70" cm="1">
        <f t="array" ref="N55">_xlfn.BYROW(B55, _xlfn.LAMBDA(_xlpm.party,
   SUMIFS(ledger!J:J, ledger!B:B, _xlpm.party, ledger!E:E, "&lt;&gt;*RD*", ledger!D:D, "Custom", ledger!C:C, "&lt;&gt;Closing CF")
))</f>
        <v>0</v>
      </c>
      <c r="O55" s="39">
        <f t="shared" si="10"/>
        <v>735104.2428675933</v>
      </c>
      <c r="P55" s="22">
        <f>(SUMIF(Table14[Party],B55,Table14[Credit]))</f>
        <v>450000</v>
      </c>
      <c r="Q55" s="37">
        <f t="shared" si="9"/>
        <v>285104.2428675933</v>
      </c>
      <c r="R55" s="21">
        <v>10</v>
      </c>
      <c r="S55" s="21">
        <v>12</v>
      </c>
    </row>
    <row r="56" spans="1:24" x14ac:dyDescent="0.3">
      <c r="B56" s="24" t="str">
        <v>Azam</v>
      </c>
      <c r="C56" s="22">
        <v>0</v>
      </c>
      <c r="D56" s="22">
        <v>0</v>
      </c>
      <c r="E56" s="63">
        <v>0</v>
      </c>
      <c r="F56" s="63">
        <v>0</v>
      </c>
      <c r="G56" s="22" cm="1">
        <f t="array" ref="G56">(_xlfn.BYROW(B56,_xlfn.LAMBDA(_xlpm.party,
(SUMIFS(ledger!J:J,ledger!B:B,_xlpm.party,ledger!E:E,"&lt;&gt;*RD*",ledger!D:D,"Chamki",ledger!C:C,"&lt;&gt;Closing CF")+
SUMIFS(ledger!J:J,ledger!B:B,_xlpm.party,ledger!E:E,"&lt;&gt;*RD*",ledger!D:D,"Crinkle",ledger!C:C,"&lt;&gt;Closing CF")
))))</f>
        <v>0</v>
      </c>
      <c r="H56" s="22" cm="1">
        <f t="array" ref="H56">_xlfn.BYROW(B56, _xlfn.LAMBDA(_xlpm.party,
   SUMIFS(ledger!J:J, ledger!B:B, _xlpm.party, ledger!E:E, "&lt;&gt;*RD*", ledger!D:D, "Silky", ledger!C:C, "&lt;&gt;Closing CF")
))</f>
        <v>0</v>
      </c>
      <c r="I56" s="22" cm="1">
        <f t="array" ref="I56">_xlfn.BYROW(B56, _xlfn.LAMBDA(_xlpm.party,
   SUMIFS(ledger!J:J, ledger!B:B, _xlpm.party, ledger!E:E, "&lt;&gt;*RD*", ledger!D:D, "Slub", ledger!C:C, "&lt;&gt;Closing CF")
))</f>
        <v>0</v>
      </c>
      <c r="J56" s="22" cm="1">
        <f t="array" ref="J56">_xlfn.BYROW(B56, _xlfn.LAMBDA(_xlpm.party,
   SUMIFS(ledger!J:J, ledger!B:B, _xlpm.party, ledger!E:E, "&lt;&gt;*RD*", ledger!D:D, "Satin", ledger!C:C, "&lt;&gt;Closing CF")
))</f>
        <v>0</v>
      </c>
      <c r="K56" s="70" cm="1">
        <f t="array" ref="K56">_xlfn.BYROW(B56, _xlfn.LAMBDA(_xlpm.party,
   SUMIFS(ledger!J:J, ledger!B:B, _xlpm.party, ledger!E:E, "&lt;&gt;*RD*", ledger!D:D, "Black-chamki", ledger!C:C, "&lt;&gt;Closing CF")
))</f>
        <v>0</v>
      </c>
      <c r="L56" s="70" cm="1">
        <f t="array" ref="L56">_xlfn.BYROW(B56, _xlfn.LAMBDA(_xlpm.party,
   SUMIFS(ledger!J:J, ledger!B:B, _xlpm.party, ledger!E:E, "&lt;&gt;*RD*", ledger!D:D, "Kataan", ledger!C:C, "&lt;&gt;Closing CF")
))</f>
        <v>0</v>
      </c>
      <c r="M56" s="70" cm="1">
        <f t="array" ref="M56">_xlfn.BYROW(B56, _xlfn.LAMBDA(_xlpm.party,
   SUMIFS(ledger!J:J, ledger!B:B, _xlpm.party, ledger!E:E, "&lt;&gt;*RD*", ledger!D:D, "Munaar", ledger!C:C, "&lt;&gt;Closing CF")
))</f>
        <v>0</v>
      </c>
      <c r="N56" s="70" cm="1">
        <f t="array" ref="N56">_xlfn.BYROW(B56, _xlfn.LAMBDA(_xlpm.party,
   SUMIFS(ledger!J:J, ledger!B:B, _xlpm.party, ledger!E:E, "&lt;&gt;*RD*", ledger!D:D, "Custom", ledger!C:C, "&lt;&gt;Closing CF")
))</f>
        <v>0</v>
      </c>
      <c r="O56" s="39">
        <f t="shared" si="10"/>
        <v>0</v>
      </c>
      <c r="P56" s="22">
        <f>(SUMIF(Table14[Party],B56,Table14[Credit]))</f>
        <v>0</v>
      </c>
      <c r="Q56" s="37">
        <f t="shared" si="9"/>
        <v>0</v>
      </c>
      <c r="R56" s="21">
        <v>10</v>
      </c>
      <c r="S56" s="21">
        <v>12</v>
      </c>
    </row>
    <row r="57" spans="1:24" x14ac:dyDescent="0.3">
      <c r="B57" s="24" t="str">
        <v>Ubaidullah</v>
      </c>
      <c r="C57" s="22">
        <v>109555</v>
      </c>
      <c r="D57" s="22">
        <v>100178.31016825166</v>
      </c>
      <c r="E57" s="63">
        <v>0</v>
      </c>
      <c r="F57" s="63">
        <v>100178.31016825166</v>
      </c>
      <c r="G57" s="22" cm="1">
        <f t="array" ref="G57">(_xlfn.BYROW(B57,_xlfn.LAMBDA(_xlpm.party,
(SUMIFS(ledger!J:J,ledger!B:B,_xlpm.party,ledger!E:E,"&lt;&gt;*RD*",ledger!D:D,"Chamki",ledger!C:C,"&lt;&gt;Closing CF")+
SUMIFS(ledger!J:J,ledger!B:B,_xlpm.party,ledger!E:E,"&lt;&gt;*RD*",ledger!D:D,"Crinkle",ledger!C:C,"&lt;&gt;Closing CF")
))))</f>
        <v>0</v>
      </c>
      <c r="H57" s="22" cm="1">
        <f t="array" ref="H57">_xlfn.BYROW(B57, _xlfn.LAMBDA(_xlpm.party,
   SUMIFS(ledger!J:J, ledger!B:B, _xlpm.party, ledger!E:E, "&lt;&gt;*RD*", ledger!D:D, "Silky", ledger!C:C, "&lt;&gt;Closing CF")
))</f>
        <v>1202139.72201902</v>
      </c>
      <c r="I57" s="22" cm="1">
        <f t="array" ref="I57">_xlfn.BYROW(B57, _xlfn.LAMBDA(_xlpm.party,
   SUMIFS(ledger!J:J, ledger!B:B, _xlpm.party, ledger!E:E, "&lt;&gt;*RD*", ledger!D:D, "Slub", ledger!C:C, "&lt;&gt;Closing CF")
))</f>
        <v>0</v>
      </c>
      <c r="J57" s="22" cm="1">
        <f t="array" ref="J57">_xlfn.BYROW(B57, _xlfn.LAMBDA(_xlpm.party,
   SUMIFS(ledger!J:J, ledger!B:B, _xlpm.party, ledger!E:E, "&lt;&gt;*RD*", ledger!D:D, "Satin", ledger!C:C, "&lt;&gt;Closing CF")
))</f>
        <v>0</v>
      </c>
      <c r="K57" s="70" cm="1">
        <f t="array" ref="K57">_xlfn.BYROW(B57, _xlfn.LAMBDA(_xlpm.party,
   SUMIFS(ledger!J:J, ledger!B:B, _xlpm.party, ledger!E:E, "&lt;&gt;*RD*", ledger!D:D, "Black-chamki", ledger!C:C, "&lt;&gt;Closing CF")
))</f>
        <v>0</v>
      </c>
      <c r="L57" s="70" cm="1">
        <f t="array" ref="L57">_xlfn.BYROW(B57, _xlfn.LAMBDA(_xlpm.party,
   SUMIFS(ledger!J:J, ledger!B:B, _xlpm.party, ledger!E:E, "&lt;&gt;*RD*", ledger!D:D, "Kataan", ledger!C:C, "&lt;&gt;Closing CF")
))</f>
        <v>0</v>
      </c>
      <c r="M57" s="70" cm="1">
        <f t="array" ref="M57">_xlfn.BYROW(B57, _xlfn.LAMBDA(_xlpm.party,
   SUMIFS(ledger!J:J, ledger!B:B, _xlpm.party, ledger!E:E, "&lt;&gt;*RD*", ledger!D:D, "Munaar", ledger!C:C, "&lt;&gt;Closing CF")
))</f>
        <v>0</v>
      </c>
      <c r="N57" s="70" cm="1">
        <f t="array" ref="N57">_xlfn.BYROW(B57, _xlfn.LAMBDA(_xlpm.party,
   SUMIFS(ledger!J:J, ledger!B:B, _xlpm.party, ledger!E:E, "&lt;&gt;*RD*", ledger!D:D, "Custom", ledger!C:C, "&lt;&gt;Closing CF")
))</f>
        <v>0</v>
      </c>
      <c r="O57" s="39">
        <f t="shared" si="10"/>
        <v>1202139.72201902</v>
      </c>
      <c r="P57" s="22">
        <f>(SUMIF(Table14[Party],B57,Table14[Credit]))</f>
        <v>1201800</v>
      </c>
      <c r="Q57" s="37">
        <f t="shared" si="9"/>
        <v>339.72201902000234</v>
      </c>
      <c r="R57" s="21">
        <v>10</v>
      </c>
      <c r="S57" s="21">
        <v>12</v>
      </c>
      <c r="V57" s="3" t="s">
        <v>6</v>
      </c>
      <c r="W57" t="s">
        <v>7</v>
      </c>
      <c r="X57" t="s">
        <v>8</v>
      </c>
    </row>
    <row r="58" spans="1:24" x14ac:dyDescent="0.3">
      <c r="B58" s="24" t="str">
        <v>Ashraf Zia</v>
      </c>
      <c r="C58" s="22">
        <v>0</v>
      </c>
      <c r="D58" s="22">
        <v>0</v>
      </c>
      <c r="E58" s="63">
        <v>0</v>
      </c>
      <c r="F58" s="63">
        <v>0</v>
      </c>
      <c r="G58" s="22" cm="1">
        <f t="array" ref="G58">(_xlfn.BYROW(B58,_xlfn.LAMBDA(_xlpm.party,
(SUMIFS(ledger!J:J,ledger!B:B,_xlpm.party,ledger!E:E,"&lt;&gt;*RD*",ledger!D:D,"Chamki",ledger!C:C,"&lt;&gt;Closing CF")+
SUMIFS(ledger!J:J,ledger!B:B,_xlpm.party,ledger!E:E,"&lt;&gt;*RD*",ledger!D:D,"Crinkle",ledger!C:C,"&lt;&gt;Closing CF")
))))</f>
        <v>0</v>
      </c>
      <c r="H58" s="22" cm="1">
        <f t="array" ref="H58">_xlfn.BYROW(B58, _xlfn.LAMBDA(_xlpm.party,
   SUMIFS(ledger!J:J, ledger!B:B, _xlpm.party, ledger!E:E, "&lt;&gt;*RD*", ledger!D:D, "Silky", ledger!C:C, "&lt;&gt;Closing CF")
))</f>
        <v>0</v>
      </c>
      <c r="I58" s="22" cm="1">
        <f t="array" ref="I58">_xlfn.BYROW(B58, _xlfn.LAMBDA(_xlpm.party,
   SUMIFS(ledger!J:J, ledger!B:B, _xlpm.party, ledger!E:E, "&lt;&gt;*RD*", ledger!D:D, "Slub", ledger!C:C, "&lt;&gt;Closing CF")
))</f>
        <v>0</v>
      </c>
      <c r="J58" s="22" cm="1">
        <f t="array" ref="J58">_xlfn.BYROW(B58, _xlfn.LAMBDA(_xlpm.party,
   SUMIFS(ledger!J:J, ledger!B:B, _xlpm.party, ledger!E:E, "&lt;&gt;*RD*", ledger!D:D, "Satin", ledger!C:C, "&lt;&gt;Closing CF")
))</f>
        <v>0</v>
      </c>
      <c r="K58" s="70" cm="1">
        <f t="array" ref="K58">_xlfn.BYROW(B58, _xlfn.LAMBDA(_xlpm.party,
   SUMIFS(ledger!J:J, ledger!B:B, _xlpm.party, ledger!E:E, "&lt;&gt;*RD*", ledger!D:D, "Black-chamki", ledger!C:C, "&lt;&gt;Closing CF")
))</f>
        <v>0</v>
      </c>
      <c r="L58" s="70" cm="1">
        <f t="array" ref="L58">_xlfn.BYROW(B58, _xlfn.LAMBDA(_xlpm.party,
   SUMIFS(ledger!J:J, ledger!B:B, _xlpm.party, ledger!E:E, "&lt;&gt;*RD*", ledger!D:D, "Kataan", ledger!C:C, "&lt;&gt;Closing CF")
))</f>
        <v>0</v>
      </c>
      <c r="M58" s="70" cm="1">
        <f t="array" ref="M58">_xlfn.BYROW(B58, _xlfn.LAMBDA(_xlpm.party,
   SUMIFS(ledger!J:J, ledger!B:B, _xlpm.party, ledger!E:E, "&lt;&gt;*RD*", ledger!D:D, "Munaar", ledger!C:C, "&lt;&gt;Closing CF")
))</f>
        <v>0</v>
      </c>
      <c r="N58" s="70" cm="1">
        <f t="array" ref="N58">_xlfn.BYROW(B58, _xlfn.LAMBDA(_xlpm.party,
   SUMIFS(ledger!J:J, ledger!B:B, _xlpm.party, ledger!E:E, "&lt;&gt;*RD*", ledger!D:D, "Custom", ledger!C:C, "&lt;&gt;Closing CF")
))</f>
        <v>0</v>
      </c>
      <c r="O58" s="39">
        <f t="shared" si="10"/>
        <v>0</v>
      </c>
      <c r="P58" s="22">
        <f>(SUMIF(Table14[Party],B58,Table14[Credit]))</f>
        <v>0</v>
      </c>
      <c r="Q58" s="37">
        <f t="shared" si="9"/>
        <v>0</v>
      </c>
      <c r="R58" s="21">
        <v>12</v>
      </c>
      <c r="S58" s="21">
        <v>12</v>
      </c>
      <c r="V58" s="4" t="s">
        <v>21</v>
      </c>
      <c r="W58" s="5">
        <v>1067194.5866861742</v>
      </c>
      <c r="X58" s="18">
        <v>9800459.034381859</v>
      </c>
    </row>
    <row r="59" spans="1:24" x14ac:dyDescent="0.3">
      <c r="B59" s="24" t="str">
        <v>Hafiz Qureshi</v>
      </c>
      <c r="C59" s="22">
        <v>171825</v>
      </c>
      <c r="D59" s="22">
        <v>157118.69056327725</v>
      </c>
      <c r="E59" s="63">
        <v>52614.301389904904</v>
      </c>
      <c r="F59" s="63">
        <v>57155.267008046823</v>
      </c>
      <c r="G59" s="22" cm="1">
        <f t="array" ref="G59">(_xlfn.BYROW(B59,_xlfn.LAMBDA(_xlpm.party,
(SUMIFS(ledger!J:J,ledger!B:B,_xlpm.party,ledger!E:E,"&lt;&gt;*RD*",ledger!D:D,"Chamki",ledger!C:C,"&lt;&gt;Closing CF")+
SUMIFS(ledger!J:J,ledger!B:B,_xlpm.party,ledger!E:E,"&lt;&gt;*RD*",ledger!D:D,"Crinkle",ledger!C:C,"&lt;&gt;Closing CF")
))))</f>
        <v>526143.01389904902</v>
      </c>
      <c r="H59" s="22" cm="1">
        <f t="array" ref="H59">_xlfn.BYROW(B59, _xlfn.LAMBDA(_xlpm.party,
   SUMIFS(ledger!J:J, ledger!B:B, _xlpm.party, ledger!E:E, "&lt;&gt;*RD*", ledger!D:D, "Silky", ledger!C:C, "&lt;&gt;Closing CF")
))</f>
        <v>743018.47110460862</v>
      </c>
      <c r="I59" s="22" cm="1">
        <f t="array" ref="I59">_xlfn.BYROW(B59, _xlfn.LAMBDA(_xlpm.party,
   SUMIFS(ledger!J:J, ledger!B:B, _xlpm.party, ledger!E:E, "&lt;&gt;*RD*", ledger!D:D, "Slub", ledger!C:C, "&lt;&gt;Closing CF")
))</f>
        <v>0</v>
      </c>
      <c r="J59" s="22" cm="1">
        <f t="array" ref="J59">_xlfn.BYROW(B59, _xlfn.LAMBDA(_xlpm.party,
   SUMIFS(ledger!J:J, ledger!B:B, _xlpm.party, ledger!E:E, "&lt;&gt;*RD*", ledger!D:D, "Satin", ledger!C:C, "&lt;&gt;Closing CF")
))</f>
        <v>0</v>
      </c>
      <c r="K59" s="70" cm="1">
        <f t="array" ref="K59">_xlfn.BYROW(B59, _xlfn.LAMBDA(_xlpm.party,
   SUMIFS(ledger!J:J, ledger!B:B, _xlpm.party, ledger!E:E, "&lt;&gt;*RD*", ledger!D:D, "Black-chamki", ledger!C:C, "&lt;&gt;Closing CF")
))</f>
        <v>0</v>
      </c>
      <c r="L59" s="70" cm="1">
        <f t="array" ref="L59">_xlfn.BYROW(B59, _xlfn.LAMBDA(_xlpm.party,
   SUMIFS(ledger!J:J, ledger!B:B, _xlpm.party, ledger!E:E, "&lt;&gt;*RD*", ledger!D:D, "Kataan", ledger!C:C, "&lt;&gt;Closing CF")
))</f>
        <v>520840.34381858085</v>
      </c>
      <c r="M59" s="70" cm="1">
        <f t="array" ref="M59">_xlfn.BYROW(B59, _xlfn.LAMBDA(_xlpm.party,
   SUMIFS(ledger!J:J, ledger!B:B, _xlpm.party, ledger!E:E, "&lt;&gt;*RD*", ledger!D:D, "Munaar", ledger!C:C, "&lt;&gt;Closing CF")
))</f>
        <v>0</v>
      </c>
      <c r="N59" s="70" cm="1">
        <f t="array" ref="N59">_xlfn.BYROW(B59, _xlfn.LAMBDA(_xlpm.party,
   SUMIFS(ledger!J:J, ledger!B:B, _xlpm.party, ledger!E:E, "&lt;&gt;*RD*", ledger!D:D, "Custom", ledger!C:C, "&lt;&gt;Closing CF")
))</f>
        <v>0</v>
      </c>
      <c r="O59" s="39">
        <f t="shared" si="10"/>
        <v>1790001.8288222384</v>
      </c>
      <c r="P59" s="22">
        <f>(SUMIF(Table14[Party],B59,Table14[Credit]))</f>
        <v>786594</v>
      </c>
      <c r="Q59" s="37">
        <f t="shared" si="9"/>
        <v>1003407.8288222384</v>
      </c>
      <c r="R59" s="21">
        <v>10</v>
      </c>
      <c r="S59" s="21">
        <v>12</v>
      </c>
      <c r="V59" s="4" t="s">
        <v>22</v>
      </c>
      <c r="W59" s="5">
        <v>49525.420629114851</v>
      </c>
      <c r="X59" s="18">
        <v>594305.04754937824</v>
      </c>
    </row>
    <row r="60" spans="1:24" x14ac:dyDescent="0.3">
      <c r="B60" s="24" t="str">
        <v>Badshah Fabrics</v>
      </c>
      <c r="C60" s="22">
        <v>0</v>
      </c>
      <c r="D60" s="22">
        <v>0</v>
      </c>
      <c r="E60" s="63">
        <v>0</v>
      </c>
      <c r="F60" s="63">
        <v>0</v>
      </c>
      <c r="G60" s="22" cm="1">
        <f t="array" ref="G60">(_xlfn.BYROW(B60,_xlfn.LAMBDA(_xlpm.party,
(SUMIFS(ledger!J:J,ledger!B:B,_xlpm.party,ledger!E:E,"&lt;&gt;*RD*",ledger!D:D,"Chamki",ledger!C:C,"&lt;&gt;Closing CF")+
SUMIFS(ledger!J:J,ledger!B:B,_xlpm.party,ledger!E:E,"&lt;&gt;*RD*",ledger!D:D,"Crinkle",ledger!C:C,"&lt;&gt;Closing CF")
))))</f>
        <v>0</v>
      </c>
      <c r="H60" s="22" cm="1">
        <f t="array" ref="H60">_xlfn.BYROW(B60, _xlfn.LAMBDA(_xlpm.party,
   SUMIFS(ledger!J:J, ledger!B:B, _xlpm.party, ledger!E:E, "&lt;&gt;*RD*", ledger!D:D, "Silky", ledger!C:C, "&lt;&gt;Closing CF")
))</f>
        <v>0</v>
      </c>
      <c r="I60" s="22" cm="1">
        <f t="array" ref="I60">_xlfn.BYROW(B60, _xlfn.LAMBDA(_xlpm.party,
   SUMIFS(ledger!J:J, ledger!B:B, _xlpm.party, ledger!E:E, "&lt;&gt;*RD*", ledger!D:D, "Slub", ledger!C:C, "&lt;&gt;Closing CF")
))</f>
        <v>0</v>
      </c>
      <c r="J60" s="22" cm="1">
        <f t="array" ref="J60">_xlfn.BYROW(B60, _xlfn.LAMBDA(_xlpm.party,
   SUMIFS(ledger!J:J, ledger!B:B, _xlpm.party, ledger!E:E, "&lt;&gt;*RD*", ledger!D:D, "Satin", ledger!C:C, "&lt;&gt;Closing CF")
))</f>
        <v>0</v>
      </c>
      <c r="K60" s="70" cm="1">
        <f t="array" ref="K60">_xlfn.BYROW(B60, _xlfn.LAMBDA(_xlpm.party,
   SUMIFS(ledger!J:J, ledger!B:B, _xlpm.party, ledger!E:E, "&lt;&gt;*RD*", ledger!D:D, "Black-chamki", ledger!C:C, "&lt;&gt;Closing CF")
))</f>
        <v>0</v>
      </c>
      <c r="L60" s="70" cm="1">
        <f t="array" ref="L60">_xlfn.BYROW(B60, _xlfn.LAMBDA(_xlpm.party,
   SUMIFS(ledger!J:J, ledger!B:B, _xlpm.party, ledger!E:E, "&lt;&gt;*RD*", ledger!D:D, "Kataan", ledger!C:C, "&lt;&gt;Closing CF")
))</f>
        <v>0</v>
      </c>
      <c r="M60" s="70" cm="1">
        <f t="array" ref="M60">_xlfn.BYROW(B60, _xlfn.LAMBDA(_xlpm.party,
   SUMIFS(ledger!J:J, ledger!B:B, _xlpm.party, ledger!E:E, "&lt;&gt;*RD*", ledger!D:D, "Munaar", ledger!C:C, "&lt;&gt;Closing CF")
))</f>
        <v>0</v>
      </c>
      <c r="N60" s="70" cm="1">
        <f t="array" ref="N60">_xlfn.BYROW(B60, _xlfn.LAMBDA(_xlpm.party,
   SUMIFS(ledger!J:J, ledger!B:B, _xlpm.party, ledger!E:E, "&lt;&gt;*RD*", ledger!D:D, "Custom", ledger!C:C, "&lt;&gt;Closing CF")
))</f>
        <v>0</v>
      </c>
      <c r="O60" s="39">
        <f t="shared" si="10"/>
        <v>0</v>
      </c>
      <c r="P60" s="22">
        <f>(SUMIF(Table14[Party],B60,Table14[Credit]))</f>
        <v>0</v>
      </c>
      <c r="Q60" s="37">
        <f t="shared" si="9"/>
        <v>0</v>
      </c>
      <c r="R60" s="21">
        <v>10</v>
      </c>
      <c r="S60" s="21">
        <v>12</v>
      </c>
      <c r="V60" s="4" t="s">
        <v>9</v>
      </c>
      <c r="W60" s="5">
        <v>48639.356254572063</v>
      </c>
      <c r="X60" s="18">
        <v>486393.5625457206</v>
      </c>
    </row>
    <row r="61" spans="1:24" x14ac:dyDescent="0.3">
      <c r="B61" s="24" t="str">
        <v>Gauhar Kashif</v>
      </c>
      <c r="C61" s="22">
        <v>0</v>
      </c>
      <c r="D61" s="22">
        <v>0</v>
      </c>
      <c r="E61" s="63">
        <v>0</v>
      </c>
      <c r="F61" s="63">
        <v>0</v>
      </c>
      <c r="G61" s="22" cm="1">
        <f t="array" ref="G61">(_xlfn.BYROW(B61,_xlfn.LAMBDA(_xlpm.party,
(SUMIFS(ledger!J:J,ledger!B:B,_xlpm.party,ledger!E:E,"&lt;&gt;*RD*",ledger!D:D,"Chamki",ledger!C:C,"&lt;&gt;Closing CF")+
SUMIFS(ledger!J:J,ledger!B:B,_xlpm.party,ledger!E:E,"&lt;&gt;*RD*",ledger!D:D,"Crinkle",ledger!C:C,"&lt;&gt;Closing CF")
))))</f>
        <v>0</v>
      </c>
      <c r="H61" s="22" cm="1">
        <f t="array" ref="H61">_xlfn.BYROW(B61, _xlfn.LAMBDA(_xlpm.party,
   SUMIFS(ledger!J:J, ledger!B:B, _xlpm.party, ledger!E:E, "&lt;&gt;*RD*", ledger!D:D, "Silky", ledger!C:C, "&lt;&gt;Closing CF")
))</f>
        <v>0</v>
      </c>
      <c r="I61" s="22" cm="1">
        <f t="array" ref="I61">_xlfn.BYROW(B61, _xlfn.LAMBDA(_xlpm.party,
   SUMIFS(ledger!J:J, ledger!B:B, _xlpm.party, ledger!E:E, "&lt;&gt;*RD*", ledger!D:D, "Slub", ledger!C:C, "&lt;&gt;Closing CF")
))</f>
        <v>0</v>
      </c>
      <c r="J61" s="22" cm="1">
        <f t="array" ref="J61">_xlfn.BYROW(B61, _xlfn.LAMBDA(_xlpm.party,
   SUMIFS(ledger!J:J, ledger!B:B, _xlpm.party, ledger!E:E, "&lt;&gt;*RD*", ledger!D:D, "Satin", ledger!C:C, "&lt;&gt;Closing CF")
))</f>
        <v>0</v>
      </c>
      <c r="K61" s="70" cm="1">
        <f t="array" ref="K61">_xlfn.BYROW(B61, _xlfn.LAMBDA(_xlpm.party,
   SUMIFS(ledger!J:J, ledger!B:B, _xlpm.party, ledger!E:E, "&lt;&gt;*RD*", ledger!D:D, "Black-chamki", ledger!C:C, "&lt;&gt;Closing CF")
))</f>
        <v>0</v>
      </c>
      <c r="L61" s="70" cm="1">
        <f t="array" ref="L61">_xlfn.BYROW(B61, _xlfn.LAMBDA(_xlpm.party,
   SUMIFS(ledger!J:J, ledger!B:B, _xlpm.party, ledger!E:E, "&lt;&gt;*RD*", ledger!D:D, "Kataan", ledger!C:C, "&lt;&gt;Closing CF")
))</f>
        <v>0</v>
      </c>
      <c r="M61" s="70" cm="1">
        <f t="array" ref="M61">_xlfn.BYROW(B61, _xlfn.LAMBDA(_xlpm.party,
   SUMIFS(ledger!J:J, ledger!B:B, _xlpm.party, ledger!E:E, "&lt;&gt;*RD*", ledger!D:D, "Munaar", ledger!C:C, "&lt;&gt;Closing CF")
))</f>
        <v>0</v>
      </c>
      <c r="N61" s="70" cm="1">
        <f t="array" ref="N61">_xlfn.BYROW(B61, _xlfn.LAMBDA(_xlpm.party,
   SUMIFS(ledger!J:J, ledger!B:B, _xlpm.party, ledger!E:E, "&lt;&gt;*RD*", ledger!D:D, "Custom", ledger!C:C, "&lt;&gt;Closing CF")
))</f>
        <v>0</v>
      </c>
      <c r="O61" s="39">
        <f t="shared" si="10"/>
        <v>0</v>
      </c>
      <c r="P61" s="22">
        <f>(SUMIF(Table14[Party],B61,Table14[Credit]))</f>
        <v>0</v>
      </c>
      <c r="Q61" s="37">
        <f t="shared" si="9"/>
        <v>0</v>
      </c>
      <c r="R61" s="21">
        <v>10</v>
      </c>
      <c r="S61" s="21">
        <v>12</v>
      </c>
      <c r="V61" s="4" t="s">
        <v>23</v>
      </c>
      <c r="W61" s="5">
        <v>0</v>
      </c>
      <c r="X61" s="18">
        <v>0</v>
      </c>
    </row>
    <row r="62" spans="1:24" x14ac:dyDescent="0.3">
      <c r="B62" s="80" t="str">
        <v>Amjad 7up</v>
      </c>
      <c r="C62" s="22">
        <v>0</v>
      </c>
      <c r="D62" s="22">
        <v>0</v>
      </c>
      <c r="E62" s="63">
        <v>0</v>
      </c>
      <c r="F62" s="63">
        <v>0</v>
      </c>
      <c r="G62" s="22" cm="1">
        <f t="array" ref="G62">(_xlfn.BYROW(B62,_xlfn.LAMBDA(_xlpm.party,
(SUMIFS(ledger!J:J,ledger!B:B,_xlpm.party,ledger!E:E,"&lt;&gt;*RD*",ledger!D:D,"Chamki",ledger!C:C,"&lt;&gt;Closing CF")+
SUMIFS(ledger!J:J,ledger!B:B,_xlpm.party,ledger!E:E,"&lt;&gt;*RD*",ledger!D:D,"Crinkle",ledger!C:C,"&lt;&gt;Closing CF")
))))</f>
        <v>0</v>
      </c>
      <c r="H62" s="22" cm="1">
        <f t="array" ref="H62">_xlfn.BYROW(B62, _xlfn.LAMBDA(_xlpm.party,
   SUMIFS(ledger!J:J, ledger!B:B, _xlpm.party, ledger!E:E, "&lt;&gt;*RD*", ledger!D:D, "Silky", ledger!C:C, "&lt;&gt;Closing CF")
))</f>
        <v>0</v>
      </c>
      <c r="I62" s="22" cm="1">
        <f t="array" ref="I62">_xlfn.BYROW(B62, _xlfn.LAMBDA(_xlpm.party,
   SUMIFS(ledger!J:J, ledger!B:B, _xlpm.party, ledger!E:E, "&lt;&gt;*RD*", ledger!D:D, "Slub", ledger!C:C, "&lt;&gt;Closing CF")
))</f>
        <v>0</v>
      </c>
      <c r="J62" s="22" cm="1">
        <f t="array" ref="J62">_xlfn.BYROW(B62, _xlfn.LAMBDA(_xlpm.party,
   SUMIFS(ledger!J:J, ledger!B:B, _xlpm.party, ledger!E:E, "&lt;&gt;*RD*", ledger!D:D, "Satin", ledger!C:C, "&lt;&gt;Closing CF")
))</f>
        <v>0</v>
      </c>
      <c r="K62" s="70" cm="1">
        <f t="array" ref="K62">_xlfn.BYROW(B62, _xlfn.LAMBDA(_xlpm.party,
   SUMIFS(ledger!J:J, ledger!B:B, _xlpm.party, ledger!E:E, "&lt;&gt;*RD*", ledger!D:D, "Black-chamki", ledger!C:C, "&lt;&gt;Closing CF")
))</f>
        <v>0</v>
      </c>
      <c r="L62" s="70" cm="1">
        <f t="array" ref="L62">_xlfn.BYROW(B62, _xlfn.LAMBDA(_xlpm.party,
   SUMIFS(ledger!J:J, ledger!B:B, _xlpm.party, ledger!E:E, "&lt;&gt;*RD*", ledger!D:D, "Kataan", ledger!C:C, "&lt;&gt;Closing CF")
))</f>
        <v>0</v>
      </c>
      <c r="M62" s="70" cm="1">
        <f t="array" ref="M62">_xlfn.BYROW(B62, _xlfn.LAMBDA(_xlpm.party,
   SUMIFS(ledger!J:J, ledger!B:B, _xlpm.party, ledger!E:E, "&lt;&gt;*RD*", ledger!D:D, "Munaar", ledger!C:C, "&lt;&gt;Closing CF")
))</f>
        <v>0</v>
      </c>
      <c r="N62" s="70" cm="1">
        <f t="array" ref="N62">_xlfn.BYROW(B62, _xlfn.LAMBDA(_xlpm.party,
   SUMIFS(ledger!J:J, ledger!B:B, _xlpm.party, ledger!E:E, "&lt;&gt;*RD*", ledger!D:D, "Custom", ledger!C:C, "&lt;&gt;Closing CF")
))</f>
        <v>0</v>
      </c>
      <c r="O62" s="39">
        <f t="shared" si="10"/>
        <v>0</v>
      </c>
      <c r="P62" s="22">
        <f>(SUMIF(Table14[Party],B62,Table14[Credit]))</f>
        <v>0</v>
      </c>
      <c r="Q62" s="37">
        <f t="shared" si="9"/>
        <v>0</v>
      </c>
      <c r="R62" s="21">
        <v>10</v>
      </c>
      <c r="S62" s="21">
        <v>12</v>
      </c>
      <c r="V62" s="4" t="s">
        <v>24</v>
      </c>
      <c r="W62" s="5">
        <v>0</v>
      </c>
      <c r="X62" s="18">
        <v>0</v>
      </c>
    </row>
    <row r="63" spans="1:24" x14ac:dyDescent="0.3">
      <c r="B63" s="80" t="str">
        <v>Hazrat Khan</v>
      </c>
      <c r="C63" s="22">
        <v>0</v>
      </c>
      <c r="D63" s="22">
        <v>0</v>
      </c>
      <c r="E63" s="63">
        <v>0</v>
      </c>
      <c r="F63" s="63">
        <v>0</v>
      </c>
      <c r="G63" s="22" cm="1">
        <f t="array" ref="G63">(_xlfn.BYROW(B63,_xlfn.LAMBDA(_xlpm.party,
(SUMIFS(ledger!J:J,ledger!B:B,_xlpm.party,ledger!E:E,"&lt;&gt;*RD*",ledger!D:D,"Chamki",ledger!C:C,"&lt;&gt;Closing CF")+
SUMIFS(ledger!J:J,ledger!B:B,_xlpm.party,ledger!E:E,"&lt;&gt;*RD*",ledger!D:D,"Crinkle",ledger!C:C,"&lt;&gt;Closing CF")
))))</f>
        <v>0</v>
      </c>
      <c r="H63" s="22" cm="1">
        <f t="array" ref="H63">_xlfn.BYROW(B63, _xlfn.LAMBDA(_xlpm.party,
   SUMIFS(ledger!J:J, ledger!B:B, _xlpm.party, ledger!E:E, "&lt;&gt;*RD*", ledger!D:D, "Silky", ledger!C:C, "&lt;&gt;Closing CF")
))</f>
        <v>0</v>
      </c>
      <c r="I63" s="22" cm="1">
        <f t="array" ref="I63">_xlfn.BYROW(B63, _xlfn.LAMBDA(_xlpm.party,
   SUMIFS(ledger!J:J, ledger!B:B, _xlpm.party, ledger!E:E, "&lt;&gt;*RD*", ledger!D:D, "Slub", ledger!C:C, "&lt;&gt;Closing CF")
))</f>
        <v>0</v>
      </c>
      <c r="J63" s="22" cm="1">
        <f t="array" ref="J63">_xlfn.BYROW(B63, _xlfn.LAMBDA(_xlpm.party,
   SUMIFS(ledger!J:J, ledger!B:B, _xlpm.party, ledger!E:E, "&lt;&gt;*RD*", ledger!D:D, "Satin", ledger!C:C, "&lt;&gt;Closing CF")
))</f>
        <v>0</v>
      </c>
      <c r="K63" s="70" cm="1">
        <f t="array" ref="K63">_xlfn.BYROW(B63, _xlfn.LAMBDA(_xlpm.party,
   SUMIFS(ledger!J:J, ledger!B:B, _xlpm.party, ledger!E:E, "&lt;&gt;*RD*", ledger!D:D, "Black-chamki", ledger!C:C, "&lt;&gt;Closing CF")
))</f>
        <v>0</v>
      </c>
      <c r="L63" s="70" cm="1">
        <f t="array" ref="L63">_xlfn.BYROW(B63, _xlfn.LAMBDA(_xlpm.party,
   SUMIFS(ledger!J:J, ledger!B:B, _xlpm.party, ledger!E:E, "&lt;&gt;*RD*", ledger!D:D, "Kataan", ledger!C:C, "&lt;&gt;Closing CF")
))</f>
        <v>0</v>
      </c>
      <c r="M63" s="70" cm="1">
        <f t="array" ref="M63">_xlfn.BYROW(B63, _xlfn.LAMBDA(_xlpm.party,
   SUMIFS(ledger!J:J, ledger!B:B, _xlpm.party, ledger!E:E, "&lt;&gt;*RD*", ledger!D:D, "Munaar", ledger!C:C, "&lt;&gt;Closing CF")
))</f>
        <v>0</v>
      </c>
      <c r="N63" s="70" cm="1">
        <f t="array" ref="N63">_xlfn.BYROW(B63, _xlfn.LAMBDA(_xlpm.party,
   SUMIFS(ledger!J:J, ledger!B:B, _xlpm.party, ledger!E:E, "&lt;&gt;*RD*", ledger!D:D, "Custom", ledger!C:C, "&lt;&gt;Closing CF")
))</f>
        <v>0</v>
      </c>
      <c r="O63" s="39">
        <f t="shared" si="10"/>
        <v>0</v>
      </c>
      <c r="P63" s="22">
        <f>(SUMIF(Table14[Party],B63,Table14[Credit]))</f>
        <v>0</v>
      </c>
      <c r="Q63" s="37">
        <f t="shared" si="9"/>
        <v>0</v>
      </c>
      <c r="R63" s="21">
        <v>10</v>
      </c>
      <c r="S63" s="21">
        <v>12</v>
      </c>
      <c r="V63" s="4" t="s">
        <v>25</v>
      </c>
      <c r="W63" s="5">
        <v>0</v>
      </c>
      <c r="X63" s="18">
        <v>0</v>
      </c>
    </row>
    <row r="64" spans="1:24" x14ac:dyDescent="0.3">
      <c r="B64" s="80" t="str">
        <v>Haseeb Shamsi</v>
      </c>
      <c r="C64" s="22">
        <v>0</v>
      </c>
      <c r="D64" s="22">
        <v>0</v>
      </c>
      <c r="E64" s="63">
        <v>0</v>
      </c>
      <c r="F64" s="63">
        <v>0</v>
      </c>
      <c r="G64" s="22" cm="1">
        <f t="array" ref="G64">(_xlfn.BYROW(B64,_xlfn.LAMBDA(_xlpm.party,
(SUMIFS(ledger!J:J,ledger!B:B,_xlpm.party,ledger!E:E,"&lt;&gt;*RD*",ledger!D:D,"Chamki",ledger!C:C,"&lt;&gt;Closing CF")+
SUMIFS(ledger!J:J,ledger!B:B,_xlpm.party,ledger!E:E,"&lt;&gt;*RD*",ledger!D:D,"Crinkle",ledger!C:C,"&lt;&gt;Closing CF")
))))</f>
        <v>0</v>
      </c>
      <c r="H64" s="22" cm="1">
        <f t="array" ref="H64">_xlfn.BYROW(B64, _xlfn.LAMBDA(_xlpm.party,
   SUMIFS(ledger!J:J, ledger!B:B, _xlpm.party, ledger!E:E, "&lt;&gt;*RD*", ledger!D:D, "Silky", ledger!C:C, "&lt;&gt;Closing CF")
))</f>
        <v>0</v>
      </c>
      <c r="I64" s="22" cm="1">
        <f t="array" ref="I64">_xlfn.BYROW(B64, _xlfn.LAMBDA(_xlpm.party,
   SUMIFS(ledger!J:J, ledger!B:B, _xlpm.party, ledger!E:E, "&lt;&gt;*RD*", ledger!D:D, "Slub", ledger!C:C, "&lt;&gt;Closing CF")
))</f>
        <v>0</v>
      </c>
      <c r="J64" s="22" cm="1">
        <f t="array" ref="J64">_xlfn.BYROW(B64, _xlfn.LAMBDA(_xlpm.party,
   SUMIFS(ledger!J:J, ledger!B:B, _xlpm.party, ledger!E:E, "&lt;&gt;*RD*", ledger!D:D, "Satin", ledger!C:C, "&lt;&gt;Closing CF")
))</f>
        <v>0</v>
      </c>
      <c r="K64" s="70" cm="1">
        <f t="array" ref="K64">_xlfn.BYROW(B64, _xlfn.LAMBDA(_xlpm.party,
   SUMIFS(ledger!J:J, ledger!B:B, _xlpm.party, ledger!E:E, "&lt;&gt;*RD*", ledger!D:D, "Black-chamki", ledger!C:C, "&lt;&gt;Closing CF")
))</f>
        <v>0</v>
      </c>
      <c r="L64" s="70" cm="1">
        <f t="array" ref="L64">_xlfn.BYROW(B64, _xlfn.LAMBDA(_xlpm.party,
   SUMIFS(ledger!J:J, ledger!B:B, _xlpm.party, ledger!E:E, "&lt;&gt;*RD*", ledger!D:D, "Kataan", ledger!C:C, "&lt;&gt;Closing CF")
))</f>
        <v>0</v>
      </c>
      <c r="M64" s="70" cm="1">
        <f t="array" ref="M64">_xlfn.BYROW(B64, _xlfn.LAMBDA(_xlpm.party,
   SUMIFS(ledger!J:J, ledger!B:B, _xlpm.party, ledger!E:E, "&lt;&gt;*RD*", ledger!D:D, "Munaar", ledger!C:C, "&lt;&gt;Closing CF")
))</f>
        <v>0</v>
      </c>
      <c r="N64" s="70" cm="1">
        <f t="array" ref="N64">_xlfn.BYROW(B64, _xlfn.LAMBDA(_xlpm.party,
   SUMIFS(ledger!J:J, ledger!B:B, _xlpm.party, ledger!E:E, "&lt;&gt;*RD*", ledger!D:D, "Custom", ledger!C:C, "&lt;&gt;Closing CF")
))</f>
        <v>0</v>
      </c>
      <c r="O64" s="39">
        <f t="shared" si="10"/>
        <v>0</v>
      </c>
      <c r="P64" s="22">
        <f>(SUMIF(Table14[Party],B64,Table14[Credit]))</f>
        <v>0</v>
      </c>
      <c r="Q64" s="37">
        <f t="shared" si="9"/>
        <v>0</v>
      </c>
      <c r="R64" s="21">
        <v>10</v>
      </c>
      <c r="S64" s="21">
        <v>12</v>
      </c>
      <c r="V64" s="4" t="s">
        <v>26</v>
      </c>
      <c r="W64" s="5">
        <v>73510.424286759328</v>
      </c>
      <c r="X64" s="18">
        <v>735104.2428675933</v>
      </c>
    </row>
    <row r="65" spans="2:24" x14ac:dyDescent="0.3">
      <c r="B65" s="80" t="str">
        <v>Faizan</v>
      </c>
      <c r="C65" s="22">
        <v>0</v>
      </c>
      <c r="D65" s="22">
        <v>0</v>
      </c>
      <c r="E65" s="63">
        <v>0</v>
      </c>
      <c r="F65" s="63">
        <v>0</v>
      </c>
      <c r="G65" s="22" cm="1">
        <f t="array" ref="G65">(_xlfn.BYROW(B65,_xlfn.LAMBDA(_xlpm.party,
(SUMIFS(ledger!J:J,ledger!B:B,_xlpm.party,ledger!E:E,"&lt;&gt;*RD*",ledger!D:D,"Chamki",ledger!C:C,"&lt;&gt;Closing CF")+
SUMIFS(ledger!J:J,ledger!B:B,_xlpm.party,ledger!E:E,"&lt;&gt;*RD*",ledger!D:D,"Crinkle",ledger!C:C,"&lt;&gt;Closing CF")
))))</f>
        <v>0</v>
      </c>
      <c r="H65" s="22" cm="1">
        <f t="array" ref="H65">_xlfn.BYROW(B65, _xlfn.LAMBDA(_xlpm.party,
   SUMIFS(ledger!J:J, ledger!B:B, _xlpm.party, ledger!E:E, "&lt;&gt;*RD*", ledger!D:D, "Silky", ledger!C:C, "&lt;&gt;Closing CF")
))</f>
        <v>0</v>
      </c>
      <c r="I65" s="22" cm="1">
        <f t="array" ref="I65">_xlfn.BYROW(B65, _xlfn.LAMBDA(_xlpm.party,
   SUMIFS(ledger!J:J, ledger!B:B, _xlpm.party, ledger!E:E, "&lt;&gt;*RD*", ledger!D:D, "Slub", ledger!C:C, "&lt;&gt;Closing CF")
))</f>
        <v>0</v>
      </c>
      <c r="J65" s="22" cm="1">
        <f t="array" ref="J65">_xlfn.BYROW(B65, _xlfn.LAMBDA(_xlpm.party,
   SUMIFS(ledger!J:J, ledger!B:B, _xlpm.party, ledger!E:E, "&lt;&gt;*RD*", ledger!D:D, "Satin", ledger!C:C, "&lt;&gt;Closing CF")
))</f>
        <v>0</v>
      </c>
      <c r="K65" s="70" cm="1">
        <f t="array" ref="K65">_xlfn.BYROW(B65, _xlfn.LAMBDA(_xlpm.party,
   SUMIFS(ledger!J:J, ledger!B:B, _xlpm.party, ledger!E:E, "&lt;&gt;*RD*", ledger!D:D, "Black-chamki", ledger!C:C, "&lt;&gt;Closing CF")
))</f>
        <v>0</v>
      </c>
      <c r="L65" s="70" cm="1">
        <f t="array" ref="L65">_xlfn.BYROW(B65, _xlfn.LAMBDA(_xlpm.party,
   SUMIFS(ledger!J:J, ledger!B:B, _xlpm.party, ledger!E:E, "&lt;&gt;*RD*", ledger!D:D, "Kataan", ledger!C:C, "&lt;&gt;Closing CF")
))</f>
        <v>0</v>
      </c>
      <c r="M65" s="70" cm="1">
        <f t="array" ref="M65">_xlfn.BYROW(B65, _xlfn.LAMBDA(_xlpm.party,
   SUMIFS(ledger!J:J, ledger!B:B, _xlpm.party, ledger!E:E, "&lt;&gt;*RD*", ledger!D:D, "Munaar", ledger!C:C, "&lt;&gt;Closing CF")
))</f>
        <v>0</v>
      </c>
      <c r="N65" s="70" cm="1">
        <f t="array" ref="N65">_xlfn.BYROW(B65, _xlfn.LAMBDA(_xlpm.party,
   SUMIFS(ledger!J:J, ledger!B:B, _xlpm.party, ledger!E:E, "&lt;&gt;*RD*", ledger!D:D, "Custom", ledger!C:C, "&lt;&gt;Closing CF")
))</f>
        <v>0</v>
      </c>
      <c r="O65" s="39">
        <f t="shared" si="10"/>
        <v>0</v>
      </c>
      <c r="P65" s="22">
        <f>(SUMIF(Table14[Party],B65,Table14[Credit]))</f>
        <v>0</v>
      </c>
      <c r="Q65" s="37">
        <f t="shared" si="9"/>
        <v>0</v>
      </c>
      <c r="R65" s="21">
        <v>10</v>
      </c>
      <c r="S65" s="21">
        <v>13</v>
      </c>
      <c r="V65" s="4" t="s">
        <v>151</v>
      </c>
      <c r="W65" s="5">
        <v>0</v>
      </c>
      <c r="X65" s="18">
        <v>0</v>
      </c>
    </row>
    <row r="66" spans="2:24" x14ac:dyDescent="0.3">
      <c r="B66" s="80" t="str">
        <v>Shafique Ansari</v>
      </c>
      <c r="C66" s="22">
        <v>265012</v>
      </c>
      <c r="D66" s="22">
        <v>242329.91953182154</v>
      </c>
      <c r="E66" s="63">
        <v>26299.378200438921</v>
      </c>
      <c r="F66" s="63">
        <v>18616.495976591075</v>
      </c>
      <c r="G66" s="22" cm="1">
        <f t="array" ref="G66">(_xlfn.BYROW(B66,_xlfn.LAMBDA(_xlpm.party,
(SUMIFS(ledger!J:J,ledger!B:B,_xlpm.party,ledger!E:E,"&lt;&gt;*RD*",ledger!D:D,"Chamki",ledger!C:C,"&lt;&gt;Closing CF")+
SUMIFS(ledger!J:J,ledger!B:B,_xlpm.party,ledger!E:E,"&lt;&gt;*RD*",ledger!D:D,"Crinkle",ledger!C:C,"&lt;&gt;Closing CF")
))))</f>
        <v>289293.16020482813</v>
      </c>
      <c r="H66" s="22" cm="1">
        <f t="array" ref="H66">_xlfn.BYROW(B66, _xlfn.LAMBDA(_xlpm.party,
   SUMIFS(ledger!J:J, ledger!B:B, _xlpm.party, ledger!E:E, "&lt;&gt;*RD*", ledger!D:D, "Silky", ledger!C:C, "&lt;&gt;Closing CF")
))</f>
        <v>216348.75640087787</v>
      </c>
      <c r="I66" s="22" cm="1">
        <f t="array" ref="I66">_xlfn.BYROW(B66, _xlfn.LAMBDA(_xlpm.party,
   SUMIFS(ledger!J:J, ledger!B:B, _xlpm.party, ledger!E:E, "&lt;&gt;*RD*", ledger!D:D, "Slub", ledger!C:C, "&lt;&gt;Closing CF")
))</f>
        <v>0</v>
      </c>
      <c r="J66" s="22" cm="1">
        <f t="array" ref="J66">_xlfn.BYROW(B66, _xlfn.LAMBDA(_xlpm.party,
   SUMIFS(ledger!J:J, ledger!B:B, _xlpm.party, ledger!E:E, "&lt;&gt;*RD*", ledger!D:D, "Satin", ledger!C:C, "&lt;&gt;Closing CF")
))</f>
        <v>375347.47622531094</v>
      </c>
      <c r="K66" s="70" cm="1">
        <f t="array" ref="K66">_xlfn.BYROW(B66, _xlfn.LAMBDA(_xlpm.party,
   SUMIFS(ledger!J:J, ledger!B:B, _xlpm.party, ledger!E:E, "&lt;&gt;*RD*", ledger!D:D, "Black-chamki", ledger!C:C, "&lt;&gt;Closing CF")
))</f>
        <v>0</v>
      </c>
      <c r="L66" s="70" cm="1">
        <f t="array" ref="L66">_xlfn.BYROW(B66, _xlfn.LAMBDA(_xlpm.party,
   SUMIFS(ledger!J:J, ledger!B:B, _xlpm.party, ledger!E:E, "&lt;&gt;*RD*", ledger!D:D, "Kataan", ledger!C:C, "&lt;&gt;Closing CF")
))</f>
        <v>1439947.8785662036</v>
      </c>
      <c r="M66" s="70" cm="1">
        <f t="array" ref="M66">_xlfn.BYROW(B66, _xlfn.LAMBDA(_xlpm.party,
   SUMIFS(ledger!J:J, ledger!B:B, _xlpm.party, ledger!E:E, "&lt;&gt;*RD*", ledger!D:D, "Munaar", ledger!C:C, "&lt;&gt;Closing CF")
))</f>
        <v>0</v>
      </c>
      <c r="N66" s="70" cm="1">
        <f t="array" ref="N66">_xlfn.BYROW(B66, _xlfn.LAMBDA(_xlpm.party,
   SUMIFS(ledger!J:J, ledger!B:B, _xlpm.party, ledger!E:E, "&lt;&gt;*RD*", ledger!D:D, "Custom", ledger!C:C, "&lt;&gt;Closing CF")
))</f>
        <v>701356.98610095098</v>
      </c>
      <c r="O66" s="39">
        <f t="shared" si="10"/>
        <v>3022294.2574981712</v>
      </c>
      <c r="P66" s="22">
        <f>(SUMIF(Table14[Party],B66,Table14[Credit]))</f>
        <v>2025000</v>
      </c>
      <c r="Q66" s="37">
        <f t="shared" si="9"/>
        <v>997294.25749817118</v>
      </c>
      <c r="R66" s="21">
        <v>10</v>
      </c>
      <c r="S66" s="21">
        <v>12</v>
      </c>
      <c r="V66" s="4" t="s">
        <v>35</v>
      </c>
      <c r="W66" s="5">
        <v>100178.31016825166</v>
      </c>
      <c r="X66" s="18">
        <v>1202139.72201902</v>
      </c>
    </row>
    <row r="67" spans="2:24" x14ac:dyDescent="0.3">
      <c r="B67" s="80" t="str">
        <v>Amjad sohail</v>
      </c>
      <c r="C67" s="22">
        <v>7480</v>
      </c>
      <c r="D67" s="22">
        <v>6839.7951719092907</v>
      </c>
      <c r="E67" s="63">
        <v>0</v>
      </c>
      <c r="F67" s="63">
        <v>0</v>
      </c>
      <c r="G67" s="22" cm="1">
        <f t="array" ref="G67">(_xlfn.BYROW(B67,_xlfn.LAMBDA(_xlpm.party,
(SUMIFS(ledger!J:J,ledger!B:B,_xlpm.party,ledger!E:E,"&lt;&gt;*RD*",ledger!D:D,"Chamki",ledger!C:C,"&lt;&gt;Closing CF")+
SUMIFS(ledger!J:J,ledger!B:B,_xlpm.party,ledger!E:E,"&lt;&gt;*RD*",ledger!D:D,"Crinkle",ledger!C:C,"&lt;&gt;Closing CF")
))))</f>
        <v>0</v>
      </c>
      <c r="H67" s="22" cm="1">
        <f t="array" ref="H67">_xlfn.BYROW(B67, _xlfn.LAMBDA(_xlpm.party,
   SUMIFS(ledger!J:J, ledger!B:B, _xlpm.party, ledger!E:E, "&lt;&gt;*RD*", ledger!D:D, "Silky", ledger!C:C, "&lt;&gt;Closing CF")
))</f>
        <v>0</v>
      </c>
      <c r="I67" s="22" cm="1">
        <f t="array" ref="I67">_xlfn.BYROW(B67, _xlfn.LAMBDA(_xlpm.party,
   SUMIFS(ledger!J:J, ledger!B:B, _xlpm.party, ledger!E:E, "&lt;&gt;*RD*", ledger!D:D, "Slub", ledger!C:C, "&lt;&gt;Closing CF")
))</f>
        <v>0</v>
      </c>
      <c r="J67" s="22" cm="1">
        <f t="array" ref="J67">_xlfn.BYROW(B67, _xlfn.LAMBDA(_xlpm.party,
   SUMIFS(ledger!J:J, ledger!B:B, _xlpm.party, ledger!E:E, "&lt;&gt;*RD*", ledger!D:D, "Satin", ledger!C:C, "&lt;&gt;Closing CF")
))</f>
        <v>0</v>
      </c>
      <c r="K67" s="70" cm="1">
        <f t="array" ref="K67">_xlfn.BYROW(B67, _xlfn.LAMBDA(_xlpm.party,
   SUMIFS(ledger!J:J, ledger!B:B, _xlpm.party, ledger!E:E, "&lt;&gt;*RD*", ledger!D:D, "Black-chamki", ledger!C:C, "&lt;&gt;Closing CF")
))</f>
        <v>0</v>
      </c>
      <c r="L67" s="70" cm="1">
        <f t="array" ref="L67">_xlfn.BYROW(B67, _xlfn.LAMBDA(_xlpm.party,
   SUMIFS(ledger!J:J, ledger!B:B, _xlpm.party, ledger!E:E, "&lt;&gt;*RD*", ledger!D:D, "Kataan", ledger!C:C, "&lt;&gt;Closing CF")
))</f>
        <v>0</v>
      </c>
      <c r="M67" s="70" cm="1">
        <f t="array" ref="M67">_xlfn.BYROW(B67, _xlfn.LAMBDA(_xlpm.party,
   SUMIFS(ledger!J:J, ledger!B:B, _xlpm.party, ledger!E:E, "&lt;&gt;*RD*", ledger!D:D, "Munaar", ledger!C:C, "&lt;&gt;Closing CF")
))</f>
        <v>0</v>
      </c>
      <c r="N67" s="70" cm="1">
        <f t="array" ref="N67">_xlfn.BYROW(B67, _xlfn.LAMBDA(_xlpm.party,
   SUMIFS(ledger!J:J, ledger!B:B, _xlpm.party, ledger!E:E, "&lt;&gt;*RD*", ledger!D:D, "Custom", ledger!C:C, "&lt;&gt;Closing CF")
))</f>
        <v>0</v>
      </c>
      <c r="O67" s="39">
        <f t="shared" si="10"/>
        <v>0</v>
      </c>
      <c r="P67" s="22">
        <f>(SUMIF(Table14[Party],B67,Table14[Credit]))</f>
        <v>0</v>
      </c>
      <c r="Q67" s="37">
        <f t="shared" si="9"/>
        <v>0</v>
      </c>
      <c r="R67" s="21">
        <v>10</v>
      </c>
      <c r="S67" s="21">
        <v>12</v>
      </c>
      <c r="V67" s="4" t="s">
        <v>147</v>
      </c>
      <c r="W67" s="5">
        <v>0</v>
      </c>
      <c r="X67" s="18">
        <v>0</v>
      </c>
    </row>
    <row r="68" spans="2:24" x14ac:dyDescent="0.3">
      <c r="B68" s="80" t="str">
        <v>Salman Zaffar</v>
      </c>
      <c r="C68" s="22">
        <v>0</v>
      </c>
      <c r="D68" s="22">
        <v>0</v>
      </c>
      <c r="E68" s="63">
        <v>0</v>
      </c>
      <c r="F68" s="63">
        <v>0</v>
      </c>
      <c r="G68" s="22" cm="1">
        <f t="array" ref="G68">(_xlfn.BYROW(B68,_xlfn.LAMBDA(_xlpm.party,
(SUMIFS(ledger!J:J,ledger!B:B,_xlpm.party,ledger!E:E,"&lt;&gt;*RD*",ledger!D:D,"Chamki",ledger!C:C,"&lt;&gt;Closing CF")+
SUMIFS(ledger!J:J,ledger!B:B,_xlpm.party,ledger!E:E,"&lt;&gt;*RD*",ledger!D:D,"Crinkle",ledger!C:C,"&lt;&gt;Closing CF")
))))</f>
        <v>0</v>
      </c>
      <c r="H68" s="22" cm="1">
        <f t="array" ref="H68">_xlfn.BYROW(B68, _xlfn.LAMBDA(_xlpm.party,
   SUMIFS(ledger!J:J, ledger!B:B, _xlpm.party, ledger!E:E, "&lt;&gt;*RD*", ledger!D:D, "Silky", ledger!C:C, "&lt;&gt;Closing CF")
))</f>
        <v>0</v>
      </c>
      <c r="I68" s="22" cm="1">
        <f t="array" ref="I68">_xlfn.BYROW(B68, _xlfn.LAMBDA(_xlpm.party,
   SUMIFS(ledger!J:J, ledger!B:B, _xlpm.party, ledger!E:E, "&lt;&gt;*RD*", ledger!D:D, "Slub", ledger!C:C, "&lt;&gt;Closing CF")
))</f>
        <v>0</v>
      </c>
      <c r="J68" s="22" cm="1">
        <f t="array" ref="J68">_xlfn.BYROW(B68, _xlfn.LAMBDA(_xlpm.party,
   SUMIFS(ledger!J:J, ledger!B:B, _xlpm.party, ledger!E:E, "&lt;&gt;*RD*", ledger!D:D, "Satin", ledger!C:C, "&lt;&gt;Closing CF")
))</f>
        <v>0</v>
      </c>
      <c r="K68" s="70" cm="1">
        <f t="array" ref="K68">_xlfn.BYROW(B68, _xlfn.LAMBDA(_xlpm.party,
   SUMIFS(ledger!J:J, ledger!B:B, _xlpm.party, ledger!E:E, "&lt;&gt;*RD*", ledger!D:D, "Black-chamki", ledger!C:C, "&lt;&gt;Closing CF")
))</f>
        <v>0</v>
      </c>
      <c r="L68" s="70" cm="1">
        <f t="array" ref="L68">_xlfn.BYROW(B68, _xlfn.LAMBDA(_xlpm.party,
   SUMIFS(ledger!J:J, ledger!B:B, _xlpm.party, ledger!E:E, "&lt;&gt;*RD*", ledger!D:D, "Kataan", ledger!C:C, "&lt;&gt;Closing CF")
))</f>
        <v>0</v>
      </c>
      <c r="M68" s="70" cm="1">
        <f t="array" ref="M68">_xlfn.BYROW(B68, _xlfn.LAMBDA(_xlpm.party,
   SUMIFS(ledger!J:J, ledger!B:B, _xlpm.party, ledger!E:E, "&lt;&gt;*RD*", ledger!D:D, "Munaar", ledger!C:C, "&lt;&gt;Closing CF")
))</f>
        <v>0</v>
      </c>
      <c r="N68" s="70" cm="1">
        <f t="array" ref="N68">_xlfn.BYROW(B68, _xlfn.LAMBDA(_xlpm.party,
   SUMIFS(ledger!J:J, ledger!B:B, _xlpm.party, ledger!E:E, "&lt;&gt;*RD*", ledger!D:D, "Custom", ledger!C:C, "&lt;&gt;Closing CF")
))</f>
        <v>0</v>
      </c>
      <c r="O68" s="39">
        <f t="shared" si="10"/>
        <v>0</v>
      </c>
      <c r="P68" s="22">
        <f>(SUMIF(Table14[Party],B68,Table14[Credit]))</f>
        <v>0</v>
      </c>
      <c r="Q68" s="37">
        <f t="shared" si="9"/>
        <v>0</v>
      </c>
      <c r="R68" s="21">
        <v>10</v>
      </c>
      <c r="S68" s="21">
        <v>12</v>
      </c>
      <c r="V68" s="4" t="s">
        <v>27</v>
      </c>
      <c r="W68" s="5">
        <v>157118.69056327725</v>
      </c>
      <c r="X68" s="18">
        <v>1212006.217995611</v>
      </c>
    </row>
    <row r="69" spans="2:24" x14ac:dyDescent="0.3">
      <c r="B69" s="80" t="str">
        <v>Shahid Qasayi</v>
      </c>
      <c r="C69" s="22">
        <v>120149</v>
      </c>
      <c r="D69" s="22">
        <v>109865.58156547185</v>
      </c>
      <c r="E69" s="63">
        <v>105800.10972933432</v>
      </c>
      <c r="F69" s="21">
        <v>4065.4718361375276</v>
      </c>
      <c r="G69" s="22" cm="1">
        <f t="array" ref="G69">(_xlfn.BYROW(B69,_xlfn.LAMBDA(_xlpm.party,
(SUMIFS(ledger!J:J,ledger!B:B,_xlpm.party,ledger!E:E,"&lt;&gt;*RD*",ledger!D:D,"Chamki",ledger!C:C,"&lt;&gt;Closing CF")+
SUMIFS(ledger!J:J,ledger!B:B,_xlpm.party,ledger!E:E,"&lt;&gt;*RD*",ledger!D:D,"Crinkle",ledger!C:C,"&lt;&gt;Closing CF")
))))</f>
        <v>1058001.0972933432</v>
      </c>
      <c r="H69" s="22" cm="1">
        <f t="array" ref="H69">_xlfn.BYROW(B69, _xlfn.LAMBDA(_xlpm.party,
   SUMIFS(ledger!J:J, ledger!B:B, _xlpm.party, ledger!E:E, "&lt;&gt;*RD*", ledger!D:D, "Silky", ledger!C:C, "&lt;&gt;Closing CF")
))</f>
        <v>52851.13386978786</v>
      </c>
      <c r="I69" s="22" cm="1">
        <f t="array" ref="I69">_xlfn.BYROW(B69, _xlfn.LAMBDA(_xlpm.party,
   SUMIFS(ledger!J:J, ledger!B:B, _xlpm.party, ledger!E:E, "&lt;&gt;*RD*", ledger!D:D, "Slub", ledger!C:C, "&lt;&gt;Closing CF")
))</f>
        <v>0</v>
      </c>
      <c r="J69" s="22" cm="1">
        <f t="array" ref="J69">_xlfn.BYROW(B69, _xlfn.LAMBDA(_xlpm.party,
   SUMIFS(ledger!J:J, ledger!B:B, _xlpm.party, ledger!E:E, "&lt;&gt;*RD*", ledger!D:D, "Satin", ledger!C:C, "&lt;&gt;Closing CF")
))</f>
        <v>0</v>
      </c>
      <c r="K69" s="70" cm="1">
        <f t="array" ref="K69">_xlfn.BYROW(B69, _xlfn.LAMBDA(_xlpm.party,
   SUMIFS(ledger!J:J, ledger!B:B, _xlpm.party, ledger!E:E, "&lt;&gt;*RD*", ledger!D:D, "Black-chamki", ledger!C:C, "&lt;&gt;Closing CF")
))</f>
        <v>0</v>
      </c>
      <c r="L69" s="70" cm="1">
        <f t="array" ref="L69">_xlfn.BYROW(B69, _xlfn.LAMBDA(_xlpm.party,
   SUMIFS(ledger!J:J, ledger!B:B, _xlpm.party, ledger!E:E, "&lt;&gt;*RD*", ledger!D:D, "Kataan", ledger!C:C, "&lt;&gt;Closing CF")
))</f>
        <v>0</v>
      </c>
      <c r="M69" s="70" cm="1">
        <f t="array" ref="M69">_xlfn.BYROW(B69, _xlfn.LAMBDA(_xlpm.party,
   SUMIFS(ledger!J:J, ledger!B:B, _xlpm.party, ledger!E:E, "&lt;&gt;*RD*", ledger!D:D, "Munaar", ledger!C:C, "&lt;&gt;Closing CF")
))</f>
        <v>0</v>
      </c>
      <c r="N69" s="70" cm="1">
        <f t="array" ref="N69">_xlfn.BYROW(B69, _xlfn.LAMBDA(_xlpm.party,
   SUMIFS(ledger!J:J, ledger!B:B, _xlpm.party, ledger!E:E, "&lt;&gt;*RD*", ledger!D:D, "Custom", ledger!C:C, "&lt;&gt;Closing CF")
))</f>
        <v>0</v>
      </c>
      <c r="O69" s="39">
        <f t="shared" si="10"/>
        <v>1110852.2311631311</v>
      </c>
      <c r="P69" s="22">
        <f>(SUMIF(Table14[Party],B69,Table14[Credit]))</f>
        <v>1106650</v>
      </c>
      <c r="Q69" s="37">
        <f t="shared" si="9"/>
        <v>4202.2311631310731</v>
      </c>
      <c r="R69" s="21">
        <v>10</v>
      </c>
      <c r="S69" s="21">
        <v>12</v>
      </c>
      <c r="V69" s="4" t="s">
        <v>165</v>
      </c>
      <c r="W69" s="5">
        <v>0</v>
      </c>
      <c r="X69" s="18">
        <v>0</v>
      </c>
    </row>
    <row r="70" spans="2:24" x14ac:dyDescent="0.3">
      <c r="B70" s="80" t="str">
        <v>Hameed corporation</v>
      </c>
      <c r="C70">
        <v>0</v>
      </c>
      <c r="D70">
        <v>0</v>
      </c>
      <c r="E70">
        <v>0</v>
      </c>
      <c r="F70">
        <v>0</v>
      </c>
      <c r="G70" s="22" cm="1">
        <f t="array" ref="G70">(_xlfn.BYROW(B70,_xlfn.LAMBDA(_xlpm.party,
(SUMIFS(ledger!J:J,ledger!B:B,_xlpm.party,ledger!E:E,"&lt;&gt;*RD*",ledger!D:D,"Chamki",ledger!C:C,"&lt;&gt;Closing CF")+
SUMIFS(ledger!J:J,ledger!B:B,_xlpm.party,ledger!E:E,"&lt;&gt;*RD*",ledger!D:D,"Crinkle",ledger!C:C,"&lt;&gt;Closing CF")
))))</f>
        <v>0</v>
      </c>
      <c r="H70" s="22" cm="1">
        <f t="array" ref="H70">_xlfn.BYROW(B70, _xlfn.LAMBDA(_xlpm.party,
   SUMIFS(ledger!J:J, ledger!B:B, _xlpm.party, ledger!E:E, "&lt;&gt;*RD*", ledger!D:D, "Silky", ledger!C:C, "&lt;&gt;Closing CF")
))</f>
        <v>0</v>
      </c>
      <c r="I70" s="22" cm="1">
        <f t="array" ref="I70">_xlfn.BYROW(B70, _xlfn.LAMBDA(_xlpm.party,
   SUMIFS(ledger!J:J, ledger!B:B, _xlpm.party, ledger!E:E, "&lt;&gt;*RD*", ledger!D:D, "Slub", ledger!C:C, "&lt;&gt;Closing CF")
))</f>
        <v>0</v>
      </c>
      <c r="J70" s="22" cm="1">
        <f t="array" ref="J70">_xlfn.BYROW(B70, _xlfn.LAMBDA(_xlpm.party,
   SUMIFS(ledger!J:J, ledger!B:B, _xlpm.party, ledger!E:E, "&lt;&gt;*RD*", ledger!D:D, "Satin", ledger!C:C, "&lt;&gt;Closing CF")
))</f>
        <v>0</v>
      </c>
      <c r="K70" s="70" cm="1">
        <f t="array" ref="K70">_xlfn.BYROW(B70, _xlfn.LAMBDA(_xlpm.party,
   SUMIFS(ledger!J:J, ledger!B:B, _xlpm.party, ledger!E:E, "&lt;&gt;*RD*", ledger!D:D, "Black-chamki", ledger!C:C, "&lt;&gt;Closing CF")
))</f>
        <v>0</v>
      </c>
      <c r="L70" s="70" cm="1">
        <f t="array" ref="L70">_xlfn.BYROW(B70, _xlfn.LAMBDA(_xlpm.party,
   SUMIFS(ledger!J:J, ledger!B:B, _xlpm.party, ledger!E:E, "&lt;&gt;*RD*", ledger!D:D, "Kataan", ledger!C:C, "&lt;&gt;Closing CF")
))</f>
        <v>0</v>
      </c>
      <c r="M70" s="70" cm="1">
        <f t="array" ref="M70">_xlfn.BYROW(B70, _xlfn.LAMBDA(_xlpm.party,
   SUMIFS(ledger!J:J, ledger!B:B, _xlpm.party, ledger!E:E, "&lt;&gt;*RD*", ledger!D:D, "Munaar", ledger!C:C, "&lt;&gt;Closing CF")
))</f>
        <v>0</v>
      </c>
      <c r="N70" s="70" cm="1">
        <f t="array" ref="N70">_xlfn.BYROW(B70, _xlfn.LAMBDA(_xlpm.party,
   SUMIFS(ledger!J:J, ledger!B:B, _xlpm.party, ledger!E:E, "&lt;&gt;*RD*", ledger!D:D, "Custom", ledger!C:C, "&lt;&gt;Closing CF")
))</f>
        <v>0</v>
      </c>
      <c r="O70" s="39">
        <f t="shared" si="10"/>
        <v>0</v>
      </c>
      <c r="P70" s="22">
        <f>(SUMIF(Table14[Party],B70,Table14[Credit]))</f>
        <v>0</v>
      </c>
      <c r="Q70" s="37">
        <f t="shared" si="9"/>
        <v>0</v>
      </c>
      <c r="V70" s="4" t="s">
        <v>218</v>
      </c>
      <c r="W70" s="5">
        <v>0</v>
      </c>
      <c r="X70" s="18">
        <v>0</v>
      </c>
    </row>
    <row r="71" spans="2:24" x14ac:dyDescent="0.3">
      <c r="B71" s="80" t="str">
        <v>ibraheem behraam</v>
      </c>
      <c r="C71">
        <v>23463</v>
      </c>
      <c r="D71">
        <v>21454.828090709583</v>
      </c>
      <c r="E71">
        <v>0</v>
      </c>
      <c r="F71">
        <v>21454.828090709583</v>
      </c>
      <c r="G71" s="22" cm="1">
        <f t="array" ref="G71">(_xlfn.BYROW(B71,_xlfn.LAMBDA(_xlpm.party,
(SUMIFS(ledger!J:J,ledger!B:B,_xlpm.party,ledger!E:E,"&lt;&gt;*RD*",ledger!D:D,"Chamki",ledger!C:C,"&lt;&gt;Closing CF")+
SUMIFS(ledger!J:J,ledger!B:B,_xlpm.party,ledger!E:E,"&lt;&gt;*RD*",ledger!D:D,"Crinkle",ledger!C:C,"&lt;&gt;Closing CF")
))))</f>
        <v>0</v>
      </c>
      <c r="H71" s="22" cm="1">
        <f t="array" ref="H71">_xlfn.BYROW(B71, _xlfn.LAMBDA(_xlpm.party,
   SUMIFS(ledger!J:J, ledger!B:B, _xlpm.party, ledger!E:E, "&lt;&gt;*RD*", ledger!D:D, "Silky", ledger!C:C, "&lt;&gt;Closing CF")
))</f>
        <v>278912.7651792246</v>
      </c>
      <c r="I71" s="22" cm="1">
        <f t="array" ref="I71">_xlfn.BYROW(B71, _xlfn.LAMBDA(_xlpm.party,
   SUMIFS(ledger!J:J, ledger!B:B, _xlpm.party, ledger!E:E, "&lt;&gt;*RD*", ledger!D:D, "Slub", ledger!C:C, "&lt;&gt;Closing CF")
))</f>
        <v>0</v>
      </c>
      <c r="J71" s="22" cm="1">
        <f t="array" ref="J71">_xlfn.BYROW(B71, _xlfn.LAMBDA(_xlpm.party,
   SUMIFS(ledger!J:J, ledger!B:B, _xlpm.party, ledger!E:E, "&lt;&gt;*RD*", ledger!D:D, "Satin", ledger!C:C, "&lt;&gt;Closing CF")
))</f>
        <v>0</v>
      </c>
      <c r="K71" s="70" cm="1">
        <f t="array" ref="K71">_xlfn.BYROW(B71, _xlfn.LAMBDA(_xlpm.party,
   SUMIFS(ledger!J:J, ledger!B:B, _xlpm.party, ledger!E:E, "&lt;&gt;*RD*", ledger!D:D, "Black-chamki", ledger!C:C, "&lt;&gt;Closing CF")
))</f>
        <v>0</v>
      </c>
      <c r="L71" s="70" cm="1">
        <f t="array" ref="L71">_xlfn.BYROW(B71, _xlfn.LAMBDA(_xlpm.party,
   SUMIFS(ledger!J:J, ledger!B:B, _xlpm.party, ledger!E:E, "&lt;&gt;*RD*", ledger!D:D, "Kataan", ledger!C:C, "&lt;&gt;Closing CF")
))</f>
        <v>0</v>
      </c>
      <c r="M71" s="70" cm="1">
        <f t="array" ref="M71">_xlfn.BYROW(B71, _xlfn.LAMBDA(_xlpm.party,
   SUMIFS(ledger!J:J, ledger!B:B, _xlpm.party, ledger!E:E, "&lt;&gt;*RD*", ledger!D:D, "Munaar", ledger!C:C, "&lt;&gt;Closing CF")
))</f>
        <v>0</v>
      </c>
      <c r="N71" s="70" cm="1">
        <f t="array" ref="N71">_xlfn.BYROW(B71, _xlfn.LAMBDA(_xlpm.party,
   SUMIFS(ledger!J:J, ledger!B:B, _xlpm.party, ledger!E:E, "&lt;&gt;*RD*", ledger!D:D, "Custom", ledger!C:C, "&lt;&gt;Closing CF")
))</f>
        <v>0</v>
      </c>
      <c r="O71" s="39">
        <f t="shared" si="10"/>
        <v>278912.7651792246</v>
      </c>
      <c r="P71" s="22">
        <f>(SUMIF(Table14[Party],B71,Table14[Credit]))</f>
        <v>306900</v>
      </c>
      <c r="Q71" s="37">
        <f t="shared" si="9"/>
        <v>-27987.234820775397</v>
      </c>
      <c r="V71" s="4" t="s">
        <v>169</v>
      </c>
      <c r="W71" s="5">
        <v>0</v>
      </c>
      <c r="X71" s="18">
        <v>0</v>
      </c>
    </row>
    <row r="72" spans="2:24" x14ac:dyDescent="0.3">
      <c r="B72" s="80" t="str">
        <v>Zia-ullah karachi</v>
      </c>
      <c r="C72">
        <v>0</v>
      </c>
      <c r="D72">
        <v>0</v>
      </c>
      <c r="E72">
        <v>0</v>
      </c>
      <c r="F72">
        <v>0</v>
      </c>
      <c r="G72" s="22" cm="1">
        <f t="array" ref="G72">(_xlfn.BYROW(B72,_xlfn.LAMBDA(_xlpm.party,
(SUMIFS(ledger!J:J,ledger!B:B,_xlpm.party,ledger!E:E,"&lt;&gt;*RD*",ledger!D:D,"Chamki",ledger!C:C,"&lt;&gt;Closing CF")+
SUMIFS(ledger!J:J,ledger!B:B,_xlpm.party,ledger!E:E,"&lt;&gt;*RD*",ledger!D:D,"Crinkle",ledger!C:C,"&lt;&gt;Closing CF")
))))</f>
        <v>0</v>
      </c>
      <c r="H72" s="22" cm="1">
        <f t="array" ref="H72">_xlfn.BYROW(B72, _xlfn.LAMBDA(_xlpm.party,
   SUMIFS(ledger!J:J, ledger!B:B, _xlpm.party, ledger!E:E, "&lt;&gt;*RD*", ledger!D:D, "Silky", ledger!C:C, "&lt;&gt;Closing CF")
))</f>
        <v>0</v>
      </c>
      <c r="I72" s="22" cm="1">
        <f t="array" ref="I72">_xlfn.BYROW(B72, _xlfn.LAMBDA(_xlpm.party,
   SUMIFS(ledger!J:J, ledger!B:B, _xlpm.party, ledger!E:E, "&lt;&gt;*RD*", ledger!D:D, "Slub", ledger!C:C, "&lt;&gt;Closing CF")
))</f>
        <v>0</v>
      </c>
      <c r="J72" s="22" cm="1">
        <f t="array" ref="J72">_xlfn.BYROW(B72, _xlfn.LAMBDA(_xlpm.party,
   SUMIFS(ledger!J:J, ledger!B:B, _xlpm.party, ledger!E:E, "&lt;&gt;*RD*", ledger!D:D, "Satin", ledger!C:C, "&lt;&gt;Closing CF")
))</f>
        <v>0</v>
      </c>
      <c r="K72" s="70" cm="1">
        <f t="array" ref="K72">_xlfn.BYROW(B72, _xlfn.LAMBDA(_xlpm.party,
   SUMIFS(ledger!J:J, ledger!B:B, _xlpm.party, ledger!E:E, "&lt;&gt;*RD*", ledger!D:D, "Black-chamki", ledger!C:C, "&lt;&gt;Closing CF")
))</f>
        <v>0</v>
      </c>
      <c r="L72" s="70" cm="1">
        <f t="array" ref="L72">_xlfn.BYROW(B72, _xlfn.LAMBDA(_xlpm.party,
   SUMIFS(ledger!J:J, ledger!B:B, _xlpm.party, ledger!E:E, "&lt;&gt;*RD*", ledger!D:D, "Kataan", ledger!C:C, "&lt;&gt;Closing CF")
))</f>
        <v>0</v>
      </c>
      <c r="M72" s="70" cm="1">
        <f t="array" ref="M72">_xlfn.BYROW(B72, _xlfn.LAMBDA(_xlpm.party,
   SUMIFS(ledger!J:J, ledger!B:B, _xlpm.party, ledger!E:E, "&lt;&gt;*RD*", ledger!D:D, "Munaar", ledger!C:C, "&lt;&gt;Closing CF")
))</f>
        <v>0</v>
      </c>
      <c r="N72" s="70" cm="1">
        <f t="array" ref="N72">_xlfn.BYROW(B72, _xlfn.LAMBDA(_xlpm.party,
   SUMIFS(ledger!J:J, ledger!B:B, _xlpm.party, ledger!E:E, "&lt;&gt;*RD*", ledger!D:D, "Custom", ledger!C:C, "&lt;&gt;Closing CF")
))</f>
        <v>0</v>
      </c>
      <c r="O72" s="39">
        <f t="shared" si="10"/>
        <v>0</v>
      </c>
      <c r="P72" s="22">
        <f>(SUMIF(Table14[Party],B72,Table14[Credit]))</f>
        <v>0</v>
      </c>
      <c r="Q72" s="37">
        <f t="shared" si="9"/>
        <v>0</v>
      </c>
      <c r="V72" s="4" t="s">
        <v>170</v>
      </c>
      <c r="W72" s="5">
        <v>0</v>
      </c>
      <c r="X72" s="18">
        <v>0</v>
      </c>
    </row>
    <row r="73" spans="2:24" x14ac:dyDescent="0.3">
      <c r="B73" s="80" t="str">
        <v>ZA</v>
      </c>
      <c r="C73">
        <v>0</v>
      </c>
      <c r="D73">
        <v>0</v>
      </c>
      <c r="E73">
        <v>0</v>
      </c>
      <c r="F73">
        <v>0</v>
      </c>
      <c r="G73" s="22" cm="1">
        <f t="array" ref="G73">(_xlfn.BYROW(B73,_xlfn.LAMBDA(_xlpm.party,
(SUMIFS(ledger!J:J,ledger!B:B,_xlpm.party,ledger!E:E,"&lt;&gt;*RD*",ledger!D:D,"Chamki",ledger!C:C,"&lt;&gt;Closing CF")+
SUMIFS(ledger!J:J,ledger!B:B,_xlpm.party,ledger!E:E,"&lt;&gt;*RD*",ledger!D:D,"Crinkle",ledger!C:C,"&lt;&gt;Closing CF")
))))</f>
        <v>0</v>
      </c>
      <c r="H73" s="22" cm="1">
        <f t="array" ref="H73">_xlfn.BYROW(B73, _xlfn.LAMBDA(_xlpm.party,
   SUMIFS(ledger!J:J, ledger!B:B, _xlpm.party, ledger!E:E, "&lt;&gt;*RD*", ledger!D:D, "Silky", ledger!C:C, "&lt;&gt;Closing CF")
))</f>
        <v>0</v>
      </c>
      <c r="I73" s="22" cm="1">
        <f t="array" ref="I73">_xlfn.BYROW(B73, _xlfn.LAMBDA(_xlpm.party,
   SUMIFS(ledger!J:J, ledger!B:B, _xlpm.party, ledger!E:E, "&lt;&gt;*RD*", ledger!D:D, "Slub", ledger!C:C, "&lt;&gt;Closing CF")
))</f>
        <v>0</v>
      </c>
      <c r="J73" s="22" cm="1">
        <f t="array" ref="J73">_xlfn.BYROW(B73, _xlfn.LAMBDA(_xlpm.party,
   SUMIFS(ledger!J:J, ledger!B:B, _xlpm.party, ledger!E:E, "&lt;&gt;*RD*", ledger!D:D, "Satin", ledger!C:C, "&lt;&gt;Closing CF")
))</f>
        <v>0</v>
      </c>
      <c r="K73" s="70" cm="1">
        <f t="array" ref="K73">_xlfn.BYROW(B73, _xlfn.LAMBDA(_xlpm.party,
   SUMIFS(ledger!J:J, ledger!B:B, _xlpm.party, ledger!E:E, "&lt;&gt;*RD*", ledger!D:D, "Black-chamki", ledger!C:C, "&lt;&gt;Closing CF")
))</f>
        <v>0</v>
      </c>
      <c r="L73" s="70" cm="1">
        <f t="array" ref="L73">_xlfn.BYROW(B73, _xlfn.LAMBDA(_xlpm.party,
   SUMIFS(ledger!J:J, ledger!B:B, _xlpm.party, ledger!E:E, "&lt;&gt;*RD*", ledger!D:D, "Kataan", ledger!C:C, "&lt;&gt;Closing CF")
))</f>
        <v>0</v>
      </c>
      <c r="M73" s="70" cm="1">
        <f t="array" ref="M73">_xlfn.BYROW(B73, _xlfn.LAMBDA(_xlpm.party,
   SUMIFS(ledger!J:J, ledger!B:B, _xlpm.party, ledger!E:E, "&lt;&gt;*RD*", ledger!D:D, "Munaar", ledger!C:C, "&lt;&gt;Closing CF")
))</f>
        <v>0</v>
      </c>
      <c r="N73" s="70" cm="1">
        <f t="array" ref="N73">_xlfn.BYROW(B73, _xlfn.LAMBDA(_xlpm.party,
   SUMIFS(ledger!J:J, ledger!B:B, _xlpm.party, ledger!E:E, "&lt;&gt;*RD*", ledger!D:D, "Custom", ledger!C:C, "&lt;&gt;Closing CF")
))</f>
        <v>0</v>
      </c>
      <c r="O73" s="39">
        <f t="shared" si="10"/>
        <v>0</v>
      </c>
      <c r="P73" s="22">
        <f>(SUMIF(Table14[Party],B73,Table14[Credit]))</f>
        <v>0</v>
      </c>
      <c r="Q73" s="37">
        <f t="shared" si="9"/>
        <v>0</v>
      </c>
      <c r="V73" s="4" t="s">
        <v>172</v>
      </c>
      <c r="W73" s="5">
        <v>0</v>
      </c>
      <c r="X73" s="18">
        <v>0</v>
      </c>
    </row>
    <row r="74" spans="2:24" x14ac:dyDescent="0.3">
      <c r="B74" s="80" t="str">
        <v>Ahmad Javaid</v>
      </c>
      <c r="C74">
        <v>0</v>
      </c>
      <c r="D74">
        <v>0</v>
      </c>
      <c r="E74">
        <v>0</v>
      </c>
      <c r="F74">
        <v>0</v>
      </c>
      <c r="G74" s="22" cm="1">
        <f t="array" ref="G74">(_xlfn.BYROW(B74,_xlfn.LAMBDA(_xlpm.party,
(SUMIFS(ledger!J:J,ledger!B:B,_xlpm.party,ledger!E:E,"&lt;&gt;*RD*",ledger!D:D,"Chamki",ledger!C:C,"&lt;&gt;Closing CF")+
SUMIFS(ledger!J:J,ledger!B:B,_xlpm.party,ledger!E:E,"&lt;&gt;*RD*",ledger!D:D,"Crinkle",ledger!C:C,"&lt;&gt;Closing CF")
))))</f>
        <v>0</v>
      </c>
      <c r="H74" s="22" cm="1">
        <f t="array" ref="H74">_xlfn.BYROW(B74, _xlfn.LAMBDA(_xlpm.party,
   SUMIFS(ledger!J:J, ledger!B:B, _xlpm.party, ledger!E:E, "&lt;&gt;*RD*", ledger!D:D, "Silky", ledger!C:C, "&lt;&gt;Closing CF")
))</f>
        <v>0</v>
      </c>
      <c r="I74" s="22" cm="1">
        <f t="array" ref="I74">_xlfn.BYROW(B74, _xlfn.LAMBDA(_xlpm.party,
   SUMIFS(ledger!J:J, ledger!B:B, _xlpm.party, ledger!E:E, "&lt;&gt;*RD*", ledger!D:D, "Slub", ledger!C:C, "&lt;&gt;Closing CF")
))</f>
        <v>0</v>
      </c>
      <c r="J74" s="22" cm="1">
        <f t="array" ref="J74">_xlfn.BYROW(B74, _xlfn.LAMBDA(_xlpm.party,
   SUMIFS(ledger!J:J, ledger!B:B, _xlpm.party, ledger!E:E, "&lt;&gt;*RD*", ledger!D:D, "Satin", ledger!C:C, "&lt;&gt;Closing CF")
))</f>
        <v>0</v>
      </c>
      <c r="K74" s="70" cm="1">
        <f t="array" ref="K74">_xlfn.BYROW(B74, _xlfn.LAMBDA(_xlpm.party,
   SUMIFS(ledger!J:J, ledger!B:B, _xlpm.party, ledger!E:E, "&lt;&gt;*RD*", ledger!D:D, "Black-chamki", ledger!C:C, "&lt;&gt;Closing CF")
))</f>
        <v>0</v>
      </c>
      <c r="L74" s="70" cm="1">
        <f t="array" ref="L74">_xlfn.BYROW(B74, _xlfn.LAMBDA(_xlpm.party,
   SUMIFS(ledger!J:J, ledger!B:B, _xlpm.party, ledger!E:E, "&lt;&gt;*RD*", ledger!D:D, "Kataan", ledger!C:C, "&lt;&gt;Closing CF")
))</f>
        <v>0</v>
      </c>
      <c r="M74" s="70" cm="1">
        <f t="array" ref="M74">_xlfn.BYROW(B74, _xlfn.LAMBDA(_xlpm.party,
   SUMIFS(ledger!J:J, ledger!B:B, _xlpm.party, ledger!E:E, "&lt;&gt;*RD*", ledger!D:D, "Munaar", ledger!C:C, "&lt;&gt;Closing CF")
))</f>
        <v>0</v>
      </c>
      <c r="N74" s="70" cm="1">
        <f t="array" ref="N74">_xlfn.BYROW(B74, _xlfn.LAMBDA(_xlpm.party,
   SUMIFS(ledger!J:J, ledger!B:B, _xlpm.party, ledger!E:E, "&lt;&gt;*RD*", ledger!D:D, "Custom", ledger!C:C, "&lt;&gt;Closing CF")
))</f>
        <v>0</v>
      </c>
      <c r="O74" s="39">
        <f t="shared" si="10"/>
        <v>0</v>
      </c>
      <c r="P74" s="22">
        <f>(SUMIF(Table14[Party],B74,Table14[Credit]))</f>
        <v>0</v>
      </c>
      <c r="Q74" s="37">
        <f t="shared" si="9"/>
        <v>0</v>
      </c>
      <c r="V74" s="4" t="s">
        <v>174</v>
      </c>
      <c r="W74" s="5">
        <v>0</v>
      </c>
      <c r="X74" s="18">
        <v>0</v>
      </c>
    </row>
    <row r="75" spans="2:24" x14ac:dyDescent="0.3">
      <c r="B75" s="80" t="str">
        <v>Shani Badshah</v>
      </c>
      <c r="C75">
        <v>0</v>
      </c>
      <c r="D75">
        <v>0</v>
      </c>
      <c r="E75">
        <v>0</v>
      </c>
      <c r="F75">
        <v>0</v>
      </c>
      <c r="G75" s="22" cm="1">
        <f t="array" ref="G75">(_xlfn.BYROW(B75,_xlfn.LAMBDA(_xlpm.party,
(SUMIFS(ledger!J:J,ledger!B:B,_xlpm.party,ledger!E:E,"&lt;&gt;*RD*",ledger!D:D,"Chamki",ledger!C:C,"&lt;&gt;Closing CF")+
SUMIFS(ledger!J:J,ledger!B:B,_xlpm.party,ledger!E:E,"&lt;&gt;*RD*",ledger!D:D,"Crinkle",ledger!C:C,"&lt;&gt;Closing CF")
))))</f>
        <v>0</v>
      </c>
      <c r="H75" s="22" cm="1">
        <f t="array" ref="H75">_xlfn.BYROW(B75, _xlfn.LAMBDA(_xlpm.party,
   SUMIFS(ledger!J:J, ledger!B:B, _xlpm.party, ledger!E:E, "&lt;&gt;*RD*", ledger!D:D, "Silky", ledger!C:C, "&lt;&gt;Closing CF")
))</f>
        <v>0</v>
      </c>
      <c r="I75" s="22" cm="1">
        <f t="array" ref="I75">_xlfn.BYROW(B75, _xlfn.LAMBDA(_xlpm.party,
   SUMIFS(ledger!J:J, ledger!B:B, _xlpm.party, ledger!E:E, "&lt;&gt;*RD*", ledger!D:D, "Slub", ledger!C:C, "&lt;&gt;Closing CF")
))</f>
        <v>0</v>
      </c>
      <c r="J75" s="22" cm="1">
        <f t="array" ref="J75">_xlfn.BYROW(B75, _xlfn.LAMBDA(_xlpm.party,
   SUMIFS(ledger!J:J, ledger!B:B, _xlpm.party, ledger!E:E, "&lt;&gt;*RD*", ledger!D:D, "Satin", ledger!C:C, "&lt;&gt;Closing CF")
))</f>
        <v>0</v>
      </c>
      <c r="K75" s="70" cm="1">
        <f t="array" ref="K75">_xlfn.BYROW(B75, _xlfn.LAMBDA(_xlpm.party,
   SUMIFS(ledger!J:J, ledger!B:B, _xlpm.party, ledger!E:E, "&lt;&gt;*RD*", ledger!D:D, "Black-chamki", ledger!C:C, "&lt;&gt;Closing CF")
))</f>
        <v>0</v>
      </c>
      <c r="L75" s="70" cm="1">
        <f t="array" ref="L75">_xlfn.BYROW(B75, _xlfn.LAMBDA(_xlpm.party,
   SUMIFS(ledger!J:J, ledger!B:B, _xlpm.party, ledger!E:E, "&lt;&gt;*RD*", ledger!D:D, "Kataan", ledger!C:C, "&lt;&gt;Closing CF")
))</f>
        <v>0</v>
      </c>
      <c r="M75" s="70" cm="1">
        <f t="array" ref="M75">_xlfn.BYROW(B75, _xlfn.LAMBDA(_xlpm.party,
   SUMIFS(ledger!J:J, ledger!B:B, _xlpm.party, ledger!E:E, "&lt;&gt;*RD*", ledger!D:D, "Munaar", ledger!C:C, "&lt;&gt;Closing CF")
))</f>
        <v>0</v>
      </c>
      <c r="N75" s="70" cm="1">
        <f t="array" ref="N75">_xlfn.BYROW(B75, _xlfn.LAMBDA(_xlpm.party,
   SUMIFS(ledger!J:J, ledger!B:B, _xlpm.party, ledger!E:E, "&lt;&gt;*RD*", ledger!D:D, "Custom", ledger!C:C, "&lt;&gt;Closing CF")
))</f>
        <v>0</v>
      </c>
      <c r="O75" s="39">
        <f t="shared" si="10"/>
        <v>0</v>
      </c>
      <c r="P75" s="22">
        <f>(SUMIF(Table14[Party],B75,Table14[Credit]))</f>
        <v>676071</v>
      </c>
      <c r="Q75" s="37">
        <f t="shared" si="9"/>
        <v>-676071</v>
      </c>
      <c r="V75" s="4" t="s">
        <v>28</v>
      </c>
      <c r="W75" s="14">
        <v>1496166.7885881492</v>
      </c>
      <c r="X75" s="14">
        <v>14030407.827359181</v>
      </c>
    </row>
    <row r="76" spans="2:24" x14ac:dyDescent="0.3">
      <c r="B76" s="80" t="str">
        <v>Rehman Ali</v>
      </c>
      <c r="C76">
        <v>0</v>
      </c>
      <c r="D76">
        <v>0</v>
      </c>
      <c r="E76">
        <v>0</v>
      </c>
      <c r="F76">
        <v>0</v>
      </c>
      <c r="G76" s="22" cm="1">
        <f t="array" ref="G76">(_xlfn.BYROW(B76,_xlfn.LAMBDA(_xlpm.party,
(SUMIFS(ledger!J:J,ledger!B:B,_xlpm.party,ledger!E:E,"&lt;&gt;*RD*",ledger!D:D,"Chamki",ledger!C:C,"&lt;&gt;Closing CF")+
SUMIFS(ledger!J:J,ledger!B:B,_xlpm.party,ledger!E:E,"&lt;&gt;*RD*",ledger!D:D,"Crinkle",ledger!C:C,"&lt;&gt;Closing CF")
))))</f>
        <v>0</v>
      </c>
      <c r="H76" s="22" cm="1">
        <f t="array" ref="H76">_xlfn.BYROW(B76, _xlfn.LAMBDA(_xlpm.party,
   SUMIFS(ledger!J:J, ledger!B:B, _xlpm.party, ledger!E:E, "&lt;&gt;*RD*", ledger!D:D, "Silky", ledger!C:C, "&lt;&gt;Closing CF")
))</f>
        <v>0</v>
      </c>
      <c r="I76" s="22" cm="1">
        <f t="array" ref="I76">_xlfn.BYROW(B76, _xlfn.LAMBDA(_xlpm.party,
   SUMIFS(ledger!J:J, ledger!B:B, _xlpm.party, ledger!E:E, "&lt;&gt;*RD*", ledger!D:D, "Slub", ledger!C:C, "&lt;&gt;Closing CF")
))</f>
        <v>0</v>
      </c>
      <c r="J76" s="22" cm="1">
        <f t="array" ref="J76">_xlfn.BYROW(B76, _xlfn.LAMBDA(_xlpm.party,
   SUMIFS(ledger!J:J, ledger!B:B, _xlpm.party, ledger!E:E, "&lt;&gt;*RD*", ledger!D:D, "Satin", ledger!C:C, "&lt;&gt;Closing CF")
))</f>
        <v>0</v>
      </c>
      <c r="K76" s="70" cm="1">
        <f t="array" ref="K76">_xlfn.BYROW(B76, _xlfn.LAMBDA(_xlpm.party,
   SUMIFS(ledger!J:J, ledger!B:B, _xlpm.party, ledger!E:E, "&lt;&gt;*RD*", ledger!D:D, "Black-chamki", ledger!C:C, "&lt;&gt;Closing CF")
))</f>
        <v>0</v>
      </c>
      <c r="L76" s="70" cm="1">
        <f t="array" ref="L76">_xlfn.BYROW(B76, _xlfn.LAMBDA(_xlpm.party,
   SUMIFS(ledger!J:J, ledger!B:B, _xlpm.party, ledger!E:E, "&lt;&gt;*RD*", ledger!D:D, "Kataan", ledger!C:C, "&lt;&gt;Closing CF")
))</f>
        <v>0</v>
      </c>
      <c r="M76" s="70" cm="1">
        <f t="array" ref="M76">_xlfn.BYROW(B76, _xlfn.LAMBDA(_xlpm.party,
   SUMIFS(ledger!J:J, ledger!B:B, _xlpm.party, ledger!E:E, "&lt;&gt;*RD*", ledger!D:D, "Munaar", ledger!C:C, "&lt;&gt;Closing CF")
))</f>
        <v>0</v>
      </c>
      <c r="N76" s="70" cm="1">
        <f t="array" ref="N76">_xlfn.BYROW(B76, _xlfn.LAMBDA(_xlpm.party,
   SUMIFS(ledger!J:J, ledger!B:B, _xlpm.party, ledger!E:E, "&lt;&gt;*RD*", ledger!D:D, "Custom", ledger!C:C, "&lt;&gt;Closing CF")
))</f>
        <v>0</v>
      </c>
      <c r="O76" s="39">
        <f t="shared" si="10"/>
        <v>0</v>
      </c>
      <c r="P76" s="22">
        <f>SUMIF(Table14[Party], B76, Table14[Credit])</f>
        <v>0</v>
      </c>
      <c r="Q76" s="37">
        <f t="shared" si="9"/>
        <v>0</v>
      </c>
    </row>
    <row r="77" spans="2:24" x14ac:dyDescent="0.3">
      <c r="B77" s="80" t="str">
        <v>Ahmad Shafique</v>
      </c>
      <c r="C77">
        <v>0</v>
      </c>
      <c r="D77">
        <v>0</v>
      </c>
      <c r="E77">
        <v>0</v>
      </c>
      <c r="F77">
        <v>0</v>
      </c>
      <c r="G77" s="22" cm="1">
        <f t="array" ref="G77">(_xlfn.BYROW(B77,_xlfn.LAMBDA(_xlpm.party,
(SUMIFS(ledger!J:J,ledger!B:B,_xlpm.party,ledger!E:E,"&lt;&gt;*RD*",ledger!D:D,"Chamki",ledger!C:C,"&lt;&gt;Closing CF")+
SUMIFS(ledger!J:J,ledger!B:B,_xlpm.party,ledger!E:E,"&lt;&gt;*RD*",ledger!D:D,"Crinkle",ledger!C:C,"&lt;&gt;Closing CF")
))))</f>
        <v>0</v>
      </c>
      <c r="H77" s="22" cm="1">
        <f t="array" ref="H77">_xlfn.BYROW(B77, _xlfn.LAMBDA(_xlpm.party,
   SUMIFS(ledger!J:J, ledger!B:B, _xlpm.party, ledger!E:E, "&lt;&gt;*RD*", ledger!D:D, "Silky", ledger!C:C, "&lt;&gt;Closing CF")
))</f>
        <v>0</v>
      </c>
      <c r="I77" s="22" cm="1">
        <f t="array" ref="I77">_xlfn.BYROW(B77, _xlfn.LAMBDA(_xlpm.party,
   SUMIFS(ledger!J:J, ledger!B:B, _xlpm.party, ledger!E:E, "&lt;&gt;*RD*", ledger!D:D, "Slub", ledger!C:C, "&lt;&gt;Closing CF")
))</f>
        <v>0</v>
      </c>
      <c r="J77" s="22" cm="1">
        <f t="array" ref="J77">_xlfn.BYROW(B77, _xlfn.LAMBDA(_xlpm.party,
   SUMIFS(ledger!J:J, ledger!B:B, _xlpm.party, ledger!E:E, "&lt;&gt;*RD*", ledger!D:D, "Satin", ledger!C:C, "&lt;&gt;Closing CF")
))</f>
        <v>0</v>
      </c>
      <c r="K77" s="70" cm="1">
        <f t="array" ref="K77">_xlfn.BYROW(B77, _xlfn.LAMBDA(_xlpm.party,
   SUMIFS(ledger!J:J, ledger!B:B, _xlpm.party, ledger!E:E, "&lt;&gt;*RD*", ledger!D:D, "Black-chamki", ledger!C:C, "&lt;&gt;Closing CF")
))</f>
        <v>0</v>
      </c>
      <c r="L77" s="70" cm="1">
        <f t="array" ref="L77">_xlfn.BYROW(B77, _xlfn.LAMBDA(_xlpm.party,
   SUMIFS(ledger!J:J, ledger!B:B, _xlpm.party, ledger!E:E, "&lt;&gt;*RD*", ledger!D:D, "Kataan", ledger!C:C, "&lt;&gt;Closing CF")
))</f>
        <v>0</v>
      </c>
      <c r="M77" s="70" cm="1">
        <f t="array" ref="M77">_xlfn.BYROW(B77, _xlfn.LAMBDA(_xlpm.party,
   SUMIFS(ledger!J:J, ledger!B:B, _xlpm.party, ledger!E:E, "&lt;&gt;*RD*", ledger!D:D, "Munaar", ledger!C:C, "&lt;&gt;Closing CF")
))</f>
        <v>0</v>
      </c>
      <c r="N77" s="70" cm="1">
        <f t="array" ref="N77">_xlfn.BYROW(B77, _xlfn.LAMBDA(_xlpm.party,
   SUMIFS(ledger!J:J, ledger!B:B, _xlpm.party, ledger!E:E, "&lt;&gt;*RD*", ledger!D:D, "Custom", ledger!C:C, "&lt;&gt;Closing CF")
))</f>
        <v>0</v>
      </c>
      <c r="O77" s="39">
        <f t="shared" si="10"/>
        <v>0</v>
      </c>
      <c r="P77" s="22">
        <f>SUMIF(Table14[Party], B77, Table14[Credit])</f>
        <v>0</v>
      </c>
      <c r="Q77" s="37">
        <f t="shared" si="9"/>
        <v>0</v>
      </c>
    </row>
    <row r="78" spans="2:24" x14ac:dyDescent="0.3">
      <c r="B78" s="80" t="str">
        <v>Hafiz Shawl</v>
      </c>
      <c r="C78">
        <v>29112</v>
      </c>
      <c r="D78">
        <v>26620.336503291881</v>
      </c>
      <c r="E78">
        <v>0</v>
      </c>
      <c r="F78">
        <v>0</v>
      </c>
      <c r="G78" s="22" cm="1">
        <f t="array" ref="G78">(_xlfn.BYROW(B78,_xlfn.LAMBDA(_xlpm.party,
(SUMIFS(ledger!J:J,ledger!B:B,_xlpm.party,ledger!E:E,"&lt;&gt;*RD*",ledger!D:D,"Chamki",ledger!C:C,"&lt;&gt;Closing CF")+
SUMIFS(ledger!J:J,ledger!B:B,_xlpm.party,ledger!E:E,"&lt;&gt;*RD*",ledger!D:D,"Crinkle",ledger!C:C,"&lt;&gt;Closing CF")
))))</f>
        <v>0</v>
      </c>
      <c r="H78" s="22" cm="1">
        <f t="array" ref="H78">_xlfn.BYROW(B78, _xlfn.LAMBDA(_xlpm.party,
   SUMIFS(ledger!J:J, ledger!B:B, _xlpm.party, ledger!E:E, "&lt;&gt;*RD*", ledger!D:D, "Silky", ledger!C:C, "&lt;&gt;Closing CF")
))</f>
        <v>0</v>
      </c>
      <c r="I78" s="22" cm="1">
        <f t="array" ref="I78">_xlfn.BYROW(B78, _xlfn.LAMBDA(_xlpm.party,
   SUMIFS(ledger!J:J, ledger!B:B, _xlpm.party, ledger!E:E, "&lt;&gt;*RD*", ledger!D:D, "Slub", ledger!C:C, "&lt;&gt;Closing CF")
))</f>
        <v>0</v>
      </c>
      <c r="J78" s="22" cm="1">
        <f t="array" ref="J78">_xlfn.BYROW(B78, _xlfn.LAMBDA(_xlpm.party,
   SUMIFS(ledger!J:J, ledger!B:B, _xlpm.party, ledger!E:E, "&lt;&gt;*RD*", ledger!D:D, "Satin", ledger!C:C, "&lt;&gt;Closing CF")
))</f>
        <v>0</v>
      </c>
      <c r="K78" s="70" cm="1">
        <f t="array" ref="K78">_xlfn.BYROW(B78, _xlfn.LAMBDA(_xlpm.party,
   SUMIFS(ledger!J:J, ledger!B:B, _xlpm.party, ledger!E:E, "&lt;&gt;*RD*", ledger!D:D, "Black-chamki", ledger!C:C, "&lt;&gt;Closing CF")
))</f>
        <v>0</v>
      </c>
      <c r="L78" s="70" cm="1">
        <f t="array" ref="L78">_xlfn.BYROW(B78, _xlfn.LAMBDA(_xlpm.party,
   SUMIFS(ledger!J:J, ledger!B:B, _xlpm.party, ledger!E:E, "&lt;&gt;*RD*", ledger!D:D, "Kataan", ledger!C:C, "&lt;&gt;Closing CF")
))</f>
        <v>0</v>
      </c>
      <c r="M78" s="70" cm="1">
        <f t="array" ref="M78">_xlfn.BYROW(B78, _xlfn.LAMBDA(_xlpm.party,
   SUMIFS(ledger!J:J, ledger!B:B, _xlpm.party, ledger!E:E, "&lt;&gt;*RD*", ledger!D:D, "Munaar", ledger!C:C, "&lt;&gt;Closing CF")
))</f>
        <v>0</v>
      </c>
      <c r="N78" s="70" cm="1">
        <f t="array" ref="N78">_xlfn.BYROW(B78, _xlfn.LAMBDA(_xlpm.party,
   SUMIFS(ledger!J:J, ledger!B:B, _xlpm.party, ledger!E:E, "&lt;&gt;*RD*", ledger!D:D, "Custom", ledger!C:C, "&lt;&gt;Closing CF")
))</f>
        <v>532406.73006583774</v>
      </c>
      <c r="O78" s="39">
        <f t="shared" si="10"/>
        <v>532406.73006583774</v>
      </c>
      <c r="P78" s="22">
        <f>SUMIF(Table14[Party], B78, Table14[Credit])</f>
        <v>0</v>
      </c>
      <c r="Q78" s="37">
        <f t="shared" si="9"/>
        <v>532406.73006583774</v>
      </c>
    </row>
    <row r="79" spans="2:24" x14ac:dyDescent="0.3">
      <c r="B79" s="80" t="str">
        <v>Zahid Ejaz</v>
      </c>
      <c r="C79">
        <v>0</v>
      </c>
      <c r="D79">
        <v>0</v>
      </c>
      <c r="E79">
        <v>0</v>
      </c>
      <c r="F79">
        <v>0</v>
      </c>
      <c r="G79" s="22" cm="1">
        <f t="array" ref="G79">(_xlfn.BYROW(B79,_xlfn.LAMBDA(_xlpm.party,
(SUMIFS(ledger!J:J,ledger!B:B,_xlpm.party,ledger!E:E,"&lt;&gt;*RD*",ledger!D:D,"Chamki",ledger!C:C,"&lt;&gt;Closing CF")+
SUMIFS(ledger!J:J,ledger!B:B,_xlpm.party,ledger!E:E,"&lt;&gt;*RD*",ledger!D:D,"Crinkle",ledger!C:C,"&lt;&gt;Closing CF")
))))</f>
        <v>0</v>
      </c>
      <c r="H79" s="22" cm="1">
        <f t="array" ref="H79">_xlfn.BYROW(B79, _xlfn.LAMBDA(_xlpm.party,
   SUMIFS(ledger!J:J, ledger!B:B, _xlpm.party, ledger!E:E, "&lt;&gt;*RD*", ledger!D:D, "Silky", ledger!C:C, "&lt;&gt;Closing CF")
))</f>
        <v>0</v>
      </c>
      <c r="I79" s="22" cm="1">
        <f t="array" ref="I79">_xlfn.BYROW(B79, _xlfn.LAMBDA(_xlpm.party,
   SUMIFS(ledger!J:J, ledger!B:B, _xlpm.party, ledger!E:E, "&lt;&gt;*RD*", ledger!D:D, "Slub", ledger!C:C, "&lt;&gt;Closing CF")
))</f>
        <v>0</v>
      </c>
      <c r="J79" s="22" cm="1">
        <f t="array" ref="J79">_xlfn.BYROW(B79, _xlfn.LAMBDA(_xlpm.party,
   SUMIFS(ledger!J:J, ledger!B:B, _xlpm.party, ledger!E:E, "&lt;&gt;*RD*", ledger!D:D, "Satin", ledger!C:C, "&lt;&gt;Closing CF")
))</f>
        <v>0</v>
      </c>
      <c r="K79" s="70" cm="1">
        <f t="array" ref="K79">_xlfn.BYROW(B79, _xlfn.LAMBDA(_xlpm.party,
   SUMIFS(ledger!J:J, ledger!B:B, _xlpm.party, ledger!E:E, "&lt;&gt;*RD*", ledger!D:D, "Black-chamki", ledger!C:C, "&lt;&gt;Closing CF")
))</f>
        <v>0</v>
      </c>
      <c r="L79" s="70" cm="1">
        <f t="array" ref="L79">_xlfn.BYROW(B79, _xlfn.LAMBDA(_xlpm.party,
   SUMIFS(ledger!J:J, ledger!B:B, _xlpm.party, ledger!E:E, "&lt;&gt;*RD*", ledger!D:D, "Kataan", ledger!C:C, "&lt;&gt;Closing CF")
))</f>
        <v>0</v>
      </c>
      <c r="M79" s="70" cm="1">
        <f t="array" ref="M79">_xlfn.BYROW(B79, _xlfn.LAMBDA(_xlpm.party,
   SUMIFS(ledger!J:J, ledger!B:B, _xlpm.party, ledger!E:E, "&lt;&gt;*RD*", ledger!D:D, "Munaar", ledger!C:C, "&lt;&gt;Closing CF")
))</f>
        <v>0</v>
      </c>
      <c r="N79" s="70" cm="1">
        <f t="array" ref="N79">_xlfn.BYROW(B79, _xlfn.LAMBDA(_xlpm.party,
   SUMIFS(ledger!J:J, ledger!B:B, _xlpm.party, ledger!E:E, "&lt;&gt;*RD*", ledger!D:D, "Custom", ledger!C:C, "&lt;&gt;Closing CF")
))</f>
        <v>0</v>
      </c>
      <c r="O79" s="39">
        <f t="shared" si="10"/>
        <v>0</v>
      </c>
      <c r="P79" s="22">
        <f>SUMIF(Table14[Party], B79, Table14[Credit])</f>
        <v>0</v>
      </c>
      <c r="Q79" s="37">
        <f t="shared" si="9"/>
        <v>0</v>
      </c>
    </row>
    <row r="80" spans="2:24" x14ac:dyDescent="0.3">
      <c r="B80" s="80" t="str">
        <v>Faizan Kamoki</v>
      </c>
      <c r="C80">
        <v>526145</v>
      </c>
      <c r="D80">
        <v>481112.83833211416</v>
      </c>
      <c r="E80">
        <v>0</v>
      </c>
      <c r="F80">
        <v>345220.37307973666</v>
      </c>
      <c r="G80" s="22" cm="1">
        <f t="array" ref="G80">(_xlfn.BYROW(B80,_xlfn.LAMBDA(_xlpm.party,
(SUMIFS(ledger!J:J,ledger!B:B,_xlpm.party,ledger!E:E,"&lt;&gt;*RD*",ledger!D:D,"Chamki",ledger!C:C,"&lt;&gt;Closing CF")+
SUMIFS(ledger!J:J,ledger!B:B,_xlpm.party,ledger!E:E,"&lt;&gt;*RD*",ledger!D:D,"Crinkle",ledger!C:C,"&lt;&gt;Closing CF")
))))</f>
        <v>0</v>
      </c>
      <c r="H80" s="22" cm="1">
        <f t="array" ref="H80">_xlfn.BYROW(B80, _xlfn.LAMBDA(_xlpm.party,
   SUMIFS(ledger!J:J, ledger!B:B, _xlpm.party, ledger!E:E, "&lt;&gt;*RD*", ledger!D:D, "Silky", ledger!C:C, "&lt;&gt;Closing CF")
))</f>
        <v>4487864.8500365764</v>
      </c>
      <c r="I80" s="22" cm="1">
        <f t="array" ref="I80">_xlfn.BYROW(B80, _xlfn.LAMBDA(_xlpm.party,
   SUMIFS(ledger!J:J, ledger!B:B, _xlpm.party, ledger!E:E, "&lt;&gt;*RD*", ledger!D:D, "Slub", ledger!C:C, "&lt;&gt;Closing CF")
))</f>
        <v>0</v>
      </c>
      <c r="J80" s="22" cm="1">
        <f t="array" ref="J80">_xlfn.BYROW(B80, _xlfn.LAMBDA(_xlpm.party,
   SUMIFS(ledger!J:J, ledger!B:B, _xlpm.party, ledger!E:E, "&lt;&gt;*RD*", ledger!D:D, "Satin", ledger!C:C, "&lt;&gt;Closing CF")
))</f>
        <v>0</v>
      </c>
      <c r="K80" s="70" cm="1">
        <f t="array" ref="K80">_xlfn.BYROW(B80, _xlfn.LAMBDA(_xlpm.party,
   SUMIFS(ledger!J:J, ledger!B:B, _xlpm.party, ledger!E:E, "&lt;&gt;*RD*", ledger!D:D, "Black-chamki", ledger!C:C, "&lt;&gt;Closing CF")
))</f>
        <v>0</v>
      </c>
      <c r="L80" s="70" cm="1">
        <f t="array" ref="L80">_xlfn.BYROW(B80, _xlfn.LAMBDA(_xlpm.party,
   SUMIFS(ledger!J:J, ledger!B:B, _xlpm.party, ledger!E:E, "&lt;&gt;*RD*", ledger!D:D, "Kataan", ledger!C:C, "&lt;&gt;Closing CF")
))</f>
        <v>1235078.6393562546</v>
      </c>
      <c r="M80" s="70" cm="1">
        <f t="array" ref="M80">_xlfn.BYROW(B80, _xlfn.LAMBDA(_xlpm.party,
   SUMIFS(ledger!J:J, ledger!B:B, _xlpm.party, ledger!E:E, "&lt;&gt;*RD*", ledger!D:D, "Munaar", ledger!C:C, "&lt;&gt;Closing CF")
))</f>
        <v>0</v>
      </c>
      <c r="N80" s="70" cm="1">
        <f t="array" ref="N80">_xlfn.BYROW(B80, _xlfn.LAMBDA(_xlpm.party,
   SUMIFS(ledger!J:J, ledger!B:B, _xlpm.party, ledger!E:E, "&lt;&gt;*RD*", ledger!D:D, "Custom", ledger!C:C, "&lt;&gt;Closing CF")
))</f>
        <v>272523.77468910022</v>
      </c>
      <c r="O80" s="39">
        <f t="shared" si="10"/>
        <v>5995467.2640819307</v>
      </c>
      <c r="P80" s="22">
        <f>SUMIF(Table14[Party], B80, Table14[Credit])</f>
        <v>6603054</v>
      </c>
      <c r="Q80" s="37">
        <f t="shared" si="9"/>
        <v>-607586.73591806926</v>
      </c>
    </row>
    <row r="81" spans="1:17" x14ac:dyDescent="0.3">
      <c r="B81" s="80" t="str">
        <v>KK fabrics</v>
      </c>
      <c r="C81">
        <v>31473</v>
      </c>
      <c r="D81">
        <v>28779.261155815657</v>
      </c>
      <c r="E81">
        <v>28779.261155815657</v>
      </c>
      <c r="F81">
        <v>0</v>
      </c>
      <c r="G81" s="22" cm="1">
        <f t="array" ref="G81">(_xlfn.BYROW(B81,_xlfn.LAMBDA(_xlpm.party,
(SUMIFS(ledger!J:J,ledger!B:B,_xlpm.party,ledger!E:E,"&lt;&gt;*RD*",ledger!D:D,"Chamki",ledger!C:C,"&lt;&gt;Closing CF")+
SUMIFS(ledger!J:J,ledger!B:B,_xlpm.party,ledger!E:E,"&lt;&gt;*RD*",ledger!D:D,"Crinkle",ledger!C:C,"&lt;&gt;Closing CF")
))))</f>
        <v>287792.61155815655</v>
      </c>
      <c r="H81" s="22" cm="1">
        <f t="array" ref="H81">_xlfn.BYROW(B81, _xlfn.LAMBDA(_xlpm.party,
   SUMIFS(ledger!J:J, ledger!B:B, _xlpm.party, ledger!E:E, "&lt;&gt;*RD*", ledger!D:D, "Silky", ledger!C:C, "&lt;&gt;Closing CF")
))</f>
        <v>0</v>
      </c>
      <c r="I81" s="22" cm="1">
        <f t="array" ref="I81">_xlfn.BYROW(B81, _xlfn.LAMBDA(_xlpm.party,
   SUMIFS(ledger!J:J, ledger!B:B, _xlpm.party, ledger!E:E, "&lt;&gt;*RD*", ledger!D:D, "Slub", ledger!C:C, "&lt;&gt;Closing CF")
))</f>
        <v>0</v>
      </c>
      <c r="J81" s="22" cm="1">
        <f t="array" ref="J81">_xlfn.BYROW(B81, _xlfn.LAMBDA(_xlpm.party,
   SUMIFS(ledger!J:J, ledger!B:B, _xlpm.party, ledger!E:E, "&lt;&gt;*RD*", ledger!D:D, "Satin", ledger!C:C, "&lt;&gt;Closing CF")
))</f>
        <v>0</v>
      </c>
      <c r="K81" s="70" cm="1">
        <f t="array" ref="K81">_xlfn.BYROW(B81, _xlfn.LAMBDA(_xlpm.party,
   SUMIFS(ledger!J:J, ledger!B:B, _xlpm.party, ledger!E:E, "&lt;&gt;*RD*", ledger!D:D, "Black-chamki", ledger!C:C, "&lt;&gt;Closing CF")
))</f>
        <v>0</v>
      </c>
      <c r="L81" s="70" cm="1">
        <f t="array" ref="L81">_xlfn.BYROW(B81, _xlfn.LAMBDA(_xlpm.party,
   SUMIFS(ledger!J:J, ledger!B:B, _xlpm.party, ledger!E:E, "&lt;&gt;*RD*", ledger!D:D, "Kataan", ledger!C:C, "&lt;&gt;Closing CF")
))</f>
        <v>0</v>
      </c>
      <c r="M81" s="70" cm="1">
        <f t="array" ref="M81">_xlfn.BYROW(B81, _xlfn.LAMBDA(_xlpm.party,
   SUMIFS(ledger!J:J, ledger!B:B, _xlpm.party, ledger!E:E, "&lt;&gt;*RD*", ledger!D:D, "Munaar", ledger!C:C, "&lt;&gt;Closing CF")
))</f>
        <v>0</v>
      </c>
      <c r="N81" s="70" cm="1">
        <f t="array" ref="N81">_xlfn.BYROW(B81, _xlfn.LAMBDA(_xlpm.party,
   SUMIFS(ledger!J:J, ledger!B:B, _xlpm.party, ledger!E:E, "&lt;&gt;*RD*", ledger!D:D, "Custom", ledger!C:C, "&lt;&gt;Closing CF")
))</f>
        <v>0</v>
      </c>
      <c r="O81" s="39">
        <f t="shared" si="10"/>
        <v>287792.61155815655</v>
      </c>
      <c r="P81" s="22">
        <f>SUMIF(Table14[Party], B81, Table14[Credit])</f>
        <v>287000</v>
      </c>
      <c r="Q81" s="37">
        <f t="shared" ref="Q81" si="11">O81-P81</f>
        <v>792.61155815655366</v>
      </c>
    </row>
    <row r="82" spans="1:17" x14ac:dyDescent="0.3">
      <c r="A82" t="s">
        <v>153</v>
      </c>
      <c r="B82" s="80" t="str">
        <v>Rauf Khan</v>
      </c>
      <c r="C82">
        <v>464372</v>
      </c>
      <c r="D82">
        <v>424626.92026335042</v>
      </c>
      <c r="E82">
        <v>86493.233357717632</v>
      </c>
      <c r="F82">
        <v>243062.36283833213</v>
      </c>
      <c r="G82" s="22" cm="1">
        <f t="array" ref="G82">(_xlfn.BYROW(B82,_xlfn.LAMBDA(_xlpm.party,
(SUMIFS(ledger!J:J,ledger!B:B,_xlpm.party,ledger!E:E,"&lt;&gt;*RD*",ledger!D:D,"Chamki",ledger!C:C,"&lt;&gt;Closing CF")+
SUMIFS(ledger!J:J,ledger!B:B,_xlpm.party,ledger!E:E,"&lt;&gt;*RD*",ledger!D:D,"Crinkle",ledger!C:C,"&lt;&gt;Closing CF")
))))</f>
        <v>864932.33357717632</v>
      </c>
      <c r="H82" s="22" cm="1">
        <f t="array" ref="H82">_xlfn.BYROW(B82, _xlfn.LAMBDA(_xlpm.party,
   SUMIFS(ledger!J:J, ledger!B:B, _xlpm.party, ledger!E:E, "&lt;&gt;*RD*", ledger!D:D, "Silky", ledger!C:C, "&lt;&gt;Closing CF")
))</f>
        <v>2935341.0753474766</v>
      </c>
      <c r="I82" s="22" cm="1">
        <f t="array" ref="I82">_xlfn.BYROW(B82, _xlfn.LAMBDA(_xlpm.party,
   SUMIFS(ledger!J:J, ledger!B:B, _xlpm.party, ledger!E:E, "&lt;&gt;*RD*", ledger!D:D, "Slub", ledger!C:C, "&lt;&gt;Closing CF")
))</f>
        <v>0</v>
      </c>
      <c r="J82" s="22" cm="1">
        <f t="array" ref="J82">_xlfn.BYROW(B82, _xlfn.LAMBDA(_xlpm.party,
   SUMIFS(ledger!J:J, ledger!B:B, _xlpm.party, ledger!E:E, "&lt;&gt;*RD*", ledger!D:D, "Satin", ledger!C:C, "&lt;&gt;Closing CF")
))</f>
        <v>1426069.86100951</v>
      </c>
      <c r="K82" s="70" cm="1">
        <f t="array" ref="K82">_xlfn.BYROW(B82, _xlfn.LAMBDA(_xlpm.party,
   SUMIFS(ledger!J:J, ledger!B:B, _xlpm.party, ledger!E:E, "&lt;&gt;*RD*", ledger!D:D, "Black-chamki", ledger!C:C, "&lt;&gt;Closing CF")
))</f>
        <v>0</v>
      </c>
      <c r="L82" s="70" cm="1">
        <f t="array" ref="L82">_xlfn.BYROW(B82, _xlfn.LAMBDA(_xlpm.party,
   SUMIFS(ledger!J:J, ledger!B:B, _xlpm.party, ledger!E:E, "&lt;&gt;*RD*", ledger!D:D, "Kataan", ledger!C:C, "&lt;&gt;Closing CF")
))</f>
        <v>0</v>
      </c>
      <c r="M82" s="70" cm="1">
        <f t="array" ref="M82">_xlfn.BYROW(B82, _xlfn.LAMBDA(_xlpm.party,
   SUMIFS(ledger!J:J, ledger!B:B, _xlpm.party, ledger!E:E, "&lt;&gt;*RD*", ledger!D:D, "Munaar", ledger!C:C, "&lt;&gt;Closing CF")
))</f>
        <v>0</v>
      </c>
      <c r="N82" s="70" cm="1">
        <f t="array" ref="N82">_xlfn.BYROW(B82, _xlfn.LAMBDA(_xlpm.party,
   SUMIFS(ledger!J:J, ledger!B:B, _xlpm.party, ledger!E:E, "&lt;&gt;*RD*", ledger!D:D, "Custom", ledger!C:C, "&lt;&gt;Closing CF")
))</f>
        <v>17000</v>
      </c>
      <c r="O82" s="39">
        <f t="shared" si="10"/>
        <v>5243343.2699341634</v>
      </c>
      <c r="P82" s="22">
        <f>SUMIF(Table14[Party], B82, Table14[Credit])</f>
        <v>4298879</v>
      </c>
      <c r="Q82" s="37">
        <f t="shared" ref="Q82:Q83" si="12">O82-P82</f>
        <v>944464.26993416343</v>
      </c>
    </row>
    <row r="83" spans="1:17" x14ac:dyDescent="0.3">
      <c r="B83" s="80">
        <v>0</v>
      </c>
      <c r="C83">
        <v>0</v>
      </c>
      <c r="D83">
        <v>0</v>
      </c>
      <c r="E83">
        <v>0</v>
      </c>
      <c r="F83">
        <v>0</v>
      </c>
      <c r="G83" s="22" cm="1">
        <f t="array" ref="G83">(_xlfn.BYROW(B83,_xlfn.LAMBDA(_xlpm.party,
(SUMIFS(ledger!J:J,ledger!B:B,_xlpm.party,ledger!E:E,"&lt;&gt;*RD*",ledger!D:D,"Chamki",ledger!C:C,"&lt;&gt;Closing CF")+
SUMIFS(ledger!J:J,ledger!B:B,_xlpm.party,ledger!E:E,"&lt;&gt;*RD*",ledger!D:D,"Crinkle",ledger!C:C,"&lt;&gt;Closing CF")
))))</f>
        <v>0</v>
      </c>
      <c r="H83" s="22" cm="1">
        <f t="array" ref="H83">_xlfn.BYROW(B83, _xlfn.LAMBDA(_xlpm.party,
   SUMIFS(ledger!J:J, ledger!B:B, _xlpm.party, ledger!E:E, "&lt;&gt;*RD*", ledger!D:D, "Silky", ledger!C:C, "&lt;&gt;Closing CF")
))</f>
        <v>0</v>
      </c>
      <c r="I83" s="22" cm="1">
        <f t="array" ref="I83">_xlfn.BYROW(B83, _xlfn.LAMBDA(_xlpm.party,
   SUMIFS(ledger!J:J, ledger!B:B, _xlpm.party, ledger!E:E, "&lt;&gt;*RD*", ledger!D:D, "Slub", ledger!C:C, "&lt;&gt;Closing CF")
))</f>
        <v>0</v>
      </c>
      <c r="J83" s="22" cm="1">
        <f t="array" ref="J83">_xlfn.BYROW(B83, _xlfn.LAMBDA(_xlpm.party,
   SUMIFS(ledger!J:J, ledger!B:B, _xlpm.party, ledger!E:E, "&lt;&gt;*RD*", ledger!D:D, "Satin", ledger!C:C, "&lt;&gt;Closing CF")
))</f>
        <v>0</v>
      </c>
      <c r="K83" s="70" cm="1">
        <f t="array" ref="K83">_xlfn.BYROW(B83, _xlfn.LAMBDA(_xlpm.party,
   SUMIFS(ledger!J:J, ledger!B:B, _xlpm.party, ledger!E:E, "&lt;&gt;*RD*", ledger!D:D, "Black-chamki", ledger!C:C, "&lt;&gt;Closing CF")
))</f>
        <v>0</v>
      </c>
      <c r="L83" s="70" cm="1">
        <f t="array" ref="L83">_xlfn.BYROW(B83, _xlfn.LAMBDA(_xlpm.party,
   SUMIFS(ledger!J:J, ledger!B:B, _xlpm.party, ledger!E:E, "&lt;&gt;*RD*", ledger!D:D, "Kataan", ledger!C:C, "&lt;&gt;Closing CF")
))</f>
        <v>0</v>
      </c>
      <c r="M83" s="70" cm="1">
        <f t="array" ref="M83">_xlfn.BYROW(B83, _xlfn.LAMBDA(_xlpm.party,
   SUMIFS(ledger!J:J, ledger!B:B, _xlpm.party, ledger!E:E, "&lt;&gt;*RD*", ledger!D:D, "Munaar", ledger!C:C, "&lt;&gt;Closing CF")
))</f>
        <v>0</v>
      </c>
      <c r="N83" s="70" cm="1">
        <f t="array" ref="N83">_xlfn.BYROW(B83, _xlfn.LAMBDA(_xlpm.party,
   SUMIFS(ledger!J:J, ledger!B:B, _xlpm.party, ledger!E:E, "&lt;&gt;*RD*", ledger!D:D, "Custom", ledger!C:C, "&lt;&gt;Closing CF")
))</f>
        <v>0</v>
      </c>
      <c r="O83" s="39">
        <f t="shared" si="10"/>
        <v>0</v>
      </c>
      <c r="P83" s="22">
        <f>SUMIF(Table14[Party], B83, Table14[Credit])</f>
        <v>0</v>
      </c>
      <c r="Q83" s="37">
        <f t="shared" si="12"/>
        <v>0</v>
      </c>
    </row>
    <row r="84" spans="1:17" x14ac:dyDescent="0.3">
      <c r="B84" s="80" t="str">
        <v>Farhaan ali</v>
      </c>
      <c r="C84">
        <v>195693</v>
      </c>
      <c r="D84">
        <v>178943.85515727874</v>
      </c>
      <c r="E84">
        <v>0</v>
      </c>
      <c r="F84">
        <v>178943.85515727874</v>
      </c>
      <c r="G84" s="22" cm="1">
        <f t="array" ref="G84">(_xlfn.BYROW(B84,_xlfn.LAMBDA(_xlpm.party,
(SUMIFS(ledger!J:J,ledger!B:B,_xlpm.party,ledger!E:E,"&lt;&gt;*RD*",ledger!D:D,"Chamki",ledger!C:C,"&lt;&gt;Closing CF")+
SUMIFS(ledger!J:J,ledger!B:B,_xlpm.party,ledger!E:E,"&lt;&gt;*RD*",ledger!D:D,"Crinkle",ledger!C:C,"&lt;&gt;Closing CF")
))))</f>
        <v>0</v>
      </c>
      <c r="H84" s="22" cm="1">
        <f t="array" ref="H84">_xlfn.BYROW(B84, _xlfn.LAMBDA(_xlpm.party,
   SUMIFS(ledger!J:J, ledger!B:B, _xlpm.party, ledger!E:E, "&lt;&gt;*RD*", ledger!D:D, "Silky", ledger!C:C, "&lt;&gt;Closing CF")
))</f>
        <v>2147326.2618873445</v>
      </c>
      <c r="I84" s="22" cm="1">
        <f t="array" ref="I84">_xlfn.BYROW(B84, _xlfn.LAMBDA(_xlpm.party,
   SUMIFS(ledger!J:J, ledger!B:B, _xlpm.party, ledger!E:E, "&lt;&gt;*RD*", ledger!D:D, "Slub", ledger!C:C, "&lt;&gt;Closing CF")
))</f>
        <v>0</v>
      </c>
      <c r="J84" s="22" cm="1">
        <f t="array" ref="J84">_xlfn.BYROW(B84, _xlfn.LAMBDA(_xlpm.party,
   SUMIFS(ledger!J:J, ledger!B:B, _xlpm.party, ledger!E:E, "&lt;&gt;*RD*", ledger!D:D, "Satin", ledger!C:C, "&lt;&gt;Closing CF")
))</f>
        <v>0</v>
      </c>
      <c r="K84" s="70" cm="1">
        <f t="array" ref="K84">_xlfn.BYROW(B84, _xlfn.LAMBDA(_xlpm.party,
   SUMIFS(ledger!J:J, ledger!B:B, _xlpm.party, ledger!E:E, "&lt;&gt;*RD*", ledger!D:D, "Black-chamki", ledger!C:C, "&lt;&gt;Closing CF")
))</f>
        <v>0</v>
      </c>
      <c r="L84" s="70" cm="1">
        <f t="array" ref="L84">_xlfn.BYROW(B84, _xlfn.LAMBDA(_xlpm.party,
   SUMIFS(ledger!J:J, ledger!B:B, _xlpm.party, ledger!E:E, "&lt;&gt;*RD*", ledger!D:D, "Kataan", ledger!C:C, "&lt;&gt;Closing CF")
))</f>
        <v>0</v>
      </c>
      <c r="M84" s="70" cm="1">
        <f t="array" ref="M84">_xlfn.BYROW(B84, _xlfn.LAMBDA(_xlpm.party,
   SUMIFS(ledger!J:J, ledger!B:B, _xlpm.party, ledger!E:E, "&lt;&gt;*RD*", ledger!D:D, "Munaar", ledger!C:C, "&lt;&gt;Closing CF")
))</f>
        <v>0</v>
      </c>
      <c r="N84" s="70" cm="1">
        <f t="array" ref="N84">_xlfn.BYROW(B84, _xlfn.LAMBDA(_xlpm.party,
   SUMIFS(ledger!J:J, ledger!B:B, _xlpm.party, ledger!E:E, "&lt;&gt;*RD*", ledger!D:D, "Custom", ledger!C:C, "&lt;&gt;Closing CF")
))</f>
        <v>0</v>
      </c>
      <c r="O84" s="39">
        <f t="shared" ref="O84:O87" si="13">SUM(G84:N84)</f>
        <v>2147326.2618873445</v>
      </c>
      <c r="P84" s="22">
        <f>SUMIF(Table14[Party], B84, Table14[Credit])</f>
        <v>2147000</v>
      </c>
      <c r="Q84" s="37">
        <f t="shared" ref="Q84:Q87" si="14">O84-P84</f>
        <v>326.26188734453171</v>
      </c>
    </row>
    <row r="85" spans="1:17" x14ac:dyDescent="0.3">
      <c r="B85" s="80" t="str">
        <v>ACM salman zaffar</v>
      </c>
      <c r="C85">
        <v>94735</v>
      </c>
      <c r="D85">
        <v>86626.737381126557</v>
      </c>
      <c r="E85">
        <v>84342.538405267012</v>
      </c>
      <c r="F85">
        <v>2284.1989758595469</v>
      </c>
      <c r="G85" s="22" cm="1">
        <f t="array" ref="G85">(_xlfn.BYROW(B85,_xlfn.LAMBDA(_xlpm.party,
(SUMIFS(ledger!J:J,ledger!B:B,_xlpm.party,ledger!E:E,"&lt;&gt;*RD*",ledger!D:D,"Chamki",ledger!C:C,"&lt;&gt;Closing CF")+
SUMIFS(ledger!J:J,ledger!B:B,_xlpm.party,ledger!E:E,"&lt;&gt;*RD*",ledger!D:D,"Crinkle",ledger!C:C,"&lt;&gt;Closing CF")
))))</f>
        <v>843425.38405267021</v>
      </c>
      <c r="H85" s="22" cm="1">
        <f t="array" ref="H85">_xlfn.BYROW(B85, _xlfn.LAMBDA(_xlpm.party,
   SUMIFS(ledger!J:J, ledger!B:B, _xlpm.party, ledger!E:E, "&lt;&gt;*RD*", ledger!D:D, "Silky", ledger!C:C, "&lt;&gt;Closing CF")
))</f>
        <v>29694.586686174109</v>
      </c>
      <c r="I85" s="22" cm="1">
        <f t="array" ref="I85">_xlfn.BYROW(B85, _xlfn.LAMBDA(_xlpm.party,
   SUMIFS(ledger!J:J, ledger!B:B, _xlpm.party, ledger!E:E, "&lt;&gt;*RD*", ledger!D:D, "Slub", ledger!C:C, "&lt;&gt;Closing CF")
))</f>
        <v>0</v>
      </c>
      <c r="J85" s="22" cm="1">
        <f t="array" ref="J85">_xlfn.BYROW(B85, _xlfn.LAMBDA(_xlpm.party,
   SUMIFS(ledger!J:J, ledger!B:B, _xlpm.party, ledger!E:E, "&lt;&gt;*RD*", ledger!D:D, "Satin", ledger!C:C, "&lt;&gt;Closing CF")
))</f>
        <v>0</v>
      </c>
      <c r="K85" s="70" cm="1">
        <f t="array" ref="K85">_xlfn.BYROW(B85, _xlfn.LAMBDA(_xlpm.party,
   SUMIFS(ledger!J:J, ledger!B:B, _xlpm.party, ledger!E:E, "&lt;&gt;*RD*", ledger!D:D, "Black-chamki", ledger!C:C, "&lt;&gt;Closing CF")
))</f>
        <v>0</v>
      </c>
      <c r="L85" s="70" cm="1">
        <f t="array" ref="L85">_xlfn.BYROW(B85, _xlfn.LAMBDA(_xlpm.party,
   SUMIFS(ledger!J:J, ledger!B:B, _xlpm.party, ledger!E:E, "&lt;&gt;*RD*", ledger!D:D, "Kataan", ledger!C:C, "&lt;&gt;Closing CF")
))</f>
        <v>0</v>
      </c>
      <c r="M85" s="70" cm="1">
        <f t="array" ref="M85">_xlfn.BYROW(B85, _xlfn.LAMBDA(_xlpm.party,
   SUMIFS(ledger!J:J, ledger!B:B, _xlpm.party, ledger!E:E, "&lt;&gt;*RD*", ledger!D:D, "Munaar", ledger!C:C, "&lt;&gt;Closing CF")
))</f>
        <v>0</v>
      </c>
      <c r="N85" s="70" cm="1">
        <f t="array" ref="N85">_xlfn.BYROW(B85, _xlfn.LAMBDA(_xlpm.party,
   SUMIFS(ledger!J:J, ledger!B:B, _xlpm.party, ledger!E:E, "&lt;&gt;*RD*", ledger!D:D, "Custom", ledger!C:C, "&lt;&gt;Closing CF")
))</f>
        <v>0</v>
      </c>
      <c r="O85" s="39">
        <f t="shared" si="13"/>
        <v>873119.97073884436</v>
      </c>
      <c r="P85" s="22">
        <f>SUMIF(Table14[Party], B85, Table14[Credit])</f>
        <v>628000</v>
      </c>
      <c r="Q85" s="37">
        <f t="shared" si="14"/>
        <v>245119.97073884436</v>
      </c>
    </row>
    <row r="86" spans="1:17" x14ac:dyDescent="0.3">
      <c r="B86" t="str">
        <v>Moeez badshah</v>
      </c>
      <c r="C86">
        <v>168047</v>
      </c>
      <c r="D86">
        <v>153664.04535479154</v>
      </c>
      <c r="E86">
        <v>57385.698610095104</v>
      </c>
      <c r="F86">
        <v>96278.346744696421</v>
      </c>
      <c r="G86" s="22" cm="1">
        <f t="array" ref="G86">(_xlfn.BYROW(B86,_xlfn.LAMBDA(_xlpm.party,
(SUMIFS(ledger!J:J,ledger!B:B,_xlpm.party,ledger!E:E,"&lt;&gt;*RD*",ledger!D:D,"Chamki",ledger!C:C,"&lt;&gt;Closing CF")+
SUMIFS(ledger!J:J,ledger!B:B,_xlpm.party,ledger!E:E,"&lt;&gt;*RD*",ledger!D:D,"Crinkle",ledger!C:C,"&lt;&gt;Closing CF")
))))</f>
        <v>573856.98610095098</v>
      </c>
      <c r="H86" s="22" cm="1">
        <f t="array" ref="H86">_xlfn.BYROW(B86, _xlfn.LAMBDA(_xlpm.party,
   SUMIFS(ledger!J:J, ledger!B:B, _xlpm.party, ledger!E:E, "&lt;&gt;*RD*", ledger!D:D, "Silky", ledger!C:C, "&lt;&gt;Closing CF")
))</f>
        <v>1155340.160936357</v>
      </c>
      <c r="I86" s="22" cm="1">
        <f t="array" ref="I86">_xlfn.BYROW(B86, _xlfn.LAMBDA(_xlpm.party,
   SUMIFS(ledger!J:J, ledger!B:B, _xlpm.party, ledger!E:E, "&lt;&gt;*RD*", ledger!D:D, "Slub", ledger!C:C, "&lt;&gt;Closing CF")
))</f>
        <v>0</v>
      </c>
      <c r="J86" s="22" cm="1">
        <f t="array" ref="J86">_xlfn.BYROW(B86, _xlfn.LAMBDA(_xlpm.party,
   SUMIFS(ledger!J:J, ledger!B:B, _xlpm.party, ledger!E:E, "&lt;&gt;*RD*", ledger!D:D, "Satin", ledger!C:C, "&lt;&gt;Closing CF")
))</f>
        <v>0</v>
      </c>
      <c r="K86" s="70" cm="1">
        <f t="array" ref="K86">_xlfn.BYROW(B86, _xlfn.LAMBDA(_xlpm.party,
   SUMIFS(ledger!J:J, ledger!B:B, _xlpm.party, ledger!E:E, "&lt;&gt;*RD*", ledger!D:D, "Black-chamki", ledger!C:C, "&lt;&gt;Closing CF")
))</f>
        <v>0</v>
      </c>
      <c r="L86" s="70" cm="1">
        <f t="array" ref="L86">_xlfn.BYROW(B86, _xlfn.LAMBDA(_xlpm.party,
   SUMIFS(ledger!J:J, ledger!B:B, _xlpm.party, ledger!E:E, "&lt;&gt;*RD*", ledger!D:D, "Kataan", ledger!C:C, "&lt;&gt;Closing CF")
))</f>
        <v>0</v>
      </c>
      <c r="M86" s="70" cm="1">
        <f t="array" ref="M86">_xlfn.BYROW(B86, _xlfn.LAMBDA(_xlpm.party,
   SUMIFS(ledger!J:J, ledger!B:B, _xlpm.party, ledger!E:E, "&lt;&gt;*RD*", ledger!D:D, "Munaar", ledger!C:C, "&lt;&gt;Closing CF")
))</f>
        <v>0</v>
      </c>
      <c r="N86" s="70" cm="1">
        <f t="array" ref="N86">_xlfn.BYROW(B86, _xlfn.LAMBDA(_xlpm.party,
   SUMIFS(ledger!J:J, ledger!B:B, _xlpm.party, ledger!E:E, "&lt;&gt;*RD*", ledger!D:D, "Custom", ledger!C:C, "&lt;&gt;Closing CF")
))</f>
        <v>0</v>
      </c>
      <c r="O86" s="39">
        <f t="shared" si="13"/>
        <v>1729197.147037308</v>
      </c>
      <c r="P86" s="22">
        <f>SUMIF(Table14[Party], B86, Table14[Credit])</f>
        <v>1742500</v>
      </c>
      <c r="Q86" s="37">
        <f t="shared" si="14"/>
        <v>-13302.852962692035</v>
      </c>
    </row>
    <row r="87" spans="1:17" x14ac:dyDescent="0.3">
      <c r="B87" t="str">
        <v>Bablu</v>
      </c>
      <c r="C87">
        <v>9579</v>
      </c>
      <c r="D87">
        <v>8759.1441111923923</v>
      </c>
      <c r="E87">
        <v>0</v>
      </c>
      <c r="F87">
        <v>8759.1441111923923</v>
      </c>
      <c r="G87" s="22" cm="1">
        <f t="array" ref="G87">(_xlfn.BYROW(B87,_xlfn.LAMBDA(_xlpm.party,
(SUMIFS(ledger!J:J,ledger!B:B,_xlpm.party,ledger!E:E,"&lt;&gt;*RD*",ledger!D:D,"Chamki",ledger!C:C,"&lt;&gt;Closing CF")+
SUMIFS(ledger!J:J,ledger!B:B,_xlpm.party,ledger!E:E,"&lt;&gt;*RD*",ledger!D:D,"Crinkle",ledger!C:C,"&lt;&gt;Closing CF")
))))</f>
        <v>0</v>
      </c>
      <c r="H87" s="22" cm="1">
        <f t="array" ref="H87">_xlfn.BYROW(B87, _xlfn.LAMBDA(_xlpm.party,
   SUMIFS(ledger!J:J, ledger!B:B, _xlpm.party, ledger!E:E, "&lt;&gt;*RD*", ledger!D:D, "Silky", ledger!C:C, "&lt;&gt;Closing CF")
))</f>
        <v>105109.72933430871</v>
      </c>
      <c r="I87" s="22" cm="1">
        <f t="array" ref="I87">_xlfn.BYROW(B87, _xlfn.LAMBDA(_xlpm.party,
   SUMIFS(ledger!J:J, ledger!B:B, _xlpm.party, ledger!E:E, "&lt;&gt;*RD*", ledger!D:D, "Slub", ledger!C:C, "&lt;&gt;Closing CF")
))</f>
        <v>0</v>
      </c>
      <c r="J87" s="22" cm="1">
        <f t="array" ref="J87">_xlfn.BYROW(B87, _xlfn.LAMBDA(_xlpm.party,
   SUMIFS(ledger!J:J, ledger!B:B, _xlpm.party, ledger!E:E, "&lt;&gt;*RD*", ledger!D:D, "Satin", ledger!C:C, "&lt;&gt;Closing CF")
))</f>
        <v>0</v>
      </c>
      <c r="K87" s="70" cm="1">
        <f t="array" ref="K87">_xlfn.BYROW(B87, _xlfn.LAMBDA(_xlpm.party,
   SUMIFS(ledger!J:J, ledger!B:B, _xlpm.party, ledger!E:E, "&lt;&gt;*RD*", ledger!D:D, "Black-chamki", ledger!C:C, "&lt;&gt;Closing CF")
))</f>
        <v>0</v>
      </c>
      <c r="L87" s="70" cm="1">
        <f t="array" ref="L87">_xlfn.BYROW(B87, _xlfn.LAMBDA(_xlpm.party,
   SUMIFS(ledger!J:J, ledger!B:B, _xlpm.party, ledger!E:E, "&lt;&gt;*RD*", ledger!D:D, "Kataan", ledger!C:C, "&lt;&gt;Closing CF")
))</f>
        <v>0</v>
      </c>
      <c r="M87" s="70" cm="1">
        <f t="array" ref="M87">_xlfn.BYROW(B87, _xlfn.LAMBDA(_xlpm.party,
   SUMIFS(ledger!J:J, ledger!B:B, _xlpm.party, ledger!E:E, "&lt;&gt;*RD*", ledger!D:D, "Munaar", ledger!C:C, "&lt;&gt;Closing CF")
))</f>
        <v>0</v>
      </c>
      <c r="N87" s="70" cm="1">
        <f t="array" ref="N87">_xlfn.BYROW(B87, _xlfn.LAMBDA(_xlpm.party,
   SUMIFS(ledger!J:J, ledger!B:B, _xlpm.party, ledger!E:E, "&lt;&gt;*RD*", ledger!D:D, "Custom", ledger!C:C, "&lt;&gt;Closing CF")
))</f>
        <v>0</v>
      </c>
      <c r="O87" s="39">
        <f t="shared" si="13"/>
        <v>105109.72933430871</v>
      </c>
      <c r="P87" s="22">
        <f>SUMIF(Table14[Party], B87, Table14[Credit])</f>
        <v>100000</v>
      </c>
      <c r="Q87" s="37">
        <f t="shared" si="14"/>
        <v>5109.7293343087076</v>
      </c>
    </row>
    <row r="88" spans="1:17" x14ac:dyDescent="0.3">
      <c r="B88" t="str">
        <v>Sheikh Naveed</v>
      </c>
      <c r="C88">
        <v>23123</v>
      </c>
      <c r="D88">
        <v>21143.928310168252</v>
      </c>
      <c r="E88">
        <v>21143.928310168252</v>
      </c>
      <c r="F88">
        <v>0</v>
      </c>
      <c r="G88" s="22" cm="1">
        <f t="array" ref="G88">(_xlfn.BYROW(B88,_xlfn.LAMBDA(_xlpm.party,
(SUMIFS(ledger!J:J,ledger!B:B,_xlpm.party,ledger!E:E,"&lt;&gt;*RD*",ledger!D:D,"Chamki",ledger!C:C,"&lt;&gt;Closing CF")+
SUMIFS(ledger!J:J,ledger!B:B,_xlpm.party,ledger!E:E,"&lt;&gt;*RD*",ledger!D:D,"Crinkle",ledger!C:C,"&lt;&gt;Closing CF")
))))</f>
        <v>211439.28310168252</v>
      </c>
      <c r="H88" s="22" cm="1">
        <f t="array" ref="H88">_xlfn.BYROW(B88, _xlfn.LAMBDA(_xlpm.party,
   SUMIFS(ledger!J:J, ledger!B:B, _xlpm.party, ledger!E:E, "&lt;&gt;*RD*", ledger!D:D, "Silky", ledger!C:C, "&lt;&gt;Closing CF")
))</f>
        <v>0</v>
      </c>
      <c r="I88" s="22" cm="1">
        <f t="array" ref="I88">_xlfn.BYROW(B88, _xlfn.LAMBDA(_xlpm.party,
   SUMIFS(ledger!J:J, ledger!B:B, _xlpm.party, ledger!E:E, "&lt;&gt;*RD*", ledger!D:D, "Slub", ledger!C:C, "&lt;&gt;Closing CF")
))</f>
        <v>0</v>
      </c>
      <c r="J88" s="22" cm="1">
        <f t="array" ref="J88">_xlfn.BYROW(B88, _xlfn.LAMBDA(_xlpm.party,
   SUMIFS(ledger!J:J, ledger!B:B, _xlpm.party, ledger!E:E, "&lt;&gt;*RD*", ledger!D:D, "Satin", ledger!C:C, "&lt;&gt;Closing CF")
))</f>
        <v>0</v>
      </c>
      <c r="K88" s="70" cm="1">
        <f t="array" ref="K88">_xlfn.BYROW(B88, _xlfn.LAMBDA(_xlpm.party,
   SUMIFS(ledger!J:J, ledger!B:B, _xlpm.party, ledger!E:E, "&lt;&gt;*RD*", ledger!D:D, "Black-chamki", ledger!C:C, "&lt;&gt;Closing CF")
))</f>
        <v>0</v>
      </c>
      <c r="L88" s="70" cm="1">
        <f t="array" ref="L88">_xlfn.BYROW(B88, _xlfn.LAMBDA(_xlpm.party,
   SUMIFS(ledger!J:J, ledger!B:B, _xlpm.party, ledger!E:E, "&lt;&gt;*RD*", ledger!D:D, "Kataan", ledger!C:C, "&lt;&gt;Closing CF")
))</f>
        <v>0</v>
      </c>
      <c r="M88" s="70" cm="1">
        <f t="array" ref="M88">_xlfn.BYROW(B88, _xlfn.LAMBDA(_xlpm.party,
   SUMIFS(ledger!J:J, ledger!B:B, _xlpm.party, ledger!E:E, "&lt;&gt;*RD*", ledger!D:D, "Munaar", ledger!C:C, "&lt;&gt;Closing CF")
))</f>
        <v>0</v>
      </c>
      <c r="N88" s="70" cm="1">
        <f t="array" ref="N88">_xlfn.BYROW(B88, _xlfn.LAMBDA(_xlpm.party,
   SUMIFS(ledger!J:J, ledger!B:B, _xlpm.party, ledger!E:E, "&lt;&gt;*RD*", ledger!D:D, "Custom", ledger!C:C, "&lt;&gt;Closing CF")
))</f>
        <v>0</v>
      </c>
      <c r="O88" s="39">
        <f t="shared" ref="O88:O89" si="15">SUM(G88:N88)</f>
        <v>211439.28310168252</v>
      </c>
      <c r="P88" s="22">
        <f>SUMIF(Table14[Party], B88, Table14[Credit])</f>
        <v>204900</v>
      </c>
      <c r="Q88" s="37">
        <f t="shared" ref="Q88:Q89" si="16">O88-P88</f>
        <v>6539.2831016825221</v>
      </c>
    </row>
    <row r="89" spans="1:17" x14ac:dyDescent="0.3">
      <c r="B89" t="str">
        <v>malik salman</v>
      </c>
      <c r="C89">
        <v>14194</v>
      </c>
      <c r="D89">
        <v>12979.151426481347</v>
      </c>
      <c r="E89">
        <v>0</v>
      </c>
      <c r="F89">
        <v>0</v>
      </c>
      <c r="G89" s="22" cm="1">
        <f t="array" ref="G89">(_xlfn.BYROW(B89,_xlfn.LAMBDA(_xlpm.party,
(SUMIFS(ledger!J:J,ledger!B:B,_xlpm.party,ledger!E:E,"&lt;&gt;*RD*",ledger!D:D,"Chamki",ledger!C:C,"&lt;&gt;Closing CF")+
SUMIFS(ledger!J:J,ledger!B:B,_xlpm.party,ledger!E:E,"&lt;&gt;*RD*",ledger!D:D,"Crinkle",ledger!C:C,"&lt;&gt;Closing CF")
))))</f>
        <v>0</v>
      </c>
      <c r="H89" s="22" cm="1">
        <f t="array" ref="H89">_xlfn.BYROW(B89, _xlfn.LAMBDA(_xlpm.party,
   SUMIFS(ledger!J:J, ledger!B:B, _xlpm.party, ledger!E:E, "&lt;&gt;*RD*", ledger!D:D, "Silky", ledger!C:C, "&lt;&gt;Closing CF")
))</f>
        <v>0</v>
      </c>
      <c r="I89" s="22" cm="1">
        <f t="array" ref="I89">_xlfn.BYROW(B89, _xlfn.LAMBDA(_xlpm.party,
   SUMIFS(ledger!J:J, ledger!B:B, _xlpm.party, ledger!E:E, "&lt;&gt;*RD*", ledger!D:D, "Slub", ledger!C:C, "&lt;&gt;Closing CF")
))</f>
        <v>0</v>
      </c>
      <c r="J89" s="22" cm="1">
        <f t="array" ref="J89">_xlfn.BYROW(B89, _xlfn.LAMBDA(_xlpm.party,
   SUMIFS(ledger!J:J, ledger!B:B, _xlpm.party, ledger!E:E, "&lt;&gt;*RD*", ledger!D:D, "Satin", ledger!C:C, "&lt;&gt;Closing CF")
))</f>
        <v>0</v>
      </c>
      <c r="K89" s="70" cm="1">
        <f t="array" ref="K89">_xlfn.BYROW(B89, _xlfn.LAMBDA(_xlpm.party,
   SUMIFS(ledger!J:J, ledger!B:B, _xlpm.party, ledger!E:E, "&lt;&gt;*RD*", ledger!D:D, "Black-chamki", ledger!C:C, "&lt;&gt;Closing CF")
))</f>
        <v>0</v>
      </c>
      <c r="L89" s="70" cm="1">
        <f t="array" ref="L89">_xlfn.BYROW(B89, _xlfn.LAMBDA(_xlpm.party,
   SUMIFS(ledger!J:J, ledger!B:B, _xlpm.party, ledger!E:E, "&lt;&gt;*RD*", ledger!D:D, "Kataan", ledger!C:C, "&lt;&gt;Closing CF")
))</f>
        <v>0</v>
      </c>
      <c r="M89" s="70" cm="1">
        <f t="array" ref="M89">_xlfn.BYROW(B89, _xlfn.LAMBDA(_xlpm.party,
   SUMIFS(ledger!J:J, ledger!B:B, _xlpm.party, ledger!E:E, "&lt;&gt;*RD*", ledger!D:D, "Munaar", ledger!C:C, "&lt;&gt;Closing CF")
))</f>
        <v>0</v>
      </c>
      <c r="N89" s="70" cm="1">
        <f t="array" ref="N89">_xlfn.BYROW(B89, _xlfn.LAMBDA(_xlpm.party,
   SUMIFS(ledger!J:J, ledger!B:B, _xlpm.party, ledger!E:E, "&lt;&gt;*RD*", ledger!D:D, "Custom", ledger!C:C, "&lt;&gt;Closing CF")
))</f>
        <v>0</v>
      </c>
      <c r="O89" s="39">
        <f t="shared" si="15"/>
        <v>0</v>
      </c>
      <c r="P89" s="22">
        <f>SUMIF(Table14[Party], B89, Table14[Credit])</f>
        <v>194000</v>
      </c>
      <c r="Q89" s="37">
        <f t="shared" si="16"/>
        <v>-194000</v>
      </c>
    </row>
    <row r="90" spans="1:17" x14ac:dyDescent="0.3">
      <c r="B90" t="str">
        <v>Rehan Butt</v>
      </c>
      <c r="C90">
        <v>53438</v>
      </c>
      <c r="D90">
        <v>48864.301389904904</v>
      </c>
      <c r="E90">
        <v>48864.301389904904</v>
      </c>
      <c r="F90">
        <v>0</v>
      </c>
    </row>
    <row r="97" spans="2:19" x14ac:dyDescent="0.3">
      <c r="B97" t="s">
        <v>33</v>
      </c>
      <c r="C97" s="23" t="s">
        <v>10</v>
      </c>
      <c r="D97" s="23" t="s">
        <v>11</v>
      </c>
      <c r="E97" s="23" t="s">
        <v>12</v>
      </c>
      <c r="F97" s="23" t="s">
        <v>13</v>
      </c>
      <c r="G97" s="23" t="s">
        <v>14</v>
      </c>
      <c r="H97" s="23" t="s">
        <v>15</v>
      </c>
      <c r="I97" s="23" t="s">
        <v>207</v>
      </c>
      <c r="J97" s="23" t="s">
        <v>179</v>
      </c>
      <c r="K97" s="110" t="s">
        <v>208</v>
      </c>
      <c r="L97" s="110" t="s">
        <v>209</v>
      </c>
      <c r="M97" s="110" t="s">
        <v>205</v>
      </c>
      <c r="N97" s="110" t="s">
        <v>276</v>
      </c>
      <c r="O97" s="23" t="s">
        <v>16</v>
      </c>
      <c r="P97" s="23" t="s">
        <v>17</v>
      </c>
      <c r="Q97" s="23" t="s">
        <v>18</v>
      </c>
      <c r="R97" s="23" t="s">
        <v>19</v>
      </c>
      <c r="S97" s="23" t="s">
        <v>20</v>
      </c>
    </row>
    <row r="98" spans="2:19" x14ac:dyDescent="0.3">
      <c r="B98" s="24" t="str" cm="1">
        <f t="array" ref="B98:B139">_xlfn.UNIQUE(Table1[Party Name])</f>
        <v>BSC</v>
      </c>
      <c r="C98" s="22">
        <f>_xlfn.XLOOKUP($B49,[1]Billing!$R$5:$R$40,[1]Billing!$S$5:$S$40)</f>
        <v>4346513.8824000005</v>
      </c>
      <c r="D98" s="22">
        <f>_xlfn.XLOOKUP($B49,[1]Billing!$R$5:$R$40,[1]Billing!$T$5:$T$40)</f>
        <v>3974500.6239941483</v>
      </c>
      <c r="E98" s="22">
        <f>_xlfn.XLOOKUP($B49,[1]Billing!$R$5:$R$40,[1]Billing!$U$5:$U$40)</f>
        <v>3126686.9809802491</v>
      </c>
      <c r="F98" s="22">
        <f>_xlfn.XLOOKUP($B49,[1]Billing!$R$5:$R$40,[1]Billing!$V$5:$V$40)</f>
        <v>654441.2948061449</v>
      </c>
      <c r="G98" s="22">
        <f>_xlfn.XLOOKUP($B49,[1]Billing!$R$5:$R$40,[1]Billing!$W$5:$W$40)</f>
        <v>31266869.809802495</v>
      </c>
      <c r="H98" s="22">
        <f>_xlfn.XLOOKUP($B49,[1]Billing!$R$5:$R$40,[1]Billing!$X$5:$X$40)</f>
        <v>8419380.9436722752</v>
      </c>
      <c r="I98" s="22">
        <f>_xlfn.XLOOKUP($B49,[1]Billing!$R$5:$R$40,[1]Billing!$Y$5:$Y$40)</f>
        <v>0</v>
      </c>
      <c r="J98" s="22">
        <f>_xlfn.XLOOKUP($B49,[1]Billing!$R$5:$R$40,[1]Billing!$Z$5:$Z$40)</f>
        <v>0</v>
      </c>
      <c r="K98" s="22">
        <f>_xlfn.XLOOKUP($B49,[1]Billing!$R$5:$R$40,[1]Billing!$AA$5:$AA$40)</f>
        <v>0</v>
      </c>
      <c r="L98" s="22">
        <f>_xlfn.XLOOKUP($B49,[1]Billing!$R$5:$R$40,[1]Billing!$AB$5:$AB$40)</f>
        <v>2127095.8302852963</v>
      </c>
      <c r="M98" s="22">
        <f>_xlfn.XLOOKUP($B49,[1]Billing!$R$5:$R$40,[1]Billing!$AC$5:$AC$40)</f>
        <v>0</v>
      </c>
      <c r="N98" s="22">
        <f>_xlfn.XLOOKUP($B49,[1]Billing!$R$5:$R$40,[1]Billing!$AD$5:$AD$40)</f>
        <v>0</v>
      </c>
      <c r="O98" s="39">
        <f>G98+H98+I98+J98+K98+L98+M98+N98</f>
        <v>41813346.583760068</v>
      </c>
      <c r="P98" s="22">
        <f>_xlfn.XLOOKUP($B49,[1]Billing!$R$5:$R$40,[1]Billing!$AF$5:$AF$40)</f>
        <v>19750734</v>
      </c>
      <c r="Q98" s="37">
        <f>O98-P98</f>
        <v>22062612.583760068</v>
      </c>
      <c r="R98" s="21">
        <v>10</v>
      </c>
      <c r="S98" s="21">
        <v>13</v>
      </c>
    </row>
    <row r="99" spans="2:19" x14ac:dyDescent="0.3">
      <c r="B99" s="24" t="str">
        <v>Ejaz Sahab</v>
      </c>
      <c r="C99" s="22">
        <f>_xlfn.XLOOKUP($B50,[1]Billing!$R$5:$R$40,[1]Billing!$S$5:$S$40)</f>
        <v>649279</v>
      </c>
      <c r="D99" s="22">
        <f>_xlfn.XLOOKUP($B50,[1]Billing!$R$5:$R$40,[1]Billing!$T$5:$T$40)</f>
        <v>593707.93708851503</v>
      </c>
      <c r="E99" s="22">
        <f>_xlfn.XLOOKUP($B50,[1]Billing!$R$5:$R$40,[1]Billing!$U$5:$U$40)</f>
        <v>148145.57425018289</v>
      </c>
      <c r="F99" s="22">
        <f>_xlfn.XLOOKUP($B50,[1]Billing!$R$5:$R$40,[1]Billing!$V$5:$V$40)</f>
        <v>445562.36283833213</v>
      </c>
      <c r="G99" s="22">
        <f>_xlfn.XLOOKUP($B50,[1]Billing!$R$5:$R$40,[1]Billing!$W$5:$W$40)</f>
        <v>1481455.7425018288</v>
      </c>
      <c r="H99" s="22">
        <f>_xlfn.XLOOKUP($B50,[1]Billing!$R$5:$R$40,[1]Billing!$X$5:$X$40)</f>
        <v>5733166.6057059262</v>
      </c>
      <c r="I99" s="22">
        <f>_xlfn.XLOOKUP($B50,[1]Billing!$R$5:$R$40,[1]Billing!$Y$5:$Y$40)</f>
        <v>0</v>
      </c>
      <c r="J99" s="22">
        <f>_xlfn.XLOOKUP($B50,[1]Billing!$R$5:$R$40,[1]Billing!$Z$5:$Z$40)</f>
        <v>0</v>
      </c>
      <c r="K99" s="22">
        <f>_xlfn.XLOOKUP($B50,[1]Billing!$R$5:$R$40,[1]Billing!$AA$5:$AA$40)</f>
        <v>0</v>
      </c>
      <c r="L99" s="22">
        <f>_xlfn.XLOOKUP($B50,[1]Billing!$R$5:$R$40,[1]Billing!$AB$5:$AB$40)</f>
        <v>0</v>
      </c>
      <c r="M99" s="22">
        <f>_xlfn.XLOOKUP($B50,[1]Billing!$R$5:$R$40,[1]Billing!$AC$5:$AC$40)</f>
        <v>0</v>
      </c>
      <c r="N99" s="22">
        <f>_xlfn.XLOOKUP($B50,[1]Billing!$R$5:$R$40,[1]Billing!$AD$5:$AD$40)</f>
        <v>0</v>
      </c>
      <c r="O99" s="39">
        <f t="shared" ref="O99:O135" si="17">G99+H99+I99+J99+K99+L99+M99+N99</f>
        <v>7214622.348207755</v>
      </c>
      <c r="P99" s="22">
        <f>_xlfn.XLOOKUP($B50,[1]Billing!$R$5:$R$40,[1]Billing!$AF$5:$AF$40)</f>
        <v>7053987</v>
      </c>
      <c r="Q99" s="37">
        <f t="shared" ref="Q99:Q128" si="18">O99-P99</f>
        <v>160635.34820775501</v>
      </c>
      <c r="R99" s="21">
        <v>10</v>
      </c>
      <c r="S99" s="21">
        <v>13</v>
      </c>
    </row>
    <row r="100" spans="2:19" x14ac:dyDescent="0.3">
      <c r="B100" s="24" t="str">
        <v>Arshad</v>
      </c>
      <c r="C100" s="22">
        <f>_xlfn.XLOOKUP($B51,[1]Billing!$R$5:$R$40,[1]Billing!$S$5:$S$40)</f>
        <v>967227</v>
      </c>
      <c r="D100" s="22">
        <f>_xlfn.XLOOKUP($B51,[1]Billing!$R$5:$R$40,[1]Billing!$T$5:$T$40)</f>
        <v>884443.1236283835</v>
      </c>
      <c r="E100" s="22">
        <f>_xlfn.XLOOKUP($B51,[1]Billing!$R$5:$R$40,[1]Billing!$U$5:$U$40)</f>
        <v>718917.33723482082</v>
      </c>
      <c r="F100" s="22">
        <f>_xlfn.XLOOKUP($B51,[1]Billing!$R$5:$R$40,[1]Billing!$V$5:$V$40)</f>
        <v>165525.78639356254</v>
      </c>
      <c r="G100" s="22">
        <f>_xlfn.XLOOKUP($B51,[1]Billing!$R$5:$R$40,[1]Billing!$W$5:$W$40)</f>
        <v>7189173.372348208</v>
      </c>
      <c r="H100" s="22">
        <f>_xlfn.XLOOKUP($B51,[1]Billing!$R$5:$R$40,[1]Billing!$X$5:$X$40)</f>
        <v>2137040.9656181419</v>
      </c>
      <c r="I100" s="22">
        <f>_xlfn.XLOOKUP($B51,[1]Billing!$R$5:$R$40,[1]Billing!$Y$5:$Y$40)</f>
        <v>0</v>
      </c>
      <c r="J100" s="22">
        <f>_xlfn.XLOOKUP($B51,[1]Billing!$R$5:$R$40,[1]Billing!$Z$5:$Z$40)</f>
        <v>0</v>
      </c>
      <c r="K100" s="22">
        <f>_xlfn.XLOOKUP($B51,[1]Billing!$R$5:$R$40,[1]Billing!$AA$5:$AA$40)</f>
        <v>0</v>
      </c>
      <c r="L100" s="22">
        <f>_xlfn.XLOOKUP($B51,[1]Billing!$R$5:$R$40,[1]Billing!$AB$5:$AB$40)</f>
        <v>0</v>
      </c>
      <c r="M100" s="22">
        <f>_xlfn.XLOOKUP($B51,[1]Billing!$R$5:$R$40,[1]Billing!$AC$5:$AC$40)</f>
        <v>0</v>
      </c>
      <c r="N100" s="22">
        <f>_xlfn.XLOOKUP($B51,[1]Billing!$R$5:$R$40,[1]Billing!$AD$5:$AD$40)</f>
        <v>0</v>
      </c>
      <c r="O100" s="39">
        <f t="shared" si="17"/>
        <v>9326214.337966349</v>
      </c>
      <c r="P100" s="22">
        <f>_xlfn.XLOOKUP($B51,[1]Billing!$R$5:$R$40,[1]Billing!$AF$5:$AF$40)</f>
        <v>9177501</v>
      </c>
      <c r="Q100" s="37">
        <f t="shared" si="18"/>
        <v>148713.33796634898</v>
      </c>
      <c r="R100" s="21">
        <v>10</v>
      </c>
      <c r="S100" s="21">
        <v>13</v>
      </c>
    </row>
    <row r="101" spans="2:19" x14ac:dyDescent="0.3">
      <c r="B101" s="24" t="str">
        <v>Shehzad Kamoki</v>
      </c>
      <c r="C101" s="22">
        <f>_xlfn.XLOOKUP($B52,[1]Billing!$R$5:$R$40,[1]Billing!$S$5:$S$40)</f>
        <v>143457</v>
      </c>
      <c r="D101" s="22">
        <f>_xlfn.XLOOKUP($B52,[1]Billing!$R$5:$R$40,[1]Billing!$T$5:$T$40)</f>
        <v>131178.67593269935</v>
      </c>
      <c r="E101" s="22">
        <f>_xlfn.XLOOKUP($B52,[1]Billing!$R$5:$R$40,[1]Billing!$U$5:$U$40)</f>
        <v>131178.67593269935</v>
      </c>
      <c r="F101" s="22">
        <f>_xlfn.XLOOKUP($B52,[1]Billing!$R$5:$R$40,[1]Billing!$V$5:$V$40)</f>
        <v>0</v>
      </c>
      <c r="G101" s="22">
        <f>_xlfn.XLOOKUP($B52,[1]Billing!$R$5:$R$40,[1]Billing!$W$5:$W$40)</f>
        <v>1354241.9972933433</v>
      </c>
      <c r="H101" s="22">
        <f>_xlfn.XLOOKUP($B52,[1]Billing!$R$5:$R$40,[1]Billing!$X$5:$X$40)</f>
        <v>0</v>
      </c>
      <c r="I101" s="22">
        <f>_xlfn.XLOOKUP($B52,[1]Billing!$R$5:$R$40,[1]Billing!$Y$5:$Y$40)</f>
        <v>0</v>
      </c>
      <c r="J101" s="22">
        <f>_xlfn.XLOOKUP($B52,[1]Billing!$R$5:$R$40,[1]Billing!$Z$5:$Z$40)</f>
        <v>0</v>
      </c>
      <c r="K101" s="22">
        <f>_xlfn.XLOOKUP($B52,[1]Billing!$R$5:$R$40,[1]Billing!$AA$5:$AA$40)</f>
        <v>0</v>
      </c>
      <c r="L101" s="22">
        <f>_xlfn.XLOOKUP($B52,[1]Billing!$R$5:$R$40,[1]Billing!$AB$5:$AB$40)</f>
        <v>0</v>
      </c>
      <c r="M101" s="22">
        <f>_xlfn.XLOOKUP($B52,[1]Billing!$R$5:$R$40,[1]Billing!$AC$5:$AC$40)</f>
        <v>0</v>
      </c>
      <c r="N101" s="22">
        <f>_xlfn.XLOOKUP($B52,[1]Billing!$R$5:$R$40,[1]Billing!$AD$5:$AD$40)</f>
        <v>0</v>
      </c>
      <c r="O101" s="39">
        <f t="shared" si="17"/>
        <v>1354241.9972933433</v>
      </c>
      <c r="P101" s="22">
        <f>_xlfn.XLOOKUP($B52,[1]Billing!$R$5:$R$40,[1]Billing!$AF$5:$AF$40)</f>
        <v>1353710</v>
      </c>
      <c r="Q101" s="37">
        <f t="shared" si="18"/>
        <v>531.99729334330186</v>
      </c>
      <c r="R101" s="21">
        <v>10.5</v>
      </c>
      <c r="S101" s="21">
        <v>13</v>
      </c>
    </row>
    <row r="102" spans="2:19" x14ac:dyDescent="0.3">
      <c r="B102" s="24" t="str">
        <v>Sufi Nawaz Sahab</v>
      </c>
      <c r="C102" s="22">
        <f>_xlfn.XLOOKUP($B53,[1]Billing!$R$5:$R$40,[1]Billing!$S$5:$S$40)</f>
        <v>1212967</v>
      </c>
      <c r="D102" s="22">
        <f>_xlfn.XLOOKUP($B53,[1]Billing!$R$5:$R$40,[1]Billing!$T$5:$T$40)</f>
        <v>1109150.5120702267</v>
      </c>
      <c r="E102" s="22">
        <f>_xlfn.XLOOKUP($B53,[1]Billing!$R$5:$R$40,[1]Billing!$U$5:$U$40)</f>
        <v>599330.65106071695</v>
      </c>
      <c r="F102" s="22">
        <f>_xlfn.XLOOKUP($B53,[1]Billing!$R$5:$R$40,[1]Billing!$V$5:$V$40)</f>
        <v>485823.88441843458</v>
      </c>
      <c r="G102" s="22">
        <f>_xlfn.XLOOKUP($B53,[1]Billing!$R$5:$R$40,[1]Billing!$W$5:$W$40)</f>
        <v>5408917.8595464528</v>
      </c>
      <c r="H102" s="22">
        <f>_xlfn.XLOOKUP($B53,[1]Billing!$R$5:$R$40,[1]Billing!$X$5:$X$40)</f>
        <v>5829886.6130212145</v>
      </c>
      <c r="I102" s="22">
        <f>_xlfn.XLOOKUP($B53,[1]Billing!$R$5:$R$40,[1]Billing!$Y$5:$Y$40)</f>
        <v>0</v>
      </c>
      <c r="J102" s="22">
        <f>_xlfn.XLOOKUP($B53,[1]Billing!$R$5:$R$40,[1]Billing!$Z$5:$Z$40)</f>
        <v>239959.76591075349</v>
      </c>
      <c r="K102" s="22">
        <f>_xlfn.XLOOKUP($B53,[1]Billing!$R$5:$R$40,[1]Billing!$AA$5:$AA$40)</f>
        <v>0</v>
      </c>
      <c r="L102" s="22">
        <f>_xlfn.XLOOKUP($B53,[1]Billing!$R$5:$R$40,[1]Billing!$AB$5:$AB$40)</f>
        <v>0</v>
      </c>
      <c r="M102" s="22">
        <f>_xlfn.XLOOKUP($B53,[1]Billing!$R$5:$R$40,[1]Billing!$AC$5:$AC$40)</f>
        <v>0</v>
      </c>
      <c r="N102" s="22">
        <f>_xlfn.XLOOKUP($B53,[1]Billing!$R$5:$R$40,[1]Billing!$AD$5:$AD$40)</f>
        <v>0</v>
      </c>
      <c r="O102" s="39">
        <f t="shared" si="17"/>
        <v>11478764.23847842</v>
      </c>
      <c r="P102" s="22">
        <f>_xlfn.XLOOKUP($B53,[1]Billing!$R$5:$R$40,[1]Billing!$AF$5:$AF$40)</f>
        <v>11478764</v>
      </c>
      <c r="Q102" s="37">
        <f t="shared" si="18"/>
        <v>0.23847842030227184</v>
      </c>
      <c r="R102" s="21">
        <v>10</v>
      </c>
      <c r="S102" s="21">
        <v>13</v>
      </c>
    </row>
    <row r="103" spans="2:19" x14ac:dyDescent="0.3">
      <c r="B103" s="24" t="str">
        <v>Sajad Khan</v>
      </c>
      <c r="C103" s="22">
        <f>_xlfn.XLOOKUP($B54,[1]Billing!$R$5:$R$40,[1]Billing!$S$5:$S$40)</f>
        <v>1135029</v>
      </c>
      <c r="D103" s="22">
        <f>_xlfn.XLOOKUP($B54,[1]Billing!$R$5:$R$40,[1]Billing!$T$5:$T$40)</f>
        <v>1037883.1382589615</v>
      </c>
      <c r="E103" s="22">
        <f>_xlfn.XLOOKUP($B54,[1]Billing!$R$5:$R$40,[1]Billing!$U$5:$U$40)</f>
        <v>1005535.8449158743</v>
      </c>
      <c r="F103" s="22">
        <f>_xlfn.XLOOKUP($B54,[1]Billing!$R$5:$R$40,[1]Billing!$V$5:$V$40)</f>
        <v>0</v>
      </c>
      <c r="G103" s="22">
        <f>_xlfn.XLOOKUP($B54,[1]Billing!$R$5:$R$40,[1]Billing!$W$5:$W$40)</f>
        <v>10055358.449158743</v>
      </c>
      <c r="H103" s="22">
        <f>_xlfn.XLOOKUP($B54,[1]Billing!$R$5:$R$40,[1]Billing!$X$5:$X$40)</f>
        <v>0</v>
      </c>
      <c r="I103" s="22">
        <f>_xlfn.XLOOKUP($B54,[1]Billing!$R$5:$R$40,[1]Billing!$Y$5:$Y$40)</f>
        <v>71359.729334308722</v>
      </c>
      <c r="J103" s="22">
        <f>_xlfn.XLOOKUP($B54,[1]Billing!$R$5:$R$40,[1]Billing!$Z$5:$Z$40)</f>
        <v>0</v>
      </c>
      <c r="K103" s="22">
        <f>_xlfn.XLOOKUP($B54,[1]Billing!$R$5:$R$40,[1]Billing!$AA$5:$AA$40)</f>
        <v>322297.00073152891</v>
      </c>
      <c r="L103" s="22">
        <f>_xlfn.XLOOKUP($B54,[1]Billing!$R$5:$R$40,[1]Billing!$AB$5:$AB$40)</f>
        <v>0</v>
      </c>
      <c r="M103" s="22">
        <f>_xlfn.XLOOKUP($B54,[1]Billing!$R$5:$R$40,[1]Billing!$AC$5:$AC$40)</f>
        <v>0</v>
      </c>
      <c r="N103" s="22">
        <f>_xlfn.XLOOKUP($B54,[1]Billing!$R$5:$R$40,[1]Billing!$AD$5:$AD$40)</f>
        <v>0</v>
      </c>
      <c r="O103" s="39">
        <f t="shared" si="17"/>
        <v>10449015.179224581</v>
      </c>
      <c r="P103" s="22">
        <f>_xlfn.XLOOKUP($B54,[1]Billing!$R$5:$R$40,[1]Billing!$AF$5:$AF$40)</f>
        <v>10284871</v>
      </c>
      <c r="Q103" s="37">
        <f t="shared" si="18"/>
        <v>164144.17922458053</v>
      </c>
      <c r="R103" s="21">
        <v>10</v>
      </c>
      <c r="S103" s="21">
        <v>13</v>
      </c>
    </row>
    <row r="104" spans="2:19" x14ac:dyDescent="0.3">
      <c r="B104" s="24" t="str">
        <v>Raaz Fabrics</v>
      </c>
      <c r="C104" s="22">
        <f>_xlfn.XLOOKUP($B55,[1]Billing!$R$5:$R$40,[1]Billing!$S$5:$S$40)</f>
        <v>203303</v>
      </c>
      <c r="D104" s="22">
        <f>_xlfn.XLOOKUP($B55,[1]Billing!$R$5:$R$40,[1]Billing!$T$5:$T$40)</f>
        <v>185902.52377468912</v>
      </c>
      <c r="E104" s="22">
        <f>_xlfn.XLOOKUP($B55,[1]Billing!$R$5:$R$40,[1]Billing!$U$5:$U$40)</f>
        <v>185902.52377468912</v>
      </c>
      <c r="F104" s="22">
        <f>_xlfn.XLOOKUP($B55,[1]Billing!$R$5:$R$40,[1]Billing!$V$5:$V$40)</f>
        <v>0</v>
      </c>
      <c r="G104" s="22">
        <f>_xlfn.XLOOKUP($B55,[1]Billing!$R$5:$R$40,[1]Billing!$W$5:$W$40)</f>
        <v>1859025.2377468913</v>
      </c>
      <c r="H104" s="22">
        <f>_xlfn.XLOOKUP($B55,[1]Billing!$R$5:$R$40,[1]Billing!$X$5:$X$40)</f>
        <v>0</v>
      </c>
      <c r="I104" s="22">
        <f>_xlfn.XLOOKUP($B55,[1]Billing!$R$5:$R$40,[1]Billing!$Y$5:$Y$40)</f>
        <v>0</v>
      </c>
      <c r="J104" s="22">
        <f>_xlfn.XLOOKUP($B55,[1]Billing!$R$5:$R$40,[1]Billing!$Z$5:$Z$40)</f>
        <v>0</v>
      </c>
      <c r="K104" s="22">
        <f>_xlfn.XLOOKUP($B55,[1]Billing!$R$5:$R$40,[1]Billing!$AA$5:$AA$40)</f>
        <v>0</v>
      </c>
      <c r="L104" s="22">
        <f>_xlfn.XLOOKUP($B55,[1]Billing!$R$5:$R$40,[1]Billing!$AB$5:$AB$40)</f>
        <v>0</v>
      </c>
      <c r="M104" s="22">
        <f>_xlfn.XLOOKUP($B55,[1]Billing!$R$5:$R$40,[1]Billing!$AC$5:$AC$40)</f>
        <v>0</v>
      </c>
      <c r="N104" s="22">
        <f>_xlfn.XLOOKUP($B55,[1]Billing!$R$5:$R$40,[1]Billing!$AD$5:$AD$40)</f>
        <v>0</v>
      </c>
      <c r="O104" s="39">
        <f t="shared" si="17"/>
        <v>1859025.2377468913</v>
      </c>
      <c r="P104" s="22">
        <f>_xlfn.XLOOKUP($B55,[1]Billing!$R$5:$R$40,[1]Billing!$AF$5:$AF$40)</f>
        <v>1726321</v>
      </c>
      <c r="Q104" s="37">
        <f t="shared" si="18"/>
        <v>132704.23774689133</v>
      </c>
      <c r="R104" s="21">
        <v>10</v>
      </c>
      <c r="S104" s="21">
        <v>13</v>
      </c>
    </row>
    <row r="105" spans="2:19" x14ac:dyDescent="0.3">
      <c r="B105" s="24" t="str">
        <v>Azam</v>
      </c>
      <c r="C105" s="22">
        <f>_xlfn.XLOOKUP($B56,[1]Billing!$R$5:$R$40,[1]Billing!$S$5:$S$40)</f>
        <v>749236</v>
      </c>
      <c r="D105" s="22">
        <f>_xlfn.XLOOKUP($B56,[1]Billing!$R$5:$R$40,[1]Billing!$T$5:$T$40)</f>
        <v>685109.72933430877</v>
      </c>
      <c r="E105" s="22">
        <f>_xlfn.XLOOKUP($B56,[1]Billing!$R$5:$R$40,[1]Billing!$U$5:$U$40)</f>
        <v>501118.32479882962</v>
      </c>
      <c r="F105" s="22">
        <f>_xlfn.XLOOKUP($B56,[1]Billing!$R$5:$R$40,[1]Billing!$V$5:$V$40)</f>
        <v>183991.40453547917</v>
      </c>
      <c r="G105" s="22">
        <f>_xlfn.XLOOKUP($B56,[1]Billing!$R$5:$R$40,[1]Billing!$W$5:$W$40)</f>
        <v>5011183.2479882967</v>
      </c>
      <c r="H105" s="22">
        <f>_xlfn.XLOOKUP($B56,[1]Billing!$R$5:$R$40,[1]Billing!$X$5:$X$40)</f>
        <v>2391888.2589612291</v>
      </c>
      <c r="I105" s="22">
        <f>_xlfn.XLOOKUP($B56,[1]Billing!$R$5:$R$40,[1]Billing!$Y$5:$Y$40)</f>
        <v>0</v>
      </c>
      <c r="J105" s="22">
        <f>_xlfn.XLOOKUP($B56,[1]Billing!$R$5:$R$40,[1]Billing!$Z$5:$Z$40)</f>
        <v>0</v>
      </c>
      <c r="K105" s="22">
        <f>_xlfn.XLOOKUP($B56,[1]Billing!$R$5:$R$40,[1]Billing!$AA$5:$AA$40)</f>
        <v>0</v>
      </c>
      <c r="L105" s="22">
        <f>_xlfn.XLOOKUP($B56,[1]Billing!$R$5:$R$40,[1]Billing!$AB$5:$AB$40)</f>
        <v>0</v>
      </c>
      <c r="M105" s="22">
        <f>_xlfn.XLOOKUP($B56,[1]Billing!$R$5:$R$40,[1]Billing!$AC$5:$AC$40)</f>
        <v>0</v>
      </c>
      <c r="N105" s="22">
        <f>_xlfn.XLOOKUP($B56,[1]Billing!$R$5:$R$40,[1]Billing!$AD$5:$AD$40)</f>
        <v>0</v>
      </c>
      <c r="O105" s="39">
        <f t="shared" si="17"/>
        <v>7403071.5069495253</v>
      </c>
      <c r="P105" s="22">
        <f>_xlfn.XLOOKUP($B56,[1]Billing!$R$5:$R$40,[1]Billing!$AF$5:$AF$40)</f>
        <v>7402540</v>
      </c>
      <c r="Q105" s="37">
        <f t="shared" si="18"/>
        <v>531.50694952532649</v>
      </c>
      <c r="R105" s="21">
        <v>10</v>
      </c>
      <c r="S105" s="21">
        <v>13</v>
      </c>
    </row>
    <row r="106" spans="2:19" x14ac:dyDescent="0.3">
      <c r="B106" s="24" t="str">
        <v>Ubaidullah</v>
      </c>
      <c r="C106" s="22">
        <f>_xlfn.XLOOKUP($B57,[1]Billing!$R$5:$R$40,[1]Billing!$S$5:$S$40)</f>
        <v>173534</v>
      </c>
      <c r="D106" s="22">
        <f>_xlfn.XLOOKUP($B57,[1]Billing!$R$5:$R$40,[1]Billing!$T$5:$T$40)</f>
        <v>158681.41916605708</v>
      </c>
      <c r="E106" s="22">
        <f>_xlfn.XLOOKUP($B57,[1]Billing!$R$5:$R$40,[1]Billing!$U$5:$U$40)</f>
        <v>46132.955376737387</v>
      </c>
      <c r="F106" s="22">
        <f>_xlfn.XLOOKUP($B57,[1]Billing!$R$5:$R$40,[1]Billing!$V$5:$V$40)</f>
        <v>112548.46378931969</v>
      </c>
      <c r="G106" s="22">
        <f>_xlfn.XLOOKUP($B57,[1]Billing!$R$5:$R$40,[1]Billing!$W$5:$W$40)</f>
        <v>461329.5537673739</v>
      </c>
      <c r="H106" s="22">
        <f>_xlfn.XLOOKUP($B57,[1]Billing!$R$5:$R$40,[1]Billing!$X$5:$X$40)</f>
        <v>1448134.6013167519</v>
      </c>
      <c r="I106" s="22">
        <f>_xlfn.XLOOKUP($B57,[1]Billing!$R$5:$R$40,[1]Billing!$Y$5:$Y$40)</f>
        <v>0</v>
      </c>
      <c r="J106" s="22">
        <f>_xlfn.XLOOKUP($B57,[1]Billing!$R$5:$R$40,[1]Billing!$Z$5:$Z$40)</f>
        <v>0</v>
      </c>
      <c r="K106" s="22">
        <f>_xlfn.XLOOKUP($B57,[1]Billing!$R$5:$R$40,[1]Billing!$AA$5:$AA$40)</f>
        <v>0</v>
      </c>
      <c r="L106" s="22">
        <f>_xlfn.XLOOKUP($B57,[1]Billing!$R$5:$R$40,[1]Billing!$AB$5:$AB$40)</f>
        <v>0</v>
      </c>
      <c r="M106" s="22">
        <f>_xlfn.XLOOKUP($B57,[1]Billing!$R$5:$R$40,[1]Billing!$AC$5:$AC$40)</f>
        <v>0</v>
      </c>
      <c r="N106" s="22">
        <f>_xlfn.XLOOKUP($B57,[1]Billing!$R$5:$R$40,[1]Billing!$AD$5:$AD$40)</f>
        <v>0</v>
      </c>
      <c r="O106" s="39">
        <f t="shared" si="17"/>
        <v>1909464.1550841257</v>
      </c>
      <c r="P106" s="22">
        <f>_xlfn.XLOOKUP($B57,[1]Billing!$R$5:$R$40,[1]Billing!$AF$5:$AF$40)</f>
        <v>1908190</v>
      </c>
      <c r="Q106" s="37">
        <f t="shared" si="18"/>
        <v>1274.1550841256976</v>
      </c>
      <c r="R106" s="21">
        <v>10</v>
      </c>
      <c r="S106" s="21">
        <v>13</v>
      </c>
    </row>
    <row r="107" spans="2:19" x14ac:dyDescent="0.3">
      <c r="B107" s="24" t="str">
        <v>Ashraf Zia</v>
      </c>
      <c r="C107" s="22">
        <f>_xlfn.XLOOKUP($B58,[1]Billing!$R$5:$R$40,[1]Billing!$S$5:$S$40)</f>
        <v>23305</v>
      </c>
      <c r="D107" s="22">
        <f>_xlfn.XLOOKUP($B58,[1]Billing!$R$5:$R$40,[1]Billing!$T$5:$T$40)</f>
        <v>21310.35113386979</v>
      </c>
      <c r="E107" s="22">
        <f>_xlfn.XLOOKUP($B58,[1]Billing!$R$5:$R$40,[1]Billing!$U$5:$U$40)</f>
        <v>21310.35113386979</v>
      </c>
      <c r="F107" s="22">
        <f>_xlfn.XLOOKUP($B58,[1]Billing!$R$5:$R$40,[1]Billing!$V$5:$V$40)</f>
        <v>0</v>
      </c>
      <c r="G107" s="22">
        <f>_xlfn.XLOOKUP($B58,[1]Billing!$R$5:$R$40,[1]Billing!$W$5:$W$40)</f>
        <v>255724.21360643749</v>
      </c>
      <c r="H107" s="22">
        <f>_xlfn.XLOOKUP($B58,[1]Billing!$R$5:$R$40,[1]Billing!$X$5:$X$40)</f>
        <v>0</v>
      </c>
      <c r="I107" s="22">
        <f>_xlfn.XLOOKUP($B58,[1]Billing!$R$5:$R$40,[1]Billing!$Y$5:$Y$40)</f>
        <v>0</v>
      </c>
      <c r="J107" s="22">
        <f>_xlfn.XLOOKUP($B58,[1]Billing!$R$5:$R$40,[1]Billing!$Z$5:$Z$40)</f>
        <v>0</v>
      </c>
      <c r="K107" s="22">
        <f>_xlfn.XLOOKUP($B58,[1]Billing!$R$5:$R$40,[1]Billing!$AA$5:$AA$40)</f>
        <v>0</v>
      </c>
      <c r="L107" s="22">
        <f>_xlfn.XLOOKUP($B58,[1]Billing!$R$5:$R$40,[1]Billing!$AB$5:$AB$40)</f>
        <v>0</v>
      </c>
      <c r="M107" s="22">
        <f>_xlfn.XLOOKUP($B58,[1]Billing!$R$5:$R$40,[1]Billing!$AC$5:$AC$40)</f>
        <v>0</v>
      </c>
      <c r="N107" s="22">
        <f>_xlfn.XLOOKUP($B58,[1]Billing!$R$5:$R$40,[1]Billing!$AD$5:$AD$40)</f>
        <v>0</v>
      </c>
      <c r="O107" s="39">
        <f t="shared" si="17"/>
        <v>255724.21360643749</v>
      </c>
      <c r="P107" s="22">
        <f>_xlfn.XLOOKUP($B58,[1]Billing!$R$5:$R$40,[1]Billing!$AF$5:$AF$40)</f>
        <v>130000</v>
      </c>
      <c r="Q107" s="37">
        <f t="shared" si="18"/>
        <v>125724.21360643749</v>
      </c>
      <c r="R107" s="21">
        <v>12</v>
      </c>
      <c r="S107" s="21">
        <v>13</v>
      </c>
    </row>
    <row r="108" spans="2:19" x14ac:dyDescent="0.3">
      <c r="B108" s="24" t="str">
        <v>Hafiz Qureshi</v>
      </c>
      <c r="C108" s="22">
        <f>_xlfn.XLOOKUP($B59,[1]Billing!$R$5:$R$40,[1]Billing!$S$5:$S$40)</f>
        <v>637981</v>
      </c>
      <c r="D108" s="22">
        <f>_xlfn.XLOOKUP($B59,[1]Billing!$R$5:$R$40,[1]Billing!$T$5:$T$40)</f>
        <v>583376.92026335048</v>
      </c>
      <c r="E108" s="22">
        <f>_xlfn.XLOOKUP($B59,[1]Billing!$R$5:$R$40,[1]Billing!$U$5:$U$40)</f>
        <v>583376.92026335048</v>
      </c>
      <c r="F108" s="22">
        <f>_xlfn.XLOOKUP($B59,[1]Billing!$R$5:$R$40,[1]Billing!$V$5:$V$40)</f>
        <v>0</v>
      </c>
      <c r="G108" s="22">
        <f>_xlfn.XLOOKUP($B59,[1]Billing!$R$5:$R$40,[1]Billing!$W$5:$W$40)</f>
        <v>5833769.2026335048</v>
      </c>
      <c r="H108" s="22">
        <f>_xlfn.XLOOKUP($B59,[1]Billing!$R$5:$R$40,[1]Billing!$X$5:$X$40)</f>
        <v>0</v>
      </c>
      <c r="I108" s="22">
        <f>_xlfn.XLOOKUP($B59,[1]Billing!$R$5:$R$40,[1]Billing!$Y$5:$Y$40)</f>
        <v>0</v>
      </c>
      <c r="J108" s="22">
        <f>_xlfn.XLOOKUP($B59,[1]Billing!$R$5:$R$40,[1]Billing!$Z$5:$Z$40)</f>
        <v>0</v>
      </c>
      <c r="K108" s="22">
        <f>_xlfn.XLOOKUP($B59,[1]Billing!$R$5:$R$40,[1]Billing!$AA$5:$AA$40)</f>
        <v>0</v>
      </c>
      <c r="L108" s="22">
        <f>_xlfn.XLOOKUP($B59,[1]Billing!$R$5:$R$40,[1]Billing!$AB$5:$AB$40)</f>
        <v>0</v>
      </c>
      <c r="M108" s="22">
        <f>_xlfn.XLOOKUP($B59,[1]Billing!$R$5:$R$40,[1]Billing!$AC$5:$AC$40)</f>
        <v>0</v>
      </c>
      <c r="N108" s="22">
        <f>_xlfn.XLOOKUP($B59,[1]Billing!$R$5:$R$40,[1]Billing!$AD$5:$AD$40)</f>
        <v>0</v>
      </c>
      <c r="O108" s="39">
        <f t="shared" si="17"/>
        <v>5833769.2026335048</v>
      </c>
      <c r="P108" s="22">
        <f>_xlfn.XLOOKUP($B59,[1]Billing!$R$5:$R$40,[1]Billing!$AF$5:$AF$40)</f>
        <v>5539259</v>
      </c>
      <c r="Q108" s="37">
        <f t="shared" si="18"/>
        <v>294510.20263350476</v>
      </c>
      <c r="R108" s="21">
        <v>10</v>
      </c>
      <c r="S108" s="21">
        <v>13</v>
      </c>
    </row>
    <row r="109" spans="2:19" x14ac:dyDescent="0.3">
      <c r="B109" s="24" t="str">
        <v>Badshah Fabrics</v>
      </c>
      <c r="C109" s="22">
        <f>_xlfn.XLOOKUP($B60,[1]Billing!$R$5:$R$40,[1]Billing!$S$5:$S$40)</f>
        <v>681314</v>
      </c>
      <c r="D109" s="22">
        <f>_xlfn.XLOOKUP($B60,[1]Billing!$R$5:$R$40,[1]Billing!$T$5:$T$40)</f>
        <v>623001.09729334316</v>
      </c>
      <c r="E109" s="22">
        <f>_xlfn.XLOOKUP($B60,[1]Billing!$R$5:$R$40,[1]Billing!$U$5:$U$40)</f>
        <v>481526.15215801029</v>
      </c>
      <c r="F109" s="22">
        <f>_xlfn.XLOOKUP($B60,[1]Billing!$R$5:$R$40,[1]Billing!$V$5:$V$40)</f>
        <v>141474.94513533285</v>
      </c>
      <c r="G109" s="22">
        <f>_xlfn.XLOOKUP($B60,[1]Billing!$R$5:$R$40,[1]Billing!$W$5:$W$40)</f>
        <v>4861679.7732260432</v>
      </c>
      <c r="H109" s="22">
        <f>_xlfn.XLOOKUP($B60,[1]Billing!$R$5:$R$40,[1]Billing!$X$5:$X$40)</f>
        <v>1776019.5683979518</v>
      </c>
      <c r="I109" s="22">
        <f>_xlfn.XLOOKUP($B60,[1]Billing!$R$5:$R$40,[1]Billing!$Y$5:$Y$40)</f>
        <v>0</v>
      </c>
      <c r="J109" s="22">
        <f>_xlfn.XLOOKUP($B60,[1]Billing!$R$5:$R$40,[1]Billing!$Z$5:$Z$40)</f>
        <v>0</v>
      </c>
      <c r="K109" s="22">
        <f>_xlfn.XLOOKUP($B60,[1]Billing!$R$5:$R$40,[1]Billing!$AA$5:$AA$40)</f>
        <v>0</v>
      </c>
      <c r="L109" s="22">
        <f>_xlfn.XLOOKUP($B60,[1]Billing!$R$5:$R$40,[1]Billing!$AB$5:$AB$40)</f>
        <v>0</v>
      </c>
      <c r="M109" s="22">
        <f>_xlfn.XLOOKUP($B60,[1]Billing!$R$5:$R$40,[1]Billing!$AC$5:$AC$40)</f>
        <v>0</v>
      </c>
      <c r="N109" s="22">
        <f>_xlfn.XLOOKUP($B60,[1]Billing!$R$5:$R$40,[1]Billing!$AD$5:$AD$40)</f>
        <v>0</v>
      </c>
      <c r="O109" s="39">
        <f t="shared" si="17"/>
        <v>6637699.3416239955</v>
      </c>
      <c r="P109" s="22">
        <f>_xlfn.XLOOKUP($B60,[1]Billing!$R$5:$R$40,[1]Billing!$AF$5:$AF$40)</f>
        <v>6545761</v>
      </c>
      <c r="Q109" s="37">
        <f t="shared" si="18"/>
        <v>91938.341623995453</v>
      </c>
      <c r="R109" s="21">
        <v>10</v>
      </c>
      <c r="S109" s="21">
        <v>13</v>
      </c>
    </row>
    <row r="110" spans="2:19" x14ac:dyDescent="0.3">
      <c r="B110" s="24" t="str">
        <v>Gauhar Kashif</v>
      </c>
      <c r="C110" s="22">
        <f>_xlfn.XLOOKUP($B61,[1]Billing!$R$5:$R$40,[1]Billing!$S$5:$S$40)</f>
        <v>132768</v>
      </c>
      <c r="D110" s="22">
        <f>_xlfn.XLOOKUP($B61,[1]Billing!$R$5:$R$40,[1]Billing!$T$5:$T$40)</f>
        <v>121404.53547915144</v>
      </c>
      <c r="E110" s="22">
        <f>_xlfn.XLOOKUP($B61,[1]Billing!$R$5:$R$40,[1]Billing!$U$5:$U$40)</f>
        <v>121404.53547915144</v>
      </c>
      <c r="F110" s="22">
        <f>_xlfn.XLOOKUP($B61,[1]Billing!$R$5:$R$40,[1]Billing!$V$5:$V$40)</f>
        <v>0</v>
      </c>
      <c r="G110" s="22">
        <f>_xlfn.XLOOKUP($B61,[1]Billing!$R$5:$R$40,[1]Billing!$W$5:$W$40)</f>
        <v>1214045.3547915143</v>
      </c>
      <c r="H110" s="22">
        <f>_xlfn.XLOOKUP($B61,[1]Billing!$R$5:$R$40,[1]Billing!$X$5:$X$40)</f>
        <v>0</v>
      </c>
      <c r="I110" s="22">
        <f>_xlfn.XLOOKUP($B61,[1]Billing!$R$5:$R$40,[1]Billing!$Y$5:$Y$40)</f>
        <v>0</v>
      </c>
      <c r="J110" s="22">
        <f>_xlfn.XLOOKUP($B61,[1]Billing!$R$5:$R$40,[1]Billing!$Z$5:$Z$40)</f>
        <v>0</v>
      </c>
      <c r="K110" s="22">
        <f>_xlfn.XLOOKUP($B61,[1]Billing!$R$5:$R$40,[1]Billing!$AA$5:$AA$40)</f>
        <v>0</v>
      </c>
      <c r="L110" s="22">
        <f>_xlfn.XLOOKUP($B61,[1]Billing!$R$5:$R$40,[1]Billing!$AB$5:$AB$40)</f>
        <v>0</v>
      </c>
      <c r="M110" s="22">
        <f>_xlfn.XLOOKUP($B61,[1]Billing!$R$5:$R$40,[1]Billing!$AC$5:$AC$40)</f>
        <v>0</v>
      </c>
      <c r="N110" s="22">
        <f>_xlfn.XLOOKUP($B61,[1]Billing!$R$5:$R$40,[1]Billing!$AD$5:$AD$40)</f>
        <v>0</v>
      </c>
      <c r="O110" s="39">
        <f t="shared" si="17"/>
        <v>1214045.3547915143</v>
      </c>
      <c r="P110" s="22">
        <f>_xlfn.XLOOKUP($B61,[1]Billing!$R$5:$R$40,[1]Billing!$AF$5:$AF$40)</f>
        <v>1214045</v>
      </c>
      <c r="Q110" s="37">
        <f t="shared" si="18"/>
        <v>0.35479151434265077</v>
      </c>
      <c r="R110" s="21">
        <v>10</v>
      </c>
      <c r="S110" s="21">
        <v>13</v>
      </c>
    </row>
    <row r="111" spans="2:19" x14ac:dyDescent="0.3">
      <c r="B111" s="24" t="str">
        <v>Amjad 7up</v>
      </c>
      <c r="C111" s="22">
        <f>_xlfn.XLOOKUP($B62,[1]Billing!$R$5:$R$40,[1]Billing!$S$5:$S$40)</f>
        <v>52914</v>
      </c>
      <c r="D111" s="22">
        <f>_xlfn.XLOOKUP($B62,[1]Billing!$R$5:$R$40,[1]Billing!$T$5:$T$40)</f>
        <v>48385.149963423559</v>
      </c>
      <c r="E111" s="22">
        <f>_xlfn.XLOOKUP($B62,[1]Billing!$R$5:$R$40,[1]Billing!$U$5:$U$40)</f>
        <v>48385.149963423559</v>
      </c>
      <c r="F111" s="22">
        <f>_xlfn.XLOOKUP($B62,[1]Billing!$R$5:$R$40,[1]Billing!$V$5:$V$40)</f>
        <v>0</v>
      </c>
      <c r="G111" s="22">
        <f>_xlfn.XLOOKUP($B62,[1]Billing!$R$5:$R$40,[1]Billing!$W$5:$W$40)</f>
        <v>483851.49963423557</v>
      </c>
      <c r="H111" s="22">
        <f>_xlfn.XLOOKUP($B62,[1]Billing!$R$5:$R$40,[1]Billing!$X$5:$X$40)</f>
        <v>0</v>
      </c>
      <c r="I111" s="22">
        <f>_xlfn.XLOOKUP($B62,[1]Billing!$R$5:$R$40,[1]Billing!$Y$5:$Y$40)</f>
        <v>0</v>
      </c>
      <c r="J111" s="22">
        <f>_xlfn.XLOOKUP($B62,[1]Billing!$R$5:$R$40,[1]Billing!$Z$5:$Z$40)</f>
        <v>0</v>
      </c>
      <c r="K111" s="22">
        <f>_xlfn.XLOOKUP($B62,[1]Billing!$R$5:$R$40,[1]Billing!$AA$5:$AA$40)</f>
        <v>0</v>
      </c>
      <c r="L111" s="22">
        <f>_xlfn.XLOOKUP($B62,[1]Billing!$R$5:$R$40,[1]Billing!$AB$5:$AB$40)</f>
        <v>0</v>
      </c>
      <c r="M111" s="22">
        <f>_xlfn.XLOOKUP($B62,[1]Billing!$R$5:$R$40,[1]Billing!$AC$5:$AC$40)</f>
        <v>0</v>
      </c>
      <c r="N111" s="22">
        <f>_xlfn.XLOOKUP($B62,[1]Billing!$R$5:$R$40,[1]Billing!$AD$5:$AD$40)</f>
        <v>0</v>
      </c>
      <c r="O111" s="39">
        <f t="shared" si="17"/>
        <v>483851.49963423557</v>
      </c>
      <c r="P111" s="22">
        <f>_xlfn.XLOOKUP($B62,[1]Billing!$R$5:$R$40,[1]Billing!$AF$5:$AF$40)</f>
        <v>480000</v>
      </c>
      <c r="Q111" s="37">
        <f t="shared" si="18"/>
        <v>3851.4996342355735</v>
      </c>
      <c r="R111" s="21">
        <v>10</v>
      </c>
      <c r="S111" s="21">
        <v>13</v>
      </c>
    </row>
    <row r="112" spans="2:19" x14ac:dyDescent="0.3">
      <c r="B112" s="24" t="str">
        <v>Hazrat Khan</v>
      </c>
      <c r="C112" s="22">
        <f>_xlfn.XLOOKUP($B63,[1]Billing!$R$5:$R$40,[1]Billing!$S$5:$S$40)</f>
        <v>9750</v>
      </c>
      <c r="D112" s="22">
        <f>_xlfn.XLOOKUP($B63,[1]Billing!$R$5:$R$40,[1]Billing!$T$5:$T$40)</f>
        <v>8915.5084125822978</v>
      </c>
      <c r="E112" s="22">
        <f>_xlfn.XLOOKUP($B63,[1]Billing!$R$5:$R$40,[1]Billing!$U$5:$U$40)</f>
        <v>8915.5084125822978</v>
      </c>
      <c r="F112" s="22">
        <f>_xlfn.XLOOKUP($B63,[1]Billing!$R$5:$R$40,[1]Billing!$V$5:$V$40)</f>
        <v>0</v>
      </c>
      <c r="G112" s="22">
        <f>_xlfn.XLOOKUP($B63,[1]Billing!$R$5:$R$40,[1]Billing!$W$5:$W$40)</f>
        <v>89155.084125822978</v>
      </c>
      <c r="H112" s="22">
        <f>_xlfn.XLOOKUP($B63,[1]Billing!$R$5:$R$40,[1]Billing!$X$5:$X$40)</f>
        <v>0</v>
      </c>
      <c r="I112" s="22">
        <f>_xlfn.XLOOKUP($B63,[1]Billing!$R$5:$R$40,[1]Billing!$Y$5:$Y$40)</f>
        <v>0</v>
      </c>
      <c r="J112" s="22">
        <f>_xlfn.XLOOKUP($B63,[1]Billing!$R$5:$R$40,[1]Billing!$Z$5:$Z$40)</f>
        <v>0</v>
      </c>
      <c r="K112" s="22">
        <f>_xlfn.XLOOKUP($B63,[1]Billing!$R$5:$R$40,[1]Billing!$AA$5:$AA$40)</f>
        <v>0</v>
      </c>
      <c r="L112" s="22">
        <f>_xlfn.XLOOKUP($B63,[1]Billing!$R$5:$R$40,[1]Billing!$AB$5:$AB$40)</f>
        <v>0</v>
      </c>
      <c r="M112" s="22">
        <f>_xlfn.XLOOKUP($B63,[1]Billing!$R$5:$R$40,[1]Billing!$AC$5:$AC$40)</f>
        <v>0</v>
      </c>
      <c r="N112" s="22">
        <f>_xlfn.XLOOKUP($B63,[1]Billing!$R$5:$R$40,[1]Billing!$AD$5:$AD$40)</f>
        <v>0</v>
      </c>
      <c r="O112" s="39">
        <f t="shared" si="17"/>
        <v>89155.084125822978</v>
      </c>
      <c r="P112" s="22">
        <f>_xlfn.XLOOKUP($B63,[1]Billing!$R$5:$R$40,[1]Billing!$AF$5:$AF$40)</f>
        <v>95000</v>
      </c>
      <c r="Q112" s="37">
        <f t="shared" si="18"/>
        <v>-5844.9158741770225</v>
      </c>
      <c r="R112" s="21">
        <v>10</v>
      </c>
      <c r="S112" s="21">
        <v>13</v>
      </c>
    </row>
    <row r="113" spans="2:19" x14ac:dyDescent="0.3">
      <c r="B113" s="24" t="str">
        <v>Haseeb Shamsi</v>
      </c>
      <c r="C113" s="22">
        <f>_xlfn.XLOOKUP($B64,[1]Billing!$R$5:$R$40,[1]Billing!$S$5:$S$40)</f>
        <v>61975</v>
      </c>
      <c r="D113" s="22">
        <f>_xlfn.XLOOKUP($B64,[1]Billing!$R$5:$R$40,[1]Billing!$T$5:$T$40)</f>
        <v>56670.629114850046</v>
      </c>
      <c r="E113" s="22">
        <f>_xlfn.XLOOKUP($B64,[1]Billing!$R$5:$R$40,[1]Billing!$U$5:$U$40)</f>
        <v>47437.820043891741</v>
      </c>
      <c r="F113" s="22">
        <f>_xlfn.XLOOKUP($B64,[1]Billing!$R$5:$R$40,[1]Billing!$V$5:$V$40)</f>
        <v>9232.809070958303</v>
      </c>
      <c r="G113" s="22">
        <f>_xlfn.XLOOKUP($B64,[1]Billing!$R$5:$R$40,[1]Billing!$W$5:$W$40)</f>
        <v>474378.20043891744</v>
      </c>
      <c r="H113" s="22">
        <f>_xlfn.XLOOKUP($B64,[1]Billing!$R$5:$R$40,[1]Billing!$X$5:$X$40)</f>
        <v>120026.51792245793</v>
      </c>
      <c r="I113" s="22">
        <f>_xlfn.XLOOKUP($B64,[1]Billing!$R$5:$R$40,[1]Billing!$Y$5:$Y$40)</f>
        <v>0</v>
      </c>
      <c r="J113" s="22">
        <f>_xlfn.XLOOKUP($B64,[1]Billing!$R$5:$R$40,[1]Billing!$Z$5:$Z$40)</f>
        <v>0</v>
      </c>
      <c r="K113" s="22">
        <f>_xlfn.XLOOKUP($B64,[1]Billing!$R$5:$R$40,[1]Billing!$AA$5:$AA$40)</f>
        <v>0</v>
      </c>
      <c r="L113" s="22">
        <f>_xlfn.XLOOKUP($B64,[1]Billing!$R$5:$R$40,[1]Billing!$AB$5:$AB$40)</f>
        <v>0</v>
      </c>
      <c r="M113" s="22">
        <f>_xlfn.XLOOKUP($B64,[1]Billing!$R$5:$R$40,[1]Billing!$AC$5:$AC$40)</f>
        <v>0</v>
      </c>
      <c r="N113" s="22">
        <f>_xlfn.XLOOKUP($B64,[1]Billing!$R$5:$R$40,[1]Billing!$AD$5:$AD$40)</f>
        <v>0</v>
      </c>
      <c r="O113" s="39">
        <f t="shared" si="17"/>
        <v>594404.71836137539</v>
      </c>
      <c r="P113" s="22">
        <f>_xlfn.XLOOKUP($B64,[1]Billing!$R$5:$R$40,[1]Billing!$AF$5:$AF$40)</f>
        <v>594405</v>
      </c>
      <c r="Q113" s="37">
        <f t="shared" si="18"/>
        <v>-0.28163862461224198</v>
      </c>
      <c r="R113" s="21">
        <v>10</v>
      </c>
      <c r="S113" s="21">
        <v>13</v>
      </c>
    </row>
    <row r="114" spans="2:19" x14ac:dyDescent="0.3">
      <c r="B114" s="80" t="str">
        <v>Faizan</v>
      </c>
      <c r="C114" s="22">
        <f>_xlfn.XLOOKUP($B65,[1]Billing!$R$5:$R$40,[1]Billing!$S$5:$S$40)</f>
        <v>565150</v>
      </c>
      <c r="D114" s="22">
        <f>_xlfn.XLOOKUP($B65,[1]Billing!$R$5:$R$40,[1]Billing!$T$5:$T$40)</f>
        <v>516779.44403803954</v>
      </c>
      <c r="E114" s="22">
        <f>_xlfn.XLOOKUP($B65,[1]Billing!$R$5:$R$40,[1]Billing!$U$5:$U$40)</f>
        <v>0</v>
      </c>
      <c r="F114" s="22">
        <f>_xlfn.XLOOKUP($B65,[1]Billing!$R$5:$R$40,[1]Billing!$V$5:$V$40)</f>
        <v>513809.43672275054</v>
      </c>
      <c r="G114" s="22">
        <f>_xlfn.XLOOKUP($B65,[1]Billing!$R$5:$R$40,[1]Billing!$W$5:$W$40)</f>
        <v>30000</v>
      </c>
      <c r="H114" s="22">
        <f>_xlfn.XLOOKUP($B65,[1]Billing!$R$5:$R$40,[1]Billing!$X$5:$X$40)</f>
        <v>6679522.6773957582</v>
      </c>
      <c r="I114" s="22">
        <f>_xlfn.XLOOKUP($B65,[1]Billing!$R$5:$R$40,[1]Billing!$Y$5:$Y$40)</f>
        <v>44550.109729334312</v>
      </c>
      <c r="J114" s="22">
        <f>_xlfn.XLOOKUP($B65,[1]Billing!$R$5:$R$40,[1]Billing!$Z$5:$Z$40)</f>
        <v>0</v>
      </c>
      <c r="K114" s="22">
        <f>_xlfn.XLOOKUP($B65,[1]Billing!$R$5:$R$40,[1]Billing!$AA$5:$AA$40)</f>
        <v>0</v>
      </c>
      <c r="L114" s="22">
        <f>_xlfn.XLOOKUP($B65,[1]Billing!$R$5:$R$40,[1]Billing!$AB$5:$AB$40)</f>
        <v>0</v>
      </c>
      <c r="M114" s="22">
        <f>_xlfn.XLOOKUP($B65,[1]Billing!$R$5:$R$40,[1]Billing!$AC$5:$AC$40)</f>
        <v>0</v>
      </c>
      <c r="N114" s="22">
        <f>_xlfn.XLOOKUP($B65,[1]Billing!$R$5:$R$40,[1]Billing!$AD$5:$AD$40)</f>
        <v>0</v>
      </c>
      <c r="O114" s="39">
        <f t="shared" si="17"/>
        <v>6754072.7871250929</v>
      </c>
      <c r="P114" s="22">
        <f>_xlfn.XLOOKUP($B65,[1]Billing!$R$5:$R$40,[1]Billing!$AF$5:$AF$40)</f>
        <v>6728187</v>
      </c>
      <c r="Q114" s="37">
        <f t="shared" si="18"/>
        <v>25885.787125092931</v>
      </c>
      <c r="R114" s="21">
        <v>10</v>
      </c>
      <c r="S114" s="21">
        <v>13</v>
      </c>
    </row>
    <row r="115" spans="2:19" x14ac:dyDescent="0.3">
      <c r="B115" s="80" t="str">
        <v>Shafique Ansari</v>
      </c>
      <c r="C115" s="22">
        <f>_xlfn.XLOOKUP($B66,[1]Billing!$R$5:$R$40,[1]Billing!$S$5:$S$40)</f>
        <v>82290</v>
      </c>
      <c r="D115" s="22">
        <f>_xlfn.XLOOKUP($B66,[1]Billing!$R$5:$R$40,[1]Billing!$T$5:$T$40)</f>
        <v>75246.891002194592</v>
      </c>
      <c r="E115" s="22">
        <f>_xlfn.XLOOKUP($B66,[1]Billing!$R$5:$R$40,[1]Billing!$U$5:$U$40)</f>
        <v>64300.475493782011</v>
      </c>
      <c r="F115" s="22">
        <f>_xlfn.XLOOKUP($B66,[1]Billing!$R$5:$R$40,[1]Billing!$V$5:$V$40)</f>
        <v>7565.8376005852242</v>
      </c>
      <c r="G115" s="22">
        <f>_xlfn.XLOOKUP($B66,[1]Billing!$R$5:$R$40,[1]Billing!$W$5:$W$40)</f>
        <v>643004.75493782014</v>
      </c>
      <c r="H115" s="22">
        <f>_xlfn.XLOOKUP($B66,[1]Billing!$R$5:$R$40,[1]Billing!$X$5:$X$40)</f>
        <v>98355.888807607917</v>
      </c>
      <c r="I115" s="22">
        <f>_xlfn.XLOOKUP($B66,[1]Billing!$R$5:$R$40,[1]Billing!$Y$5:$Y$40)</f>
        <v>0</v>
      </c>
      <c r="J115" s="22">
        <f>_xlfn.XLOOKUP($B66,[1]Billing!$R$5:$R$40,[1]Billing!$Z$5:$Z$40)</f>
        <v>94656.181419166067</v>
      </c>
      <c r="K115" s="22">
        <f>_xlfn.XLOOKUP($B66,[1]Billing!$R$5:$R$40,[1]Billing!$AA$5:$AA$40)</f>
        <v>0</v>
      </c>
      <c r="L115" s="22">
        <f>_xlfn.XLOOKUP($B66,[1]Billing!$R$5:$R$40,[1]Billing!$AB$5:$AB$40)</f>
        <v>0</v>
      </c>
      <c r="M115" s="22">
        <f>_xlfn.XLOOKUP($B66,[1]Billing!$R$5:$R$40,[1]Billing!$AC$5:$AC$40)</f>
        <v>0</v>
      </c>
      <c r="N115" s="22">
        <f>_xlfn.XLOOKUP($B66,[1]Billing!$R$5:$R$40,[1]Billing!$AD$5:$AD$40)</f>
        <v>0</v>
      </c>
      <c r="O115" s="39">
        <f t="shared" si="17"/>
        <v>836016.82516459411</v>
      </c>
      <c r="P115" s="22">
        <f>_xlfn.XLOOKUP($B66,[1]Billing!$R$5:$R$40,[1]Billing!$AF$5:$AF$40)</f>
        <v>835660</v>
      </c>
      <c r="Q115" s="37">
        <f t="shared" si="18"/>
        <v>356.82516459410544</v>
      </c>
      <c r="R115" s="21">
        <v>10</v>
      </c>
      <c r="S115" s="21">
        <v>13</v>
      </c>
    </row>
    <row r="116" spans="2:19" x14ac:dyDescent="0.3">
      <c r="B116" s="80" t="str">
        <v>Amjad sohail</v>
      </c>
      <c r="C116" s="22">
        <f>_xlfn.XLOOKUP($B67,[1]Billing!$R$5:$R$40,[1]Billing!$S$5:$S$40)</f>
        <v>501155</v>
      </c>
      <c r="D116" s="22">
        <f>_xlfn.XLOOKUP($B67,[1]Billing!$R$5:$R$40,[1]Billing!$T$5:$T$40)</f>
        <v>458261.70446232625</v>
      </c>
      <c r="E116" s="22">
        <f>_xlfn.XLOOKUP($B67,[1]Billing!$R$5:$R$40,[1]Billing!$U$5:$U$40)</f>
        <v>362820.04389173369</v>
      </c>
      <c r="F116" s="22">
        <f>_xlfn.XLOOKUP($B67,[1]Billing!$R$5:$R$40,[1]Billing!$V$5:$V$40)</f>
        <v>95441.660570592547</v>
      </c>
      <c r="G116" s="22">
        <f>_xlfn.XLOOKUP($B67,[1]Billing!$R$5:$R$40,[1]Billing!$W$5:$W$40)</f>
        <v>3628200.4389173379</v>
      </c>
      <c r="H116" s="22">
        <f>_xlfn.XLOOKUP($B67,[1]Billing!$R$5:$R$40,[1]Billing!$X$5:$X$40)</f>
        <v>1240741.5874177031</v>
      </c>
      <c r="I116" s="22">
        <f>_xlfn.XLOOKUP($B67,[1]Billing!$R$5:$R$40,[1]Billing!$Y$5:$Y$40)</f>
        <v>0</v>
      </c>
      <c r="J116" s="22">
        <f>_xlfn.XLOOKUP($B67,[1]Billing!$R$5:$R$40,[1]Billing!$Z$5:$Z$40)</f>
        <v>0</v>
      </c>
      <c r="K116" s="22">
        <f>_xlfn.XLOOKUP($B67,[1]Billing!$R$5:$R$40,[1]Billing!$AA$5:$AA$40)</f>
        <v>0</v>
      </c>
      <c r="L116" s="22">
        <f>_xlfn.XLOOKUP($B67,[1]Billing!$R$5:$R$40,[1]Billing!$AB$5:$AB$40)</f>
        <v>0</v>
      </c>
      <c r="M116" s="22">
        <f>_xlfn.XLOOKUP($B67,[1]Billing!$R$5:$R$40,[1]Billing!$AC$5:$AC$40)</f>
        <v>0</v>
      </c>
      <c r="N116" s="22">
        <f>_xlfn.XLOOKUP($B67,[1]Billing!$R$5:$R$40,[1]Billing!$AD$5:$AD$40)</f>
        <v>0</v>
      </c>
      <c r="O116" s="39">
        <f t="shared" si="17"/>
        <v>4868942.026335041</v>
      </c>
      <c r="P116" s="22">
        <f>_xlfn.XLOOKUP($B67,[1]Billing!$R$5:$R$40,[1]Billing!$AF$5:$AF$40)</f>
        <v>4417830</v>
      </c>
      <c r="Q116" s="37">
        <f t="shared" si="18"/>
        <v>451112.02633504104</v>
      </c>
      <c r="R116" s="21">
        <v>10</v>
      </c>
      <c r="S116" s="21">
        <v>13</v>
      </c>
    </row>
    <row r="117" spans="2:19" x14ac:dyDescent="0.3">
      <c r="B117" s="80" t="str">
        <v>Salman Zaffar</v>
      </c>
      <c r="C117" s="22">
        <f>_xlfn.XLOOKUP($B68,[1]Billing!$R$5:$R$40,[1]Billing!$S$5:$S$40)</f>
        <v>344332</v>
      </c>
      <c r="D117" s="22">
        <f>_xlfn.XLOOKUP($B68,[1]Billing!$R$5:$R$40,[1]Billing!$T$5:$T$40)</f>
        <v>314861.00950987567</v>
      </c>
      <c r="E117" s="22">
        <f>_xlfn.XLOOKUP($B68,[1]Billing!$R$5:$R$40,[1]Billing!$U$5:$U$40)</f>
        <v>72939.831748354074</v>
      </c>
      <c r="F117" s="22">
        <f>_xlfn.XLOOKUP($B68,[1]Billing!$R$5:$R$40,[1]Billing!$V$5:$V$40)</f>
        <v>31409.107534747625</v>
      </c>
      <c r="G117" s="22">
        <f>_xlfn.XLOOKUP($B68,[1]Billing!$R$5:$R$40,[1]Billing!$W$5:$W$40)</f>
        <v>729398.31748354062</v>
      </c>
      <c r="H117" s="22">
        <f>_xlfn.XLOOKUP($B68,[1]Billing!$R$5:$R$40,[1]Billing!$X$5:$X$40)</f>
        <v>408318.39795171918</v>
      </c>
      <c r="I117" s="22">
        <f>_xlfn.XLOOKUP($B68,[1]Billing!$R$5:$R$40,[1]Billing!$Y$5:$Y$40)</f>
        <v>0</v>
      </c>
      <c r="J117" s="22">
        <f>_xlfn.XLOOKUP($B68,[1]Billing!$R$5:$R$40,[1]Billing!$Z$5:$Z$40)</f>
        <v>0</v>
      </c>
      <c r="K117" s="22">
        <f>_xlfn.XLOOKUP($B68,[1]Billing!$R$5:$R$40,[1]Billing!$AA$5:$AA$40)</f>
        <v>161653.2553035845</v>
      </c>
      <c r="L117" s="22">
        <f>_xlfn.XLOOKUP($B68,[1]Billing!$R$5:$R$40,[1]Billing!$AB$5:$AB$40)</f>
        <v>1970409.6561814193</v>
      </c>
      <c r="M117" s="22">
        <f>_xlfn.XLOOKUP($B68,[1]Billing!$R$5:$R$40,[1]Billing!$AC$5:$AC$40)</f>
        <v>0</v>
      </c>
      <c r="N117" s="22">
        <f>_xlfn.XLOOKUP($B68,[1]Billing!$R$5:$R$40,[1]Billing!$AD$5:$AD$40)</f>
        <v>0</v>
      </c>
      <c r="O117" s="39">
        <f t="shared" si="17"/>
        <v>3269779.6269202633</v>
      </c>
      <c r="P117" s="22">
        <f>_xlfn.XLOOKUP($B68,[1]Billing!$R$5:$R$40,[1]Billing!$AF$5:$AF$40)</f>
        <v>3296025</v>
      </c>
      <c r="Q117" s="37">
        <f t="shared" si="18"/>
        <v>-26245.373079736717</v>
      </c>
      <c r="R117" s="21">
        <v>10</v>
      </c>
      <c r="S117" s="21">
        <v>13</v>
      </c>
    </row>
    <row r="118" spans="2:19" x14ac:dyDescent="0.3">
      <c r="B118" s="80" t="str">
        <v>Shahid Qasayi</v>
      </c>
      <c r="C118" s="22">
        <f>_xlfn.XLOOKUP($B69,[1]Billing!$R$5:$R$40,[1]Billing!$S$5:$S$40)</f>
        <v>394284</v>
      </c>
      <c r="D118" s="22">
        <f>_xlfn.XLOOKUP($B69,[1]Billing!$R$5:$R$40,[1]Billing!$T$5:$T$40)</f>
        <v>360537.67373811267</v>
      </c>
      <c r="E118" s="22">
        <f>_xlfn.XLOOKUP($B69,[1]Billing!$R$5:$R$40,[1]Billing!$U$5:$U$40)</f>
        <v>310998.53694220923</v>
      </c>
      <c r="F118" s="22">
        <f>_xlfn.XLOOKUP($B69,[1]Billing!$R$5:$R$40,[1]Billing!$V$5:$V$40)</f>
        <v>0</v>
      </c>
      <c r="G118" s="22">
        <f>_xlfn.XLOOKUP($B69,[1]Billing!$R$5:$R$40,[1]Billing!$W$5:$W$40)</f>
        <v>3109985.3694220926</v>
      </c>
      <c r="H118" s="22">
        <f>_xlfn.XLOOKUP($B69,[1]Billing!$R$5:$R$40,[1]Billing!$X$5:$X$40)</f>
        <v>0</v>
      </c>
      <c r="I118" s="22">
        <f>_xlfn.XLOOKUP($B69,[1]Billing!$R$5:$R$40,[1]Billing!$Y$5:$Y$40)</f>
        <v>0</v>
      </c>
      <c r="J118" s="22">
        <f>_xlfn.XLOOKUP($B69,[1]Billing!$R$5:$R$40,[1]Billing!$Z$5:$Z$40)</f>
        <v>0</v>
      </c>
      <c r="K118" s="22">
        <f>_xlfn.XLOOKUP($B69,[1]Billing!$R$5:$R$40,[1]Billing!$AA$5:$AA$40)</f>
        <v>23767.373811265548</v>
      </c>
      <c r="L118" s="22">
        <f>_xlfn.XLOOKUP($B69,[1]Billing!$R$5:$R$40,[1]Billing!$AB$5:$AB$40)</f>
        <v>523143.74542794435</v>
      </c>
      <c r="M118" s="22">
        <f>_xlfn.XLOOKUP($B69,[1]Billing!$R$5:$R$40,[1]Billing!$AC$5:$AC$40)</f>
        <v>0</v>
      </c>
      <c r="N118" s="22">
        <f>_xlfn.XLOOKUP($B69,[1]Billing!$R$5:$R$40,[1]Billing!$AD$5:$AD$40)</f>
        <v>0</v>
      </c>
      <c r="O118" s="39">
        <f t="shared" si="17"/>
        <v>3656896.4886613023</v>
      </c>
      <c r="P118" s="22">
        <f>_xlfn.XLOOKUP($B69,[1]Billing!$R$5:$R$40,[1]Billing!$AF$5:$AF$40)</f>
        <v>3645477</v>
      </c>
      <c r="Q118" s="37">
        <f t="shared" si="18"/>
        <v>11419.488661302254</v>
      </c>
    </row>
    <row r="119" spans="2:19" x14ac:dyDescent="0.3">
      <c r="B119" s="80" t="str">
        <v>Hameed corporation</v>
      </c>
      <c r="C119" s="22">
        <f>_xlfn.XLOOKUP($B70,[1]Billing!$R$5:$R$40,[1]Billing!$S$5:$S$40)</f>
        <v>46404</v>
      </c>
      <c r="D119" s="22">
        <f>_xlfn.XLOOKUP($B70,[1]Billing!$R$5:$R$40,[1]Billing!$T$5:$T$40)</f>
        <v>42432.333577176301</v>
      </c>
      <c r="E119" s="22">
        <f>_xlfn.XLOOKUP($B70,[1]Billing!$R$5:$R$40,[1]Billing!$U$5:$U$40)</f>
        <v>42432.333577176301</v>
      </c>
      <c r="F119" s="22">
        <f>_xlfn.XLOOKUP($B70,[1]Billing!$R$5:$R$40,[1]Billing!$V$5:$V$40)</f>
        <v>0</v>
      </c>
      <c r="G119" s="22">
        <f>_xlfn.XLOOKUP($B70,[1]Billing!$R$5:$R$40,[1]Billing!$W$5:$W$40)</f>
        <v>424323.335771763</v>
      </c>
      <c r="H119" s="22">
        <f>_xlfn.XLOOKUP($B70,[1]Billing!$R$5:$R$40,[1]Billing!$X$5:$X$40)</f>
        <v>0</v>
      </c>
      <c r="I119" s="22">
        <f>_xlfn.XLOOKUP($B70,[1]Billing!$R$5:$R$40,[1]Billing!$Y$5:$Y$40)</f>
        <v>0</v>
      </c>
      <c r="J119" s="22">
        <f>_xlfn.XLOOKUP($B70,[1]Billing!$R$5:$R$40,[1]Billing!$Z$5:$Z$40)</f>
        <v>0</v>
      </c>
      <c r="K119" s="22">
        <f>_xlfn.XLOOKUP($B70,[1]Billing!$R$5:$R$40,[1]Billing!$AA$5:$AA$40)</f>
        <v>0</v>
      </c>
      <c r="L119" s="22">
        <f>_xlfn.XLOOKUP($B70,[1]Billing!$R$5:$R$40,[1]Billing!$AB$5:$AB$40)</f>
        <v>0</v>
      </c>
      <c r="M119" s="22">
        <f>_xlfn.XLOOKUP($B70,[1]Billing!$R$5:$R$40,[1]Billing!$AC$5:$AC$40)</f>
        <v>0</v>
      </c>
      <c r="N119" s="22">
        <f>_xlfn.XLOOKUP($B70,[1]Billing!$R$5:$R$40,[1]Billing!$AD$5:$AD$40)</f>
        <v>0</v>
      </c>
      <c r="O119" s="39">
        <f t="shared" si="17"/>
        <v>424323.335771763</v>
      </c>
      <c r="P119" s="22">
        <f>_xlfn.XLOOKUP($B70,[1]Billing!$R$5:$R$40,[1]Billing!$AF$5:$AF$40)</f>
        <v>424323</v>
      </c>
      <c r="Q119" s="37">
        <f t="shared" si="18"/>
        <v>0.33577176299877465</v>
      </c>
    </row>
    <row r="120" spans="2:19" x14ac:dyDescent="0.3">
      <c r="B120" s="80" t="str">
        <v>ibraheem behraam</v>
      </c>
      <c r="C120" s="22">
        <f>_xlfn.XLOOKUP($B71,[1]Billing!$R$5:$R$40,[1]Billing!$S$5:$S$40)</f>
        <v>136857</v>
      </c>
      <c r="D120" s="22">
        <f>_xlfn.XLOOKUP($B71,[1]Billing!$R$5:$R$40,[1]Billing!$T$5:$T$40)</f>
        <v>125143.56254572056</v>
      </c>
      <c r="E120" s="22">
        <f>_xlfn.XLOOKUP($B71,[1]Billing!$R$5:$R$40,[1]Billing!$U$5:$U$40)</f>
        <v>0</v>
      </c>
      <c r="F120" s="22">
        <f>_xlfn.XLOOKUP($B71,[1]Billing!$R$5:$R$40,[1]Billing!$V$5:$V$40)</f>
        <v>125143.56254572056</v>
      </c>
      <c r="G120" s="22">
        <f>_xlfn.XLOOKUP($B71,[1]Billing!$R$5:$R$40,[1]Billing!$W$5:$W$40)</f>
        <v>0</v>
      </c>
      <c r="H120" s="22">
        <f>_xlfn.XLOOKUP($B71,[1]Billing!$R$5:$R$40,[1]Billing!$X$5:$X$40)</f>
        <v>1626866.3130943675</v>
      </c>
      <c r="I120" s="22">
        <f>_xlfn.XLOOKUP($B71,[1]Billing!$R$5:$R$40,[1]Billing!$Y$5:$Y$40)</f>
        <v>0</v>
      </c>
      <c r="J120" s="22">
        <f>_xlfn.XLOOKUP($B71,[1]Billing!$R$5:$R$40,[1]Billing!$Z$5:$Z$40)</f>
        <v>0</v>
      </c>
      <c r="K120" s="22">
        <f>_xlfn.XLOOKUP($B71,[1]Billing!$R$5:$R$40,[1]Billing!$AA$5:$AA$40)</f>
        <v>0</v>
      </c>
      <c r="L120" s="22">
        <f>_xlfn.XLOOKUP($B71,[1]Billing!$R$5:$R$40,[1]Billing!$AB$5:$AB$40)</f>
        <v>0</v>
      </c>
      <c r="M120" s="22">
        <f>_xlfn.XLOOKUP($B71,[1]Billing!$R$5:$R$40,[1]Billing!$AC$5:$AC$40)</f>
        <v>0</v>
      </c>
      <c r="N120" s="22">
        <f>_xlfn.XLOOKUP($B71,[1]Billing!$R$5:$R$40,[1]Billing!$AD$5:$AD$40)</f>
        <v>0</v>
      </c>
      <c r="O120" s="39">
        <f t="shared" si="17"/>
        <v>1626866.3130943675</v>
      </c>
      <c r="P120" s="22">
        <f>_xlfn.XLOOKUP($B71,[1]Billing!$R$5:$R$40,[1]Billing!$AF$5:$AF$40)</f>
        <v>1595500</v>
      </c>
      <c r="Q120" s="37">
        <f t="shared" si="18"/>
        <v>31366.313094367506</v>
      </c>
    </row>
    <row r="121" spans="2:19" x14ac:dyDescent="0.3">
      <c r="B121" s="80" t="str">
        <v>Zia-ullah karachi</v>
      </c>
      <c r="C121" s="22">
        <f>_xlfn.XLOOKUP($B72,[1]Billing!$R$5:$R$40,[1]Billing!$S$5:$S$40)</f>
        <v>13622</v>
      </c>
      <c r="D121" s="22">
        <f>_xlfn.XLOOKUP($B72,[1]Billing!$R$5:$R$40,[1]Billing!$T$5:$T$40)</f>
        <v>12456.108266276518</v>
      </c>
      <c r="E121" s="22">
        <f>_xlfn.XLOOKUP($B72,[1]Billing!$R$5:$R$40,[1]Billing!$U$5:$U$40)</f>
        <v>12456.108266276518</v>
      </c>
      <c r="F121" s="22">
        <f>_xlfn.XLOOKUP($B72,[1]Billing!$R$5:$R$40,[1]Billing!$V$5:$V$40)</f>
        <v>0</v>
      </c>
      <c r="G121" s="22">
        <f>_xlfn.XLOOKUP($B72,[1]Billing!$R$5:$R$40,[1]Billing!$W$5:$W$40)</f>
        <v>124561.08266276518</v>
      </c>
      <c r="H121" s="22">
        <f>_xlfn.XLOOKUP($B72,[1]Billing!$R$5:$R$40,[1]Billing!$X$5:$X$40)</f>
        <v>0</v>
      </c>
      <c r="I121" s="22">
        <f>_xlfn.XLOOKUP($B72,[1]Billing!$R$5:$R$40,[1]Billing!$Y$5:$Y$40)</f>
        <v>0</v>
      </c>
      <c r="J121" s="22">
        <f>_xlfn.XLOOKUP($B72,[1]Billing!$R$5:$R$40,[1]Billing!$Z$5:$Z$40)</f>
        <v>0</v>
      </c>
      <c r="K121" s="22">
        <f>_xlfn.XLOOKUP($B72,[1]Billing!$R$5:$R$40,[1]Billing!$AA$5:$AA$40)</f>
        <v>0</v>
      </c>
      <c r="L121" s="22">
        <f>_xlfn.XLOOKUP($B72,[1]Billing!$R$5:$R$40,[1]Billing!$AB$5:$AB$40)</f>
        <v>0</v>
      </c>
      <c r="M121" s="22">
        <f>_xlfn.XLOOKUP($B72,[1]Billing!$R$5:$R$40,[1]Billing!$AC$5:$AC$40)</f>
        <v>0</v>
      </c>
      <c r="N121" s="22">
        <f>_xlfn.XLOOKUP($B72,[1]Billing!$R$5:$R$40,[1]Billing!$AD$5:$AD$40)</f>
        <v>0</v>
      </c>
      <c r="O121" s="39">
        <f t="shared" si="17"/>
        <v>124561.08266276518</v>
      </c>
      <c r="P121" s="22">
        <f>_xlfn.XLOOKUP($B72,[1]Billing!$R$5:$R$40,[1]Billing!$AF$5:$AF$40)</f>
        <v>124560</v>
      </c>
      <c r="Q121" s="37">
        <f t="shared" si="18"/>
        <v>1.0826627651840681</v>
      </c>
    </row>
    <row r="122" spans="2:19" x14ac:dyDescent="0.3">
      <c r="B122" s="80" t="str">
        <v>ZA</v>
      </c>
      <c r="C122" s="22">
        <f>_xlfn.XLOOKUP($B73,[1]Billing!$R$5:$R$40,[1]Billing!$S$5:$S$40)</f>
        <v>32399</v>
      </c>
      <c r="D122" s="22">
        <f>_xlfn.XLOOKUP($B73,[1]Billing!$R$5:$R$40,[1]Billing!$T$5:$T$40)</f>
        <v>29626.005852231167</v>
      </c>
      <c r="E122" s="22">
        <f>_xlfn.XLOOKUP($B73,[1]Billing!$R$5:$R$40,[1]Billing!$U$5:$U$40)</f>
        <v>0</v>
      </c>
      <c r="F122" s="22">
        <f>_xlfn.XLOOKUP($B73,[1]Billing!$R$5:$R$40,[1]Billing!$V$5:$V$40)</f>
        <v>29626.005852231167</v>
      </c>
      <c r="G122" s="22">
        <f>_xlfn.XLOOKUP($B73,[1]Billing!$R$5:$R$40,[1]Billing!$W$5:$W$40)</f>
        <v>0</v>
      </c>
      <c r="H122" s="22">
        <f>_xlfn.XLOOKUP($B73,[1]Billing!$R$5:$R$40,[1]Billing!$X$5:$X$40)</f>
        <v>385138.07607900514</v>
      </c>
      <c r="I122" s="22">
        <f>_xlfn.XLOOKUP($B73,[1]Billing!$R$5:$R$40,[1]Billing!$Y$5:$Y$40)</f>
        <v>0</v>
      </c>
      <c r="J122" s="22">
        <f>_xlfn.XLOOKUP($B73,[1]Billing!$R$5:$R$40,[1]Billing!$Z$5:$Z$40)</f>
        <v>0</v>
      </c>
      <c r="K122" s="22">
        <f>_xlfn.XLOOKUP($B73,[1]Billing!$R$5:$R$40,[1]Billing!$AA$5:$AA$40)</f>
        <v>0</v>
      </c>
      <c r="L122" s="22">
        <f>_xlfn.XLOOKUP($B73,[1]Billing!$R$5:$R$40,[1]Billing!$AB$5:$AB$40)</f>
        <v>0</v>
      </c>
      <c r="M122" s="22">
        <f>_xlfn.XLOOKUP($B73,[1]Billing!$R$5:$R$40,[1]Billing!$AC$5:$AC$40)</f>
        <v>0</v>
      </c>
      <c r="N122" s="22">
        <f>_xlfn.XLOOKUP($B73,[1]Billing!$R$5:$R$40,[1]Billing!$AD$5:$AD$40)</f>
        <v>0</v>
      </c>
      <c r="O122" s="39">
        <f t="shared" si="17"/>
        <v>385138.07607900514</v>
      </c>
      <c r="P122" s="22">
        <f>_xlfn.XLOOKUP($B73,[1]Billing!$R$5:$R$40,[1]Billing!$AF$5:$AF$40)</f>
        <v>385000</v>
      </c>
      <c r="Q122" s="37">
        <f t="shared" si="18"/>
        <v>138.07607900514267</v>
      </c>
    </row>
    <row r="123" spans="2:19" x14ac:dyDescent="0.3">
      <c r="B123" s="80" t="str">
        <v>Ahmad Javaid</v>
      </c>
      <c r="C123" s="22">
        <f>_xlfn.XLOOKUP($B74,[1]Billing!$R$5:$R$40,[1]Billing!$S$5:$S$40)</f>
        <v>12745</v>
      </c>
      <c r="D123" s="22">
        <f>_xlfn.XLOOKUP($B74,[1]Billing!$R$5:$R$40,[1]Billing!$T$5:$T$40)</f>
        <v>11654.16971470373</v>
      </c>
      <c r="E123" s="22">
        <f>_xlfn.XLOOKUP($B74,[1]Billing!$R$5:$R$40,[1]Billing!$U$5:$U$40)</f>
        <v>0</v>
      </c>
      <c r="F123" s="22">
        <f>_xlfn.XLOOKUP($B74,[1]Billing!$R$5:$R$40,[1]Billing!$V$5:$V$40)</f>
        <v>0</v>
      </c>
      <c r="G123" s="22">
        <f>_xlfn.XLOOKUP($B74,[1]Billing!$R$5:$R$40,[1]Billing!$W$5:$W$40)</f>
        <v>0</v>
      </c>
      <c r="H123" s="22">
        <f>_xlfn.XLOOKUP($B74,[1]Billing!$R$5:$R$40,[1]Billing!$X$5:$X$40)</f>
        <v>0</v>
      </c>
      <c r="I123" s="22">
        <f>_xlfn.XLOOKUP($B74,[1]Billing!$R$5:$R$40,[1]Billing!$Y$5:$Y$40)</f>
        <v>0</v>
      </c>
      <c r="J123" s="22">
        <f>_xlfn.XLOOKUP($B74,[1]Billing!$R$5:$R$40,[1]Billing!$Z$5:$Z$40)</f>
        <v>0</v>
      </c>
      <c r="K123" s="22">
        <f>_xlfn.XLOOKUP($B74,[1]Billing!$R$5:$R$40,[1]Billing!$AA$5:$AA$40)</f>
        <v>0</v>
      </c>
      <c r="L123" s="22">
        <f>_xlfn.XLOOKUP($B74,[1]Billing!$R$5:$R$40,[1]Billing!$AB$5:$AB$40)</f>
        <v>0</v>
      </c>
      <c r="M123" s="22">
        <f>_xlfn.XLOOKUP($B74,[1]Billing!$R$5:$R$40,[1]Billing!$AC$5:$AC$40)</f>
        <v>151504.2062911485</v>
      </c>
      <c r="N123" s="22">
        <f>_xlfn.XLOOKUP($B74,[1]Billing!$R$5:$R$40,[1]Billing!$AD$5:$AD$40)</f>
        <v>0</v>
      </c>
      <c r="O123" s="39">
        <f t="shared" si="17"/>
        <v>151504.2062911485</v>
      </c>
      <c r="P123" s="22">
        <f>_xlfn.XLOOKUP($B74,[1]Billing!$R$5:$R$40,[1]Billing!$AF$5:$AF$40)</f>
        <v>130000</v>
      </c>
      <c r="Q123" s="37">
        <f t="shared" si="18"/>
        <v>21504.206291148497</v>
      </c>
    </row>
    <row r="124" spans="2:19" x14ac:dyDescent="0.3">
      <c r="B124" s="80" t="str">
        <v>Shani Badshah</v>
      </c>
      <c r="C124" s="22">
        <f>_xlfn.XLOOKUP($B75,[1]Billing!$R$5:$R$40,[1]Billing!$S$5:$S$40)</f>
        <v>312320</v>
      </c>
      <c r="D124" s="22">
        <f>_xlfn.XLOOKUP($B75,[1]Billing!$R$5:$R$40,[1]Billing!$T$5:$T$40)</f>
        <v>285588.88076079008</v>
      </c>
      <c r="E124" s="22">
        <f>_xlfn.XLOOKUP($B75,[1]Billing!$R$5:$R$40,[1]Billing!$U$5:$U$40)</f>
        <v>198861.55815654719</v>
      </c>
      <c r="F124" s="22">
        <f>_xlfn.XLOOKUP($B75,[1]Billing!$R$5:$R$40,[1]Billing!$V$5:$V$40)</f>
        <v>86727.322604242872</v>
      </c>
      <c r="G124" s="22">
        <f>_xlfn.XLOOKUP($B75,[1]Billing!$R$5:$R$40,[1]Billing!$W$5:$W$40)</f>
        <v>1988615.5815654721</v>
      </c>
      <c r="H124" s="22">
        <f>_xlfn.XLOOKUP($B75,[1]Billing!$R$5:$R$40,[1]Billing!$X$5:$X$40)</f>
        <v>1127455.1938551574</v>
      </c>
      <c r="I124" s="22">
        <f>_xlfn.XLOOKUP($B75,[1]Billing!$R$5:$R$40,[1]Billing!$Y$5:$Y$40)</f>
        <v>0</v>
      </c>
      <c r="J124" s="22">
        <f>_xlfn.XLOOKUP($B75,[1]Billing!$R$5:$R$40,[1]Billing!$Z$5:$Z$40)</f>
        <v>0</v>
      </c>
      <c r="K124" s="22">
        <f>_xlfn.XLOOKUP($B75,[1]Billing!$R$5:$R$40,[1]Billing!$AA$5:$AA$40)</f>
        <v>0</v>
      </c>
      <c r="L124" s="22">
        <f>_xlfn.XLOOKUP($B75,[1]Billing!$R$5:$R$40,[1]Billing!$AB$5:$AB$40)</f>
        <v>0</v>
      </c>
      <c r="M124" s="22">
        <f>_xlfn.XLOOKUP($B75,[1]Billing!$R$5:$R$40,[1]Billing!$AC$5:$AC$40)</f>
        <v>0</v>
      </c>
      <c r="N124" s="22">
        <f>_xlfn.XLOOKUP($B75,[1]Billing!$R$5:$R$40,[1]Billing!$AD$5:$AD$40)</f>
        <v>0</v>
      </c>
      <c r="O124" s="39">
        <f t="shared" si="17"/>
        <v>3116070.7754206294</v>
      </c>
      <c r="P124" s="22">
        <f>_xlfn.XLOOKUP($B75,[1]Billing!$R$5:$R$40,[1]Billing!$AF$5:$AF$40)</f>
        <v>2440000</v>
      </c>
      <c r="Q124" s="37">
        <f t="shared" si="18"/>
        <v>676070.77542062942</v>
      </c>
    </row>
    <row r="125" spans="2:19" x14ac:dyDescent="0.3">
      <c r="B125" t="str">
        <v>Rehman Ali</v>
      </c>
      <c r="C125" s="22">
        <f>_xlfn.XLOOKUP($B76,[1]Billing!$R$5:$R$40,[1]Billing!$S$5:$S$40)</f>
        <v>50131</v>
      </c>
      <c r="D125" s="22">
        <f>_xlfn.XLOOKUP($B76,[1]Billing!$R$5:$R$40,[1]Billing!$T$5:$T$40)</f>
        <v>45840.343818580841</v>
      </c>
      <c r="E125" s="22">
        <f>_xlfn.XLOOKUP($B76,[1]Billing!$R$5:$R$40,[1]Billing!$U$5:$U$40)</f>
        <v>0</v>
      </c>
      <c r="F125" s="22">
        <f>_xlfn.XLOOKUP($B76,[1]Billing!$R$5:$R$40,[1]Billing!$V$5:$V$40)</f>
        <v>45840.343818580841</v>
      </c>
      <c r="G125" s="22">
        <f>_xlfn.XLOOKUP($B76,[1]Billing!$R$5:$R$40,[1]Billing!$W$5:$W$40)</f>
        <v>0</v>
      </c>
      <c r="H125" s="22">
        <f>_xlfn.XLOOKUP($B76,[1]Billing!$R$5:$R$40,[1]Billing!$X$5:$X$40)</f>
        <v>595924.46964155091</v>
      </c>
      <c r="I125" s="22">
        <f>_xlfn.XLOOKUP($B76,[1]Billing!$R$5:$R$40,[1]Billing!$Y$5:$Y$40)</f>
        <v>0</v>
      </c>
      <c r="J125" s="22">
        <f>_xlfn.XLOOKUP($B76,[1]Billing!$R$5:$R$40,[1]Billing!$Z$5:$Z$40)</f>
        <v>0</v>
      </c>
      <c r="K125" s="22">
        <f>_xlfn.XLOOKUP($B76,[1]Billing!$R$5:$R$40,[1]Billing!$AA$5:$AA$40)</f>
        <v>0</v>
      </c>
      <c r="L125" s="22">
        <f>_xlfn.XLOOKUP($B76,[1]Billing!$R$5:$R$40,[1]Billing!$AB$5:$AB$40)</f>
        <v>0</v>
      </c>
      <c r="M125" s="22">
        <f>_xlfn.XLOOKUP($B76,[1]Billing!$R$5:$R$40,[1]Billing!$AC$5:$AC$40)</f>
        <v>0</v>
      </c>
      <c r="N125" s="22">
        <f>_xlfn.XLOOKUP($B76,[1]Billing!$R$5:$R$40,[1]Billing!$AD$5:$AD$40)</f>
        <v>0</v>
      </c>
      <c r="O125" s="39">
        <f t="shared" si="17"/>
        <v>595924.46964155091</v>
      </c>
      <c r="P125" s="22">
        <f>_xlfn.XLOOKUP($B76,[1]Billing!$R$5:$R$40,[1]Billing!$AF$5:$AF$40)</f>
        <v>550000</v>
      </c>
      <c r="Q125" s="37">
        <f t="shared" si="18"/>
        <v>45924.46964155091</v>
      </c>
    </row>
    <row r="126" spans="2:19" x14ac:dyDescent="0.3">
      <c r="B126" t="str">
        <v>Ahmad Shafique</v>
      </c>
      <c r="C126" s="22">
        <f>_xlfn.XLOOKUP($B77,[1]Billing!$R$5:$R$40,[1]Billing!$S$5:$S$40)</f>
        <v>53541</v>
      </c>
      <c r="D126" s="22">
        <f>_xlfn.XLOOKUP($B77,[1]Billing!$R$5:$R$40,[1]Billing!$T$5:$T$40)</f>
        <v>48958.485735186543</v>
      </c>
      <c r="E126" s="22">
        <f>_xlfn.XLOOKUP($B77,[1]Billing!$R$5:$R$40,[1]Billing!$U$5:$U$40)</f>
        <v>0</v>
      </c>
      <c r="F126" s="22">
        <f>_xlfn.XLOOKUP($B77,[1]Billing!$R$5:$R$40,[1]Billing!$V$5:$V$40)</f>
        <v>48958.485735186543</v>
      </c>
      <c r="G126" s="22">
        <f>_xlfn.XLOOKUP($B77,[1]Billing!$R$5:$R$40,[1]Billing!$W$5:$W$40)</f>
        <v>0</v>
      </c>
      <c r="H126" s="22">
        <f>_xlfn.XLOOKUP($B77,[1]Billing!$R$5:$R$40,[1]Billing!$X$5:$X$40)</f>
        <v>636460.3145574251</v>
      </c>
      <c r="I126" s="22">
        <f>_xlfn.XLOOKUP($B77,[1]Billing!$R$5:$R$40,[1]Billing!$Y$5:$Y$40)</f>
        <v>0</v>
      </c>
      <c r="J126" s="22">
        <f>_xlfn.XLOOKUP($B77,[1]Billing!$R$5:$R$40,[1]Billing!$Z$5:$Z$40)</f>
        <v>0</v>
      </c>
      <c r="K126" s="22">
        <f>_xlfn.XLOOKUP($B77,[1]Billing!$R$5:$R$40,[1]Billing!$AA$5:$AA$40)</f>
        <v>0</v>
      </c>
      <c r="L126" s="22">
        <f>_xlfn.XLOOKUP($B77,[1]Billing!$R$5:$R$40,[1]Billing!$AB$5:$AB$40)</f>
        <v>0</v>
      </c>
      <c r="M126" s="22">
        <f>_xlfn.XLOOKUP($B77,[1]Billing!$R$5:$R$40,[1]Billing!$AC$5:$AC$40)</f>
        <v>0</v>
      </c>
      <c r="N126" s="22">
        <f>_xlfn.XLOOKUP($B77,[1]Billing!$R$5:$R$40,[1]Billing!$AD$5:$AD$40)</f>
        <v>0</v>
      </c>
      <c r="O126" s="39">
        <f t="shared" si="17"/>
        <v>636460.3145574251</v>
      </c>
      <c r="P126" s="22">
        <f>_xlfn.XLOOKUP($B77,[1]Billing!$R$5:$R$40,[1]Billing!$AF$5:$AF$40)</f>
        <v>636000</v>
      </c>
      <c r="Q126" s="37">
        <f t="shared" si="18"/>
        <v>460.3145574250957</v>
      </c>
    </row>
    <row r="127" spans="2:19" x14ac:dyDescent="0.3">
      <c r="B127" t="str">
        <v>Hafiz Shawl</v>
      </c>
      <c r="C127" s="22">
        <f>_xlfn.XLOOKUP($B78,[1]Billing!$R$5:$R$40,[1]Billing!$S$5:$S$40)</f>
        <v>4283</v>
      </c>
      <c r="D127" s="22">
        <f>_xlfn.XLOOKUP($B78,[1]Billing!$R$5:$R$40,[1]Billing!$T$5:$T$40)</f>
        <v>3916.4228237015363</v>
      </c>
      <c r="E127" s="22">
        <f>_xlfn.XLOOKUP($B78,[1]Billing!$R$5:$R$40,[1]Billing!$U$5:$U$40)</f>
        <v>0</v>
      </c>
      <c r="F127" s="22">
        <f>_xlfn.XLOOKUP($B78,[1]Billing!$R$5:$R$40,[1]Billing!$V$5:$V$40)</f>
        <v>1321.3240673006585</v>
      </c>
      <c r="G127" s="22">
        <f>_xlfn.XLOOKUP($B78,[1]Billing!$R$5:$R$40,[1]Billing!$W$5:$W$40)</f>
        <v>0</v>
      </c>
      <c r="H127" s="22">
        <f>_xlfn.XLOOKUP($B78,[1]Billing!$R$5:$R$40,[1]Billing!$X$5:$X$40)</f>
        <v>15855.888807607902</v>
      </c>
      <c r="I127" s="22">
        <f>_xlfn.XLOOKUP($B78,[1]Billing!$R$5:$R$40,[1]Billing!$Y$5:$Y$40)</f>
        <v>0</v>
      </c>
      <c r="J127" s="22">
        <f>_xlfn.XLOOKUP($B78,[1]Billing!$R$5:$R$40,[1]Billing!$Z$5:$Z$40)</f>
        <v>0</v>
      </c>
      <c r="K127" s="22">
        <f>_xlfn.XLOOKUP($B78,[1]Billing!$R$5:$R$40,[1]Billing!$AA$5:$AA$40)</f>
        <v>0</v>
      </c>
      <c r="L127" s="22">
        <f>_xlfn.XLOOKUP($B78,[1]Billing!$R$5:$R$40,[1]Billing!$AB$5:$AB$40)</f>
        <v>0</v>
      </c>
      <c r="M127" s="22">
        <f>_xlfn.XLOOKUP($B78,[1]Billing!$R$5:$R$40,[1]Billing!$AC$5:$AC$40)</f>
        <v>0</v>
      </c>
      <c r="N127" s="22">
        <f>_xlfn.XLOOKUP($B78,[1]Billing!$R$5:$R$40,[1]Billing!$AD$5:$AD$40)</f>
        <v>51636.795903438193</v>
      </c>
      <c r="O127" s="39">
        <f t="shared" si="17"/>
        <v>67492.684711046095</v>
      </c>
      <c r="P127" s="22">
        <f>_xlfn.XLOOKUP($B78,[1]Billing!$R$5:$R$40,[1]Billing!$AF$5:$AF$40)</f>
        <v>55855</v>
      </c>
      <c r="Q127" s="37">
        <f t="shared" si="18"/>
        <v>11637.684711046095</v>
      </c>
    </row>
    <row r="128" spans="2:19" x14ac:dyDescent="0.3">
      <c r="B128" t="str">
        <v>Zahid Ejaz</v>
      </c>
      <c r="C128" s="22">
        <f>_xlfn.XLOOKUP($B79,[1]Billing!$R$5:$R$40,[1]Billing!$S$5:$S$40)</f>
        <v>16060</v>
      </c>
      <c r="D128" s="22">
        <f>_xlfn.XLOOKUP($B79,[1]Billing!$R$5:$R$40,[1]Billing!$T$5:$T$40)</f>
        <v>14685.442574981713</v>
      </c>
      <c r="E128" s="22">
        <f>_xlfn.XLOOKUP($B79,[1]Billing!$R$5:$R$40,[1]Billing!$U$5:$U$40)</f>
        <v>14685.442574981713</v>
      </c>
      <c r="F128" s="22">
        <f>_xlfn.XLOOKUP($B79,[1]Billing!$R$5:$R$40,[1]Billing!$V$5:$V$40)</f>
        <v>0</v>
      </c>
      <c r="G128" s="22">
        <f>_xlfn.XLOOKUP($B79,[1]Billing!$R$5:$R$40,[1]Billing!$W$5:$W$40)</f>
        <v>161539.86832479882</v>
      </c>
      <c r="H128" s="22">
        <f>_xlfn.XLOOKUP($B79,[1]Billing!$R$5:$R$40,[1]Billing!$X$5:$X$40)</f>
        <v>0</v>
      </c>
      <c r="I128" s="22">
        <f>_xlfn.XLOOKUP($B79,[1]Billing!$R$5:$R$40,[1]Billing!$Y$5:$Y$40)</f>
        <v>0</v>
      </c>
      <c r="J128" s="22">
        <f>_xlfn.XLOOKUP($B79,[1]Billing!$R$5:$R$40,[1]Billing!$Z$5:$Z$40)</f>
        <v>0</v>
      </c>
      <c r="K128" s="22">
        <f>_xlfn.XLOOKUP($B79,[1]Billing!$R$5:$R$40,[1]Billing!$AA$5:$AA$40)</f>
        <v>0</v>
      </c>
      <c r="L128" s="22">
        <f>_xlfn.XLOOKUP($B79,[1]Billing!$R$5:$R$40,[1]Billing!$AB$5:$AB$40)</f>
        <v>0</v>
      </c>
      <c r="M128" s="22">
        <f>_xlfn.XLOOKUP($B79,[1]Billing!$R$5:$R$40,[1]Billing!$AC$5:$AC$40)</f>
        <v>0</v>
      </c>
      <c r="N128" s="22">
        <f>_xlfn.XLOOKUP($B79,[1]Billing!$R$5:$R$40,[1]Billing!$AD$5:$AD$40)</f>
        <v>0</v>
      </c>
      <c r="O128" s="39">
        <f t="shared" si="17"/>
        <v>161539.86832479882</v>
      </c>
      <c r="P128" s="22">
        <f>_xlfn.XLOOKUP($B79,[1]Billing!$R$5:$R$40,[1]Billing!$AF$5:$AF$40)</f>
        <v>169278</v>
      </c>
      <c r="Q128" s="37">
        <f t="shared" si="18"/>
        <v>-7738.1316752011771</v>
      </c>
    </row>
    <row r="129" spans="2:17" x14ac:dyDescent="0.3">
      <c r="B129" t="str">
        <v>Faizan Kamoki</v>
      </c>
      <c r="C129" s="22">
        <f>_xlfn.XLOOKUP($B80,[1]Billing!$R$5:$R$40,[1]Billing!$S$5:$S$40)</f>
        <v>237742</v>
      </c>
      <c r="D129" s="22">
        <f>_xlfn.XLOOKUP($B80,[1]Billing!$R$5:$R$40,[1]Billing!$T$5:$T$40)</f>
        <v>217393.92831016827</v>
      </c>
      <c r="E129" s="22">
        <f>_xlfn.XLOOKUP($B80,[1]Billing!$R$5:$R$40,[1]Billing!$U$5:$U$40)</f>
        <v>0</v>
      </c>
      <c r="F129" s="22">
        <f>_xlfn.XLOOKUP($B80,[1]Billing!$R$5:$R$40,[1]Billing!$V$5:$V$40)</f>
        <v>157432.33357717632</v>
      </c>
      <c r="G129" s="22">
        <f>_xlfn.XLOOKUP($B80,[1]Billing!$R$5:$R$40,[1]Billing!$W$5:$W$40)</f>
        <v>0</v>
      </c>
      <c r="H129" s="22">
        <f>_xlfn.XLOOKUP($B80,[1]Billing!$R$5:$R$40,[1]Billing!$X$5:$X$40)</f>
        <v>2046620.336503292</v>
      </c>
      <c r="I129" s="22">
        <f>_xlfn.XLOOKUP($B80,[1]Billing!$R$5:$R$40,[1]Billing!$Y$5:$Y$40)</f>
        <v>0</v>
      </c>
      <c r="J129" s="22">
        <f>_xlfn.XLOOKUP($B80,[1]Billing!$R$5:$R$40,[1]Billing!$Z$5:$Z$40)</f>
        <v>0</v>
      </c>
      <c r="K129" s="22">
        <f>_xlfn.XLOOKUP($B80,[1]Billing!$R$5:$R$40,[1]Billing!$AA$5:$AA$40)</f>
        <v>0</v>
      </c>
      <c r="L129" s="22">
        <f>_xlfn.XLOOKUP($B80,[1]Billing!$R$5:$R$40,[1]Billing!$AB$5:$AB$40)</f>
        <v>659577.54206291155</v>
      </c>
      <c r="M129" s="22">
        <f>_xlfn.XLOOKUP($B80,[1]Billing!$R$5:$R$40,[1]Billing!$AC$5:$AC$40)</f>
        <v>0</v>
      </c>
      <c r="N129" s="22">
        <f>_xlfn.XLOOKUP($B80,[1]Billing!$R$5:$R$40,[1]Billing!$AD$5:$AD$40)</f>
        <v>0</v>
      </c>
      <c r="O129" s="39">
        <f t="shared" si="17"/>
        <v>2706197.8785662036</v>
      </c>
      <c r="P129" s="22">
        <f>_xlfn.XLOOKUP($B80,[1]Billing!$R$5:$R$40,[1]Billing!$AF$5:$AF$40)</f>
        <v>2526791.4930504756</v>
      </c>
      <c r="Q129" s="37">
        <f t="shared" ref="Q129:Q132" si="19">O129-P129</f>
        <v>179406.38551572803</v>
      </c>
    </row>
    <row r="130" spans="2:17" x14ac:dyDescent="0.3">
      <c r="B130" t="str">
        <v>KK fabrics</v>
      </c>
      <c r="C130" s="22">
        <f>_xlfn.XLOOKUP($B81,[1]Billing!$R$5:$R$40,[1]Billing!$S$5:$S$40)</f>
        <v>28166</v>
      </c>
      <c r="D130" s="22">
        <f>_xlfn.XLOOKUP($B81,[1]Billing!$R$5:$R$40,[1]Billing!$T$5:$T$40)</f>
        <v>25755.30358449159</v>
      </c>
      <c r="E130" s="22">
        <f>_xlfn.XLOOKUP($B81,[1]Billing!$R$5:$R$40,[1]Billing!$U$5:$U$40)</f>
        <v>25755.30358449159</v>
      </c>
      <c r="F130" s="22">
        <f>_xlfn.XLOOKUP($B81,[1]Billing!$R$5:$R$40,[1]Billing!$V$5:$V$40)</f>
        <v>0</v>
      </c>
      <c r="G130" s="22">
        <f>_xlfn.XLOOKUP($B81,[1]Billing!$R$5:$R$40,[1]Billing!$W$5:$W$40)</f>
        <v>257553.0358449159</v>
      </c>
      <c r="H130" s="22">
        <f>_xlfn.XLOOKUP($B81,[1]Billing!$R$5:$R$40,[1]Billing!$X$5:$X$40)</f>
        <v>0</v>
      </c>
      <c r="I130" s="22">
        <f>_xlfn.XLOOKUP($B81,[1]Billing!$R$5:$R$40,[1]Billing!$Y$5:$Y$40)</f>
        <v>0</v>
      </c>
      <c r="J130" s="22">
        <f>_xlfn.XLOOKUP($B81,[1]Billing!$R$5:$R$40,[1]Billing!$Z$5:$Z$40)</f>
        <v>0</v>
      </c>
      <c r="K130" s="22">
        <f>_xlfn.XLOOKUP($B81,[1]Billing!$R$5:$R$40,[1]Billing!$AA$5:$AA$40)</f>
        <v>0</v>
      </c>
      <c r="L130" s="22">
        <f>_xlfn.XLOOKUP($B81,[1]Billing!$R$5:$R$40,[1]Billing!$AB$5:$AB$40)</f>
        <v>0</v>
      </c>
      <c r="M130" s="22">
        <f>_xlfn.XLOOKUP($B81,[1]Billing!$R$5:$R$40,[1]Billing!$AC$5:$AC$40)</f>
        <v>0</v>
      </c>
      <c r="N130" s="22">
        <f>_xlfn.XLOOKUP($B81,[1]Billing!$R$5:$R$40,[1]Billing!$AD$5:$AD$40)</f>
        <v>0</v>
      </c>
      <c r="O130" s="39">
        <f t="shared" si="17"/>
        <v>257553.0358449159</v>
      </c>
      <c r="P130" s="22">
        <f>_xlfn.XLOOKUP($B81,[1]Billing!$R$5:$R$40,[1]Billing!$AF$5:$AF$40)</f>
        <v>257000</v>
      </c>
      <c r="Q130" s="37">
        <f t="shared" si="19"/>
        <v>553.03584491589572</v>
      </c>
    </row>
    <row r="131" spans="2:17" x14ac:dyDescent="0.3">
      <c r="B131" t="str">
        <v>Rauf Khan</v>
      </c>
      <c r="C131" s="22" t="e">
        <f>_xlfn.XLOOKUP($B82,[1]Billing!$R$5:$R$40,[1]Billing!$S$5:$S$40)</f>
        <v>#N/A</v>
      </c>
      <c r="D131" s="22" t="e">
        <f>_xlfn.XLOOKUP($B82,[1]Billing!$R$5:$R$40,[1]Billing!$T$5:$T$40)</f>
        <v>#N/A</v>
      </c>
      <c r="E131" s="22" t="e">
        <f>_xlfn.XLOOKUP($B82,[1]Billing!$R$5:$R$40,[1]Billing!$U$5:$U$40)</f>
        <v>#N/A</v>
      </c>
      <c r="F131" s="22" t="e">
        <f>_xlfn.XLOOKUP($B82,[1]Billing!$R$5:$R$40,[1]Billing!$V$5:$V$40)</f>
        <v>#N/A</v>
      </c>
      <c r="G131" s="22" t="e">
        <f>_xlfn.XLOOKUP($B82,[1]Billing!$R$5:$R$40,[1]Billing!$W$5:$W$40)</f>
        <v>#N/A</v>
      </c>
      <c r="H131" s="22" t="e">
        <f>_xlfn.XLOOKUP($B82,[1]Billing!$R$5:$R$40,[1]Billing!$X$5:$X$40)</f>
        <v>#N/A</v>
      </c>
      <c r="I131" s="22" t="e">
        <f>_xlfn.XLOOKUP($B82,[1]Billing!$R$5:$R$40,[1]Billing!$Y$5:$Y$40)</f>
        <v>#N/A</v>
      </c>
      <c r="J131" s="22" t="e">
        <f>_xlfn.XLOOKUP($B82,[1]Billing!$R$5:$R$40,[1]Billing!$Z$5:$Z$40)</f>
        <v>#N/A</v>
      </c>
      <c r="K131" s="22" t="e">
        <f>_xlfn.XLOOKUP($B82,[1]Billing!$R$5:$R$40,[1]Billing!$AA$5:$AA$40)</f>
        <v>#N/A</v>
      </c>
      <c r="L131" s="22" t="e">
        <f>_xlfn.XLOOKUP($B82,[1]Billing!$R$5:$R$40,[1]Billing!$AB$5:$AB$40)</f>
        <v>#N/A</v>
      </c>
      <c r="M131" s="22" t="e">
        <f>_xlfn.XLOOKUP($B82,[1]Billing!$R$5:$R$40,[1]Billing!$AC$5:$AC$40)</f>
        <v>#N/A</v>
      </c>
      <c r="N131" s="22" t="e">
        <f>_xlfn.XLOOKUP($B82,[1]Billing!$R$5:$R$40,[1]Billing!$AD$5:$AD$40)</f>
        <v>#N/A</v>
      </c>
      <c r="O131" s="39" t="e">
        <f t="shared" si="17"/>
        <v>#N/A</v>
      </c>
      <c r="P131" s="22" t="e">
        <f>_xlfn.XLOOKUP($B82,[1]Billing!$R$5:$R$40,[1]Billing!$AF$5:$AF$40)</f>
        <v>#N/A</v>
      </c>
      <c r="Q131" s="37" t="e">
        <f t="shared" si="19"/>
        <v>#N/A</v>
      </c>
    </row>
    <row r="132" spans="2:17" x14ac:dyDescent="0.3">
      <c r="B132">
        <v>0</v>
      </c>
      <c r="C132" s="22" t="e">
        <f>_xlfn.XLOOKUP($B83,[1]Billing!$R$5:$R$40,[1]Billing!$S$5:$S$40)</f>
        <v>#N/A</v>
      </c>
      <c r="D132" s="22" t="e">
        <f>_xlfn.XLOOKUP($B83,[1]Billing!$R$5:$R$40,[1]Billing!$T$5:$T$40)</f>
        <v>#N/A</v>
      </c>
      <c r="E132" s="22" t="e">
        <f>_xlfn.XLOOKUP($B83,[1]Billing!$R$5:$R$40,[1]Billing!$U$5:$U$40)</f>
        <v>#N/A</v>
      </c>
      <c r="F132" s="22" t="e">
        <f>_xlfn.XLOOKUP($B83,[1]Billing!$R$5:$R$40,[1]Billing!$V$5:$V$40)</f>
        <v>#N/A</v>
      </c>
      <c r="G132" s="22" t="e">
        <f>_xlfn.XLOOKUP($B83,[1]Billing!$R$5:$R$40,[1]Billing!$W$5:$W$40)</f>
        <v>#N/A</v>
      </c>
      <c r="H132" s="22" t="e">
        <f>_xlfn.XLOOKUP($B83,[1]Billing!$R$5:$R$40,[1]Billing!$X$5:$X$40)</f>
        <v>#N/A</v>
      </c>
      <c r="I132" s="22" t="e">
        <f>_xlfn.XLOOKUP($B83,[1]Billing!$R$5:$R$40,[1]Billing!$Y$5:$Y$40)</f>
        <v>#N/A</v>
      </c>
      <c r="J132" s="22" t="e">
        <f>_xlfn.XLOOKUP($B83,[1]Billing!$R$5:$R$40,[1]Billing!$Z$5:$Z$40)</f>
        <v>#N/A</v>
      </c>
      <c r="K132" s="22" t="e">
        <f>_xlfn.XLOOKUP($B83,[1]Billing!$R$5:$R$40,[1]Billing!$AA$5:$AA$40)</f>
        <v>#N/A</v>
      </c>
      <c r="L132" s="22" t="e">
        <f>_xlfn.XLOOKUP($B83,[1]Billing!$R$5:$R$40,[1]Billing!$AB$5:$AB$40)</f>
        <v>#N/A</v>
      </c>
      <c r="M132" s="22" t="e">
        <f>_xlfn.XLOOKUP($B83,[1]Billing!$R$5:$R$40,[1]Billing!$AC$5:$AC$40)</f>
        <v>#N/A</v>
      </c>
      <c r="N132" s="22" t="e">
        <f>_xlfn.XLOOKUP($B83,[1]Billing!$R$5:$R$40,[1]Billing!$AD$5:$AD$40)</f>
        <v>#N/A</v>
      </c>
      <c r="O132" s="39" t="e">
        <f t="shared" si="17"/>
        <v>#N/A</v>
      </c>
      <c r="P132" s="22" t="e">
        <f>_xlfn.XLOOKUP($B83,[1]Billing!$R$5:$R$40,[1]Billing!$AF$5:$AF$40)</f>
        <v>#N/A</v>
      </c>
      <c r="Q132" s="37" t="e">
        <f t="shared" si="19"/>
        <v>#N/A</v>
      </c>
    </row>
    <row r="133" spans="2:17" x14ac:dyDescent="0.3">
      <c r="B133" t="str">
        <v>Farhaan ali</v>
      </c>
      <c r="C133" s="22" t="e">
        <f>_xlfn.XLOOKUP($B84,[1]Billing!$R$5:$R$40,[1]Billing!$S$5:$S$40)</f>
        <v>#N/A</v>
      </c>
      <c r="D133" s="22" t="e">
        <f>_xlfn.XLOOKUP($B84,[1]Billing!$R$5:$R$40,[1]Billing!$T$5:$T$40)</f>
        <v>#N/A</v>
      </c>
      <c r="E133" s="22" t="e">
        <f>_xlfn.XLOOKUP($B84,[1]Billing!$R$5:$R$40,[1]Billing!$U$5:$U$40)</f>
        <v>#N/A</v>
      </c>
      <c r="F133" s="22" t="e">
        <f>_xlfn.XLOOKUP($B84,[1]Billing!$R$5:$R$40,[1]Billing!$V$5:$V$40)</f>
        <v>#N/A</v>
      </c>
      <c r="G133" s="22" t="e">
        <f>_xlfn.XLOOKUP($B84,[1]Billing!$R$5:$R$40,[1]Billing!$W$5:$W$40)</f>
        <v>#N/A</v>
      </c>
      <c r="H133" s="22" t="e">
        <f>_xlfn.XLOOKUP($B84,[1]Billing!$R$5:$R$40,[1]Billing!$X$5:$X$40)</f>
        <v>#N/A</v>
      </c>
      <c r="I133" s="22" t="e">
        <f>_xlfn.XLOOKUP($B84,[1]Billing!$R$5:$R$40,[1]Billing!$Y$5:$Y$40)</f>
        <v>#N/A</v>
      </c>
      <c r="J133" s="22" t="e">
        <f>_xlfn.XLOOKUP($B84,[1]Billing!$R$5:$R$40,[1]Billing!$Z$5:$Z$40)</f>
        <v>#N/A</v>
      </c>
      <c r="K133" s="22" t="e">
        <f>_xlfn.XLOOKUP($B84,[1]Billing!$R$5:$R$40,[1]Billing!$AA$5:$AA$40)</f>
        <v>#N/A</v>
      </c>
      <c r="L133" s="22" t="e">
        <f>_xlfn.XLOOKUP($B84,[1]Billing!$R$5:$R$40,[1]Billing!$AB$5:$AB$40)</f>
        <v>#N/A</v>
      </c>
      <c r="M133" s="22" t="e">
        <f>_xlfn.XLOOKUP($B84,[1]Billing!$R$5:$R$40,[1]Billing!$AC$5:$AC$40)</f>
        <v>#N/A</v>
      </c>
      <c r="N133" s="22" t="e">
        <f>_xlfn.XLOOKUP($B84,[1]Billing!$R$5:$R$40,[1]Billing!$AD$5:$AD$40)</f>
        <v>#N/A</v>
      </c>
      <c r="O133" s="39" t="e">
        <f t="shared" si="17"/>
        <v>#N/A</v>
      </c>
      <c r="P133" s="22" t="e">
        <f>_xlfn.XLOOKUP($B84,[1]Billing!$R$5:$R$40,[1]Billing!$AF$5:$AF$40)</f>
        <v>#N/A</v>
      </c>
    </row>
    <row r="134" spans="2:17" x14ac:dyDescent="0.3">
      <c r="B134" t="str">
        <v>ACM salman zaffar</v>
      </c>
      <c r="C134" s="22" t="e">
        <f>_xlfn.XLOOKUP($B85,[1]Billing!$R$5:$R$40,[1]Billing!$S$5:$S$40)</f>
        <v>#N/A</v>
      </c>
      <c r="D134" s="22" t="e">
        <f>_xlfn.XLOOKUP($B85,[1]Billing!$R$5:$R$40,[1]Billing!$T$5:$T$40)</f>
        <v>#N/A</v>
      </c>
      <c r="E134" s="22" t="e">
        <f>_xlfn.XLOOKUP($B85,[1]Billing!$R$5:$R$40,[1]Billing!$U$5:$U$40)</f>
        <v>#N/A</v>
      </c>
      <c r="F134" s="22" t="e">
        <f>_xlfn.XLOOKUP($B85,[1]Billing!$R$5:$R$40,[1]Billing!$V$5:$V$40)</f>
        <v>#N/A</v>
      </c>
      <c r="G134" s="22" t="e">
        <f>_xlfn.XLOOKUP($B85,[1]Billing!$R$5:$R$40,[1]Billing!$W$5:$W$40)</f>
        <v>#N/A</v>
      </c>
      <c r="H134" s="22" t="e">
        <f>_xlfn.XLOOKUP($B85,[1]Billing!$R$5:$R$40,[1]Billing!$X$5:$X$40)</f>
        <v>#N/A</v>
      </c>
      <c r="I134" s="22" t="e">
        <f>_xlfn.XLOOKUP($B85,[1]Billing!$R$5:$R$40,[1]Billing!$Y$5:$Y$40)</f>
        <v>#N/A</v>
      </c>
      <c r="J134" s="22" t="e">
        <f>_xlfn.XLOOKUP($B85,[1]Billing!$R$5:$R$40,[1]Billing!$Z$5:$Z$40)</f>
        <v>#N/A</v>
      </c>
      <c r="K134" s="22" t="e">
        <f>_xlfn.XLOOKUP($B85,[1]Billing!$R$5:$R$40,[1]Billing!$AA$5:$AA$40)</f>
        <v>#N/A</v>
      </c>
      <c r="L134" s="22" t="e">
        <f>_xlfn.XLOOKUP($B85,[1]Billing!$R$5:$R$40,[1]Billing!$AB$5:$AB$40)</f>
        <v>#N/A</v>
      </c>
      <c r="M134" s="22" t="e">
        <f>_xlfn.XLOOKUP($B85,[1]Billing!$R$5:$R$40,[1]Billing!$AC$5:$AC$40)</f>
        <v>#N/A</v>
      </c>
      <c r="N134" s="22" t="e">
        <f>_xlfn.XLOOKUP($B85,[1]Billing!$R$5:$R$40,[1]Billing!$AD$5:$AD$40)</f>
        <v>#N/A</v>
      </c>
      <c r="O134" s="39" t="e">
        <f t="shared" si="17"/>
        <v>#N/A</v>
      </c>
      <c r="P134" s="22" t="e">
        <f>_xlfn.XLOOKUP($B85,[1]Billing!$R$5:$R$40,[1]Billing!$AF$5:$AF$40)</f>
        <v>#N/A</v>
      </c>
    </row>
    <row r="135" spans="2:17" x14ac:dyDescent="0.3">
      <c r="B135" t="str">
        <v>Moeez badshah</v>
      </c>
      <c r="C135" s="22" t="e">
        <f>_xlfn.XLOOKUP($B86,[1]Billing!$R$5:$R$40,[1]Billing!$S$5:$S$40)</f>
        <v>#N/A</v>
      </c>
      <c r="D135" s="22" t="e">
        <f>_xlfn.XLOOKUP($B86,[1]Billing!$R$5:$R$40,[1]Billing!$T$5:$T$40)</f>
        <v>#N/A</v>
      </c>
      <c r="E135" s="22" t="e">
        <f>_xlfn.XLOOKUP($B86,[1]Billing!$R$5:$R$40,[1]Billing!$U$5:$U$40)</f>
        <v>#N/A</v>
      </c>
      <c r="F135" s="22" t="e">
        <f>_xlfn.XLOOKUP($B86,[1]Billing!$R$5:$R$40,[1]Billing!$V$5:$V$40)</f>
        <v>#N/A</v>
      </c>
      <c r="G135" s="22" t="e">
        <f>_xlfn.XLOOKUP($B86,[1]Billing!$R$5:$R$40,[1]Billing!$W$5:$W$40)</f>
        <v>#N/A</v>
      </c>
      <c r="H135" s="22" t="e">
        <f>_xlfn.XLOOKUP($B86,[1]Billing!$R$5:$R$40,[1]Billing!$X$5:$X$40)</f>
        <v>#N/A</v>
      </c>
      <c r="I135" s="22" t="e">
        <f>_xlfn.XLOOKUP($B86,[1]Billing!$R$5:$R$40,[1]Billing!$Y$5:$Y$40)</f>
        <v>#N/A</v>
      </c>
      <c r="J135" s="22" t="e">
        <f>_xlfn.XLOOKUP($B86,[1]Billing!$R$5:$R$40,[1]Billing!$Z$5:$Z$40)</f>
        <v>#N/A</v>
      </c>
      <c r="K135" s="22" t="e">
        <f>_xlfn.XLOOKUP($B86,[1]Billing!$R$5:$R$40,[1]Billing!$AA$5:$AA$40)</f>
        <v>#N/A</v>
      </c>
      <c r="L135" s="22" t="e">
        <f>_xlfn.XLOOKUP($B86,[1]Billing!$R$5:$R$40,[1]Billing!$AB$5:$AB$40)</f>
        <v>#N/A</v>
      </c>
      <c r="M135" s="22" t="e">
        <f>_xlfn.XLOOKUP($B86,[1]Billing!$R$5:$R$40,[1]Billing!$AC$5:$AC$40)</f>
        <v>#N/A</v>
      </c>
      <c r="N135" s="22" t="e">
        <f>_xlfn.XLOOKUP($B86,[1]Billing!$R$5:$R$40,[1]Billing!$AD$5:$AD$40)</f>
        <v>#N/A</v>
      </c>
      <c r="O135" s="39" t="e">
        <f t="shared" si="17"/>
        <v>#N/A</v>
      </c>
      <c r="P135" s="22" t="e">
        <f>_xlfn.XLOOKUP($B86,[1]Billing!$R$5:$R$40,[1]Billing!$AF$5:$AF$40)</f>
        <v>#N/A</v>
      </c>
    </row>
    <row r="136" spans="2:17" x14ac:dyDescent="0.3">
      <c r="B136" t="str">
        <v>Bablu</v>
      </c>
    </row>
    <row r="137" spans="2:17" x14ac:dyDescent="0.3">
      <c r="B137" t="str">
        <v>Sheikh Naveed</v>
      </c>
    </row>
    <row r="138" spans="2:17" x14ac:dyDescent="0.3">
      <c r="B138" t="str">
        <v>malik salman</v>
      </c>
    </row>
    <row r="139" spans="2:17" x14ac:dyDescent="0.3">
      <c r="B139" t="str">
        <v>Rehan Butt</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45"/>
  <sheetViews>
    <sheetView topLeftCell="A3" zoomScale="105" workbookViewId="0">
      <selection activeCell="H17" sqref="H1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45">_xlfn.UNIQUE(Table1[Party Name])</f>
        <v>BSC</v>
      </c>
    </row>
    <row r="5" spans="2:10" x14ac:dyDescent="0.3">
      <c r="J5" t="str">
        <v>Ejaz Sahab</v>
      </c>
    </row>
    <row r="6" spans="2:10" ht="21" x14ac:dyDescent="0.4">
      <c r="B6" s="64" t="s">
        <v>675</v>
      </c>
      <c r="J6" t="str">
        <v>Arshad</v>
      </c>
    </row>
    <row r="7" spans="2:10" ht="15.6" x14ac:dyDescent="0.3">
      <c r="B7" s="62" t="s">
        <v>36</v>
      </c>
      <c r="C7" s="62" t="s">
        <v>4</v>
      </c>
      <c r="D7" s="62" t="s">
        <v>149</v>
      </c>
      <c r="E7" s="62" t="s">
        <v>150</v>
      </c>
      <c r="J7" t="str">
        <v>Shehzad Kamoki</v>
      </c>
    </row>
    <row r="8" spans="2:10" ht="18" x14ac:dyDescent="0.35">
      <c r="B8" s="55" t="s">
        <v>37</v>
      </c>
      <c r="C8" s="66"/>
      <c r="D8" s="68" t="e" cm="1">
        <f t="array" ref="D8">_xlfn.XLOOKUP($B$6,_xlfn.ANCHORARRAY( Billing!R5), INDEX(Billing!S5:S25, _xlfn.SEQUENCE(ROWS(_xlfn.ANCHORARRAY(Billing!$R$5)))), "Not Found")</f>
        <v>#REF!</v>
      </c>
      <c r="E8" s="66"/>
      <c r="J8" t="str">
        <v>Sufi Nawaz Sahab</v>
      </c>
    </row>
    <row r="9" spans="2:10" ht="18" x14ac:dyDescent="0.35">
      <c r="B9" s="55"/>
      <c r="C9" s="66"/>
      <c r="D9" s="66"/>
      <c r="E9" s="66"/>
      <c r="J9" t="str">
        <v>Sajad Khan</v>
      </c>
    </row>
    <row r="10" spans="2:10" ht="18" x14ac:dyDescent="0.35">
      <c r="B10" s="55" t="s">
        <v>38</v>
      </c>
      <c r="C10" s="66"/>
      <c r="D10" s="68" t="e" cm="1">
        <f t="array" ref="D10">_xlfn.XLOOKUP($B$6,_xlfn.ANCHORARRAY( Billing!$R$5), INDEX(Billing!T5:T25, _xlfn.SEQUENCE(ROWS(_xlfn.ANCHORARRAY(Billing!$R$5)))), "Not Found")</f>
        <v>#REF!</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OFFSET(Billing!R49, 0, 0, ROWS(_xlfn.ANCHORARRAY(Billing!$B$49))), "Not Found")</f>
        <v>0</v>
      </c>
      <c r="D12" s="66" t="e" cm="1">
        <f t="array" ref="D12">_xlfn.XLOOKUP($B$6,_xlfn.ANCHORARRAY( Billing!$R$5), INDEX(Billing!U5:U25, _xlfn.SEQUENCE(ROWS(_xlfn.ANCHORARRAY(Billing!$R$5)))), "Not Found")</f>
        <v>#REF!</v>
      </c>
      <c r="E12" s="91" t="e">
        <f ca="1">Table21[[#This Row],[gazana]]*Table21[[#This Row],[Rate]]</f>
        <v>#REF!</v>
      </c>
      <c r="J12" t="str">
        <v>Ubaidullah</v>
      </c>
    </row>
    <row r="13" spans="2:10" ht="18" x14ac:dyDescent="0.35">
      <c r="B13" s="65"/>
      <c r="C13" s="67"/>
      <c r="D13" s="67"/>
      <c r="E13" s="66"/>
      <c r="J13" t="str">
        <v>Ashraf Zia</v>
      </c>
    </row>
    <row r="14" spans="2:10" ht="18" x14ac:dyDescent="0.35">
      <c r="B14" s="55" t="s">
        <v>40</v>
      </c>
      <c r="C14" s="66">
        <v>13</v>
      </c>
      <c r="D14" s="66" t="e" cm="1">
        <f t="array" ref="D14">_xlfn.XLOOKUP($B$6,_xlfn.ANCHORARRAY( Billing!$R$5), INDEX(Billing!V5:V25, _xlfn.SEQUENCE(ROWS(_xlfn.ANCHORARRAY(Billing!$R$5)))), "Not Found")</f>
        <v>#REF!</v>
      </c>
      <c r="E14" s="66" t="e">
        <f>Table21[[#This Row],[gazana]]*Table21[[#This Row],[Rate]]</f>
        <v>#REF!</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0"/>
      <c r="E16" s="92" t="e">
        <f ca="1">E12+E14</f>
        <v>#REF!</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0"/>
      <c r="E18" s="92" cm="1">
        <f t="array" aca="1" ref="E18" ca="1">_xlfn.XLOOKUP($B$6,_xlfn.ANCHORARRAY( Billing!R5), OFFSET(Billing!AF5, 0, 0, ROWS(_xlfn.ANCHORARRAY(Billing!R5))), "Not Found")</f>
        <v>4298879</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0"/>
      <c r="E20" s="100" cm="1">
        <f t="array" aca="1" ref="E20" ca="1">_xlfn.XLOOKUP($B$6,_xlfn.ANCHORARRAY( Billing!R5), OFFSET(Billing!AG5, 0, 0, ROWS(_xlfn.ANCHORARRAY(Billing!R5))), "Not Found")</f>
        <v>944464.26993416343</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Shani Badshah</v>
      </c>
    </row>
    <row r="31" spans="2:10" x14ac:dyDescent="0.3">
      <c r="J31" t="str">
        <v>Rehman Ali</v>
      </c>
    </row>
    <row r="32" spans="2:10" x14ac:dyDescent="0.3">
      <c r="J32" t="str">
        <v>Ahmad Shafique</v>
      </c>
    </row>
    <row r="33" spans="10:10" x14ac:dyDescent="0.3">
      <c r="J33" t="str">
        <v>Hafiz Shawl</v>
      </c>
    </row>
    <row r="34" spans="10:10" x14ac:dyDescent="0.3">
      <c r="J34" t="str">
        <v>Zahid Ejaz</v>
      </c>
    </row>
    <row r="35" spans="10:10" x14ac:dyDescent="0.3">
      <c r="J35" t="str">
        <v>Faizan Kamoki</v>
      </c>
    </row>
    <row r="36" spans="10:10" x14ac:dyDescent="0.3">
      <c r="J36" t="str">
        <v>KK fabrics</v>
      </c>
    </row>
    <row r="37" spans="10:10" x14ac:dyDescent="0.3">
      <c r="J37" t="str">
        <v>Rauf Khan</v>
      </c>
    </row>
    <row r="38" spans="10:10" x14ac:dyDescent="0.3">
      <c r="J38">
        <v>0</v>
      </c>
    </row>
    <row r="39" spans="10:10" x14ac:dyDescent="0.3">
      <c r="J39" t="str">
        <v>Farhaan ali</v>
      </c>
    </row>
    <row r="40" spans="10:10" x14ac:dyDescent="0.3">
      <c r="J40" t="str">
        <v>ACM salman zaffar</v>
      </c>
    </row>
    <row r="41" spans="10:10" x14ac:dyDescent="0.3">
      <c r="J41" t="str">
        <v>Moeez badshah</v>
      </c>
    </row>
    <row r="42" spans="10:10" x14ac:dyDescent="0.3">
      <c r="J42" t="str">
        <v>Bablu</v>
      </c>
    </row>
    <row r="43" spans="10:10" x14ac:dyDescent="0.3">
      <c r="J43" t="str">
        <v>Sheikh Naveed</v>
      </c>
    </row>
    <row r="44" spans="10:10" x14ac:dyDescent="0.3">
      <c r="J44" t="str">
        <v>malik salman</v>
      </c>
    </row>
    <row r="45" spans="10:10" x14ac:dyDescent="0.3">
      <c r="J45" t="str">
        <v>Rehan Butt</v>
      </c>
    </row>
  </sheetData>
  <conditionalFormatting sqref="E20">
    <cfRule type="cellIs" dxfId="4" priority="1" operator="lessThan">
      <formula>20000</formula>
    </cfRule>
    <cfRule type="cellIs" dxfId="3"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topLeftCell="A10" zoomScale="150" workbookViewId="0">
      <selection activeCell="C12" sqref="C12"/>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216</v>
      </c>
    </row>
    <row r="4" spans="1:5" x14ac:dyDescent="0.3">
      <c r="B4" t="s">
        <v>47</v>
      </c>
      <c r="C4" s="11">
        <f>Wood!K6</f>
        <v>16230110</v>
      </c>
      <c r="D4" t="s">
        <v>188</v>
      </c>
      <c r="E4" s="43">
        <f ca="1">Table12[[#This Row],[Amount]]/Table1[[#Totals],[tiyar/meters]]</f>
        <v>4.8360728814787732</v>
      </c>
    </row>
    <row r="5" spans="1:5" x14ac:dyDescent="0.3">
      <c r="B5" t="s">
        <v>48</v>
      </c>
      <c r="C5" s="11">
        <f>SUM(Table8[Price])</f>
        <v>3265205</v>
      </c>
      <c r="E5" s="43">
        <f ca="1">Table12[[#This Row],[Amount]]/Table1[[#Totals],[tiyar/meters]]</f>
        <v>0.9729305194461958</v>
      </c>
    </row>
    <row r="6" spans="1:5" x14ac:dyDescent="0.3">
      <c r="B6" t="s">
        <v>49</v>
      </c>
      <c r="C6" s="11">
        <f>SUM(Table2[Price])</f>
        <v>1184900</v>
      </c>
      <c r="D6" t="s">
        <v>187</v>
      </c>
      <c r="E6" s="43">
        <f ca="1">Table12[[#This Row],[Amount]]/Table1[[#Totals],[tiyar/meters]]</f>
        <v>0.35306370426720446</v>
      </c>
    </row>
    <row r="7" spans="1:5" x14ac:dyDescent="0.3">
      <c r="B7" t="s">
        <v>50</v>
      </c>
      <c r="C7" s="11">
        <f>SUMIFS(Table14[Debit], Table14[Party],Table12[[#This Row],[Type]])</f>
        <v>261194</v>
      </c>
      <c r="E7" s="43">
        <f ca="1">Table12[[#This Row],[Amount]]/Table1[[#Totals],[tiyar/meters]]</f>
        <v>7.7827767045631033E-2</v>
      </c>
    </row>
    <row r="8" spans="1:5" x14ac:dyDescent="0.3">
      <c r="B8" t="s">
        <v>51</v>
      </c>
      <c r="C8" s="11">
        <f>Electricity!E6</f>
        <v>3973945</v>
      </c>
      <c r="E8" s="43">
        <f ca="1">Table12[[#This Row],[Amount]]/Table1[[#Totals],[tiyar/meters]]</f>
        <v>1.1841132097680276</v>
      </c>
    </row>
    <row r="9" spans="1:5" x14ac:dyDescent="0.3">
      <c r="B9" t="s">
        <v>52</v>
      </c>
      <c r="C9" s="11">
        <f>SUMIFS(Table14[Debit], Table14[Party],Table12[[#This Row],[Type]])+SUMIFS(Table14[Debit], Table14[Party],"Advance Salary")</f>
        <v>9919613</v>
      </c>
      <c r="E9" s="43">
        <f ca="1">Table12[[#This Row],[Amount]]/Table1[[#Totals],[tiyar/meters]]</f>
        <v>2.9557391431151294</v>
      </c>
    </row>
    <row r="10" spans="1:5" x14ac:dyDescent="0.3">
      <c r="B10" t="s">
        <v>53</v>
      </c>
      <c r="C10" s="11">
        <f>Table5[[#Totals],[Amount]]</f>
        <v>468575</v>
      </c>
      <c r="E10" s="43">
        <f ca="1">Table12[[#This Row],[Amount]]/Table1[[#Totals],[tiyar/meters]]</f>
        <v>0.1396209175685757</v>
      </c>
    </row>
    <row r="11" spans="1:5" x14ac:dyDescent="0.3">
      <c r="B11" t="s">
        <v>54</v>
      </c>
      <c r="C11" s="11">
        <f>Table13[[#Totals],[Debit]]</f>
        <v>391810.4</v>
      </c>
      <c r="E11" s="43">
        <f ca="1">Table12[[#This Row],[Amount]]/Table1[[#Totals],[tiyar/meters]]</f>
        <v>0.11674743117091324</v>
      </c>
    </row>
    <row r="12" spans="1:5" x14ac:dyDescent="0.3">
      <c r="B12" t="s">
        <v>55</v>
      </c>
      <c r="C12" s="11">
        <f>Table15[[#Totals],[Amount]]</f>
        <v>2090514</v>
      </c>
      <c r="E12" s="43">
        <f ca="1">Table12[[#This Row],[Amount]]/Table1[[#Totals],[tiyar/meters]]</f>
        <v>0.62290878273478834</v>
      </c>
    </row>
    <row r="13" spans="1:5" x14ac:dyDescent="0.3">
      <c r="C13" s="11"/>
      <c r="E13" s="43">
        <f ca="1">Table12[[#This Row],[Amount]]/Table1[[#Totals],[tiyar/meters]]</f>
        <v>0</v>
      </c>
    </row>
    <row r="14" spans="1:5" x14ac:dyDescent="0.3">
      <c r="C14" s="14">
        <f>SUM(Table12[Amount])</f>
        <v>37785866.399999999</v>
      </c>
      <c r="E14" s="43">
        <f ca="1">SUM(Table12[cost per meter])</f>
        <v>11.259024356595239</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topLeftCell="A5" zoomScale="120" workbookViewId="0">
      <selection activeCell="F21" sqref="F21"/>
    </sheetView>
  </sheetViews>
  <sheetFormatPr defaultRowHeight="14.4" x14ac:dyDescent="0.3"/>
  <cols>
    <col min="2" max="2" width="11.6640625" customWidth="1"/>
    <col min="3" max="3" width="13" bestFit="1" customWidth="1"/>
    <col min="6" max="6" width="13.6640625" customWidth="1"/>
    <col min="8" max="8" width="10.33203125" bestFit="1" customWidth="1"/>
  </cols>
  <sheetData>
    <row r="2" spans="1:3" x14ac:dyDescent="0.3">
      <c r="B2" s="11" t="s">
        <v>66</v>
      </c>
      <c r="C2" s="11" t="s">
        <v>67</v>
      </c>
    </row>
    <row r="3" spans="1:3" x14ac:dyDescent="0.3">
      <c r="B3" s="11" t="s">
        <v>0</v>
      </c>
      <c r="C3" s="11">
        <f>Billing!C23 + SUMIFS(Table14[Credit], Table14[Party], "Transport")</f>
        <v>35971950.621799566</v>
      </c>
    </row>
    <row r="4" spans="1:3" x14ac:dyDescent="0.3">
      <c r="B4" s="11" t="s">
        <v>44</v>
      </c>
      <c r="C4" s="11">
        <f>Table12[[#Totals],[Amount]]</f>
        <v>37785866.399999999</v>
      </c>
    </row>
    <row r="5" spans="1:3" x14ac:dyDescent="0.3">
      <c r="A5" s="6"/>
      <c r="B5" s="15" t="s">
        <v>68</v>
      </c>
      <c r="C5" s="15">
        <f>C3-C4</f>
        <v>-1813915.7782004327</v>
      </c>
    </row>
    <row r="10" spans="1:3" ht="15" thickBot="1" x14ac:dyDescent="0.35">
      <c r="B10" t="s">
        <v>66</v>
      </c>
      <c r="C10" s="14" t="s">
        <v>67</v>
      </c>
    </row>
    <row r="11" spans="1:3" x14ac:dyDescent="0.3">
      <c r="B11" s="56" t="s">
        <v>0</v>
      </c>
      <c r="C11" s="57">
        <f>C3</f>
        <v>35971950.621799566</v>
      </c>
    </row>
    <row r="12" spans="1:3" x14ac:dyDescent="0.3">
      <c r="B12" s="58" t="s">
        <v>69</v>
      </c>
      <c r="C12" s="59">
        <f>SUM(Table14[Credit])</f>
        <v>52693165.229517192</v>
      </c>
    </row>
    <row r="13" spans="1:3" ht="15" thickBot="1" x14ac:dyDescent="0.35">
      <c r="B13" s="74" t="s">
        <v>93</v>
      </c>
      <c r="C13" s="73">
        <f>(C11-C12)</f>
        <v>-16721214.607717626</v>
      </c>
    </row>
    <row r="14" spans="1:3" ht="15" thickBot="1" x14ac:dyDescent="0.35">
      <c r="B14" s="58"/>
      <c r="C14" s="59"/>
    </row>
    <row r="15" spans="1:3" x14ac:dyDescent="0.3">
      <c r="B15" s="56" t="s">
        <v>44</v>
      </c>
      <c r="C15" s="57">
        <f>C4</f>
        <v>37785866.399999999</v>
      </c>
    </row>
    <row r="16" spans="1:3" x14ac:dyDescent="0.3">
      <c r="B16" s="58" t="s">
        <v>70</v>
      </c>
      <c r="C16" s="59">
        <f>SUM(Table14[Debit])</f>
        <v>52662471.68</v>
      </c>
    </row>
    <row r="17" spans="2:6" ht="15" thickBot="1" x14ac:dyDescent="0.35">
      <c r="B17" s="74" t="s">
        <v>71</v>
      </c>
      <c r="C17" s="73">
        <f>C15-C16</f>
        <v>-14876605.280000001</v>
      </c>
    </row>
    <row r="18" spans="2:6" ht="15" thickBot="1" x14ac:dyDescent="0.35">
      <c r="B18" s="58"/>
      <c r="C18" s="59"/>
    </row>
    <row r="19" spans="2:6" ht="15" thickBot="1" x14ac:dyDescent="0.35">
      <c r="B19" s="75" t="s">
        <v>72</v>
      </c>
      <c r="C19" s="76">
        <f>Table18[[#Totals],[amount]]</f>
        <v>1193467.5495171919</v>
      </c>
    </row>
    <row r="20" spans="2:6" ht="15" thickBot="1" x14ac:dyDescent="0.35">
      <c r="B20" s="71"/>
      <c r="C20" s="72"/>
    </row>
    <row r="21" spans="2:6" ht="15" thickBot="1" x14ac:dyDescent="0.35">
      <c r="B21" s="60" t="s">
        <v>73</v>
      </c>
      <c r="C21" s="61">
        <f>(C13-C17)+C19</f>
        <v>-651141.77820043266</v>
      </c>
      <c r="E21" s="79" t="s">
        <v>74</v>
      </c>
      <c r="F21" s="121">
        <f>C5*0.05</f>
        <v>-90695.788910021642</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190"/>
  <sheetViews>
    <sheetView topLeftCell="A168" workbookViewId="0">
      <selection activeCell="B3" sqref="B3:B189"/>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46072</v>
      </c>
      <c r="D3">
        <f>SUMIFS(Table14[Debit], Table14[Date], Table13[[#This Row],[Date]], Table14[Party], "Transport")</f>
        <v>0</v>
      </c>
      <c r="E3">
        <f>SUMIFS(Table14[Credit], Table14[Date], Table13[[#This Row],[Date]], Table14[Party], "Transport")</f>
        <v>0</v>
      </c>
    </row>
    <row r="4" spans="2:6" x14ac:dyDescent="0.3">
      <c r="B4" s="1">
        <v>46073</v>
      </c>
      <c r="D4">
        <f>SUMIFS(Table14[Debit], Table14[Date], Table13[[#This Row],[Date]], Table14[Party], "Transport")</f>
        <v>0</v>
      </c>
      <c r="E4">
        <f>SUMIFS(Table14[Credit], Table14[Date], Table13[[#This Row],[Date]], Table14[Party], "Transport")</f>
        <v>0</v>
      </c>
    </row>
    <row r="5" spans="2:6" x14ac:dyDescent="0.3">
      <c r="B5" s="1">
        <v>46074</v>
      </c>
      <c r="D5">
        <f>SUMIFS(Table14[Debit], Table14[Date], Table13[[#This Row],[Date]], Table14[Party], "Transport")</f>
        <v>0</v>
      </c>
      <c r="E5">
        <f>SUMIFS(Table14[Credit], Table14[Date], Table13[[#This Row],[Date]], Table14[Party], "Transport")</f>
        <v>0</v>
      </c>
    </row>
    <row r="6" spans="2:6" x14ac:dyDescent="0.3">
      <c r="B6" s="1">
        <v>46075</v>
      </c>
      <c r="D6">
        <f>SUMIFS(Table14[Debit], Table14[Date], Table13[[#This Row],[Date]], Table14[Party], "Transport")</f>
        <v>0</v>
      </c>
      <c r="E6">
        <f>SUMIFS(Table14[Credit], Table14[Date], Table13[[#This Row],[Date]], Table14[Party], "Transport")</f>
        <v>0</v>
      </c>
    </row>
    <row r="7" spans="2:6" x14ac:dyDescent="0.3">
      <c r="B7" s="1">
        <v>46076</v>
      </c>
      <c r="D7">
        <f>SUMIFS(Table14[Debit], Table14[Date], Table13[[#This Row],[Date]], Table14[Party], "Transport")</f>
        <v>0</v>
      </c>
      <c r="E7">
        <f>SUMIFS(Table14[Credit], Table14[Date], Table13[[#This Row],[Date]], Table14[Party], "Transport")</f>
        <v>0</v>
      </c>
    </row>
    <row r="8" spans="2:6" x14ac:dyDescent="0.3">
      <c r="B8" s="1">
        <v>46077</v>
      </c>
      <c r="D8">
        <f>SUMIFS(Table14[Debit], Table14[Date], Table13[[#This Row],[Date]], Table14[Party], "Transport")</f>
        <v>0</v>
      </c>
      <c r="E8">
        <f>SUMIFS(Table14[Credit], Table14[Date], Table13[[#This Row],[Date]], Table14[Party], "Transport")</f>
        <v>0</v>
      </c>
    </row>
    <row r="9" spans="2:6" x14ac:dyDescent="0.3">
      <c r="B9" s="1">
        <v>46078</v>
      </c>
      <c r="D9">
        <f>SUMIFS(Table14[Debit], Table14[Date], Table13[[#This Row],[Date]], Table14[Party], "Transport")</f>
        <v>0</v>
      </c>
      <c r="E9">
        <f>SUMIFS(Table14[Credit], Table14[Date], Table13[[#This Row],[Date]], Table14[Party], "Transport")</f>
        <v>0</v>
      </c>
    </row>
    <row r="10" spans="2:6" x14ac:dyDescent="0.3">
      <c r="B10" s="1">
        <v>46079</v>
      </c>
      <c r="D10">
        <f>SUMIFS(Table14[Debit], Table14[Date], Table13[[#This Row],[Date]], Table14[Party], "Transport")</f>
        <v>0</v>
      </c>
      <c r="E10">
        <f>SUMIFS(Table14[Credit], Table14[Date], Table13[[#This Row],[Date]], Table14[Party], "Transport")</f>
        <v>0</v>
      </c>
    </row>
    <row r="11" spans="2:6" x14ac:dyDescent="0.3">
      <c r="B11" s="1">
        <v>46080</v>
      </c>
      <c r="D11">
        <f>SUMIFS(Table14[Debit], Table14[Date], Table13[[#This Row],[Date]], Table14[Party], "Transport")</f>
        <v>0</v>
      </c>
      <c r="E11">
        <f>SUMIFS(Table14[Credit], Table14[Date], Table13[[#This Row],[Date]], Table14[Party], "Transport")</f>
        <v>0</v>
      </c>
    </row>
    <row r="12" spans="2:6" x14ac:dyDescent="0.3">
      <c r="B12" s="1">
        <v>46081</v>
      </c>
      <c r="D12">
        <f>SUMIFS(Table14[Debit], Table14[Date], Table13[[#This Row],[Date]], Table14[Party], "Transport")</f>
        <v>0</v>
      </c>
      <c r="E12">
        <f>SUMIFS(Table14[Credit], Table14[Date], Table13[[#This Row],[Date]], Table14[Party], "Transport")</f>
        <v>0</v>
      </c>
    </row>
    <row r="13" spans="2:6" x14ac:dyDescent="0.3">
      <c r="B13" s="1">
        <v>46082</v>
      </c>
      <c r="D13">
        <f>SUMIFS(Table14[Debit], Table14[Date], Table13[[#This Row],[Date]], Table14[Party], "Transport")</f>
        <v>0</v>
      </c>
      <c r="E13">
        <f>SUMIFS(Table14[Credit], Table14[Date], Table13[[#This Row],[Date]], Table14[Party], "Transport")</f>
        <v>0</v>
      </c>
    </row>
    <row r="14" spans="2:6" x14ac:dyDescent="0.3">
      <c r="B14" s="1">
        <v>46083</v>
      </c>
      <c r="D14">
        <f>SUMIFS(Table14[Debit], Table14[Date], Table13[[#This Row],[Date]], Table14[Party], "Transport")</f>
        <v>0</v>
      </c>
      <c r="E14">
        <f>SUMIFS(Table14[Credit], Table14[Date], Table13[[#This Row],[Date]], Table14[Party], "Transport")</f>
        <v>0</v>
      </c>
    </row>
    <row r="15" spans="2:6" x14ac:dyDescent="0.3">
      <c r="B15" s="1">
        <v>46084</v>
      </c>
      <c r="D15">
        <f>SUMIFS(Table14[Debit], Table14[Date], Table13[[#This Row],[Date]], Table14[Party], "Transport")</f>
        <v>0</v>
      </c>
      <c r="E15">
        <f>SUMIFS(Table14[Credit], Table14[Date], Table13[[#This Row],[Date]], Table14[Party], "Transport")</f>
        <v>0</v>
      </c>
    </row>
    <row r="16" spans="2:6" x14ac:dyDescent="0.3">
      <c r="B16" s="1">
        <v>46085</v>
      </c>
      <c r="D16">
        <f>SUMIFS(Table14[Debit], Table14[Date], Table13[[#This Row],[Date]], Table14[Party], "Transport")</f>
        <v>0</v>
      </c>
      <c r="E16">
        <f>SUMIFS(Table14[Credit], Table14[Date], Table13[[#This Row],[Date]], Table14[Party], "Transport")</f>
        <v>0</v>
      </c>
    </row>
    <row r="17" spans="2:5" x14ac:dyDescent="0.3">
      <c r="B17" s="1">
        <v>46086</v>
      </c>
      <c r="D17">
        <f>SUMIFS(Table14[Debit], Table14[Date], Table13[[#This Row],[Date]], Table14[Party], "Transport")</f>
        <v>0</v>
      </c>
      <c r="E17">
        <f>SUMIFS(Table14[Credit], Table14[Date], Table13[[#This Row],[Date]], Table14[Party], "Transport")</f>
        <v>0</v>
      </c>
    </row>
    <row r="18" spans="2:5" x14ac:dyDescent="0.3">
      <c r="B18" s="1">
        <v>46087</v>
      </c>
      <c r="D18">
        <f>SUMIFS(Table14[Debit], Table14[Date], Table13[[#This Row],[Date]], Table14[Party], "Transport")</f>
        <v>0</v>
      </c>
      <c r="E18">
        <f>SUMIFS(Table14[Credit], Table14[Date], Table13[[#This Row],[Date]], Table14[Party], "Transport")</f>
        <v>0</v>
      </c>
    </row>
    <row r="19" spans="2:5" x14ac:dyDescent="0.3">
      <c r="B19" s="1">
        <v>46088</v>
      </c>
      <c r="D19">
        <f>SUMIFS(Table14[Debit], Table14[Date], Table13[[#This Row],[Date]], Table14[Party], "Transport")</f>
        <v>0</v>
      </c>
      <c r="E19">
        <f>SUMIFS(Table14[Credit], Table14[Date], Table13[[#This Row],[Date]], Table14[Party], "Transport")</f>
        <v>0</v>
      </c>
    </row>
    <row r="20" spans="2:5" x14ac:dyDescent="0.3">
      <c r="B20" s="1">
        <v>46089</v>
      </c>
      <c r="D20">
        <f>SUMIFS(Table14[Debit], Table14[Date], Table13[[#This Row],[Date]], Table14[Party], "Transport")</f>
        <v>0</v>
      </c>
      <c r="E20">
        <f>SUMIFS(Table14[Credit], Table14[Date], Table13[[#This Row],[Date]], Table14[Party], "Transport")</f>
        <v>0</v>
      </c>
    </row>
    <row r="21" spans="2:5" x14ac:dyDescent="0.3">
      <c r="B21" s="1">
        <v>46090</v>
      </c>
      <c r="D21">
        <f>SUMIFS(Table14[Debit], Table14[Date], Table13[[#This Row],[Date]], Table14[Party], "Transport")</f>
        <v>0</v>
      </c>
      <c r="E21">
        <f>SUMIFS(Table14[Credit], Table14[Date], Table13[[#This Row],[Date]], Table14[Party], "Transport")</f>
        <v>0</v>
      </c>
    </row>
    <row r="22" spans="2:5" x14ac:dyDescent="0.3">
      <c r="B22" s="1">
        <v>46091</v>
      </c>
      <c r="D22">
        <f>SUMIFS(Table14[Debit], Table14[Date], Table13[[#This Row],[Date]], Table14[Party], "Transport")</f>
        <v>0</v>
      </c>
      <c r="E22">
        <f>SUMIFS(Table14[Credit], Table14[Date], Table13[[#This Row],[Date]], Table14[Party], "Transport")</f>
        <v>0</v>
      </c>
    </row>
    <row r="23" spans="2:5" x14ac:dyDescent="0.3">
      <c r="B23" s="1">
        <v>46092</v>
      </c>
      <c r="D23">
        <f>SUMIFS(Table14[Debit], Table14[Date], Table13[[#This Row],[Date]], Table14[Party], "Transport")</f>
        <v>0</v>
      </c>
      <c r="E23">
        <f>SUMIFS(Table14[Credit], Table14[Date], Table13[[#This Row],[Date]], Table14[Party], "Transport")</f>
        <v>0</v>
      </c>
    </row>
    <row r="24" spans="2:5" x14ac:dyDescent="0.3">
      <c r="B24" s="1">
        <v>46093</v>
      </c>
      <c r="D24">
        <f>SUMIFS(Table14[Debit], Table14[Date], Table13[[#This Row],[Date]], Table14[Party], "Transport")</f>
        <v>0</v>
      </c>
      <c r="E24">
        <f>SUMIFS(Table14[Credit], Table14[Date], Table13[[#This Row],[Date]], Table14[Party], "Transport")</f>
        <v>0</v>
      </c>
    </row>
    <row r="25" spans="2:5" x14ac:dyDescent="0.3">
      <c r="B25" s="1">
        <v>46094</v>
      </c>
      <c r="D25">
        <f>SUMIFS(Table14[Debit], Table14[Date], Table13[[#This Row],[Date]], Table14[Party], "Transport")</f>
        <v>0</v>
      </c>
      <c r="E25">
        <f>SUMIFS(Table14[Credit], Table14[Date], Table13[[#This Row],[Date]], Table14[Party], "Transport")</f>
        <v>0</v>
      </c>
    </row>
    <row r="26" spans="2:5" x14ac:dyDescent="0.3">
      <c r="B26" s="1">
        <v>46095</v>
      </c>
      <c r="D26">
        <f>SUMIFS(Table14[Debit], Table14[Date], Table13[[#This Row],[Date]], Table14[Party], "Transport")</f>
        <v>0</v>
      </c>
      <c r="E26">
        <f>SUMIFS(Table14[Credit], Table14[Date], Table13[[#This Row],[Date]], Table14[Party], "Transport")</f>
        <v>0</v>
      </c>
    </row>
    <row r="27" spans="2:5" x14ac:dyDescent="0.3">
      <c r="B27" s="1">
        <v>46096</v>
      </c>
      <c r="D27">
        <f>SUMIFS(Table14[Debit], Table14[Date], Table13[[#This Row],[Date]], Table14[Party], "Transport")</f>
        <v>0</v>
      </c>
      <c r="E27">
        <f>SUMIFS(Table14[Credit], Table14[Date], Table13[[#This Row],[Date]], Table14[Party], "Transport")</f>
        <v>0</v>
      </c>
    </row>
    <row r="28" spans="2:5" x14ac:dyDescent="0.3">
      <c r="B28" s="1">
        <v>46097</v>
      </c>
      <c r="D28">
        <f>SUMIFS(Table14[Debit], Table14[Date], Table13[[#This Row],[Date]], Table14[Party], "Transport")</f>
        <v>0</v>
      </c>
      <c r="E28">
        <f>SUMIFS(Table14[Credit], Table14[Date], Table13[[#This Row],[Date]], Table14[Party], "Transport")</f>
        <v>0</v>
      </c>
    </row>
    <row r="29" spans="2:5" x14ac:dyDescent="0.3">
      <c r="B29" s="1">
        <v>46098</v>
      </c>
      <c r="D29">
        <f>SUMIFS(Table14[Debit], Table14[Date], Table13[[#This Row],[Date]], Table14[Party], "Transport")</f>
        <v>0</v>
      </c>
      <c r="E29">
        <f>SUMIFS(Table14[Credit], Table14[Date], Table13[[#This Row],[Date]], Table14[Party], "Transport")</f>
        <v>0</v>
      </c>
    </row>
    <row r="30" spans="2:5" x14ac:dyDescent="0.3">
      <c r="B30" s="1">
        <v>46099</v>
      </c>
      <c r="D30">
        <f>SUMIFS(Table14[Debit], Table14[Date], Table13[[#This Row],[Date]], Table14[Party], "Transport")</f>
        <v>0</v>
      </c>
      <c r="E30">
        <f>SUMIFS(Table14[Credit], Table14[Date], Table13[[#This Row],[Date]], Table14[Party], "Transport")</f>
        <v>0</v>
      </c>
    </row>
    <row r="31" spans="2:5" x14ac:dyDescent="0.3">
      <c r="B31" s="1">
        <v>46100</v>
      </c>
      <c r="D31">
        <f>SUMIFS(Table14[Debit], Table14[Date], Table13[[#This Row],[Date]], Table14[Party], "Transport")</f>
        <v>0</v>
      </c>
      <c r="E31">
        <f>SUMIFS(Table14[Credit], Table14[Date], Table13[[#This Row],[Date]], Table14[Party], "Transport")</f>
        <v>0</v>
      </c>
    </row>
    <row r="32" spans="2:5" x14ac:dyDescent="0.3">
      <c r="B32" s="1">
        <v>46101</v>
      </c>
      <c r="D32">
        <f>SUMIFS(Table14[Debit], Table14[Date], Table13[[#This Row],[Date]], Table14[Party], "Transport")</f>
        <v>0</v>
      </c>
      <c r="E32">
        <f>SUMIFS(Table14[Credit], Table14[Date], Table13[[#This Row],[Date]], Table14[Party], "Transport")</f>
        <v>0</v>
      </c>
    </row>
    <row r="33" spans="2:5" x14ac:dyDescent="0.3">
      <c r="B33" s="1">
        <v>46102</v>
      </c>
      <c r="D33">
        <f>SUMIFS(Table14[Debit], Table14[Date], Table13[[#This Row],[Date]], Table14[Party], "Transport")</f>
        <v>0</v>
      </c>
      <c r="E33">
        <f>SUMIFS(Table14[Credit], Table14[Date], Table13[[#This Row],[Date]], Table14[Party], "Transport")</f>
        <v>0</v>
      </c>
    </row>
    <row r="34" spans="2:5" x14ac:dyDescent="0.3">
      <c r="B34" s="1">
        <v>46103</v>
      </c>
      <c r="D34">
        <f>SUMIFS(Table14[Debit], Table14[Date], Table13[[#This Row],[Date]], Table14[Party], "Transport")</f>
        <v>0</v>
      </c>
      <c r="E34">
        <f>SUMIFS(Table14[Credit], Table14[Date], Table13[[#This Row],[Date]], Table14[Party], "Transport")</f>
        <v>0</v>
      </c>
    </row>
    <row r="35" spans="2:5" x14ac:dyDescent="0.3">
      <c r="B35" s="1">
        <v>46104</v>
      </c>
      <c r="D35">
        <f>SUMIFS(Table14[Debit], Table14[Date], Table13[[#This Row],[Date]], Table14[Party], "Transport")</f>
        <v>0</v>
      </c>
      <c r="E35">
        <f>SUMIFS(Table14[Credit], Table14[Date], Table13[[#This Row],[Date]], Table14[Party], "Transport")</f>
        <v>0</v>
      </c>
    </row>
    <row r="36" spans="2:5" x14ac:dyDescent="0.3">
      <c r="B36" s="1">
        <v>46105</v>
      </c>
      <c r="D36">
        <f>SUMIFS(Table14[Debit], Table14[Date], Table13[[#This Row],[Date]], Table14[Party], "Transport")</f>
        <v>0</v>
      </c>
      <c r="E36">
        <f>SUMIFS(Table14[Credit], Table14[Date], Table13[[#This Row],[Date]], Table14[Party], "Transport")</f>
        <v>0</v>
      </c>
    </row>
    <row r="37" spans="2:5" x14ac:dyDescent="0.3">
      <c r="B37" s="1">
        <v>46106</v>
      </c>
      <c r="D37">
        <f>SUMIFS(Table14[Debit], Table14[Date], Table13[[#This Row],[Date]], Table14[Party], "Transport")</f>
        <v>0</v>
      </c>
      <c r="E37">
        <f>SUMIFS(Table14[Credit], Table14[Date], Table13[[#This Row],[Date]], Table14[Party], "Transport")</f>
        <v>0</v>
      </c>
    </row>
    <row r="38" spans="2:5" x14ac:dyDescent="0.3">
      <c r="B38" s="1">
        <v>46107</v>
      </c>
      <c r="D38">
        <f>SUMIFS(Table14[Debit], Table14[Date], Table13[[#This Row],[Date]], Table14[Party], "Transport")</f>
        <v>0</v>
      </c>
      <c r="E38">
        <f>SUMIFS(Table14[Credit], Table14[Date], Table13[[#This Row],[Date]], Table14[Party], "Transport")</f>
        <v>0</v>
      </c>
    </row>
    <row r="39" spans="2:5" x14ac:dyDescent="0.3">
      <c r="B39" s="1">
        <v>46108</v>
      </c>
      <c r="D39">
        <f>SUMIFS(Table14[Debit], Table14[Date], Table13[[#This Row],[Date]], Table14[Party], "Transport")</f>
        <v>0</v>
      </c>
      <c r="E39">
        <f>SUMIFS(Table14[Credit], Table14[Date], Table13[[#This Row],[Date]], Table14[Party], "Transport")</f>
        <v>0</v>
      </c>
    </row>
    <row r="40" spans="2:5" x14ac:dyDescent="0.3">
      <c r="B40" s="1">
        <v>46109</v>
      </c>
      <c r="D40">
        <f>SUMIFS(Table14[Debit], Table14[Date], Table13[[#This Row],[Date]], Table14[Party], "Transport")</f>
        <v>0</v>
      </c>
      <c r="E40">
        <f>SUMIFS(Table14[Credit], Table14[Date], Table13[[#This Row],[Date]], Table14[Party], "Transport")</f>
        <v>0</v>
      </c>
    </row>
    <row r="41" spans="2:5" x14ac:dyDescent="0.3">
      <c r="B41" s="1">
        <v>46110</v>
      </c>
      <c r="D41">
        <f>SUMIFS(Table14[Debit], Table14[Date], Table13[[#This Row],[Date]], Table14[Party], "Transport")</f>
        <v>0</v>
      </c>
      <c r="E41">
        <f>SUMIFS(Table14[Credit], Table14[Date], Table13[[#This Row],[Date]], Table14[Party], "Transport")</f>
        <v>0</v>
      </c>
    </row>
    <row r="42" spans="2:5" x14ac:dyDescent="0.3">
      <c r="B42" s="1">
        <v>46111</v>
      </c>
      <c r="D42">
        <f>SUMIFS(Table14[Debit], Table14[Date], Table13[[#This Row],[Date]], Table14[Party], "Transport")</f>
        <v>0</v>
      </c>
      <c r="E42">
        <f>SUMIFS(Table14[Credit], Table14[Date], Table13[[#This Row],[Date]], Table14[Party], "Transport")</f>
        <v>0</v>
      </c>
    </row>
    <row r="43" spans="2:5" x14ac:dyDescent="0.3">
      <c r="B43" s="1">
        <v>46112</v>
      </c>
      <c r="D43">
        <f>SUMIFS(Table14[Debit], Table14[Date], Table13[[#This Row],[Date]], Table14[Party], "Transport")</f>
        <v>0</v>
      </c>
      <c r="E43">
        <f>SUMIFS(Table14[Credit], Table14[Date], Table13[[#This Row],[Date]], Table14[Party], "Transport")</f>
        <v>0</v>
      </c>
    </row>
    <row r="44" spans="2:5" x14ac:dyDescent="0.3">
      <c r="B44" s="1">
        <v>46113</v>
      </c>
      <c r="D44">
        <f>SUMIFS(Table14[Debit], Table14[Date], Table13[[#This Row],[Date]], Table14[Party], "Transport")</f>
        <v>0</v>
      </c>
      <c r="E44">
        <f>SUMIFS(Table14[Credit], Table14[Date], Table13[[#This Row],[Date]], Table14[Party], "Transport")</f>
        <v>0</v>
      </c>
    </row>
    <row r="45" spans="2:5" x14ac:dyDescent="0.3">
      <c r="B45" s="1">
        <v>46114</v>
      </c>
      <c r="D45">
        <f>SUMIFS(Table14[Debit], Table14[Date], Table13[[#This Row],[Date]], Table14[Party], "Transport")</f>
        <v>12038</v>
      </c>
      <c r="E45">
        <f>SUMIFS(Table14[Credit], Table14[Date], Table13[[#This Row],[Date]], Table14[Party], "Transport")</f>
        <v>0</v>
      </c>
    </row>
    <row r="46" spans="2:5" x14ac:dyDescent="0.3">
      <c r="B46" s="1">
        <v>46115</v>
      </c>
      <c r="D46">
        <f>SUMIFS(Table14[Debit], Table14[Date], Table13[[#This Row],[Date]], Table14[Party], "Transport")</f>
        <v>0</v>
      </c>
      <c r="E46">
        <f>SUMIFS(Table14[Credit], Table14[Date], Table13[[#This Row],[Date]], Table14[Party], "Transport")</f>
        <v>0</v>
      </c>
    </row>
    <row r="47" spans="2:5" x14ac:dyDescent="0.3">
      <c r="B47" s="1">
        <v>46116</v>
      </c>
      <c r="D47">
        <f>SUMIFS(Table14[Debit], Table14[Date], Table13[[#This Row],[Date]], Table14[Party], "Transport")</f>
        <v>400</v>
      </c>
      <c r="E47">
        <f>SUMIFS(Table14[Credit], Table14[Date], Table13[[#This Row],[Date]], Table14[Party], "Transport")</f>
        <v>0</v>
      </c>
    </row>
    <row r="48" spans="2:5" x14ac:dyDescent="0.3">
      <c r="B48" s="1">
        <v>46117</v>
      </c>
      <c r="D48">
        <f>SUMIFS(Table14[Debit], Table14[Date], Table13[[#This Row],[Date]], Table14[Party], "Transport")</f>
        <v>0</v>
      </c>
      <c r="E48">
        <f>SUMIFS(Table14[Credit], Table14[Date], Table13[[#This Row],[Date]], Table14[Party], "Transport")</f>
        <v>0</v>
      </c>
    </row>
    <row r="49" spans="2:5" x14ac:dyDescent="0.3">
      <c r="B49" s="1">
        <v>46118</v>
      </c>
      <c r="D49">
        <f>SUMIFS(Table14[Debit], Table14[Date], Table13[[#This Row],[Date]], Table14[Party], "Transport")</f>
        <v>4400</v>
      </c>
      <c r="E49">
        <f>SUMIFS(Table14[Credit], Table14[Date], Table13[[#This Row],[Date]], Table14[Party], "Transport")</f>
        <v>0</v>
      </c>
    </row>
    <row r="50" spans="2:5" x14ac:dyDescent="0.3">
      <c r="B50" s="1">
        <v>46119</v>
      </c>
      <c r="D50">
        <f>SUMIFS(Table14[Debit], Table14[Date], Table13[[#This Row],[Date]], Table14[Party], "Transport")</f>
        <v>0</v>
      </c>
      <c r="E50">
        <f>SUMIFS(Table14[Credit], Table14[Date], Table13[[#This Row],[Date]], Table14[Party], "Transport")</f>
        <v>0</v>
      </c>
    </row>
    <row r="51" spans="2:5" x14ac:dyDescent="0.3">
      <c r="B51" s="1">
        <v>46120</v>
      </c>
      <c r="D51">
        <f>SUMIFS(Table14[Debit], Table14[Date], Table13[[#This Row],[Date]], Table14[Party], "Transport")</f>
        <v>8105</v>
      </c>
      <c r="E51">
        <f>SUMIFS(Table14[Credit], Table14[Date], Table13[[#This Row],[Date]], Table14[Party], "Transport")</f>
        <v>0</v>
      </c>
    </row>
    <row r="52" spans="2:5" x14ac:dyDescent="0.3">
      <c r="B52" s="1">
        <v>46121</v>
      </c>
      <c r="D52">
        <f>SUMIFS(Table14[Debit], Table14[Date], Table13[[#This Row],[Date]], Table14[Party], "Transport")</f>
        <v>0</v>
      </c>
      <c r="E52">
        <f>SUMIFS(Table14[Credit], Table14[Date], Table13[[#This Row],[Date]], Table14[Party], "Transport")</f>
        <v>0</v>
      </c>
    </row>
    <row r="53" spans="2:5" x14ac:dyDescent="0.3">
      <c r="B53" s="1">
        <v>46122</v>
      </c>
      <c r="D53">
        <f>SUMIFS(Table14[Debit], Table14[Date], Table13[[#This Row],[Date]], Table14[Party], "Transport")</f>
        <v>10680.4</v>
      </c>
      <c r="E53">
        <f>SUMIFS(Table14[Credit], Table14[Date], Table13[[#This Row],[Date]], Table14[Party], "Transport")</f>
        <v>0</v>
      </c>
    </row>
    <row r="54" spans="2:5" x14ac:dyDescent="0.3">
      <c r="B54" s="1">
        <v>46123</v>
      </c>
      <c r="D54">
        <f>SUMIFS(Table14[Debit], Table14[Date], Table13[[#This Row],[Date]], Table14[Party], "Transport")</f>
        <v>13465</v>
      </c>
      <c r="E54">
        <f>SUMIFS(Table14[Credit], Table14[Date], Table13[[#This Row],[Date]], Table14[Party], "Transport")</f>
        <v>0</v>
      </c>
    </row>
    <row r="55" spans="2:5" x14ac:dyDescent="0.3">
      <c r="B55" s="1">
        <v>46124</v>
      </c>
      <c r="D55">
        <f>SUMIFS(Table14[Debit], Table14[Date], Table13[[#This Row],[Date]], Table14[Party], "Transport")</f>
        <v>7392</v>
      </c>
      <c r="E55">
        <f>SUMIFS(Table14[Credit], Table14[Date], Table13[[#This Row],[Date]], Table14[Party], "Transport")</f>
        <v>0</v>
      </c>
    </row>
    <row r="56" spans="2:5" x14ac:dyDescent="0.3">
      <c r="B56" s="1">
        <v>46125</v>
      </c>
      <c r="D56">
        <f>SUMIFS(Table14[Debit], Table14[Date], Table13[[#This Row],[Date]], Table14[Party], "Transport")</f>
        <v>5620</v>
      </c>
      <c r="E56">
        <f>SUMIFS(Table14[Credit], Table14[Date], Table13[[#This Row],[Date]], Table14[Party], "Transport")</f>
        <v>0</v>
      </c>
    </row>
    <row r="57" spans="2:5" x14ac:dyDescent="0.3">
      <c r="B57" s="1">
        <v>46126</v>
      </c>
      <c r="D57">
        <f>SUMIFS(Table14[Debit], Table14[Date], Table13[[#This Row],[Date]], Table14[Party], "Transport")</f>
        <v>0</v>
      </c>
      <c r="E57">
        <f>SUMIFS(Table14[Credit], Table14[Date], Table13[[#This Row],[Date]], Table14[Party], "Transport")</f>
        <v>0</v>
      </c>
    </row>
    <row r="58" spans="2:5" x14ac:dyDescent="0.3">
      <c r="B58" s="1">
        <v>46127</v>
      </c>
      <c r="D58">
        <f>SUMIFS(Table14[Debit], Table14[Date], Table13[[#This Row],[Date]], Table14[Party], "Transport")</f>
        <v>0</v>
      </c>
      <c r="E58">
        <f>SUMIFS(Table14[Credit], Table14[Date], Table13[[#This Row],[Date]], Table14[Party], "Transport")</f>
        <v>0</v>
      </c>
    </row>
    <row r="59" spans="2:5" x14ac:dyDescent="0.3">
      <c r="B59" s="1">
        <v>46128</v>
      </c>
      <c r="D59">
        <f>SUMIFS(Table14[Debit], Table14[Date], Table13[[#This Row],[Date]], Table14[Party], "Transport")</f>
        <v>13206</v>
      </c>
      <c r="E59">
        <f>SUMIFS(Table14[Credit], Table14[Date], Table13[[#This Row],[Date]], Table14[Party], "Transport")</f>
        <v>0</v>
      </c>
    </row>
    <row r="60" spans="2:5" x14ac:dyDescent="0.3">
      <c r="B60" s="1">
        <v>46129</v>
      </c>
      <c r="D60">
        <f>SUMIFS(Table14[Debit], Table14[Date], Table13[[#This Row],[Date]], Table14[Party], "Transport")</f>
        <v>3010</v>
      </c>
      <c r="E60">
        <f>SUMIFS(Table14[Credit], Table14[Date], Table13[[#This Row],[Date]], Table14[Party], "Transport")</f>
        <v>0</v>
      </c>
    </row>
    <row r="61" spans="2:5" x14ac:dyDescent="0.3">
      <c r="B61" s="1">
        <v>46130</v>
      </c>
      <c r="D61">
        <f>SUMIFS(Table14[Debit], Table14[Date], Table13[[#This Row],[Date]], Table14[Party], "Transport")</f>
        <v>950</v>
      </c>
      <c r="E61">
        <f>SUMIFS(Table14[Credit], Table14[Date], Table13[[#This Row],[Date]], Table14[Party], "Transport")</f>
        <v>0</v>
      </c>
    </row>
    <row r="62" spans="2:5" x14ac:dyDescent="0.3">
      <c r="B62" s="1">
        <v>46131</v>
      </c>
      <c r="D62">
        <f>SUMIFS(Table14[Debit], Table14[Date], Table13[[#This Row],[Date]], Table14[Party], "Transport")</f>
        <v>0</v>
      </c>
      <c r="E62">
        <f>SUMIFS(Table14[Credit], Table14[Date], Table13[[#This Row],[Date]], Table14[Party], "Transport")</f>
        <v>0</v>
      </c>
    </row>
    <row r="63" spans="2:5" x14ac:dyDescent="0.3">
      <c r="B63" s="1">
        <v>46132</v>
      </c>
      <c r="D63">
        <f>SUMIFS(Table14[Debit], Table14[Date], Table13[[#This Row],[Date]], Table14[Party], "Transport")</f>
        <v>11840</v>
      </c>
      <c r="E63">
        <f>SUMIFS(Table14[Credit], Table14[Date], Table13[[#This Row],[Date]], Table14[Party], "Transport")</f>
        <v>0</v>
      </c>
    </row>
    <row r="64" spans="2:5" x14ac:dyDescent="0.3">
      <c r="B64" s="1">
        <v>46133</v>
      </c>
      <c r="D64">
        <f>SUMIFS(Table14[Debit], Table14[Date], Table13[[#This Row],[Date]], Table14[Party], "Transport")</f>
        <v>0</v>
      </c>
      <c r="E64">
        <f>SUMIFS(Table14[Credit], Table14[Date], Table13[[#This Row],[Date]], Table14[Party], "Transport")</f>
        <v>0</v>
      </c>
    </row>
    <row r="65" spans="2:5" x14ac:dyDescent="0.3">
      <c r="B65" s="1">
        <v>46134</v>
      </c>
      <c r="D65">
        <f>SUMIFS(Table14[Debit], Table14[Date], Table13[[#This Row],[Date]], Table14[Party], "Transport")</f>
        <v>10000</v>
      </c>
      <c r="E65">
        <f>SUMIFS(Table14[Credit], Table14[Date], Table13[[#This Row],[Date]], Table14[Party], "Transport")</f>
        <v>0</v>
      </c>
    </row>
    <row r="66" spans="2:5" x14ac:dyDescent="0.3">
      <c r="B66" s="1">
        <v>46135</v>
      </c>
      <c r="D66">
        <f>SUMIFS(Table14[Debit], Table14[Date], Table13[[#This Row],[Date]], Table14[Party], "Transport")</f>
        <v>9414</v>
      </c>
      <c r="E66">
        <f>SUMIFS(Table14[Credit], Table14[Date], Table13[[#This Row],[Date]], Table14[Party], "Transport")</f>
        <v>0</v>
      </c>
    </row>
    <row r="67" spans="2:5" x14ac:dyDescent="0.3">
      <c r="B67" s="1">
        <v>46136</v>
      </c>
      <c r="D67">
        <f>SUMIFS(Table14[Debit], Table14[Date], Table13[[#This Row],[Date]], Table14[Party], "Transport")</f>
        <v>0</v>
      </c>
      <c r="E67">
        <f>SUMIFS(Table14[Credit], Table14[Date], Table13[[#This Row],[Date]], Table14[Party], "Transport")</f>
        <v>0</v>
      </c>
    </row>
    <row r="68" spans="2:5" x14ac:dyDescent="0.3">
      <c r="B68" s="1">
        <v>46137</v>
      </c>
      <c r="D68">
        <f>SUMIFS(Table14[Debit], Table14[Date], Table13[[#This Row],[Date]], Table14[Party], "Transport")</f>
        <v>0</v>
      </c>
      <c r="E68">
        <f>SUMIFS(Table14[Credit], Table14[Date], Table13[[#This Row],[Date]], Table14[Party], "Transport")</f>
        <v>0</v>
      </c>
    </row>
    <row r="69" spans="2:5" x14ac:dyDescent="0.3">
      <c r="B69" s="1">
        <v>46138</v>
      </c>
      <c r="D69">
        <f>SUMIFS(Table14[Debit], Table14[Date], Table13[[#This Row],[Date]], Table14[Party], "Transport")</f>
        <v>0</v>
      </c>
      <c r="E69">
        <f>SUMIFS(Table14[Credit], Table14[Date], Table13[[#This Row],[Date]], Table14[Party], "Transport")</f>
        <v>0</v>
      </c>
    </row>
    <row r="70" spans="2:5" x14ac:dyDescent="0.3">
      <c r="B70" s="1">
        <v>46139</v>
      </c>
      <c r="D70">
        <f>SUMIFS(Table14[Debit], Table14[Date], Table13[[#This Row],[Date]], Table14[Party], "Transport")</f>
        <v>17427</v>
      </c>
      <c r="E70">
        <f>SUMIFS(Table14[Credit], Table14[Date], Table13[[#This Row],[Date]], Table14[Party], "Transport")</f>
        <v>0</v>
      </c>
    </row>
    <row r="71" spans="2:5" x14ac:dyDescent="0.3">
      <c r="B71" s="1">
        <v>46140</v>
      </c>
      <c r="D71">
        <f>SUMIFS(Table14[Debit], Table14[Date], Table13[[#This Row],[Date]], Table14[Party], "Transport")</f>
        <v>600</v>
      </c>
      <c r="E71">
        <f>SUMIFS(Table14[Credit], Table14[Date], Table13[[#This Row],[Date]], Table14[Party], "Transport")</f>
        <v>0</v>
      </c>
    </row>
    <row r="72" spans="2:5" x14ac:dyDescent="0.3">
      <c r="B72" s="1">
        <v>46141</v>
      </c>
      <c r="D72">
        <f>SUMIFS(Table14[Debit], Table14[Date], Table13[[#This Row],[Date]], Table14[Party], "Transport")</f>
        <v>0</v>
      </c>
      <c r="E72">
        <f>SUMIFS(Table14[Credit], Table14[Date], Table13[[#This Row],[Date]], Table14[Party], "Transport")</f>
        <v>0</v>
      </c>
    </row>
    <row r="73" spans="2:5" x14ac:dyDescent="0.3">
      <c r="B73" s="1">
        <v>46142</v>
      </c>
      <c r="D73">
        <f>SUMIFS(Table14[Debit], Table14[Date], Table13[[#This Row],[Date]], Table14[Party], "Transport")</f>
        <v>0</v>
      </c>
      <c r="E73">
        <f>SUMIFS(Table14[Credit], Table14[Date], Table13[[#This Row],[Date]], Table14[Party], "Transport")</f>
        <v>0</v>
      </c>
    </row>
    <row r="74" spans="2:5" x14ac:dyDescent="0.3">
      <c r="B74" s="1">
        <v>46143</v>
      </c>
      <c r="D74">
        <f>SUMIFS(Table14[Debit], Table14[Date], Table13[[#This Row],[Date]], Table14[Party], "Transport")</f>
        <v>16100</v>
      </c>
      <c r="E74">
        <f>SUMIFS(Table14[Credit], Table14[Date], Table13[[#This Row],[Date]], Table14[Party], "Transport")</f>
        <v>0</v>
      </c>
    </row>
    <row r="75" spans="2:5" x14ac:dyDescent="0.3">
      <c r="B75" s="1">
        <v>46144</v>
      </c>
      <c r="D75">
        <f>SUMIFS(Table14[Debit], Table14[Date], Table13[[#This Row],[Date]], Table14[Party], "Transport")</f>
        <v>0</v>
      </c>
      <c r="E75">
        <f>SUMIFS(Table14[Credit], Table14[Date], Table13[[#This Row],[Date]], Table14[Party], "Transport")</f>
        <v>0</v>
      </c>
    </row>
    <row r="76" spans="2:5" x14ac:dyDescent="0.3">
      <c r="B76" s="1">
        <v>46145</v>
      </c>
      <c r="D76">
        <f>SUMIFS(Table14[Debit], Table14[Date], Table13[[#This Row],[Date]], Table14[Party], "Transport")</f>
        <v>0</v>
      </c>
      <c r="E76">
        <f>SUMIFS(Table14[Credit], Table14[Date], Table13[[#This Row],[Date]], Table14[Party], "Transport")</f>
        <v>0</v>
      </c>
    </row>
    <row r="77" spans="2:5" x14ac:dyDescent="0.3">
      <c r="B77" s="1">
        <v>46146</v>
      </c>
      <c r="D77">
        <f>SUMIFS(Table14[Debit], Table14[Date], Table13[[#This Row],[Date]], Table14[Party], "Transport")</f>
        <v>10700</v>
      </c>
      <c r="E77">
        <f>SUMIFS(Table14[Credit], Table14[Date], Table13[[#This Row],[Date]], Table14[Party], "Transport")</f>
        <v>0</v>
      </c>
    </row>
    <row r="78" spans="2:5" x14ac:dyDescent="0.3">
      <c r="B78" s="1">
        <v>46147</v>
      </c>
      <c r="D78">
        <f>SUMIFS(Table14[Debit], Table14[Date], Table13[[#This Row],[Date]], Table14[Party], "Transport")</f>
        <v>2206</v>
      </c>
      <c r="E78">
        <f>SUMIFS(Table14[Credit], Table14[Date], Table13[[#This Row],[Date]], Table14[Party], "Transport")</f>
        <v>0</v>
      </c>
    </row>
    <row r="79" spans="2:5" x14ac:dyDescent="0.3">
      <c r="B79" s="1">
        <v>46148</v>
      </c>
      <c r="D79">
        <f>SUMIFS(Table14[Debit], Table14[Date], Table13[[#This Row],[Date]], Table14[Party], "Transport")</f>
        <v>0</v>
      </c>
      <c r="E79">
        <f>SUMIFS(Table14[Credit], Table14[Date], Table13[[#This Row],[Date]], Table14[Party], "Transport")</f>
        <v>0</v>
      </c>
    </row>
    <row r="80" spans="2:5" x14ac:dyDescent="0.3">
      <c r="B80" s="1">
        <v>46149</v>
      </c>
      <c r="D80">
        <f>SUMIFS(Table14[Debit], Table14[Date], Table13[[#This Row],[Date]], Table14[Party], "Transport")</f>
        <v>0</v>
      </c>
      <c r="E80">
        <f>SUMIFS(Table14[Credit], Table14[Date], Table13[[#This Row],[Date]], Table14[Party], "Transport")</f>
        <v>0</v>
      </c>
    </row>
    <row r="81" spans="2:5" x14ac:dyDescent="0.3">
      <c r="B81" s="1">
        <v>46150</v>
      </c>
      <c r="D81">
        <f>SUMIFS(Table14[Debit], Table14[Date], Table13[[#This Row],[Date]], Table14[Party], "Transport")</f>
        <v>700</v>
      </c>
      <c r="E81">
        <f>SUMIFS(Table14[Credit], Table14[Date], Table13[[#This Row],[Date]], Table14[Party], "Transport")</f>
        <v>0</v>
      </c>
    </row>
    <row r="82" spans="2:5" x14ac:dyDescent="0.3">
      <c r="B82" s="1">
        <v>46151</v>
      </c>
      <c r="D82">
        <f>SUMIFS(Table14[Debit], Table14[Date], Table13[[#This Row],[Date]], Table14[Party], "Transport")</f>
        <v>2000</v>
      </c>
      <c r="E82">
        <f>SUMIFS(Table14[Credit], Table14[Date], Table13[[#This Row],[Date]], Table14[Party], "Transport")</f>
        <v>0</v>
      </c>
    </row>
    <row r="83" spans="2:5" x14ac:dyDescent="0.3">
      <c r="B83" s="1">
        <v>46152</v>
      </c>
      <c r="D83">
        <f>SUMIFS(Table14[Debit], Table14[Date], Table13[[#This Row],[Date]], Table14[Party], "Transport")</f>
        <v>0</v>
      </c>
      <c r="E83">
        <f>SUMIFS(Table14[Credit], Table14[Date], Table13[[#This Row],[Date]], Table14[Party], "Transport")</f>
        <v>0</v>
      </c>
    </row>
    <row r="84" spans="2:5" x14ac:dyDescent="0.3">
      <c r="B84" s="1">
        <v>46153</v>
      </c>
      <c r="D84">
        <f>SUMIFS(Table14[Debit], Table14[Date], Table13[[#This Row],[Date]], Table14[Party], "Transport")</f>
        <v>3500</v>
      </c>
      <c r="E84">
        <f>SUMIFS(Table14[Credit], Table14[Date], Table13[[#This Row],[Date]], Table14[Party], "Transport")</f>
        <v>0</v>
      </c>
    </row>
    <row r="85" spans="2:5" x14ac:dyDescent="0.3">
      <c r="B85" s="1">
        <v>46154</v>
      </c>
      <c r="D85">
        <f>SUMIFS(Table14[Debit], Table14[Date], Table13[[#This Row],[Date]], Table14[Party], "Transport")</f>
        <v>17000</v>
      </c>
      <c r="E85">
        <f>SUMIFS(Table14[Credit], Table14[Date], Table13[[#This Row],[Date]], Table14[Party], "Transport")</f>
        <v>0</v>
      </c>
    </row>
    <row r="86" spans="2:5" x14ac:dyDescent="0.3">
      <c r="B86" s="1">
        <v>46155</v>
      </c>
      <c r="D86">
        <f>SUMIFS(Table14[Debit], Table14[Date], Table13[[#This Row],[Date]], Table14[Party], "Transport")</f>
        <v>0</v>
      </c>
      <c r="E86">
        <f>SUMIFS(Table14[Credit], Table14[Date], Table13[[#This Row],[Date]], Table14[Party], "Transport")</f>
        <v>0</v>
      </c>
    </row>
    <row r="87" spans="2:5" x14ac:dyDescent="0.3">
      <c r="B87" s="1">
        <v>46156</v>
      </c>
      <c r="D87">
        <f>SUMIFS(Table14[Debit], Table14[Date], Table13[[#This Row],[Date]], Table14[Party], "Transport")</f>
        <v>0</v>
      </c>
      <c r="E87">
        <f>SUMIFS(Table14[Credit], Table14[Date], Table13[[#This Row],[Date]], Table14[Party], "Transport")</f>
        <v>0</v>
      </c>
    </row>
    <row r="88" spans="2:5" x14ac:dyDescent="0.3">
      <c r="B88" s="1">
        <v>46157</v>
      </c>
      <c r="D88">
        <f>SUMIFS(Table14[Debit], Table14[Date], Table13[[#This Row],[Date]], Table14[Party], "Transport")</f>
        <v>6768</v>
      </c>
      <c r="E88">
        <f>SUMIFS(Table14[Credit], Table14[Date], Table13[[#This Row],[Date]], Table14[Party], "Transport")</f>
        <v>0</v>
      </c>
    </row>
    <row r="89" spans="2:5" x14ac:dyDescent="0.3">
      <c r="B89" s="1">
        <v>46158</v>
      </c>
      <c r="D89">
        <f>SUMIFS(Table14[Debit], Table14[Date], Table13[[#This Row],[Date]], Table14[Party], "Transport")</f>
        <v>3000</v>
      </c>
      <c r="E89">
        <f>SUMIFS(Table14[Credit], Table14[Date], Table13[[#This Row],[Date]], Table14[Party], "Transport")</f>
        <v>0</v>
      </c>
    </row>
    <row r="90" spans="2:5" x14ac:dyDescent="0.3">
      <c r="B90" s="1">
        <v>46159</v>
      </c>
      <c r="D90">
        <f>SUMIFS(Table14[Debit], Table14[Date], Table13[[#This Row],[Date]], Table14[Party], "Transport")</f>
        <v>0</v>
      </c>
      <c r="E90">
        <f>SUMIFS(Table14[Credit], Table14[Date], Table13[[#This Row],[Date]], Table14[Party], "Transport")</f>
        <v>0</v>
      </c>
    </row>
    <row r="91" spans="2:5" x14ac:dyDescent="0.3">
      <c r="B91" s="1">
        <v>46160</v>
      </c>
      <c r="D91">
        <f>SUMIFS(Table14[Debit], Table14[Date], Table13[[#This Row],[Date]], Table14[Party], "Transport")</f>
        <v>0</v>
      </c>
      <c r="E91">
        <f>SUMIFS(Table14[Credit], Table14[Date], Table13[[#This Row],[Date]], Table14[Party], "Transport")</f>
        <v>0</v>
      </c>
    </row>
    <row r="92" spans="2:5" x14ac:dyDescent="0.3">
      <c r="B92" s="1">
        <v>46161</v>
      </c>
      <c r="D92">
        <f>SUMIFS(Table14[Debit], Table14[Date], Table13[[#This Row],[Date]], Table14[Party], "Transport")</f>
        <v>0</v>
      </c>
      <c r="E92">
        <f>SUMIFS(Table14[Credit], Table14[Date], Table13[[#This Row],[Date]], Table14[Party], "Transport")</f>
        <v>0</v>
      </c>
    </row>
    <row r="93" spans="2:5" x14ac:dyDescent="0.3">
      <c r="B93" s="1">
        <v>46162</v>
      </c>
      <c r="D93">
        <f>SUMIFS(Table14[Debit], Table14[Date], Table13[[#This Row],[Date]], Table14[Party], "Transport")</f>
        <v>0</v>
      </c>
      <c r="E93">
        <f>SUMIFS(Table14[Credit], Table14[Date], Table13[[#This Row],[Date]], Table14[Party], "Transport")</f>
        <v>0</v>
      </c>
    </row>
    <row r="94" spans="2:5" x14ac:dyDescent="0.3">
      <c r="B94" s="1">
        <v>46163</v>
      </c>
      <c r="D94">
        <f>SUMIFS(Table14[Debit], Table14[Date], Table13[[#This Row],[Date]], Table14[Party], "Transport")</f>
        <v>0</v>
      </c>
      <c r="E94">
        <f>SUMIFS(Table14[Credit], Table14[Date], Table13[[#This Row],[Date]], Table14[Party], "Transport")</f>
        <v>0</v>
      </c>
    </row>
    <row r="95" spans="2:5" x14ac:dyDescent="0.3">
      <c r="B95" s="1">
        <v>46164</v>
      </c>
      <c r="D95">
        <f>SUMIFS(Table14[Debit], Table14[Date], Table13[[#This Row],[Date]], Table14[Party], "Transport")</f>
        <v>0</v>
      </c>
      <c r="E95">
        <f>SUMIFS(Table14[Credit], Table14[Date], Table13[[#This Row],[Date]], Table14[Party], "Transport")</f>
        <v>0</v>
      </c>
    </row>
    <row r="96" spans="2:5" x14ac:dyDescent="0.3">
      <c r="B96" s="1">
        <v>46165</v>
      </c>
      <c r="D96">
        <f>SUMIFS(Table14[Debit], Table14[Date], Table13[[#This Row],[Date]], Table14[Party], "Transport")</f>
        <v>0</v>
      </c>
      <c r="E96">
        <f>SUMIFS(Table14[Credit], Table14[Date], Table13[[#This Row],[Date]], Table14[Party], "Transport")</f>
        <v>0</v>
      </c>
    </row>
    <row r="97" spans="2:5" x14ac:dyDescent="0.3">
      <c r="B97" s="1">
        <v>46166</v>
      </c>
      <c r="D97">
        <f>SUMIFS(Table14[Debit], Table14[Date], Table13[[#This Row],[Date]], Table14[Party], "Transport")</f>
        <v>0</v>
      </c>
      <c r="E97">
        <f>SUMIFS(Table14[Credit], Table14[Date], Table13[[#This Row],[Date]], Table14[Party], "Transport")</f>
        <v>0</v>
      </c>
    </row>
    <row r="98" spans="2:5" x14ac:dyDescent="0.3">
      <c r="B98" s="1">
        <v>46167</v>
      </c>
      <c r="D98">
        <f>SUMIFS(Table14[Debit], Table14[Date], Table13[[#This Row],[Date]], Table14[Party], "Transport")</f>
        <v>0</v>
      </c>
      <c r="E98">
        <f>SUMIFS(Table14[Credit], Table14[Date], Table13[[#This Row],[Date]], Table14[Party], "Transport")</f>
        <v>0</v>
      </c>
    </row>
    <row r="99" spans="2:5" x14ac:dyDescent="0.3">
      <c r="B99" s="1">
        <v>46168</v>
      </c>
      <c r="D99">
        <f>SUMIFS(Table14[Debit], Table14[Date], Table13[[#This Row],[Date]], Table14[Party], "Transport")</f>
        <v>0</v>
      </c>
      <c r="E99">
        <f>SUMIFS(Table14[Credit], Table14[Date], Table13[[#This Row],[Date]], Table14[Party], "Transport")</f>
        <v>0</v>
      </c>
    </row>
    <row r="100" spans="2:5" x14ac:dyDescent="0.3">
      <c r="B100" s="1">
        <v>46169</v>
      </c>
      <c r="D100">
        <f>SUMIFS(Table14[Debit], Table14[Date], Table13[[#This Row],[Date]], Table14[Party], "Transport")</f>
        <v>0</v>
      </c>
      <c r="E100">
        <f>SUMIFS(Table14[Credit], Table14[Date], Table13[[#This Row],[Date]], Table14[Party], "Transport")</f>
        <v>0</v>
      </c>
    </row>
    <row r="101" spans="2:5" x14ac:dyDescent="0.3">
      <c r="B101" s="1">
        <v>46170</v>
      </c>
      <c r="D101">
        <f>SUMIFS(Table14[Debit], Table14[Date], Table13[[#This Row],[Date]], Table14[Party], "Transport")</f>
        <v>0</v>
      </c>
      <c r="E101">
        <f>SUMIFS(Table14[Credit], Table14[Date], Table13[[#This Row],[Date]], Table14[Party], "Transport")</f>
        <v>0</v>
      </c>
    </row>
    <row r="102" spans="2:5" x14ac:dyDescent="0.3">
      <c r="B102" s="1">
        <v>46171</v>
      </c>
      <c r="D102">
        <f>SUMIFS(Table14[Debit], Table14[Date], Table13[[#This Row],[Date]], Table14[Party], "Transport")</f>
        <v>0</v>
      </c>
      <c r="E102">
        <f>SUMIFS(Table14[Credit], Table14[Date], Table13[[#This Row],[Date]], Table14[Party], "Transport")</f>
        <v>0</v>
      </c>
    </row>
    <row r="103" spans="2:5" x14ac:dyDescent="0.3">
      <c r="B103" s="1">
        <v>46172</v>
      </c>
      <c r="D103">
        <f>SUMIFS(Table14[Debit], Table14[Date], Table13[[#This Row],[Date]], Table14[Party], "Transport")</f>
        <v>0</v>
      </c>
      <c r="E103">
        <f>SUMIFS(Table14[Credit], Table14[Date], Table13[[#This Row],[Date]], Table14[Party], "Transport")</f>
        <v>0</v>
      </c>
    </row>
    <row r="104" spans="2:5" x14ac:dyDescent="0.3">
      <c r="B104" s="1">
        <v>46173</v>
      </c>
      <c r="D104">
        <f>SUMIFS(Table14[Debit], Table14[Date], Table13[[#This Row],[Date]], Table14[Party], "Transport")</f>
        <v>0</v>
      </c>
      <c r="E104">
        <f>SUMIFS(Table14[Credit], Table14[Date], Table13[[#This Row],[Date]], Table14[Party], "Transport")</f>
        <v>0</v>
      </c>
    </row>
    <row r="105" spans="2:5" x14ac:dyDescent="0.3">
      <c r="B105" s="1">
        <v>46174</v>
      </c>
      <c r="D105">
        <f>SUMIFS(Table14[Debit], Table14[Date], Table13[[#This Row],[Date]], Table14[Party], "Transport")</f>
        <v>0</v>
      </c>
      <c r="E105">
        <f>SUMIFS(Table14[Credit], Table14[Date], Table13[[#This Row],[Date]], Table14[Party], "Transport")</f>
        <v>0</v>
      </c>
    </row>
    <row r="106" spans="2:5" x14ac:dyDescent="0.3">
      <c r="B106" s="1">
        <v>46175</v>
      </c>
      <c r="D106">
        <f>SUMIFS(Table14[Debit], Table14[Date], Table13[[#This Row],[Date]], Table14[Party], "Transport")</f>
        <v>0</v>
      </c>
      <c r="E106">
        <f>SUMIFS(Table14[Credit], Table14[Date], Table13[[#This Row],[Date]], Table14[Party], "Transport")</f>
        <v>0</v>
      </c>
    </row>
    <row r="107" spans="2:5" x14ac:dyDescent="0.3">
      <c r="B107" s="1">
        <v>46176</v>
      </c>
      <c r="D107">
        <f>SUMIFS(Table14[Debit], Table14[Date], Table13[[#This Row],[Date]], Table14[Party], "Transport")</f>
        <v>0</v>
      </c>
      <c r="E107">
        <f>SUMIFS(Table14[Credit], Table14[Date], Table13[[#This Row],[Date]], Table14[Party], "Transport")</f>
        <v>0</v>
      </c>
    </row>
    <row r="108" spans="2:5" x14ac:dyDescent="0.3">
      <c r="B108" s="1">
        <v>46177</v>
      </c>
      <c r="D108">
        <f>SUMIFS(Table14[Debit], Table14[Date], Table13[[#This Row],[Date]], Table14[Party], "Transport")</f>
        <v>0</v>
      </c>
      <c r="E108">
        <f>SUMIFS(Table14[Credit], Table14[Date], Table13[[#This Row],[Date]], Table14[Party], "Transport")</f>
        <v>0</v>
      </c>
    </row>
    <row r="109" spans="2:5" x14ac:dyDescent="0.3">
      <c r="B109" s="1">
        <v>46178</v>
      </c>
      <c r="D109">
        <f>SUMIFS(Table14[Debit], Table14[Date], Table13[[#This Row],[Date]], Table14[Party], "Transport")</f>
        <v>0</v>
      </c>
      <c r="E109">
        <f>SUMIFS(Table14[Credit], Table14[Date], Table13[[#This Row],[Date]], Table14[Party], "Transport")</f>
        <v>0</v>
      </c>
    </row>
    <row r="110" spans="2:5" x14ac:dyDescent="0.3">
      <c r="B110" s="1">
        <v>46179</v>
      </c>
      <c r="D110">
        <f>SUMIFS(Table14[Debit], Table14[Date], Table13[[#This Row],[Date]], Table14[Party], "Transport")</f>
        <v>0</v>
      </c>
      <c r="E110">
        <f>SUMIFS(Table14[Credit], Table14[Date], Table13[[#This Row],[Date]], Table14[Party], "Transport")</f>
        <v>0</v>
      </c>
    </row>
    <row r="111" spans="2:5" x14ac:dyDescent="0.3">
      <c r="B111" s="1">
        <v>46180</v>
      </c>
      <c r="D111">
        <f>SUMIFS(Table14[Debit], Table14[Date], Table13[[#This Row],[Date]], Table14[Party], "Transport")</f>
        <v>0</v>
      </c>
      <c r="E111">
        <f>SUMIFS(Table14[Credit], Table14[Date], Table13[[#This Row],[Date]], Table14[Party], "Transport")</f>
        <v>0</v>
      </c>
    </row>
    <row r="112" spans="2:5" x14ac:dyDescent="0.3">
      <c r="B112" s="1">
        <v>46181</v>
      </c>
      <c r="D112">
        <f>SUMIFS(Table14[Debit], Table14[Date], Table13[[#This Row],[Date]], Table14[Party], "Transport")</f>
        <v>3416</v>
      </c>
      <c r="E112">
        <f>SUMIFS(Table14[Credit], Table14[Date], Table13[[#This Row],[Date]], Table14[Party], "Transport")</f>
        <v>0</v>
      </c>
    </row>
    <row r="113" spans="2:5" x14ac:dyDescent="0.3">
      <c r="B113" s="1">
        <v>46182</v>
      </c>
      <c r="D113">
        <f>SUMIFS(Table14[Debit], Table14[Date], Table13[[#This Row],[Date]], Table14[Party], "Transport")</f>
        <v>5700</v>
      </c>
      <c r="E113">
        <f>SUMIFS(Table14[Credit], Table14[Date], Table13[[#This Row],[Date]], Table14[Party], "Transport")</f>
        <v>0</v>
      </c>
    </row>
    <row r="114" spans="2:5" x14ac:dyDescent="0.3">
      <c r="B114" s="1">
        <v>46183</v>
      </c>
      <c r="D114">
        <f>SUMIFS(Table14[Debit], Table14[Date], Table13[[#This Row],[Date]], Table14[Party], "Transport")</f>
        <v>6310</v>
      </c>
      <c r="E114">
        <f>SUMIFS(Table14[Credit], Table14[Date], Table13[[#This Row],[Date]], Table14[Party], "Transport")</f>
        <v>0</v>
      </c>
    </row>
    <row r="115" spans="2:5" x14ac:dyDescent="0.3">
      <c r="B115" s="1">
        <v>46184</v>
      </c>
      <c r="D115">
        <f>SUMIFS(Table14[Debit], Table14[Date], Table13[[#This Row],[Date]], Table14[Party], "Transport")</f>
        <v>5000</v>
      </c>
      <c r="E115">
        <f>SUMIFS(Table14[Credit], Table14[Date], Table13[[#This Row],[Date]], Table14[Party], "Transport")</f>
        <v>0</v>
      </c>
    </row>
    <row r="116" spans="2:5" x14ac:dyDescent="0.3">
      <c r="B116" s="1">
        <v>46185</v>
      </c>
      <c r="D116">
        <f>SUMIFS(Table14[Debit], Table14[Date], Table13[[#This Row],[Date]], Table14[Party], "Transport")</f>
        <v>5434</v>
      </c>
      <c r="E116">
        <f>SUMIFS(Table14[Credit], Table14[Date], Table13[[#This Row],[Date]], Table14[Party], "Transport")</f>
        <v>0</v>
      </c>
    </row>
    <row r="117" spans="2:5" x14ac:dyDescent="0.3">
      <c r="B117" s="1">
        <v>46186</v>
      </c>
      <c r="D117">
        <f>SUMIFS(Table14[Debit], Table14[Date], Table13[[#This Row],[Date]], Table14[Party], "Transport")</f>
        <v>0</v>
      </c>
      <c r="E117">
        <f>SUMIFS(Table14[Credit], Table14[Date], Table13[[#This Row],[Date]], Table14[Party], "Transport")</f>
        <v>0</v>
      </c>
    </row>
    <row r="118" spans="2:5" x14ac:dyDescent="0.3">
      <c r="B118" s="1">
        <v>46187</v>
      </c>
      <c r="D118">
        <f>SUMIFS(Table14[Debit], Table14[Date], Table13[[#This Row],[Date]], Table14[Party], "Transport")</f>
        <v>2000</v>
      </c>
      <c r="E118">
        <f>SUMIFS(Table14[Credit], Table14[Date], Table13[[#This Row],[Date]], Table14[Party], "Transport")</f>
        <v>0</v>
      </c>
    </row>
    <row r="119" spans="2:5" x14ac:dyDescent="0.3">
      <c r="B119" s="1">
        <v>46188</v>
      </c>
      <c r="D119">
        <f>SUMIFS(Table14[Debit], Table14[Date], Table13[[#This Row],[Date]], Table14[Party], "Transport")</f>
        <v>8164</v>
      </c>
      <c r="E119">
        <f>SUMIFS(Table14[Credit], Table14[Date], Table13[[#This Row],[Date]], Table14[Party], "Transport")</f>
        <v>0</v>
      </c>
    </row>
    <row r="120" spans="2:5" x14ac:dyDescent="0.3">
      <c r="B120" s="1">
        <v>46189</v>
      </c>
      <c r="D120">
        <f>SUMIFS(Table14[Debit], Table14[Date], Table13[[#This Row],[Date]], Table14[Party], "Transport")</f>
        <v>5000</v>
      </c>
      <c r="E120">
        <f>SUMIFS(Table14[Credit], Table14[Date], Table13[[#This Row],[Date]], Table14[Party], "Transport")</f>
        <v>0</v>
      </c>
    </row>
    <row r="121" spans="2:5" x14ac:dyDescent="0.3">
      <c r="B121" s="1">
        <v>46190</v>
      </c>
      <c r="D121">
        <f>SUMIFS(Table14[Debit], Table14[Date], Table13[[#This Row],[Date]], Table14[Party], "Transport")</f>
        <v>5740</v>
      </c>
      <c r="E121">
        <f>SUMIFS(Table14[Credit], Table14[Date], Table13[[#This Row],[Date]], Table14[Party], "Transport")</f>
        <v>0</v>
      </c>
    </row>
    <row r="122" spans="2:5" x14ac:dyDescent="0.3">
      <c r="B122" s="1">
        <v>46191</v>
      </c>
      <c r="D122">
        <f>SUMIFS(Table14[Debit], Table14[Date], Table13[[#This Row],[Date]], Table14[Party], "Transport")</f>
        <v>0</v>
      </c>
      <c r="E122">
        <f>SUMIFS(Table14[Credit], Table14[Date], Table13[[#This Row],[Date]], Table14[Party], "Transport")</f>
        <v>0</v>
      </c>
    </row>
    <row r="123" spans="2:5" x14ac:dyDescent="0.3">
      <c r="B123" s="1">
        <v>46192</v>
      </c>
      <c r="D123">
        <f>SUMIFS(Table14[Debit], Table14[Date], Table13[[#This Row],[Date]], Table14[Party], "Transport")</f>
        <v>0</v>
      </c>
      <c r="E123">
        <f>SUMIFS(Table14[Credit], Table14[Date], Table13[[#This Row],[Date]], Table14[Party], "Transport")</f>
        <v>0</v>
      </c>
    </row>
    <row r="124" spans="2:5" x14ac:dyDescent="0.3">
      <c r="B124" s="1">
        <v>46193</v>
      </c>
      <c r="D124">
        <f>SUMIFS(Table14[Debit], Table14[Date], Table13[[#This Row],[Date]], Table14[Party], "Transport")</f>
        <v>5000</v>
      </c>
      <c r="E124">
        <f>SUMIFS(Table14[Credit], Table14[Date], Table13[[#This Row],[Date]], Table14[Party], "Transport")</f>
        <v>0</v>
      </c>
    </row>
    <row r="125" spans="2:5" x14ac:dyDescent="0.3">
      <c r="B125" s="1">
        <v>46194</v>
      </c>
      <c r="D125">
        <f>SUMIFS(Table14[Debit], Table14[Date], Table13[[#This Row],[Date]], Table14[Party], "Transport")</f>
        <v>0</v>
      </c>
      <c r="E125">
        <f>SUMIFS(Table14[Credit], Table14[Date], Table13[[#This Row],[Date]], Table14[Party], "Transport")</f>
        <v>0</v>
      </c>
    </row>
    <row r="126" spans="2:5" x14ac:dyDescent="0.3">
      <c r="B126" s="1">
        <v>46195</v>
      </c>
      <c r="D126">
        <f>SUMIFS(Table14[Debit], Table14[Date], Table13[[#This Row],[Date]], Table14[Party], "Transport")</f>
        <v>9804</v>
      </c>
      <c r="E126">
        <f>SUMIFS(Table14[Credit], Table14[Date], Table13[[#This Row],[Date]], Table14[Party], "Transport")</f>
        <v>0</v>
      </c>
    </row>
    <row r="127" spans="2:5" x14ac:dyDescent="0.3">
      <c r="B127" s="1">
        <v>46196</v>
      </c>
      <c r="D127">
        <f>SUMIFS(Table14[Debit], Table14[Date], Table13[[#This Row],[Date]], Table14[Party], "Transport")</f>
        <v>4806</v>
      </c>
      <c r="E127">
        <f>SUMIFS(Table14[Credit], Table14[Date], Table13[[#This Row],[Date]], Table14[Party], "Transport")</f>
        <v>0</v>
      </c>
    </row>
    <row r="128" spans="2:5" x14ac:dyDescent="0.3">
      <c r="B128" s="1">
        <v>46197</v>
      </c>
      <c r="D128">
        <f>SUMIFS(Table14[Debit], Table14[Date], Table13[[#This Row],[Date]], Table14[Party], "Transport")</f>
        <v>0</v>
      </c>
      <c r="E128">
        <f>SUMIFS(Table14[Credit], Table14[Date], Table13[[#This Row],[Date]], Table14[Party], "Transport")</f>
        <v>0</v>
      </c>
    </row>
    <row r="129" spans="2:5" x14ac:dyDescent="0.3">
      <c r="B129" s="1">
        <v>46198</v>
      </c>
      <c r="D129">
        <f>SUMIFS(Table14[Debit], Table14[Date], Table13[[#This Row],[Date]], Table14[Party], "Transport")</f>
        <v>4111</v>
      </c>
      <c r="E129">
        <f>SUMIFS(Table14[Credit], Table14[Date], Table13[[#This Row],[Date]], Table14[Party], "Transport")</f>
        <v>0</v>
      </c>
    </row>
    <row r="130" spans="2:5" x14ac:dyDescent="0.3">
      <c r="B130" s="1">
        <v>46199</v>
      </c>
      <c r="D130">
        <f>SUMIFS(Table14[Debit], Table14[Date], Table13[[#This Row],[Date]], Table14[Party], "Transport")</f>
        <v>0</v>
      </c>
      <c r="E130">
        <f>SUMIFS(Table14[Credit], Table14[Date], Table13[[#This Row],[Date]], Table14[Party], "Transport")</f>
        <v>0</v>
      </c>
    </row>
    <row r="131" spans="2:5" x14ac:dyDescent="0.3">
      <c r="B131" s="1">
        <v>46200</v>
      </c>
      <c r="D131">
        <f>SUMIFS(Table14[Debit], Table14[Date], Table13[[#This Row],[Date]], Table14[Party], "Transport")</f>
        <v>0</v>
      </c>
      <c r="E131">
        <f>SUMIFS(Table14[Credit], Table14[Date], Table13[[#This Row],[Date]], Table14[Party], "Transport")</f>
        <v>0</v>
      </c>
    </row>
    <row r="132" spans="2:5" x14ac:dyDescent="0.3">
      <c r="B132" s="1">
        <v>46201</v>
      </c>
      <c r="D132">
        <f>SUMIFS(Table14[Debit], Table14[Date], Table13[[#This Row],[Date]], Table14[Party], "Transport")</f>
        <v>0</v>
      </c>
      <c r="E132">
        <f>SUMIFS(Table14[Credit], Table14[Date], Table13[[#This Row],[Date]], Table14[Party], "Transport")</f>
        <v>0</v>
      </c>
    </row>
    <row r="133" spans="2:5" x14ac:dyDescent="0.3">
      <c r="B133" s="1">
        <v>46202</v>
      </c>
      <c r="D133">
        <f>SUMIFS(Table14[Debit], Table14[Date], Table13[[#This Row],[Date]], Table14[Party], "Transport")</f>
        <v>0</v>
      </c>
      <c r="E133">
        <f>SUMIFS(Table14[Credit], Table14[Date], Table13[[#This Row],[Date]], Table14[Party], "Transport")</f>
        <v>0</v>
      </c>
    </row>
    <row r="134" spans="2:5" x14ac:dyDescent="0.3">
      <c r="B134" s="1">
        <v>46203</v>
      </c>
      <c r="D134">
        <f>SUMIFS(Table14[Debit], Table14[Date], Table13[[#This Row],[Date]], Table14[Party], "Transport")</f>
        <v>0</v>
      </c>
      <c r="E134">
        <f>SUMIFS(Table14[Credit], Table14[Date], Table13[[#This Row],[Date]], Table14[Party], "Transport")</f>
        <v>0</v>
      </c>
    </row>
    <row r="135" spans="2:5" x14ac:dyDescent="0.3">
      <c r="B135" s="1">
        <v>46204</v>
      </c>
      <c r="D135">
        <f>SUMIFS(Table14[Debit], Table14[Date], Table13[[#This Row],[Date]], Table14[Party], "Transport")</f>
        <v>0</v>
      </c>
      <c r="E135">
        <f>SUMIFS(Table14[Credit], Table14[Date], Table13[[#This Row],[Date]], Table14[Party], "Transport")</f>
        <v>0</v>
      </c>
    </row>
    <row r="136" spans="2:5" x14ac:dyDescent="0.3">
      <c r="B136" s="1">
        <v>46205</v>
      </c>
      <c r="D136">
        <f>SUMIFS(Table14[Debit], Table14[Date], Table13[[#This Row],[Date]], Table14[Party], "Transport")</f>
        <v>0</v>
      </c>
      <c r="E136">
        <f>SUMIFS(Table14[Credit], Table14[Date], Table13[[#This Row],[Date]], Table14[Party], "Transport")</f>
        <v>0</v>
      </c>
    </row>
    <row r="137" spans="2:5" x14ac:dyDescent="0.3">
      <c r="B137" s="1">
        <v>46206</v>
      </c>
      <c r="D137">
        <f>SUMIFS(Table14[Debit], Table14[Date], Table13[[#This Row],[Date]], Table14[Party], "Transport")</f>
        <v>5290</v>
      </c>
      <c r="E137">
        <f>SUMIFS(Table14[Credit], Table14[Date], Table13[[#This Row],[Date]], Table14[Party], "Transport")</f>
        <v>0</v>
      </c>
    </row>
    <row r="138" spans="2:5" x14ac:dyDescent="0.3">
      <c r="B138" s="1">
        <v>46207</v>
      </c>
      <c r="D138">
        <f>SUMIFS(Table14[Debit], Table14[Date], Table13[[#This Row],[Date]], Table14[Party], "Transport")</f>
        <v>800</v>
      </c>
      <c r="E138">
        <f>SUMIFS(Table14[Credit], Table14[Date], Table13[[#This Row],[Date]], Table14[Party], "Transport")</f>
        <v>0</v>
      </c>
    </row>
    <row r="139" spans="2:5" x14ac:dyDescent="0.3">
      <c r="B139" s="1">
        <v>46208</v>
      </c>
      <c r="D139">
        <f>SUMIFS(Table14[Debit], Table14[Date], Table13[[#This Row],[Date]], Table14[Party], "Transport")</f>
        <v>0</v>
      </c>
      <c r="E139">
        <f>SUMIFS(Table14[Credit], Table14[Date], Table13[[#This Row],[Date]], Table14[Party], "Transport")</f>
        <v>0</v>
      </c>
    </row>
    <row r="140" spans="2:5" x14ac:dyDescent="0.3">
      <c r="B140" s="1">
        <v>46209</v>
      </c>
      <c r="D140">
        <f>SUMIFS(Table14[Debit], Table14[Date], Table13[[#This Row],[Date]], Table14[Party], "Transport")</f>
        <v>7210</v>
      </c>
      <c r="E140">
        <f>SUMIFS(Table14[Credit], Table14[Date], Table13[[#This Row],[Date]], Table14[Party], "Transport")</f>
        <v>0</v>
      </c>
    </row>
    <row r="141" spans="2:5" x14ac:dyDescent="0.3">
      <c r="B141" s="1">
        <v>46210</v>
      </c>
      <c r="D141">
        <f>SUMIFS(Table14[Debit], Table14[Date], Table13[[#This Row],[Date]], Table14[Party], "Transport")</f>
        <v>200</v>
      </c>
      <c r="E141">
        <f>SUMIFS(Table14[Credit], Table14[Date], Table13[[#This Row],[Date]], Table14[Party], "Transport")</f>
        <v>0</v>
      </c>
    </row>
    <row r="142" spans="2:5" x14ac:dyDescent="0.3">
      <c r="B142" s="1">
        <v>46211</v>
      </c>
      <c r="D142">
        <f>SUMIFS(Table14[Debit], Table14[Date], Table13[[#This Row],[Date]], Table14[Party], "Transport")</f>
        <v>500</v>
      </c>
      <c r="E142">
        <f>SUMIFS(Table14[Credit], Table14[Date], Table13[[#This Row],[Date]], Table14[Party], "Transport")</f>
        <v>0</v>
      </c>
    </row>
    <row r="143" spans="2:5" x14ac:dyDescent="0.3">
      <c r="B143" s="1">
        <v>46212</v>
      </c>
      <c r="D143">
        <f>SUMIFS(Table14[Debit], Table14[Date], Table13[[#This Row],[Date]], Table14[Party], "Transport")</f>
        <v>8300</v>
      </c>
      <c r="E143">
        <f>SUMIFS(Table14[Credit], Table14[Date], Table13[[#This Row],[Date]], Table14[Party], "Transport")</f>
        <v>0</v>
      </c>
    </row>
    <row r="144" spans="2:5" x14ac:dyDescent="0.3">
      <c r="B144" s="1">
        <v>46213</v>
      </c>
      <c r="D144">
        <f>SUMIFS(Table14[Debit], Table14[Date], Table13[[#This Row],[Date]], Table14[Party], "Transport")</f>
        <v>0</v>
      </c>
      <c r="E144">
        <f>SUMIFS(Table14[Credit], Table14[Date], Table13[[#This Row],[Date]], Table14[Party], "Transport")</f>
        <v>0</v>
      </c>
    </row>
    <row r="145" spans="2:5" x14ac:dyDescent="0.3">
      <c r="B145" s="1">
        <v>46214</v>
      </c>
      <c r="D145">
        <f>SUMIFS(Table14[Debit], Table14[Date], Table13[[#This Row],[Date]], Table14[Party], "Transport")</f>
        <v>5500</v>
      </c>
      <c r="E145">
        <f>SUMIFS(Table14[Credit], Table14[Date], Table13[[#This Row],[Date]], Table14[Party], "Transport")</f>
        <v>0</v>
      </c>
    </row>
    <row r="146" spans="2:5" x14ac:dyDescent="0.3">
      <c r="B146" s="1">
        <v>46215</v>
      </c>
      <c r="D146">
        <f>SUMIFS(Table14[Debit], Table14[Date], Table13[[#This Row],[Date]], Table14[Party], "Transport")</f>
        <v>0</v>
      </c>
      <c r="E146">
        <f>SUMIFS(Table14[Credit], Table14[Date], Table13[[#This Row],[Date]], Table14[Party], "Transport")</f>
        <v>0</v>
      </c>
    </row>
    <row r="147" spans="2:5" x14ac:dyDescent="0.3">
      <c r="B147" s="1">
        <v>46216</v>
      </c>
      <c r="D147">
        <f>SUMIFS(Table14[Debit], Table14[Date], Table13[[#This Row],[Date]], Table14[Party], "Transport")</f>
        <v>0</v>
      </c>
      <c r="E147">
        <f>SUMIFS(Table14[Credit], Table14[Date], Table13[[#This Row],[Date]], Table14[Party], "Transport")</f>
        <v>0</v>
      </c>
    </row>
    <row r="148" spans="2:5" x14ac:dyDescent="0.3">
      <c r="B148" s="1">
        <v>46217</v>
      </c>
      <c r="D148">
        <f>SUMIFS(Table14[Debit], Table14[Date], Table13[[#This Row],[Date]], Table14[Party], "Transport")</f>
        <v>6420</v>
      </c>
      <c r="E148">
        <f>SUMIFS(Table14[Credit], Table14[Date], Table13[[#This Row],[Date]], Table14[Party], "Transport")</f>
        <v>0</v>
      </c>
    </row>
    <row r="149" spans="2:5" x14ac:dyDescent="0.3">
      <c r="B149" s="1">
        <v>46218</v>
      </c>
      <c r="D149">
        <f>SUMIFS(Table14[Debit], Table14[Date], Table13[[#This Row],[Date]], Table14[Party], "Transport")</f>
        <v>0</v>
      </c>
      <c r="E149">
        <f>SUMIFS(Table14[Credit], Table14[Date], Table13[[#This Row],[Date]], Table14[Party], "Transport")</f>
        <v>0</v>
      </c>
    </row>
    <row r="150" spans="2:5" x14ac:dyDescent="0.3">
      <c r="B150" s="1">
        <v>46219</v>
      </c>
      <c r="D150">
        <f>SUMIFS(Table14[Debit], Table14[Date], Table13[[#This Row],[Date]], Table14[Party], "Transport")</f>
        <v>7300</v>
      </c>
      <c r="E150">
        <f>SUMIFS(Table14[Credit], Table14[Date], Table13[[#This Row],[Date]], Table14[Party], "Transport")</f>
        <v>0</v>
      </c>
    </row>
    <row r="151" spans="2:5" x14ac:dyDescent="0.3">
      <c r="B151" s="1">
        <v>46220</v>
      </c>
      <c r="D151">
        <f>SUMIFS(Table14[Debit], Table14[Date], Table13[[#This Row],[Date]], Table14[Party], "Transport")</f>
        <v>0</v>
      </c>
      <c r="E151">
        <f>SUMIFS(Table14[Credit], Table14[Date], Table13[[#This Row],[Date]], Table14[Party], "Transport")</f>
        <v>0</v>
      </c>
    </row>
    <row r="152" spans="2:5" x14ac:dyDescent="0.3">
      <c r="B152" s="1">
        <v>46221</v>
      </c>
      <c r="D152">
        <f>SUMIFS(Table14[Debit], Table14[Date], Table13[[#This Row],[Date]], Table14[Party], "Transport")</f>
        <v>2500</v>
      </c>
      <c r="E152">
        <f>SUMIFS(Table14[Credit], Table14[Date], Table13[[#This Row],[Date]], Table14[Party], "Transport")</f>
        <v>0</v>
      </c>
    </row>
    <row r="153" spans="2:5" x14ac:dyDescent="0.3">
      <c r="B153" s="1">
        <v>46222</v>
      </c>
      <c r="D153">
        <f>SUMIFS(Table14[Debit], Table14[Date], Table13[[#This Row],[Date]], Table14[Party], "Transport")</f>
        <v>0</v>
      </c>
      <c r="E153">
        <f>SUMIFS(Table14[Credit], Table14[Date], Table13[[#This Row],[Date]], Table14[Party], "Transport")</f>
        <v>0</v>
      </c>
    </row>
    <row r="154" spans="2:5" x14ac:dyDescent="0.3">
      <c r="B154" s="1">
        <v>46223</v>
      </c>
      <c r="D154">
        <f>SUMIFS(Table14[Debit], Table14[Date], Table13[[#This Row],[Date]], Table14[Party], "Transport")</f>
        <v>0</v>
      </c>
      <c r="E154">
        <f>SUMIFS(Table14[Credit], Table14[Date], Table13[[#This Row],[Date]], Table14[Party], "Transport")</f>
        <v>0</v>
      </c>
    </row>
    <row r="155" spans="2:5" x14ac:dyDescent="0.3">
      <c r="B155" s="1">
        <v>46224</v>
      </c>
      <c r="D155">
        <f>SUMIFS(Table14[Debit], Table14[Date], Table13[[#This Row],[Date]], Table14[Party], "Transport")</f>
        <v>0</v>
      </c>
      <c r="E155">
        <f>SUMIFS(Table14[Credit], Table14[Date], Table13[[#This Row],[Date]], Table14[Party], "Transport")</f>
        <v>0</v>
      </c>
    </row>
    <row r="156" spans="2:5" x14ac:dyDescent="0.3">
      <c r="B156" s="1">
        <v>46225</v>
      </c>
      <c r="D156">
        <f>SUMIFS(Table14[Debit], Table14[Date], Table13[[#This Row],[Date]], Table14[Party], "Transport")</f>
        <v>0</v>
      </c>
      <c r="E156">
        <f>SUMIFS(Table14[Credit], Table14[Date], Table13[[#This Row],[Date]], Table14[Party], "Transport")</f>
        <v>0</v>
      </c>
    </row>
    <row r="157" spans="2:5" x14ac:dyDescent="0.3">
      <c r="B157" s="1">
        <v>46226</v>
      </c>
      <c r="D157">
        <f>SUMIFS(Table14[Debit], Table14[Date], Table13[[#This Row],[Date]], Table14[Party], "Transport")</f>
        <v>0</v>
      </c>
      <c r="E157">
        <f>SUMIFS(Table14[Credit], Table14[Date], Table13[[#This Row],[Date]], Table14[Party], "Transport")</f>
        <v>0</v>
      </c>
    </row>
    <row r="158" spans="2:5" x14ac:dyDescent="0.3">
      <c r="B158" s="1">
        <v>46227</v>
      </c>
      <c r="D158">
        <f>SUMIFS(Table14[Debit], Table14[Date], Table13[[#This Row],[Date]], Table14[Party], "Transport")</f>
        <v>3000</v>
      </c>
      <c r="E158">
        <f>SUMIFS(Table14[Credit], Table14[Date], Table13[[#This Row],[Date]], Table14[Party], "Transport")</f>
        <v>0</v>
      </c>
    </row>
    <row r="159" spans="2:5" x14ac:dyDescent="0.3">
      <c r="B159" s="1">
        <v>46228</v>
      </c>
      <c r="D159">
        <f>SUMIFS(Table14[Debit], Table14[Date], Table13[[#This Row],[Date]], Table14[Party], "Transport")</f>
        <v>0</v>
      </c>
      <c r="E159">
        <f>SUMIFS(Table14[Credit], Table14[Date], Table13[[#This Row],[Date]], Table14[Party], "Transport")</f>
        <v>0</v>
      </c>
    </row>
    <row r="160" spans="2:5" x14ac:dyDescent="0.3">
      <c r="B160" s="1">
        <v>46229</v>
      </c>
      <c r="D160">
        <f>SUMIFS(Table14[Debit], Table14[Date], Table13[[#This Row],[Date]], Table14[Party], "Transport")</f>
        <v>0</v>
      </c>
      <c r="E160">
        <f>SUMIFS(Table14[Credit], Table14[Date], Table13[[#This Row],[Date]], Table14[Party], "Transport")</f>
        <v>0</v>
      </c>
    </row>
    <row r="161" spans="2:5" x14ac:dyDescent="0.3">
      <c r="B161" s="1">
        <v>46230</v>
      </c>
      <c r="D161">
        <f>SUMIFS(Table14[Debit], Table14[Date], Table13[[#This Row],[Date]], Table14[Party], "Transport")</f>
        <v>0</v>
      </c>
      <c r="E161">
        <f>SUMIFS(Table14[Credit], Table14[Date], Table13[[#This Row],[Date]], Table14[Party], "Transport")</f>
        <v>0</v>
      </c>
    </row>
    <row r="162" spans="2:5" x14ac:dyDescent="0.3">
      <c r="B162" s="1">
        <v>46231</v>
      </c>
      <c r="D162">
        <f>SUMIFS(Table14[Debit], Table14[Date], Table13[[#This Row],[Date]], Table14[Party], "Transport")</f>
        <v>1300</v>
      </c>
      <c r="E162">
        <f>SUMIFS(Table14[Credit], Table14[Date], Table13[[#This Row],[Date]], Table14[Party], "Transport")</f>
        <v>0</v>
      </c>
    </row>
    <row r="163" spans="2:5" x14ac:dyDescent="0.3">
      <c r="B163" s="1">
        <v>46232</v>
      </c>
      <c r="D163">
        <f>SUMIFS(Table14[Debit], Table14[Date], Table13[[#This Row],[Date]], Table14[Party], "Transport")</f>
        <v>0</v>
      </c>
      <c r="E163">
        <f>SUMIFS(Table14[Credit], Table14[Date], Table13[[#This Row],[Date]], Table14[Party], "Transport")</f>
        <v>0</v>
      </c>
    </row>
    <row r="164" spans="2:5" x14ac:dyDescent="0.3">
      <c r="B164" s="1">
        <v>46233</v>
      </c>
      <c r="D164">
        <f>SUMIFS(Table14[Debit], Table14[Date], Table13[[#This Row],[Date]], Table14[Party], "Transport")</f>
        <v>0</v>
      </c>
      <c r="E164">
        <f>SUMIFS(Table14[Credit], Table14[Date], Table13[[#This Row],[Date]], Table14[Party], "Transport")</f>
        <v>0</v>
      </c>
    </row>
    <row r="165" spans="2:5" x14ac:dyDescent="0.3">
      <c r="B165" s="1">
        <v>46234</v>
      </c>
      <c r="D165">
        <f>SUMIFS(Table14[Debit], Table14[Date], Table13[[#This Row],[Date]], Table14[Party], "Transport")</f>
        <v>0</v>
      </c>
      <c r="E165">
        <f>SUMIFS(Table14[Credit], Table14[Date], Table13[[#This Row],[Date]], Table14[Party], "Transport")</f>
        <v>0</v>
      </c>
    </row>
    <row r="166" spans="2:5" x14ac:dyDescent="0.3">
      <c r="B166" s="1">
        <v>46235</v>
      </c>
      <c r="D166">
        <f>SUMIFS(Table14[Debit], Table14[Date], Table13[[#This Row],[Date]], Table14[Party], "Transport")</f>
        <v>0</v>
      </c>
      <c r="E166">
        <f>SUMIFS(Table14[Credit], Table14[Date], Table13[[#This Row],[Date]], Table14[Party], "Transport")</f>
        <v>0</v>
      </c>
    </row>
    <row r="167" spans="2:5" x14ac:dyDescent="0.3">
      <c r="B167" s="1">
        <v>46236</v>
      </c>
      <c r="D167">
        <f>SUMIFS(Table14[Debit], Table14[Date], Table13[[#This Row],[Date]], Table14[Party], "Transport")</f>
        <v>0</v>
      </c>
      <c r="E167">
        <f>SUMIFS(Table14[Credit], Table14[Date], Table13[[#This Row],[Date]], Table14[Party], "Transport")</f>
        <v>0</v>
      </c>
    </row>
    <row r="168" spans="2:5" x14ac:dyDescent="0.3">
      <c r="B168" s="1">
        <v>46237</v>
      </c>
      <c r="D168">
        <f>SUMIFS(Table14[Debit], Table14[Date], Table13[[#This Row],[Date]], Table14[Party], "Transport")</f>
        <v>0</v>
      </c>
      <c r="E168">
        <f>SUMIFS(Table14[Credit], Table14[Date], Table13[[#This Row],[Date]], Table14[Party], "Transport")</f>
        <v>0</v>
      </c>
    </row>
    <row r="169" spans="2:5" x14ac:dyDescent="0.3">
      <c r="B169" s="1">
        <v>46238</v>
      </c>
      <c r="D169">
        <f>SUMIFS(Table14[Debit], Table14[Date], Table13[[#This Row],[Date]], Table14[Party], "Transport")</f>
        <v>5020</v>
      </c>
      <c r="E169">
        <f>SUMIFS(Table14[Credit], Table14[Date], Table13[[#This Row],[Date]], Table14[Party], "Transport")</f>
        <v>0</v>
      </c>
    </row>
    <row r="170" spans="2:5" x14ac:dyDescent="0.3">
      <c r="B170" s="1">
        <v>46239</v>
      </c>
      <c r="D170">
        <f>SUMIFS(Table14[Debit], Table14[Date], Table13[[#This Row],[Date]], Table14[Party], "Transport")</f>
        <v>9514</v>
      </c>
      <c r="E170">
        <f>SUMIFS(Table14[Credit], Table14[Date], Table13[[#This Row],[Date]], Table14[Party], "Transport")</f>
        <v>0</v>
      </c>
    </row>
    <row r="171" spans="2:5" x14ac:dyDescent="0.3">
      <c r="B171" s="1">
        <v>46240</v>
      </c>
      <c r="D171">
        <f>SUMIFS(Table14[Debit], Table14[Date], Table13[[#This Row],[Date]], Table14[Party], "Transport")</f>
        <v>4000</v>
      </c>
      <c r="E171">
        <f>SUMIFS(Table14[Credit], Table14[Date], Table13[[#This Row],[Date]], Table14[Party], "Transport")</f>
        <v>0</v>
      </c>
    </row>
    <row r="172" spans="2:5" x14ac:dyDescent="0.3">
      <c r="B172" s="1">
        <v>46241</v>
      </c>
      <c r="D172">
        <f>SUMIFS(Table14[Debit], Table14[Date], Table13[[#This Row],[Date]], Table14[Party], "Transport")</f>
        <v>12490</v>
      </c>
      <c r="E172">
        <f>SUMIFS(Table14[Credit], Table14[Date], Table13[[#This Row],[Date]], Table14[Party], "Transport")</f>
        <v>0</v>
      </c>
    </row>
    <row r="173" spans="2:5" x14ac:dyDescent="0.3">
      <c r="B173" s="1">
        <v>46242</v>
      </c>
      <c r="D173">
        <f>SUMIFS(Table14[Debit], Table14[Date], Table13[[#This Row],[Date]], Table14[Party], "Transport")</f>
        <v>0</v>
      </c>
      <c r="E173">
        <f>SUMIFS(Table14[Credit], Table14[Date], Table13[[#This Row],[Date]], Table14[Party], "Transport")</f>
        <v>0</v>
      </c>
    </row>
    <row r="174" spans="2:5" x14ac:dyDescent="0.3">
      <c r="B174" s="1">
        <v>46243</v>
      </c>
      <c r="D174">
        <f>SUMIFS(Table14[Debit], Table14[Date], Table13[[#This Row],[Date]], Table14[Party], "Transport")</f>
        <v>18400</v>
      </c>
      <c r="E174">
        <f>SUMIFS(Table14[Credit], Table14[Date], Table13[[#This Row],[Date]], Table14[Party], "Transport")</f>
        <v>0</v>
      </c>
    </row>
    <row r="175" spans="2:5" x14ac:dyDescent="0.3">
      <c r="B175" s="1">
        <v>46244</v>
      </c>
      <c r="D175">
        <f>SUMIFS(Table14[Debit], Table14[Date], Table13[[#This Row],[Date]], Table14[Party], "Transport")</f>
        <v>0</v>
      </c>
      <c r="E175">
        <f>SUMIFS(Table14[Credit], Table14[Date], Table13[[#This Row],[Date]], Table14[Party], "Transport")</f>
        <v>0</v>
      </c>
    </row>
    <row r="176" spans="2:5" x14ac:dyDescent="0.3">
      <c r="B176" s="1">
        <v>46245</v>
      </c>
      <c r="D176">
        <f>SUMIFS(Table14[Debit], Table14[Date], Table13[[#This Row],[Date]], Table14[Party], "Transport")</f>
        <v>0</v>
      </c>
      <c r="E176">
        <f>SUMIFS(Table14[Credit], Table14[Date], Table13[[#This Row],[Date]], Table14[Party], "Transport")</f>
        <v>0</v>
      </c>
    </row>
    <row r="177" spans="2:6" x14ac:dyDescent="0.3">
      <c r="B177" s="1">
        <v>46246</v>
      </c>
      <c r="D177">
        <f>SUMIFS(Table14[Debit], Table14[Date], Table13[[#This Row],[Date]], Table14[Party], "Transport")</f>
        <v>19800</v>
      </c>
      <c r="E177">
        <f>SUMIFS(Table14[Credit], Table14[Date], Table13[[#This Row],[Date]], Table14[Party], "Transport")</f>
        <v>0</v>
      </c>
    </row>
    <row r="178" spans="2:6" x14ac:dyDescent="0.3">
      <c r="B178" s="1">
        <v>46247</v>
      </c>
      <c r="D178">
        <f>SUMIFS(Table14[Debit], Table14[Date], Table13[[#This Row],[Date]], Table14[Party], "Transport")</f>
        <v>750</v>
      </c>
      <c r="E178">
        <f>SUMIFS(Table14[Credit], Table14[Date], Table13[[#This Row],[Date]], Table14[Party], "Transport")</f>
        <v>0</v>
      </c>
    </row>
    <row r="179" spans="2:6" x14ac:dyDescent="0.3">
      <c r="B179" s="1">
        <v>46248</v>
      </c>
      <c r="D179">
        <f>SUMIFS(Table14[Debit], Table14[Date], Table13[[#This Row],[Date]], Table14[Party], "Transport")</f>
        <v>0</v>
      </c>
      <c r="E179">
        <f>SUMIFS(Table14[Credit], Table14[Date], Table13[[#This Row],[Date]], Table14[Party], "Transport")</f>
        <v>0</v>
      </c>
    </row>
    <row r="180" spans="2:6" x14ac:dyDescent="0.3">
      <c r="B180" s="1">
        <v>46249</v>
      </c>
      <c r="D180">
        <f>SUMIFS(Table14[Debit], Table14[Date], Table13[[#This Row],[Date]], Table14[Party], "Transport")</f>
        <v>0</v>
      </c>
      <c r="E180">
        <f>SUMIFS(Table14[Credit], Table14[Date], Table13[[#This Row],[Date]], Table14[Party], "Transport")</f>
        <v>0</v>
      </c>
    </row>
    <row r="181" spans="2:6" x14ac:dyDescent="0.3">
      <c r="B181" s="1">
        <v>46250</v>
      </c>
      <c r="D181">
        <f>SUMIFS(Table14[Debit], Table14[Date], Table13[[#This Row],[Date]], Table14[Party], "Transport")</f>
        <v>0</v>
      </c>
      <c r="E181">
        <f>SUMIFS(Table14[Credit], Table14[Date], Table13[[#This Row],[Date]], Table14[Party], "Transport")</f>
        <v>0</v>
      </c>
    </row>
    <row r="182" spans="2:6" x14ac:dyDescent="0.3">
      <c r="B182" s="1">
        <v>46251</v>
      </c>
      <c r="D182">
        <f>SUMIFS(Table14[Debit], Table14[Date], Table13[[#This Row],[Date]], Table14[Party], "Transport")</f>
        <v>1500</v>
      </c>
      <c r="E182">
        <f>SUMIFS(Table14[Credit], Table14[Date], Table13[[#This Row],[Date]], Table14[Party], "Transport")</f>
        <v>0</v>
      </c>
    </row>
    <row r="183" spans="2:6" x14ac:dyDescent="0.3">
      <c r="B183" s="1">
        <v>46252</v>
      </c>
      <c r="D183">
        <f>SUMIFS(Table14[Debit], Table14[Date], Table13[[#This Row],[Date]], Table14[Party], "Transport")</f>
        <v>2010</v>
      </c>
      <c r="E183">
        <f>SUMIFS(Table14[Credit], Table14[Date], Table13[[#This Row],[Date]], Table14[Party], "Transport")</f>
        <v>0</v>
      </c>
    </row>
    <row r="184" spans="2:6" x14ac:dyDescent="0.3">
      <c r="B184" s="1">
        <v>46253</v>
      </c>
      <c r="D184">
        <f>SUMIFS(Table14[Debit], Table14[Date], Table13[[#This Row],[Date]], Table14[Party], "Transport")</f>
        <v>9000</v>
      </c>
      <c r="E184">
        <f>SUMIFS(Table14[Credit], Table14[Date], Table13[[#This Row],[Date]], Table14[Party], "Transport")</f>
        <v>0</v>
      </c>
    </row>
    <row r="185" spans="2:6" x14ac:dyDescent="0.3">
      <c r="B185" s="1">
        <v>46254</v>
      </c>
      <c r="D185">
        <f>SUMIFS(Table14[Debit], Table14[Date], Table13[[#This Row],[Date]], Table14[Party], "Transport")</f>
        <v>0</v>
      </c>
      <c r="E185">
        <f>SUMIFS(Table14[Credit], Table14[Date], Table13[[#This Row],[Date]], Table14[Party], "Transport")</f>
        <v>0</v>
      </c>
    </row>
    <row r="186" spans="2:6" x14ac:dyDescent="0.3">
      <c r="B186" s="1">
        <v>46255</v>
      </c>
      <c r="D186">
        <f>SUMIFS(Table14[Debit], Table14[Date], Table13[[#This Row],[Date]], Table14[Party], "Transport")</f>
        <v>0</v>
      </c>
      <c r="E186">
        <f>SUMIFS(Table14[Credit], Table14[Date], Table13[[#This Row],[Date]], Table14[Party], "Transport")</f>
        <v>0</v>
      </c>
    </row>
    <row r="187" spans="2:6" x14ac:dyDescent="0.3">
      <c r="B187" s="1">
        <v>46256</v>
      </c>
      <c r="D187">
        <f>SUMIFS(Table14[Debit], Table14[Date], Table13[[#This Row],[Date]], Table14[Party], "Transport")</f>
        <v>0</v>
      </c>
      <c r="E187">
        <f>SUMIFS(Table14[Credit], Table14[Date], Table13[[#This Row],[Date]], Table14[Party], "Transport")</f>
        <v>0</v>
      </c>
    </row>
    <row r="188" spans="2:6" x14ac:dyDescent="0.3">
      <c r="B188" s="1">
        <v>46257</v>
      </c>
      <c r="D188">
        <f>SUMIFS(Table14[Debit], Table14[Date], Table13[[#This Row],[Date]], Table14[Party], "Transport")</f>
        <v>0</v>
      </c>
      <c r="E188">
        <f>SUMIFS(Table14[Credit], Table14[Date], Table13[[#This Row],[Date]], Table14[Party], "Transport")</f>
        <v>0</v>
      </c>
    </row>
    <row r="189" spans="2:6" x14ac:dyDescent="0.3">
      <c r="B189" s="1">
        <v>46258</v>
      </c>
      <c r="D189">
        <f>SUMIFS(Table14[Debit], Table14[Date], Table13[[#This Row],[Date]], Table14[Party], "Transport")</f>
        <v>0</v>
      </c>
      <c r="E189">
        <f>SUMIFS(Table14[Credit], Table14[Date], Table13[[#This Row],[Date]], Table14[Party], "Transport")</f>
        <v>0</v>
      </c>
    </row>
    <row r="190" spans="2:6" x14ac:dyDescent="0.3">
      <c r="B190" s="1"/>
      <c r="D190">
        <f>SUBTOTAL(109,Table13[Debit])</f>
        <v>391810.4</v>
      </c>
      <c r="E190">
        <f>SUBTOTAL(109,Table13[Credit])</f>
        <v>0</v>
      </c>
      <c r="F190">
        <f>Table13[[#Totals],[Debit]]-Table13[[#Totals],[Credit]]</f>
        <v>391810.4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345"/>
  <sheetViews>
    <sheetView topLeftCell="A311" zoomScale="107" zoomScaleNormal="107" workbookViewId="0">
      <selection activeCell="K323" sqref="K323"/>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5" t="s">
        <v>75</v>
      </c>
      <c r="B1" s="105" t="s">
        <v>2</v>
      </c>
      <c r="C1" s="105" t="s">
        <v>77</v>
      </c>
      <c r="D1" s="105" t="s">
        <v>78</v>
      </c>
      <c r="E1" s="105" t="s">
        <v>79</v>
      </c>
      <c r="F1" s="105" t="s">
        <v>80</v>
      </c>
      <c r="G1" s="105" t="s">
        <v>81</v>
      </c>
      <c r="H1" s="27" t="s">
        <v>82</v>
      </c>
      <c r="I1" s="27" t="s">
        <v>83</v>
      </c>
      <c r="J1" s="27" t="s">
        <v>84</v>
      </c>
      <c r="K1" s="27" t="s">
        <v>41</v>
      </c>
    </row>
    <row r="2" spans="1:28" x14ac:dyDescent="0.3">
      <c r="A2" s="149">
        <v>46111</v>
      </c>
      <c r="B2" s="80" t="s">
        <v>21</v>
      </c>
      <c r="C2" s="119" t="s">
        <v>210</v>
      </c>
      <c r="D2" s="119" t="s">
        <v>85</v>
      </c>
      <c r="E2" s="158"/>
      <c r="F2" s="83"/>
      <c r="G2" s="83"/>
      <c r="H2" s="120" t="e">
        <f>_xlfn.XLOOKUP(Table1[[#This Row],[Shipment Number]], 'pivot '!A:A,'pivot '!G:G, "NF")</f>
        <v>#DIV/0!</v>
      </c>
      <c r="I2" s="120">
        <f>_xlfn.XLOOKUP(Table1[[#This Row],[Party Name]],
[1]Billing!$R$5:$R$40,
[1]Billing!$U$5:$U$40)</f>
        <v>3126686.9809802491</v>
      </c>
      <c r="J2" s="120">
        <f>_xlfn.XLOOKUP(Table1[[#This Row],[Party Name]],
[1]Billing!$R$5:$R$40,
[1]Billing!$W$5:$W$40)</f>
        <v>31266869.809802495</v>
      </c>
      <c r="K2" s="119"/>
      <c r="M2" s="10" t="str" cm="1">
        <f t="array" ref="M2:M43">_xlfn.UNIQUE(Table1[Party Name])</f>
        <v>BSC</v>
      </c>
    </row>
    <row r="3" spans="1:28" x14ac:dyDescent="0.3">
      <c r="A3" s="149">
        <v>46111</v>
      </c>
      <c r="B3" s="80" t="s">
        <v>22</v>
      </c>
      <c r="C3" s="119" t="s">
        <v>210</v>
      </c>
      <c r="D3" s="119" t="s">
        <v>85</v>
      </c>
      <c r="E3" s="158"/>
      <c r="F3" s="83"/>
      <c r="G3" s="83"/>
      <c r="H3" s="120" t="e">
        <f>_xlfn.XLOOKUP(Table1[[#This Row],[Shipment Number]], 'pivot '!A:A,'pivot '!G:G, "NF")</f>
        <v>#DIV/0!</v>
      </c>
      <c r="I3" s="120">
        <f>_xlfn.XLOOKUP(Table1[[#This Row],[Party Name]],
[1]Billing!$R$5:$R$40,
[1]Billing!$U$5:$U$40)</f>
        <v>148145.57425018289</v>
      </c>
      <c r="J3" s="120">
        <f>_xlfn.XLOOKUP(Table1[[#This Row],[Party Name]],
[1]Billing!$R$5:$R$40,
[1]Billing!$W$5:$W$40)</f>
        <v>1481455.7425018288</v>
      </c>
      <c r="K3" s="119"/>
      <c r="M3" s="10" t="str">
        <v>Ejaz Sahab</v>
      </c>
    </row>
    <row r="4" spans="1:28" x14ac:dyDescent="0.3">
      <c r="A4" s="149">
        <v>46111</v>
      </c>
      <c r="B4" s="80" t="s">
        <v>9</v>
      </c>
      <c r="C4" s="119" t="s">
        <v>210</v>
      </c>
      <c r="D4" s="119" t="s">
        <v>85</v>
      </c>
      <c r="E4" s="158"/>
      <c r="F4" s="83"/>
      <c r="G4" s="83"/>
      <c r="H4" s="120" t="e">
        <f>_xlfn.XLOOKUP(Table1[[#This Row],[Shipment Number]], 'pivot '!A:A,'pivot '!G:G, "NF")</f>
        <v>#DIV/0!</v>
      </c>
      <c r="I4" s="120">
        <f>_xlfn.XLOOKUP(Table1[[#This Row],[Party Name]],
[1]Billing!$R$5:$R$40,
[1]Billing!$U$5:$U$40)</f>
        <v>718917.33723482082</v>
      </c>
      <c r="J4" s="120">
        <f>_xlfn.XLOOKUP(Table1[[#This Row],[Party Name]],
[1]Billing!$R$5:$R$40,
[1]Billing!$W$5:$W$40)</f>
        <v>7189173.372348208</v>
      </c>
      <c r="K4" s="119"/>
      <c r="M4" s="10" t="str">
        <v>Arshad</v>
      </c>
    </row>
    <row r="5" spans="1:28" x14ac:dyDescent="0.3">
      <c r="A5" s="149">
        <v>46111</v>
      </c>
      <c r="B5" s="80" t="s">
        <v>23</v>
      </c>
      <c r="C5" s="119" t="s">
        <v>210</v>
      </c>
      <c r="D5" s="119" t="s">
        <v>85</v>
      </c>
      <c r="E5" s="158"/>
      <c r="F5" s="83"/>
      <c r="G5" s="83"/>
      <c r="H5" s="120" t="e">
        <f>_xlfn.XLOOKUP(Table1[[#This Row],[Shipment Number]], 'pivot '!A:A,'pivot '!G:G, "NF")</f>
        <v>#DIV/0!</v>
      </c>
      <c r="I5" s="120">
        <f>_xlfn.XLOOKUP(Table1[[#This Row],[Party Name]],
[1]Billing!$R$5:$R$40,
[1]Billing!$U$5:$U$40)</f>
        <v>131178.67593269935</v>
      </c>
      <c r="J5" s="120">
        <f>_xlfn.XLOOKUP(Table1[[#This Row],[Party Name]],
[1]Billing!$R$5:$R$40,
[1]Billing!$W$5:$W$40)</f>
        <v>1354241.9972933433</v>
      </c>
      <c r="K5" s="119"/>
      <c r="M5" s="10" t="str">
        <v>Shehzad Kamoki</v>
      </c>
    </row>
    <row r="6" spans="1:28" x14ac:dyDescent="0.3">
      <c r="A6" s="149">
        <v>46111</v>
      </c>
      <c r="B6" s="80" t="s">
        <v>24</v>
      </c>
      <c r="C6" s="119" t="s">
        <v>210</v>
      </c>
      <c r="D6" s="119" t="s">
        <v>85</v>
      </c>
      <c r="E6" s="158"/>
      <c r="F6" s="83"/>
      <c r="G6" s="83"/>
      <c r="H6" s="120" t="e">
        <f>_xlfn.XLOOKUP(Table1[[#This Row],[Shipment Number]], 'pivot '!A:A,'pivot '!G:G, "NF")</f>
        <v>#DIV/0!</v>
      </c>
      <c r="I6" s="120">
        <f>_xlfn.XLOOKUP(Table1[[#This Row],[Party Name]],
[1]Billing!$R$5:$R$40,
[1]Billing!$U$5:$U$40)</f>
        <v>599330.65106071695</v>
      </c>
      <c r="J6" s="120">
        <f>_xlfn.XLOOKUP(Table1[[#This Row],[Party Name]],
[1]Billing!$R$5:$R$40,
[1]Billing!$W$5:$W$40)</f>
        <v>5408917.8595464528</v>
      </c>
      <c r="K6" s="119"/>
      <c r="M6" s="10" t="str">
        <v>Sufi Nawaz Sahab</v>
      </c>
      <c r="X6"/>
      <c r="Y6"/>
      <c r="Z6"/>
      <c r="AA6"/>
      <c r="AB6"/>
    </row>
    <row r="7" spans="1:28" x14ac:dyDescent="0.3">
      <c r="A7" s="149">
        <v>46111</v>
      </c>
      <c r="B7" s="80" t="s">
        <v>25</v>
      </c>
      <c r="C7" s="119" t="s">
        <v>210</v>
      </c>
      <c r="D7" s="119" t="s">
        <v>85</v>
      </c>
      <c r="E7" s="158"/>
      <c r="F7" s="83"/>
      <c r="G7" s="83"/>
      <c r="H7" s="120" t="e">
        <f>_xlfn.XLOOKUP(Table1[[#This Row],[Shipment Number]], 'pivot '!A:A,'pivot '!G:G, "NF")</f>
        <v>#DIV/0!</v>
      </c>
      <c r="I7" s="120">
        <f>_xlfn.XLOOKUP(Table1[[#This Row],[Party Name]],
[1]Billing!$R$5:$R$40,
[1]Billing!$U$5:$U$40)</f>
        <v>1005535.8449158743</v>
      </c>
      <c r="J7" s="120">
        <f>_xlfn.XLOOKUP(Table1[[#This Row],[Party Name]],
[1]Billing!$R$5:$R$40,
[1]Billing!$W$5:$W$40)</f>
        <v>10055358.449158743</v>
      </c>
      <c r="K7" s="119"/>
      <c r="M7" s="10" t="str">
        <v>Sajad Khan</v>
      </c>
      <c r="X7"/>
      <c r="Y7"/>
      <c r="Z7"/>
      <c r="AA7"/>
      <c r="AB7"/>
    </row>
    <row r="8" spans="1:28" x14ac:dyDescent="0.3">
      <c r="A8" s="149">
        <v>46111</v>
      </c>
      <c r="B8" s="80" t="s">
        <v>26</v>
      </c>
      <c r="C8" s="119" t="s">
        <v>210</v>
      </c>
      <c r="D8" s="119" t="s">
        <v>85</v>
      </c>
      <c r="E8" s="158"/>
      <c r="F8" s="83"/>
      <c r="G8" s="83"/>
      <c r="H8" s="120" t="e">
        <f>_xlfn.XLOOKUP(Table1[[#This Row],[Shipment Number]], 'pivot '!A:A,'pivot '!G:G, "NF")</f>
        <v>#DIV/0!</v>
      </c>
      <c r="I8" s="120">
        <f>_xlfn.XLOOKUP(Table1[[#This Row],[Party Name]],
[1]Billing!$R$5:$R$40,
[1]Billing!$U$5:$U$40)</f>
        <v>185902.52377468912</v>
      </c>
      <c r="J8" s="120">
        <f>_xlfn.XLOOKUP(Table1[[#This Row],[Party Name]],
[1]Billing!$R$5:$R$40,
[1]Billing!$W$5:$W$40)</f>
        <v>1859025.2377468913</v>
      </c>
      <c r="K8" s="119"/>
      <c r="M8" s="10" t="str">
        <v>Raaz Fabrics</v>
      </c>
      <c r="X8"/>
      <c r="Y8"/>
      <c r="Z8"/>
      <c r="AA8"/>
      <c r="AB8"/>
    </row>
    <row r="9" spans="1:28" x14ac:dyDescent="0.3">
      <c r="A9" s="149">
        <v>46111</v>
      </c>
      <c r="B9" s="80" t="s">
        <v>151</v>
      </c>
      <c r="C9" s="119" t="s">
        <v>210</v>
      </c>
      <c r="D9" s="119" t="s">
        <v>85</v>
      </c>
      <c r="E9" s="158"/>
      <c r="F9" s="83"/>
      <c r="G9" s="83"/>
      <c r="H9" s="120" t="e">
        <f>_xlfn.XLOOKUP(Table1[[#This Row],[Shipment Number]], 'pivot '!A:A,'pivot '!G:G, "NF")</f>
        <v>#DIV/0!</v>
      </c>
      <c r="I9" s="120">
        <f>_xlfn.XLOOKUP(Table1[[#This Row],[Party Name]],
[1]Billing!$R$5:$R$40,
[1]Billing!$U$5:$U$40)</f>
        <v>501118.32479882962</v>
      </c>
      <c r="J9" s="120">
        <f>_xlfn.XLOOKUP(Table1[[#This Row],[Party Name]],
[1]Billing!$R$5:$R$40,
[1]Billing!$W$5:$W$40)</f>
        <v>5011183.2479882967</v>
      </c>
      <c r="K9" s="119"/>
      <c r="M9" s="10" t="str">
        <v>Azam</v>
      </c>
      <c r="X9"/>
      <c r="Y9"/>
      <c r="Z9"/>
      <c r="AA9"/>
      <c r="AB9"/>
    </row>
    <row r="10" spans="1:28" x14ac:dyDescent="0.3">
      <c r="A10" s="149">
        <v>46111</v>
      </c>
      <c r="B10" s="80" t="s">
        <v>35</v>
      </c>
      <c r="C10" s="119" t="s">
        <v>210</v>
      </c>
      <c r="D10" s="119" t="s">
        <v>85</v>
      </c>
      <c r="E10" s="158"/>
      <c r="F10" s="83"/>
      <c r="G10" s="83"/>
      <c r="H10" s="120" t="e">
        <f>_xlfn.XLOOKUP(Table1[[#This Row],[Shipment Number]], 'pivot '!A:A,'pivot '!G:G, "NF")</f>
        <v>#DIV/0!</v>
      </c>
      <c r="I10" s="120">
        <f>_xlfn.XLOOKUP(Table1[[#This Row],[Party Name]],
[1]Billing!$R$5:$R$40,
[1]Billing!$U$5:$U$40)</f>
        <v>46132.955376737387</v>
      </c>
      <c r="J10" s="120">
        <f>_xlfn.XLOOKUP(Table1[[#This Row],[Party Name]],
[1]Billing!$R$5:$R$40,
[1]Billing!$W$5:$W$40)</f>
        <v>461329.5537673739</v>
      </c>
      <c r="K10" s="119"/>
      <c r="M10" s="10" t="str">
        <v>Ubaidullah</v>
      </c>
      <c r="X10"/>
      <c r="Y10"/>
    </row>
    <row r="11" spans="1:28" x14ac:dyDescent="0.3">
      <c r="A11" s="149">
        <v>46111</v>
      </c>
      <c r="B11" s="80" t="s">
        <v>147</v>
      </c>
      <c r="C11" s="119" t="s">
        <v>210</v>
      </c>
      <c r="D11" s="119" t="s">
        <v>85</v>
      </c>
      <c r="E11" s="158"/>
      <c r="F11" s="83"/>
      <c r="G11" s="83"/>
      <c r="H11" s="120" t="e">
        <f>_xlfn.XLOOKUP(Table1[[#This Row],[Shipment Number]], 'pivot '!A:A,'pivot '!G:G, "NF")</f>
        <v>#DIV/0!</v>
      </c>
      <c r="I11" s="120">
        <f>_xlfn.XLOOKUP(Table1[[#This Row],[Party Name]],
[1]Billing!$R$5:$R$40,
[1]Billing!$U$5:$U$40)</f>
        <v>21310.35113386979</v>
      </c>
      <c r="J11" s="120">
        <f>_xlfn.XLOOKUP(Table1[[#This Row],[Party Name]],
[1]Billing!$R$5:$R$40,
[1]Billing!$W$5:$W$40)</f>
        <v>255724.21360643749</v>
      </c>
      <c r="K11" s="119"/>
      <c r="M11" s="10" t="str">
        <v>Ashraf Zia</v>
      </c>
      <c r="P11"/>
      <c r="Q11"/>
      <c r="R11"/>
      <c r="S11"/>
      <c r="T11"/>
      <c r="U11"/>
      <c r="V11"/>
      <c r="W11"/>
      <c r="X11"/>
      <c r="Y11"/>
    </row>
    <row r="12" spans="1:28" x14ac:dyDescent="0.3">
      <c r="A12" s="149">
        <v>46111</v>
      </c>
      <c r="B12" s="80" t="s">
        <v>27</v>
      </c>
      <c r="C12" s="119" t="s">
        <v>210</v>
      </c>
      <c r="D12" s="119" t="s">
        <v>85</v>
      </c>
      <c r="E12" s="158"/>
      <c r="F12" s="83"/>
      <c r="G12" s="83"/>
      <c r="H12" s="120" t="e">
        <f>_xlfn.XLOOKUP(Table1[[#This Row],[Shipment Number]], 'pivot '!A:A,'pivot '!G:G, "NF")</f>
        <v>#DIV/0!</v>
      </c>
      <c r="I12" s="120">
        <f>_xlfn.XLOOKUP(Table1[[#This Row],[Party Name]],
[1]Billing!$R$5:$R$40,
[1]Billing!$U$5:$U$40)</f>
        <v>583376.92026335048</v>
      </c>
      <c r="J12" s="120">
        <f>_xlfn.XLOOKUP(Table1[[#This Row],[Party Name]],
[1]Billing!$R$5:$R$40,
[1]Billing!$W$5:$W$40)</f>
        <v>5833769.2026335048</v>
      </c>
      <c r="K12" s="119"/>
      <c r="M12" s="10" t="str">
        <v>Hafiz Qureshi</v>
      </c>
      <c r="P12"/>
      <c r="Q12"/>
      <c r="R12"/>
      <c r="S12"/>
      <c r="T12"/>
      <c r="U12"/>
      <c r="V12"/>
      <c r="W12"/>
      <c r="X12"/>
      <c r="Y12"/>
    </row>
    <row r="13" spans="1:28" x14ac:dyDescent="0.3">
      <c r="A13" s="149">
        <v>46111</v>
      </c>
      <c r="B13" s="80" t="s">
        <v>165</v>
      </c>
      <c r="C13" s="119" t="s">
        <v>210</v>
      </c>
      <c r="D13" s="119" t="s">
        <v>85</v>
      </c>
      <c r="E13" s="83"/>
      <c r="F13" s="83"/>
      <c r="G13" s="83"/>
      <c r="H13" s="120" t="e">
        <f>_xlfn.XLOOKUP(Table1[[#This Row],[Shipment Number]], 'pivot '!A:A,'pivot '!G:G, "NF")</f>
        <v>#DIV/0!</v>
      </c>
      <c r="I13" s="120">
        <f>_xlfn.XLOOKUP(Table1[[#This Row],[Party Name]],
[1]Billing!$R$5:$R$40,
[1]Billing!$U$5:$U$40)</f>
        <v>481526.15215801029</v>
      </c>
      <c r="J13" s="120">
        <f>_xlfn.XLOOKUP(Table1[[#This Row],[Party Name]],
[1]Billing!$R$5:$R$40,
[1]Billing!$W$5:$W$40)</f>
        <v>4861679.7732260432</v>
      </c>
      <c r="K13" s="119"/>
      <c r="M13" s="10" t="str">
        <v>Badshah Fabrics</v>
      </c>
      <c r="P13"/>
      <c r="Q13"/>
      <c r="R13"/>
      <c r="S13"/>
      <c r="T13"/>
      <c r="U13"/>
      <c r="V13"/>
      <c r="W13"/>
      <c r="X13"/>
      <c r="Y13"/>
    </row>
    <row r="14" spans="1:28" x14ac:dyDescent="0.3">
      <c r="A14" s="149">
        <v>46111</v>
      </c>
      <c r="B14" s="80" t="s">
        <v>218</v>
      </c>
      <c r="C14" s="119" t="s">
        <v>210</v>
      </c>
      <c r="D14" s="119" t="s">
        <v>85</v>
      </c>
      <c r="E14" s="83"/>
      <c r="F14" s="83"/>
      <c r="G14" s="83"/>
      <c r="H14" s="120" t="e">
        <f>_xlfn.XLOOKUP(Table1[[#This Row],[Shipment Number]], 'pivot '!A:A,'pivot '!G:G, "NF")</f>
        <v>#DIV/0!</v>
      </c>
      <c r="I14" s="120">
        <f>_xlfn.XLOOKUP(Table1[[#This Row],[Party Name]],
[1]Billing!$R$5:$R$40,
[1]Billing!$U$5:$U$40)</f>
        <v>121404.53547915144</v>
      </c>
      <c r="J14" s="120">
        <f>_xlfn.XLOOKUP(Table1[[#This Row],[Party Name]],
[1]Billing!$R$5:$R$40,
[1]Billing!$W$5:$W$40)</f>
        <v>1214045.3547915143</v>
      </c>
      <c r="K14" s="119"/>
      <c r="M14" s="10" t="str">
        <v>Gauhar Kashif</v>
      </c>
      <c r="P14"/>
      <c r="Q14"/>
      <c r="R14"/>
      <c r="S14"/>
      <c r="T14"/>
      <c r="U14"/>
      <c r="V14"/>
      <c r="W14"/>
      <c r="X14"/>
      <c r="Y14"/>
    </row>
    <row r="15" spans="1:28" x14ac:dyDescent="0.3">
      <c r="A15" s="149">
        <v>46111</v>
      </c>
      <c r="B15" s="80" t="s">
        <v>169</v>
      </c>
      <c r="C15" s="119" t="s">
        <v>210</v>
      </c>
      <c r="D15" s="119" t="s">
        <v>85</v>
      </c>
      <c r="E15" s="83"/>
      <c r="F15" s="83"/>
      <c r="G15" s="83"/>
      <c r="H15" s="120" t="e">
        <f>_xlfn.XLOOKUP(Table1[[#This Row],[Shipment Number]], 'pivot '!A:A,'pivot '!G:G, "NF")</f>
        <v>#DIV/0!</v>
      </c>
      <c r="I15" s="120">
        <f>_xlfn.XLOOKUP(Table1[[#This Row],[Party Name]],
[1]Billing!$R$5:$R$40,
[1]Billing!$U$5:$U$40)</f>
        <v>48385.149963423559</v>
      </c>
      <c r="J15" s="120">
        <f>_xlfn.XLOOKUP(Table1[[#This Row],[Party Name]],
[1]Billing!$R$5:$R$40,
[1]Billing!$W$5:$W$40)</f>
        <v>483851.49963423557</v>
      </c>
      <c r="K15" s="119"/>
      <c r="M15" s="10" t="str">
        <v>Amjad 7up</v>
      </c>
      <c r="P15"/>
      <c r="Q15"/>
      <c r="R15"/>
      <c r="S15"/>
      <c r="T15"/>
      <c r="U15"/>
      <c r="V15"/>
      <c r="W15"/>
      <c r="X15"/>
      <c r="Y15"/>
    </row>
    <row r="16" spans="1:28" x14ac:dyDescent="0.3">
      <c r="A16" s="149">
        <v>46111</v>
      </c>
      <c r="B16" s="80" t="s">
        <v>170</v>
      </c>
      <c r="C16" s="119" t="s">
        <v>210</v>
      </c>
      <c r="D16" s="119" t="s">
        <v>85</v>
      </c>
      <c r="E16" s="83"/>
      <c r="F16" s="83"/>
      <c r="G16" s="83"/>
      <c r="H16" s="120" t="e">
        <f>_xlfn.XLOOKUP(Table1[[#This Row],[Shipment Number]], 'pivot '!A:A,'pivot '!G:G, "NF")</f>
        <v>#DIV/0!</v>
      </c>
      <c r="I16" s="120">
        <f>_xlfn.XLOOKUP(Table1[[#This Row],[Party Name]],
[1]Billing!$R$5:$R$40,
[1]Billing!$U$5:$U$40)</f>
        <v>8915.5084125822978</v>
      </c>
      <c r="J16" s="120">
        <f>_xlfn.XLOOKUP(Table1[[#This Row],[Party Name]],
[1]Billing!$R$5:$R$40,
[1]Billing!$W$5:$W$40)</f>
        <v>89155.084125822978</v>
      </c>
      <c r="K16" s="119"/>
      <c r="M16" s="10" t="str">
        <v>Hazrat Khan</v>
      </c>
      <c r="P16"/>
      <c r="Q16"/>
      <c r="R16"/>
      <c r="S16"/>
      <c r="T16"/>
      <c r="U16"/>
      <c r="V16"/>
      <c r="W16"/>
      <c r="X16"/>
      <c r="Y16"/>
    </row>
    <row r="17" spans="1:25" x14ac:dyDescent="0.3">
      <c r="A17" s="149">
        <v>46111</v>
      </c>
      <c r="B17" s="80" t="s">
        <v>172</v>
      </c>
      <c r="C17" s="119" t="s">
        <v>210</v>
      </c>
      <c r="D17" s="119" t="s">
        <v>85</v>
      </c>
      <c r="E17" s="83"/>
      <c r="F17" s="83"/>
      <c r="G17" s="83"/>
      <c r="H17" s="120" t="e">
        <f>_xlfn.XLOOKUP(Table1[[#This Row],[Shipment Number]], 'pivot '!A:A,'pivot '!G:G, "NF")</f>
        <v>#DIV/0!</v>
      </c>
      <c r="I17" s="120">
        <f>_xlfn.XLOOKUP(Table1[[#This Row],[Party Name]],
[1]Billing!$R$5:$R$40,
[1]Billing!$U$5:$U$40)</f>
        <v>47437.820043891741</v>
      </c>
      <c r="J17" s="120">
        <f>_xlfn.XLOOKUP(Table1[[#This Row],[Party Name]],
[1]Billing!$R$5:$R$40,
[1]Billing!$W$5:$W$40)</f>
        <v>474378.20043891744</v>
      </c>
      <c r="K17" s="119"/>
      <c r="M17" s="10" t="str">
        <v>Haseeb Shamsi</v>
      </c>
      <c r="P17"/>
      <c r="Q17"/>
      <c r="R17"/>
      <c r="S17"/>
      <c r="T17"/>
      <c r="U17"/>
      <c r="V17"/>
      <c r="W17"/>
      <c r="X17"/>
      <c r="Y17"/>
    </row>
    <row r="18" spans="1:25" x14ac:dyDescent="0.3">
      <c r="A18" s="149">
        <v>46111</v>
      </c>
      <c r="B18" s="80" t="s">
        <v>174</v>
      </c>
      <c r="C18" s="119" t="s">
        <v>210</v>
      </c>
      <c r="D18" s="119" t="s">
        <v>85</v>
      </c>
      <c r="E18" s="83"/>
      <c r="F18" s="83"/>
      <c r="G18" s="83"/>
      <c r="H18" s="120" t="e">
        <f>_xlfn.XLOOKUP(Table1[[#This Row],[Shipment Number]], 'pivot '!A:A,'pivot '!G:G, "NF")</f>
        <v>#DIV/0!</v>
      </c>
      <c r="I18" s="120">
        <f>_xlfn.XLOOKUP(Table1[[#This Row],[Party Name]],
[1]Billing!$R$5:$R$40,
[1]Billing!$U$5:$U$40)</f>
        <v>0</v>
      </c>
      <c r="J18" s="120">
        <f>_xlfn.XLOOKUP(Table1[[#This Row],[Party Name]],
[1]Billing!$R$5:$R$40,
[1]Billing!$W$5:$W$40)</f>
        <v>30000</v>
      </c>
      <c r="K18" s="119"/>
      <c r="M18" s="10" t="str">
        <v>Faizan</v>
      </c>
      <c r="P18"/>
      <c r="Q18"/>
      <c r="R18"/>
      <c r="S18"/>
      <c r="T18"/>
      <c r="U18"/>
      <c r="V18"/>
      <c r="W18"/>
      <c r="X18"/>
      <c r="Y18"/>
    </row>
    <row r="19" spans="1:25" x14ac:dyDescent="0.3">
      <c r="A19" s="149">
        <v>46111</v>
      </c>
      <c r="B19" s="80" t="s">
        <v>176</v>
      </c>
      <c r="C19" s="119" t="s">
        <v>210</v>
      </c>
      <c r="D19" s="119" t="s">
        <v>85</v>
      </c>
      <c r="E19" s="83"/>
      <c r="F19" s="83"/>
      <c r="G19" s="83"/>
      <c r="H19" s="120" t="e">
        <f>_xlfn.XLOOKUP(Table1[[#This Row],[Shipment Number]], 'pivot '!A:A,'pivot '!G:G, "NF")</f>
        <v>#DIV/0!</v>
      </c>
      <c r="I19" s="120">
        <f>_xlfn.XLOOKUP(Table1[[#This Row],[Party Name]],
[1]Billing!$R$5:$R$40,
[1]Billing!$U$5:$U$40)</f>
        <v>64300.475493782011</v>
      </c>
      <c r="J19" s="120">
        <f>_xlfn.XLOOKUP(Table1[[#This Row],[Party Name]],
[1]Billing!$R$5:$R$40,
[1]Billing!$W$5:$W$40)</f>
        <v>643004.75493782014</v>
      </c>
      <c r="K19" s="119"/>
      <c r="M19" s="10" t="str">
        <v>Shafique Ansari</v>
      </c>
      <c r="P19"/>
      <c r="Q19"/>
      <c r="R19"/>
      <c r="S19"/>
      <c r="T19"/>
      <c r="U19"/>
      <c r="V19"/>
      <c r="W19"/>
      <c r="X19"/>
      <c r="Y19"/>
    </row>
    <row r="20" spans="1:25" x14ac:dyDescent="0.3">
      <c r="A20" s="149">
        <v>46111</v>
      </c>
      <c r="B20" s="80" t="s">
        <v>177</v>
      </c>
      <c r="C20" s="119" t="s">
        <v>210</v>
      </c>
      <c r="D20" s="119" t="s">
        <v>85</v>
      </c>
      <c r="E20" s="83"/>
      <c r="F20" s="83"/>
      <c r="G20" s="83"/>
      <c r="H20" s="120" t="e">
        <f>_xlfn.XLOOKUP(Table1[[#This Row],[Shipment Number]], 'pivot '!A:A,'pivot '!G:G, "NF")</f>
        <v>#DIV/0!</v>
      </c>
      <c r="I20" s="120">
        <f>_xlfn.XLOOKUP(Table1[[#This Row],[Party Name]],
[1]Billing!$R$5:$R$40,
[1]Billing!$U$5:$U$40)</f>
        <v>362820.04389173369</v>
      </c>
      <c r="J20" s="120">
        <f>_xlfn.XLOOKUP(Table1[[#This Row],[Party Name]],
[1]Billing!$R$5:$R$40,
[1]Billing!$W$5:$W$40)</f>
        <v>3628200.4389173379</v>
      </c>
      <c r="K20" s="119"/>
      <c r="M20" s="10" t="str">
        <v>Amjad sohail</v>
      </c>
      <c r="P20"/>
      <c r="Q20"/>
      <c r="R20"/>
      <c r="S20"/>
      <c r="T20"/>
      <c r="U20"/>
      <c r="V20"/>
      <c r="W20"/>
      <c r="X20"/>
      <c r="Y20"/>
    </row>
    <row r="21" spans="1:25" x14ac:dyDescent="0.3">
      <c r="A21" s="149">
        <v>46111</v>
      </c>
      <c r="B21" s="80" t="s">
        <v>182</v>
      </c>
      <c r="C21" s="119" t="s">
        <v>210</v>
      </c>
      <c r="D21" s="119" t="s">
        <v>85</v>
      </c>
      <c r="E21" s="83"/>
      <c r="F21" s="83"/>
      <c r="G21" s="83"/>
      <c r="H21" s="120" t="e">
        <f>_xlfn.XLOOKUP(Table1[[#This Row],[Shipment Number]], 'pivot '!A:A,'pivot '!G:G, "NF")</f>
        <v>#DIV/0!</v>
      </c>
      <c r="I21" s="120">
        <f>_xlfn.XLOOKUP(Table1[[#This Row],[Party Name]],
[1]Billing!$R$5:$R$40,
[1]Billing!$U$5:$U$40)</f>
        <v>72939.831748354074</v>
      </c>
      <c r="J21" s="120">
        <f>_xlfn.XLOOKUP(Table1[[#This Row],[Party Name]],
[1]Billing!$R$5:$R$40,
[1]Billing!$W$5:$W$40)</f>
        <v>729398.31748354062</v>
      </c>
      <c r="K21" s="119"/>
      <c r="M21" s="10" t="str">
        <v>Salman Zaffar</v>
      </c>
      <c r="P21"/>
      <c r="Q21"/>
      <c r="R21"/>
      <c r="S21"/>
      <c r="T21"/>
      <c r="U21"/>
      <c r="V21"/>
      <c r="W21"/>
      <c r="X21"/>
      <c r="Y21"/>
    </row>
    <row r="22" spans="1:25" x14ac:dyDescent="0.3">
      <c r="A22" s="149">
        <v>46111</v>
      </c>
      <c r="B22" s="80" t="s">
        <v>189</v>
      </c>
      <c r="C22" s="119" t="s">
        <v>210</v>
      </c>
      <c r="D22" s="119" t="s">
        <v>85</v>
      </c>
      <c r="E22" s="83"/>
      <c r="F22" s="83"/>
      <c r="G22" s="83"/>
      <c r="H22" s="120" t="e">
        <f>_xlfn.XLOOKUP(Table1[[#This Row],[Shipment Number]], 'pivot '!A:A,'pivot '!G:G, "NF")</f>
        <v>#DIV/0!</v>
      </c>
      <c r="I22" s="120">
        <f>_xlfn.XLOOKUP(Table1[[#This Row],[Party Name]],
[1]Billing!$R$5:$R$40,
[1]Billing!$U$5:$U$40)</f>
        <v>310998.53694220923</v>
      </c>
      <c r="J22" s="120">
        <f>_xlfn.XLOOKUP(Table1[[#This Row],[Party Name]],
[1]Billing!$R$5:$R$40,
[1]Billing!$W$5:$W$40)</f>
        <v>3109985.3694220926</v>
      </c>
      <c r="K22" s="119"/>
      <c r="M22" s="10" t="str">
        <v>Shahid Qasayi</v>
      </c>
      <c r="P22"/>
      <c r="Q22"/>
      <c r="R22"/>
      <c r="S22"/>
      <c r="T22"/>
      <c r="U22"/>
      <c r="V22"/>
      <c r="W22"/>
      <c r="X22"/>
      <c r="Y22"/>
    </row>
    <row r="23" spans="1:25" x14ac:dyDescent="0.3">
      <c r="A23" s="149">
        <v>46111</v>
      </c>
      <c r="B23" s="80" t="s">
        <v>192</v>
      </c>
      <c r="C23" s="119" t="s">
        <v>210</v>
      </c>
      <c r="D23" s="119" t="s">
        <v>85</v>
      </c>
      <c r="E23" s="83"/>
      <c r="F23" s="83"/>
      <c r="G23" s="83"/>
      <c r="H23" s="120" t="e">
        <f>_xlfn.XLOOKUP(Table1[[#This Row],[Shipment Number]], 'pivot '!A:A,'pivot '!G:G, "NF")</f>
        <v>#DIV/0!</v>
      </c>
      <c r="I23" s="120">
        <f>_xlfn.XLOOKUP(Table1[[#This Row],[Party Name]],
[1]Billing!$R$5:$R$40,
[1]Billing!$U$5:$U$40)</f>
        <v>42432.333577176301</v>
      </c>
      <c r="J23" s="120">
        <f>_xlfn.XLOOKUP(Table1[[#This Row],[Party Name]],
[1]Billing!$R$5:$R$40,
[1]Billing!$W$5:$W$40)</f>
        <v>424323.335771763</v>
      </c>
      <c r="K23" s="119"/>
      <c r="M23" s="10" t="str">
        <v>Hameed corporation</v>
      </c>
      <c r="P23"/>
      <c r="Q23"/>
      <c r="R23"/>
      <c r="S23"/>
      <c r="T23"/>
      <c r="U23"/>
      <c r="V23"/>
      <c r="W23"/>
      <c r="X23"/>
      <c r="Y23"/>
    </row>
    <row r="24" spans="1:25" x14ac:dyDescent="0.3">
      <c r="A24" s="149">
        <v>46111</v>
      </c>
      <c r="B24" s="80" t="s">
        <v>191</v>
      </c>
      <c r="C24" s="119" t="s">
        <v>210</v>
      </c>
      <c r="D24" s="119" t="s">
        <v>85</v>
      </c>
      <c r="E24" s="83"/>
      <c r="F24" s="83"/>
      <c r="G24" s="83"/>
      <c r="H24" s="120" t="e">
        <f>_xlfn.XLOOKUP(Table1[[#This Row],[Shipment Number]], 'pivot '!A:A,'pivot '!G:G, "NF")</f>
        <v>#DIV/0!</v>
      </c>
      <c r="I24" s="120">
        <f>_xlfn.XLOOKUP(Table1[[#This Row],[Party Name]],
[1]Billing!$R$5:$R$40,
[1]Billing!$U$5:$U$40)</f>
        <v>0</v>
      </c>
      <c r="J24" s="120">
        <f>_xlfn.XLOOKUP(Table1[[#This Row],[Party Name]],
[1]Billing!$R$5:$R$40,
[1]Billing!$W$5:$W$40)</f>
        <v>0</v>
      </c>
      <c r="K24" s="119"/>
      <c r="M24" s="10" t="str">
        <v>ibraheem behraam</v>
      </c>
      <c r="P24"/>
      <c r="Q24"/>
      <c r="R24"/>
      <c r="S24"/>
      <c r="T24"/>
      <c r="U24"/>
      <c r="V24"/>
      <c r="W24"/>
      <c r="X24"/>
      <c r="Y24"/>
    </row>
    <row r="25" spans="1:25" x14ac:dyDescent="0.3">
      <c r="A25" s="149">
        <v>46111</v>
      </c>
      <c r="B25" s="80" t="s">
        <v>196</v>
      </c>
      <c r="C25" s="119" t="s">
        <v>210</v>
      </c>
      <c r="D25" s="119" t="s">
        <v>85</v>
      </c>
      <c r="E25" s="83"/>
      <c r="F25" s="83"/>
      <c r="G25" s="83"/>
      <c r="H25" s="120" t="e">
        <f>_xlfn.XLOOKUP(Table1[[#This Row],[Shipment Number]], 'pivot '!A:A,'pivot '!G:G, "NF")</f>
        <v>#DIV/0!</v>
      </c>
      <c r="I25" s="120">
        <f>_xlfn.XLOOKUP(Table1[[#This Row],[Party Name]],
[1]Billing!$R$5:$R$40,
[1]Billing!$U$5:$U$40)</f>
        <v>12456.108266276518</v>
      </c>
      <c r="J25" s="120">
        <f>_xlfn.XLOOKUP(Table1[[#This Row],[Party Name]],
[1]Billing!$R$5:$R$40,
[1]Billing!$W$5:$W$40)</f>
        <v>124561.08266276518</v>
      </c>
      <c r="K25" s="119"/>
      <c r="M25" s="10" t="str">
        <v>Zia-ullah karachi</v>
      </c>
      <c r="P25"/>
      <c r="Q25"/>
      <c r="R25"/>
      <c r="S25"/>
      <c r="T25"/>
      <c r="U25"/>
      <c r="V25"/>
      <c r="W25"/>
      <c r="X25"/>
      <c r="Y25"/>
    </row>
    <row r="26" spans="1:25" x14ac:dyDescent="0.3">
      <c r="A26" s="149">
        <v>46111</v>
      </c>
      <c r="B26" s="80" t="s">
        <v>201</v>
      </c>
      <c r="C26" s="119" t="s">
        <v>210</v>
      </c>
      <c r="D26" s="119" t="s">
        <v>85</v>
      </c>
      <c r="E26" s="83"/>
      <c r="F26" s="83"/>
      <c r="G26" s="83"/>
      <c r="H26" s="120" t="e">
        <f>_xlfn.XLOOKUP(Table1[[#This Row],[Shipment Number]], 'pivot '!A:A,'pivot '!G:G, "NF")</f>
        <v>#DIV/0!</v>
      </c>
      <c r="I26" s="120">
        <f>_xlfn.XLOOKUP(Table1[[#This Row],[Party Name]],
[1]Billing!$R$5:$R$40,
[1]Billing!$U$5:$U$40)</f>
        <v>0</v>
      </c>
      <c r="J26" s="120">
        <f>_xlfn.XLOOKUP(Table1[[#This Row],[Party Name]],
[1]Billing!$R$5:$R$40,
[1]Billing!$W$5:$W$40)</f>
        <v>0</v>
      </c>
      <c r="K26" s="119"/>
      <c r="M26" s="10" t="str">
        <v>ZA</v>
      </c>
      <c r="P26"/>
      <c r="Q26"/>
      <c r="R26"/>
      <c r="S26"/>
      <c r="T26"/>
      <c r="U26"/>
      <c r="V26"/>
      <c r="W26"/>
      <c r="X26"/>
      <c r="Y26"/>
    </row>
    <row r="27" spans="1:25" x14ac:dyDescent="0.3">
      <c r="A27" s="149">
        <v>46111</v>
      </c>
      <c r="B27" s="80" t="s">
        <v>203</v>
      </c>
      <c r="C27" s="119" t="s">
        <v>210</v>
      </c>
      <c r="D27" s="119" t="s">
        <v>85</v>
      </c>
      <c r="E27" s="83"/>
      <c r="F27" s="83"/>
      <c r="G27" s="83"/>
      <c r="H27" s="120" t="e">
        <f>_xlfn.XLOOKUP(Table1[[#This Row],[Shipment Number]], 'pivot '!A:A,'pivot '!G:G, "NF")</f>
        <v>#DIV/0!</v>
      </c>
      <c r="I27" s="120">
        <f>_xlfn.XLOOKUP(Table1[[#This Row],[Party Name]],
[1]Billing!$R$5:$R$40,
[1]Billing!$U$5:$U$40)</f>
        <v>0</v>
      </c>
      <c r="J27" s="120">
        <f>_xlfn.XLOOKUP(Table1[[#This Row],[Party Name]],
[1]Billing!$R$5:$R$40,
[1]Billing!$W$5:$W$40)</f>
        <v>0</v>
      </c>
      <c r="K27" s="119"/>
      <c r="M27" s="10" t="str">
        <v>Ahmad Javaid</v>
      </c>
      <c r="P27"/>
      <c r="Q27"/>
      <c r="R27"/>
      <c r="S27"/>
      <c r="T27"/>
      <c r="U27"/>
      <c r="V27"/>
      <c r="W27"/>
      <c r="X27"/>
      <c r="Y27"/>
    </row>
    <row r="28" spans="1:25" x14ac:dyDescent="0.3">
      <c r="A28" s="149">
        <v>46111</v>
      </c>
      <c r="B28" s="116" t="s">
        <v>226</v>
      </c>
      <c r="C28" s="119" t="s">
        <v>210</v>
      </c>
      <c r="D28" s="119" t="s">
        <v>85</v>
      </c>
      <c r="E28" s="83"/>
      <c r="F28" s="83"/>
      <c r="G28" s="83"/>
      <c r="H28" s="120" t="e">
        <f>_xlfn.XLOOKUP(Table1[[#This Row],[Shipment Number]], 'pivot '!A:A,'pivot '!G:G, "NF")</f>
        <v>#DIV/0!</v>
      </c>
      <c r="I28" s="120">
        <f>_xlfn.XLOOKUP(Table1[[#This Row],[Party Name]],
[1]Billing!$R$5:$R$40,
[1]Billing!$U$5:$U$40)</f>
        <v>198861.55815654719</v>
      </c>
      <c r="J28" s="120">
        <f>_xlfn.XLOOKUP(Table1[[#This Row],[Party Name]],
[1]Billing!$R$5:$R$40,
[1]Billing!$W$5:$W$40)</f>
        <v>1988615.5815654721</v>
      </c>
      <c r="K28" s="119"/>
      <c r="M28" s="10" t="str">
        <v>Shani Badshah</v>
      </c>
      <c r="P28"/>
      <c r="Q28"/>
      <c r="R28"/>
      <c r="S28"/>
      <c r="T28"/>
      <c r="U28"/>
      <c r="V28"/>
      <c r="W28"/>
      <c r="X28"/>
      <c r="Y28"/>
    </row>
    <row r="29" spans="1:25" x14ac:dyDescent="0.3">
      <c r="A29" s="149">
        <v>46111</v>
      </c>
      <c r="B29" s="139" t="s">
        <v>225</v>
      </c>
      <c r="C29" s="119" t="s">
        <v>210</v>
      </c>
      <c r="D29" s="119" t="s">
        <v>85</v>
      </c>
      <c r="E29" s="83"/>
      <c r="F29" s="83"/>
      <c r="G29" s="83"/>
      <c r="H29" s="120" t="e">
        <f>_xlfn.XLOOKUP(Table1[[#This Row],[Shipment Number]], 'pivot '!A:A,'pivot '!G:G, "NF")</f>
        <v>#DIV/0!</v>
      </c>
      <c r="I29" s="120">
        <f>_xlfn.XLOOKUP(Table1[[#This Row],[Party Name]],
[1]Billing!$R$5:$R$40,
[1]Billing!$U$5:$U$40)</f>
        <v>0</v>
      </c>
      <c r="J29" s="120">
        <f>_xlfn.XLOOKUP(Table1[[#This Row],[Party Name]],
[1]Billing!$R$5:$R$40,
[1]Billing!$W$5:$W$40)</f>
        <v>0</v>
      </c>
      <c r="K29" s="119"/>
      <c r="M29" s="10" t="str">
        <v>Rehman Ali</v>
      </c>
      <c r="P29"/>
      <c r="Q29"/>
      <c r="R29"/>
      <c r="S29"/>
      <c r="T29"/>
      <c r="U29"/>
      <c r="V29"/>
      <c r="W29"/>
      <c r="X29"/>
      <c r="Y29"/>
    </row>
    <row r="30" spans="1:25" x14ac:dyDescent="0.3">
      <c r="A30" s="149">
        <v>46111</v>
      </c>
      <c r="B30" s="139" t="s">
        <v>242</v>
      </c>
      <c r="C30" s="119" t="s">
        <v>210</v>
      </c>
      <c r="D30" s="119" t="s">
        <v>85</v>
      </c>
      <c r="E30" s="83"/>
      <c r="F30" s="83"/>
      <c r="G30" s="83"/>
      <c r="H30" s="120" t="e">
        <f>_xlfn.XLOOKUP(Table1[[#This Row],[Shipment Number]], 'pivot '!A:A,'pivot '!G:G, "NF")</f>
        <v>#DIV/0!</v>
      </c>
      <c r="I30" s="120">
        <f>_xlfn.XLOOKUP(Table1[[#This Row],[Party Name]],
[1]Billing!$R$5:$R$40,
[1]Billing!$U$5:$U$40)</f>
        <v>0</v>
      </c>
      <c r="J30" s="120">
        <f>_xlfn.XLOOKUP(Table1[[#This Row],[Party Name]],
[1]Billing!$R$5:$R$40,
[1]Billing!$W$5:$W$40)</f>
        <v>0</v>
      </c>
      <c r="K30" s="119"/>
      <c r="M30" s="10" t="str">
        <v>Ahmad Shafique</v>
      </c>
      <c r="P30"/>
      <c r="Q30"/>
      <c r="R30"/>
      <c r="S30"/>
      <c r="T30"/>
      <c r="U30"/>
      <c r="V30"/>
      <c r="W30"/>
      <c r="X30"/>
      <c r="Y30"/>
    </row>
    <row r="31" spans="1:25" x14ac:dyDescent="0.3">
      <c r="A31" s="149">
        <v>46111</v>
      </c>
      <c r="B31" s="139" t="s">
        <v>245</v>
      </c>
      <c r="C31" s="119" t="s">
        <v>210</v>
      </c>
      <c r="D31" s="119" t="s">
        <v>85</v>
      </c>
      <c r="E31" s="83"/>
      <c r="F31" s="83"/>
      <c r="G31" s="83"/>
      <c r="H31" s="120" t="e">
        <f>_xlfn.XLOOKUP(Table1[[#This Row],[Shipment Number]], 'pivot '!A:A,'pivot '!G:G, "NF")</f>
        <v>#DIV/0!</v>
      </c>
      <c r="I31" s="120">
        <f>_xlfn.XLOOKUP(Table1[[#This Row],[Party Name]],
[1]Billing!$R$5:$R$40,
[1]Billing!$U$5:$U$40)</f>
        <v>0</v>
      </c>
      <c r="J31" s="120">
        <f>_xlfn.XLOOKUP(Table1[[#This Row],[Party Name]],
[1]Billing!$R$5:$R$40,
[1]Billing!$W$5:$W$40)</f>
        <v>0</v>
      </c>
      <c r="K31" s="119"/>
      <c r="M31" s="10" t="str">
        <v>Hafiz Shawl</v>
      </c>
      <c r="P31"/>
      <c r="Q31"/>
      <c r="R31"/>
      <c r="S31"/>
      <c r="T31"/>
      <c r="U31"/>
      <c r="V31"/>
      <c r="W31"/>
      <c r="X31"/>
      <c r="Y31"/>
    </row>
    <row r="32" spans="1:25" x14ac:dyDescent="0.3">
      <c r="A32" s="149">
        <v>46111</v>
      </c>
      <c r="B32" s="139" t="s">
        <v>230</v>
      </c>
      <c r="C32" s="119" t="s">
        <v>210</v>
      </c>
      <c r="D32" s="119" t="s">
        <v>85</v>
      </c>
      <c r="E32" s="83"/>
      <c r="F32" s="83"/>
      <c r="G32" s="83"/>
      <c r="H32" s="120" t="e">
        <f>_xlfn.XLOOKUP(Table1[[#This Row],[Shipment Number]], 'pivot '!A:A,'pivot '!G:G, "NF")</f>
        <v>#DIV/0!</v>
      </c>
      <c r="I32" s="120">
        <f>_xlfn.XLOOKUP(Table1[[#This Row],[Party Name]],
[1]Billing!$R$5:$R$40,
[1]Billing!$U$5:$U$40)</f>
        <v>14685.442574981713</v>
      </c>
      <c r="J32" s="120">
        <f>_xlfn.XLOOKUP(Table1[[#This Row],[Party Name]],
[1]Billing!$R$5:$R$40,
[1]Billing!$W$5:$W$40)</f>
        <v>161539.86832479882</v>
      </c>
      <c r="K32" s="119"/>
      <c r="M32" s="10" t="str">
        <v>Zahid Ejaz</v>
      </c>
      <c r="P32"/>
      <c r="Q32"/>
      <c r="R32"/>
      <c r="S32"/>
      <c r="T32"/>
      <c r="U32"/>
      <c r="V32"/>
      <c r="W32"/>
      <c r="X32"/>
      <c r="Y32"/>
    </row>
    <row r="33" spans="1:25" x14ac:dyDescent="0.3">
      <c r="A33" s="149">
        <v>46111</v>
      </c>
      <c r="B33" s="139" t="s">
        <v>258</v>
      </c>
      <c r="C33" s="119" t="s">
        <v>210</v>
      </c>
      <c r="D33" s="119" t="s">
        <v>85</v>
      </c>
      <c r="E33" s="83"/>
      <c r="F33" s="83"/>
      <c r="G33" s="83"/>
      <c r="H33" s="120" t="e">
        <f>_xlfn.XLOOKUP(Table1[[#This Row],[Shipment Number]], 'pivot '!A:A,'pivot '!G:G, "NF")</f>
        <v>#DIV/0!</v>
      </c>
      <c r="I33" s="120">
        <f>_xlfn.XLOOKUP(Table1[[#This Row],[Party Name]],
[1]Billing!$R$5:$R$40,
[1]Billing!$U$5:$U$40)</f>
        <v>0</v>
      </c>
      <c r="J33" s="120">
        <f>_xlfn.XLOOKUP(Table1[[#This Row],[Party Name]],
[1]Billing!$R$5:$R$40,
[1]Billing!$W$5:$W$40)</f>
        <v>0</v>
      </c>
      <c r="K33" s="119"/>
      <c r="M33" s="10" t="str">
        <v>Faizan Kamoki</v>
      </c>
      <c r="P33"/>
      <c r="Q33"/>
      <c r="R33"/>
      <c r="S33"/>
      <c r="T33"/>
      <c r="U33"/>
      <c r="V33"/>
      <c r="W33"/>
      <c r="X33"/>
      <c r="Y33"/>
    </row>
    <row r="34" spans="1:25" x14ac:dyDescent="0.3">
      <c r="A34" s="149">
        <v>46111</v>
      </c>
      <c r="B34" s="139" t="s">
        <v>273</v>
      </c>
      <c r="C34" s="119" t="s">
        <v>210</v>
      </c>
      <c r="D34" s="119" t="s">
        <v>85</v>
      </c>
      <c r="E34" s="83"/>
      <c r="F34" s="83"/>
      <c r="G34" s="83"/>
      <c r="H34" s="120" t="e">
        <f>_xlfn.XLOOKUP(Table1[[#This Row],[Shipment Number]], 'pivot '!A:A,'pivot '!G:G, "NF")</f>
        <v>#DIV/0!</v>
      </c>
      <c r="I34" s="120">
        <f>_xlfn.XLOOKUP(Table1[[#This Row],[Party Name]],
[1]Billing!$R$5:$R$40,
[1]Billing!$U$5:$U$40)</f>
        <v>25755.30358449159</v>
      </c>
      <c r="J34" s="120">
        <f>_xlfn.XLOOKUP(Table1[[#This Row],[Party Name]],
[1]Billing!$R$5:$R$40,
[1]Billing!$W$5:$W$40)</f>
        <v>257553.0358449159</v>
      </c>
      <c r="K34" s="119"/>
      <c r="M34" s="10" t="str">
        <v>KK fabrics</v>
      </c>
      <c r="P34"/>
      <c r="Q34"/>
      <c r="R34"/>
      <c r="S34"/>
      <c r="T34"/>
      <c r="U34"/>
      <c r="V34"/>
      <c r="W34"/>
      <c r="X34"/>
      <c r="Y34"/>
    </row>
    <row r="35" spans="1:25" x14ac:dyDescent="0.3">
      <c r="A35" s="149">
        <v>46111</v>
      </c>
      <c r="B35" s="80" t="s">
        <v>21</v>
      </c>
      <c r="C35" s="119" t="s">
        <v>210</v>
      </c>
      <c r="D35" s="119" t="s">
        <v>86</v>
      </c>
      <c r="E35" s="83"/>
      <c r="F35" s="83"/>
      <c r="G35" s="83"/>
      <c r="H35" s="120" t="e">
        <f>_xlfn.XLOOKUP(Table1[[#This Row],[Shipment Number]], 'pivot '!A:A,'pivot '!G:G, "NF")</f>
        <v>#DIV/0!</v>
      </c>
      <c r="I35" s="120">
        <f>_xlfn.XLOOKUP(Table1[[#This Row],[Party Name]],
[1]Billing!$R$5:$R$40,
[1]Billing!$V$5:$V$40)</f>
        <v>654441.2948061449</v>
      </c>
      <c r="J35" s="120">
        <f>_xlfn.XLOOKUP(Table1[[#This Row],[Party Name]],
[1]Billing!$R$5:$R$40,
[1]Billing!$X$5:$X$40)</f>
        <v>8419380.9436722752</v>
      </c>
      <c r="K35" s="119"/>
      <c r="M35" s="10" t="str">
        <v>Rauf Khan</v>
      </c>
      <c r="P35"/>
      <c r="Q35"/>
      <c r="R35"/>
      <c r="S35"/>
      <c r="T35"/>
      <c r="U35"/>
      <c r="V35"/>
      <c r="W35"/>
      <c r="X35"/>
      <c r="Y35"/>
    </row>
    <row r="36" spans="1:25" x14ac:dyDescent="0.3">
      <c r="A36" s="149">
        <v>46111</v>
      </c>
      <c r="B36" s="80" t="s">
        <v>22</v>
      </c>
      <c r="C36" s="119" t="s">
        <v>210</v>
      </c>
      <c r="D36" s="119" t="s">
        <v>86</v>
      </c>
      <c r="E36" s="83"/>
      <c r="F36" s="83"/>
      <c r="G36" s="83"/>
      <c r="H36" s="120" t="e">
        <f>_xlfn.XLOOKUP(Table1[[#This Row],[Shipment Number]], 'pivot '!A:A,'pivot '!G:G, "NF")</f>
        <v>#DIV/0!</v>
      </c>
      <c r="I36" s="120">
        <f>_xlfn.XLOOKUP(Table1[[#This Row],[Party Name]],
[1]Billing!$R$5:$R$40,
[1]Billing!$V$5:$V$40)</f>
        <v>445562.36283833213</v>
      </c>
      <c r="J36" s="120">
        <f>_xlfn.XLOOKUP(Table1[[#This Row],[Party Name]],
[1]Billing!$R$5:$R$40,
[1]Billing!$X$5:$X$40)</f>
        <v>5733166.6057059262</v>
      </c>
      <c r="K36" s="119"/>
      <c r="M36" s="10">
        <v>0</v>
      </c>
      <c r="P36"/>
      <c r="Q36"/>
      <c r="R36"/>
      <c r="S36"/>
      <c r="T36"/>
      <c r="U36"/>
      <c r="V36"/>
      <c r="W36"/>
      <c r="X36"/>
      <c r="Y36"/>
    </row>
    <row r="37" spans="1:25" x14ac:dyDescent="0.3">
      <c r="A37" s="149">
        <v>46111</v>
      </c>
      <c r="B37" s="80" t="s">
        <v>9</v>
      </c>
      <c r="C37" s="119" t="s">
        <v>210</v>
      </c>
      <c r="D37" s="119" t="s">
        <v>86</v>
      </c>
      <c r="E37" s="83"/>
      <c r="F37" s="83"/>
      <c r="G37" s="83"/>
      <c r="H37" s="120" t="e">
        <f>_xlfn.XLOOKUP(Table1[[#This Row],[Shipment Number]], 'pivot '!A:A,'pivot '!G:G, "NF")</f>
        <v>#DIV/0!</v>
      </c>
      <c r="I37" s="120">
        <f>_xlfn.XLOOKUP(Table1[[#This Row],[Party Name]],
[1]Billing!$R$5:$R$40,
[1]Billing!$V$5:$V$40)</f>
        <v>165525.78639356254</v>
      </c>
      <c r="J37" s="120">
        <f>_xlfn.XLOOKUP(Table1[[#This Row],[Party Name]],
[1]Billing!$R$5:$R$40,
[1]Billing!$X$5:$X$40)</f>
        <v>2137040.9656181419</v>
      </c>
      <c r="K37" s="119"/>
      <c r="M37" s="10" t="str">
        <v>Farhaan ali</v>
      </c>
      <c r="P37"/>
      <c r="Q37"/>
      <c r="R37"/>
      <c r="S37"/>
      <c r="T37"/>
      <c r="U37"/>
      <c r="V37"/>
      <c r="W37"/>
      <c r="X37"/>
      <c r="Y37"/>
    </row>
    <row r="38" spans="1:25" x14ac:dyDescent="0.3">
      <c r="A38" s="149">
        <v>46111</v>
      </c>
      <c r="B38" s="80" t="s">
        <v>23</v>
      </c>
      <c r="C38" s="119" t="s">
        <v>210</v>
      </c>
      <c r="D38" s="119" t="s">
        <v>86</v>
      </c>
      <c r="E38" s="83"/>
      <c r="F38" s="83"/>
      <c r="G38" s="83"/>
      <c r="H38" s="120" t="e">
        <f>_xlfn.XLOOKUP(Table1[[#This Row],[Shipment Number]], 'pivot '!A:A,'pivot '!G:G, "NF")</f>
        <v>#DIV/0!</v>
      </c>
      <c r="I38" s="120">
        <f>_xlfn.XLOOKUP(Table1[[#This Row],[Party Name]],
[1]Billing!$R$5:$R$40,
[1]Billing!$V$5:$V$40)</f>
        <v>0</v>
      </c>
      <c r="J38" s="120">
        <f>_xlfn.XLOOKUP(Table1[[#This Row],[Party Name]],
[1]Billing!$R$5:$R$40,
[1]Billing!$X$5:$X$40)</f>
        <v>0</v>
      </c>
      <c r="K38" s="119"/>
      <c r="M38" s="10" t="str">
        <v>ACM salman zaffar</v>
      </c>
      <c r="P38"/>
      <c r="Q38"/>
      <c r="R38"/>
      <c r="S38"/>
      <c r="T38"/>
      <c r="U38"/>
      <c r="V38"/>
      <c r="W38"/>
      <c r="X38"/>
      <c r="Y38"/>
    </row>
    <row r="39" spans="1:25" x14ac:dyDescent="0.3">
      <c r="A39" s="149">
        <v>46111</v>
      </c>
      <c r="B39" s="80" t="s">
        <v>24</v>
      </c>
      <c r="C39" s="119" t="s">
        <v>210</v>
      </c>
      <c r="D39" s="119" t="s">
        <v>86</v>
      </c>
      <c r="E39" s="83"/>
      <c r="F39" s="83"/>
      <c r="G39" s="83"/>
      <c r="H39" s="120" t="e">
        <f>_xlfn.XLOOKUP(Table1[[#This Row],[Shipment Number]], 'pivot '!A:A,'pivot '!G:G, "NF")</f>
        <v>#DIV/0!</v>
      </c>
      <c r="I39" s="120">
        <f>_xlfn.XLOOKUP(Table1[[#This Row],[Party Name]],
[1]Billing!$R$5:$R$40,
[1]Billing!$V$5:$V$40)</f>
        <v>485823.88441843458</v>
      </c>
      <c r="J39" s="120">
        <f>_xlfn.XLOOKUP(Table1[[#This Row],[Party Name]],
[1]Billing!$R$5:$R$40,
[1]Billing!$X$5:$X$40)</f>
        <v>5829886.6130212145</v>
      </c>
      <c r="K39" s="119"/>
      <c r="M39" s="10" t="str">
        <v>Moeez badshah</v>
      </c>
      <c r="P39"/>
      <c r="Q39"/>
      <c r="R39"/>
      <c r="S39"/>
      <c r="T39"/>
      <c r="U39"/>
      <c r="V39"/>
      <c r="W39"/>
      <c r="X39"/>
      <c r="Y39"/>
    </row>
    <row r="40" spans="1:25" x14ac:dyDescent="0.3">
      <c r="A40" s="149">
        <v>46111</v>
      </c>
      <c r="B40" s="80" t="s">
        <v>25</v>
      </c>
      <c r="C40" s="119" t="s">
        <v>210</v>
      </c>
      <c r="D40" s="119" t="s">
        <v>86</v>
      </c>
      <c r="E40" s="83"/>
      <c r="F40" s="83"/>
      <c r="G40" s="83"/>
      <c r="H40" s="120" t="e">
        <f>_xlfn.XLOOKUP(Table1[[#This Row],[Shipment Number]], 'pivot '!A:A,'pivot '!G:G, "NF")</f>
        <v>#DIV/0!</v>
      </c>
      <c r="I40" s="120">
        <f>_xlfn.XLOOKUP(Table1[[#This Row],[Party Name]],
[1]Billing!$R$5:$R$40,
[1]Billing!$V$5:$V$40)</f>
        <v>0</v>
      </c>
      <c r="J40" s="120">
        <f>_xlfn.XLOOKUP(Table1[[#This Row],[Party Name]],
[1]Billing!$R$5:$R$40,
[1]Billing!$X$5:$X$40)</f>
        <v>0</v>
      </c>
      <c r="K40" s="119"/>
      <c r="M40" s="10" t="str">
        <v>Bablu</v>
      </c>
      <c r="P40"/>
      <c r="Q40"/>
      <c r="R40"/>
      <c r="S40"/>
      <c r="T40"/>
      <c r="U40"/>
      <c r="V40"/>
      <c r="W40"/>
      <c r="X40"/>
      <c r="Y40"/>
    </row>
    <row r="41" spans="1:25" x14ac:dyDescent="0.3">
      <c r="A41" s="149">
        <v>46111</v>
      </c>
      <c r="B41" s="80" t="s">
        <v>26</v>
      </c>
      <c r="C41" s="119" t="s">
        <v>210</v>
      </c>
      <c r="D41" s="119" t="s">
        <v>86</v>
      </c>
      <c r="E41" s="83"/>
      <c r="F41" s="83"/>
      <c r="G41" s="83"/>
      <c r="H41" s="120" t="e">
        <f>_xlfn.XLOOKUP(Table1[[#This Row],[Shipment Number]], 'pivot '!A:A,'pivot '!G:G, "NF")</f>
        <v>#DIV/0!</v>
      </c>
      <c r="I41" s="120">
        <f>_xlfn.XLOOKUP(Table1[[#This Row],[Party Name]],
[1]Billing!$R$5:$R$40,
[1]Billing!$V$5:$V$40)</f>
        <v>0</v>
      </c>
      <c r="J41" s="120">
        <f>_xlfn.XLOOKUP(Table1[[#This Row],[Party Name]],
[1]Billing!$R$5:$R$40,
[1]Billing!$X$5:$X$40)</f>
        <v>0</v>
      </c>
      <c r="K41" s="119"/>
      <c r="M41" s="10" t="str">
        <v>Sheikh Naveed</v>
      </c>
      <c r="P41"/>
      <c r="Q41"/>
      <c r="R41"/>
      <c r="S41"/>
      <c r="T41"/>
      <c r="U41"/>
      <c r="V41"/>
      <c r="W41"/>
      <c r="X41"/>
      <c r="Y41"/>
    </row>
    <row r="42" spans="1:25" x14ac:dyDescent="0.3">
      <c r="A42" s="149">
        <v>46111</v>
      </c>
      <c r="B42" s="80" t="s">
        <v>151</v>
      </c>
      <c r="C42" s="119" t="s">
        <v>210</v>
      </c>
      <c r="D42" s="119" t="s">
        <v>86</v>
      </c>
      <c r="E42" s="83"/>
      <c r="F42" s="83"/>
      <c r="G42" s="83"/>
      <c r="H42" s="120" t="e">
        <f>_xlfn.XLOOKUP(Table1[[#This Row],[Shipment Number]], 'pivot '!A:A,'pivot '!G:G, "NF")</f>
        <v>#DIV/0!</v>
      </c>
      <c r="I42" s="120">
        <f>_xlfn.XLOOKUP(Table1[[#This Row],[Party Name]],
[1]Billing!$R$5:$R$40,
[1]Billing!$V$5:$V$40)</f>
        <v>183991.40453547917</v>
      </c>
      <c r="J42" s="120">
        <f>_xlfn.XLOOKUP(Table1[[#This Row],[Party Name]],
[1]Billing!$R$5:$R$40,
[1]Billing!$X$5:$X$40)</f>
        <v>2391888.2589612291</v>
      </c>
      <c r="K42" s="119"/>
      <c r="M42" s="10" t="str">
        <v>malik salman</v>
      </c>
      <c r="P42"/>
      <c r="Q42"/>
      <c r="R42"/>
      <c r="S42"/>
      <c r="T42"/>
      <c r="U42"/>
      <c r="V42"/>
      <c r="W42"/>
      <c r="X42"/>
      <c r="Y42"/>
    </row>
    <row r="43" spans="1:25" x14ac:dyDescent="0.3">
      <c r="A43" s="149">
        <v>46111</v>
      </c>
      <c r="B43" s="80" t="s">
        <v>35</v>
      </c>
      <c r="C43" s="119" t="s">
        <v>210</v>
      </c>
      <c r="D43" s="119" t="s">
        <v>86</v>
      </c>
      <c r="E43" s="83"/>
      <c r="F43" s="83"/>
      <c r="G43" s="83"/>
      <c r="H43" s="120" t="e">
        <f>_xlfn.XLOOKUP(Table1[[#This Row],[Shipment Number]], 'pivot '!A:A,'pivot '!G:G, "NF")</f>
        <v>#DIV/0!</v>
      </c>
      <c r="I43" s="120">
        <f>_xlfn.XLOOKUP(Table1[[#This Row],[Party Name]],
[1]Billing!$R$5:$R$40,
[1]Billing!$V$5:$V$40)</f>
        <v>112548.46378931969</v>
      </c>
      <c r="J43" s="120">
        <f>_xlfn.XLOOKUP(Table1[[#This Row],[Party Name]],
[1]Billing!$R$5:$R$40,
[1]Billing!$X$5:$X$40)</f>
        <v>1448134.6013167519</v>
      </c>
      <c r="K43" s="119"/>
      <c r="M43" s="10" t="str">
        <v>Rehan Butt</v>
      </c>
      <c r="P43"/>
      <c r="Q43"/>
      <c r="R43"/>
      <c r="S43"/>
      <c r="T43"/>
      <c r="U43"/>
      <c r="V43"/>
      <c r="W43"/>
      <c r="X43"/>
      <c r="Y43"/>
    </row>
    <row r="44" spans="1:25" x14ac:dyDescent="0.3">
      <c r="A44" s="149">
        <v>46111</v>
      </c>
      <c r="B44" s="80" t="s">
        <v>147</v>
      </c>
      <c r="C44" s="119" t="s">
        <v>210</v>
      </c>
      <c r="D44" s="119" t="s">
        <v>86</v>
      </c>
      <c r="E44" s="83"/>
      <c r="F44" s="83"/>
      <c r="G44" s="83"/>
      <c r="H44" s="120" t="e">
        <f>_xlfn.XLOOKUP(Table1[[#This Row],[Shipment Number]], 'pivot '!A:A,'pivot '!G:G, "NF")</f>
        <v>#DIV/0!</v>
      </c>
      <c r="I44" s="120">
        <f>_xlfn.XLOOKUP(Table1[[#This Row],[Party Name]],
[1]Billing!$R$5:$R$40,
[1]Billing!$V$5:$V$40)</f>
        <v>0</v>
      </c>
      <c r="J44" s="120">
        <f>_xlfn.XLOOKUP(Table1[[#This Row],[Party Name]],
[1]Billing!$R$5:$R$40,
[1]Billing!$X$5:$X$40)</f>
        <v>0</v>
      </c>
      <c r="K44" s="119"/>
      <c r="P44"/>
      <c r="Q44"/>
      <c r="R44"/>
      <c r="S44"/>
      <c r="T44"/>
      <c r="U44"/>
      <c r="V44"/>
      <c r="W44"/>
      <c r="X44"/>
      <c r="Y44"/>
    </row>
    <row r="45" spans="1:25" x14ac:dyDescent="0.3">
      <c r="A45" s="149">
        <v>46111</v>
      </c>
      <c r="B45" s="80" t="s">
        <v>27</v>
      </c>
      <c r="C45" s="119" t="s">
        <v>210</v>
      </c>
      <c r="D45" s="119" t="s">
        <v>86</v>
      </c>
      <c r="E45" s="83"/>
      <c r="F45" s="83"/>
      <c r="G45" s="83"/>
      <c r="H45" s="120" t="e">
        <f>_xlfn.XLOOKUP(Table1[[#This Row],[Shipment Number]], 'pivot '!A:A,'pivot '!G:G, "NF")</f>
        <v>#DIV/0!</v>
      </c>
      <c r="I45" s="120">
        <f>_xlfn.XLOOKUP(Table1[[#This Row],[Party Name]],
[1]Billing!$R$5:$R$40,
[1]Billing!$V$5:$V$40)</f>
        <v>0</v>
      </c>
      <c r="J45" s="120">
        <f>_xlfn.XLOOKUP(Table1[[#This Row],[Party Name]],
[1]Billing!$R$5:$R$40,
[1]Billing!$X$5:$X$40)</f>
        <v>0</v>
      </c>
      <c r="K45" s="119"/>
      <c r="P45"/>
      <c r="Q45"/>
      <c r="R45"/>
      <c r="S45"/>
      <c r="T45"/>
      <c r="U45"/>
      <c r="V45"/>
      <c r="W45"/>
      <c r="X45"/>
      <c r="Y45"/>
    </row>
    <row r="46" spans="1:25" x14ac:dyDescent="0.3">
      <c r="A46" s="149">
        <v>46111</v>
      </c>
      <c r="B46" s="80" t="s">
        <v>165</v>
      </c>
      <c r="C46" s="119" t="s">
        <v>210</v>
      </c>
      <c r="D46" s="119" t="s">
        <v>86</v>
      </c>
      <c r="E46" s="83"/>
      <c r="F46" s="83"/>
      <c r="G46" s="83"/>
      <c r="H46" s="120" t="e">
        <f>_xlfn.XLOOKUP(Table1[[#This Row],[Shipment Number]], 'pivot '!A:A,'pivot '!G:G, "NF")</f>
        <v>#DIV/0!</v>
      </c>
      <c r="I46" s="120">
        <f>_xlfn.XLOOKUP(Table1[[#This Row],[Party Name]],
[1]Billing!$R$5:$R$40,
[1]Billing!$V$5:$V$40)</f>
        <v>141474.94513533285</v>
      </c>
      <c r="J46" s="120">
        <f>_xlfn.XLOOKUP(Table1[[#This Row],[Party Name]],
[1]Billing!$R$5:$R$40,
[1]Billing!$X$5:$X$40)</f>
        <v>1776019.5683979518</v>
      </c>
      <c r="K46" s="119"/>
      <c r="P46"/>
      <c r="Q46"/>
      <c r="R46"/>
      <c r="S46"/>
      <c r="T46"/>
      <c r="U46"/>
      <c r="V46"/>
      <c r="W46"/>
      <c r="X46"/>
      <c r="Y46"/>
    </row>
    <row r="47" spans="1:25" x14ac:dyDescent="0.3">
      <c r="A47" s="149">
        <v>46111</v>
      </c>
      <c r="B47" s="80" t="s">
        <v>218</v>
      </c>
      <c r="C47" s="119" t="s">
        <v>210</v>
      </c>
      <c r="D47" s="119" t="s">
        <v>86</v>
      </c>
      <c r="E47" s="83"/>
      <c r="F47" s="83"/>
      <c r="G47" s="83"/>
      <c r="H47" s="120" t="e">
        <f>_xlfn.XLOOKUP(Table1[[#This Row],[Shipment Number]], 'pivot '!A:A,'pivot '!G:G, "NF")</f>
        <v>#DIV/0!</v>
      </c>
      <c r="I47" s="120">
        <f>_xlfn.XLOOKUP(Table1[[#This Row],[Party Name]],
[1]Billing!$R$5:$R$40,
[1]Billing!$V$5:$V$40)</f>
        <v>0</v>
      </c>
      <c r="J47" s="120">
        <f>_xlfn.XLOOKUP(Table1[[#This Row],[Party Name]],
[1]Billing!$R$5:$R$40,
[1]Billing!$X$5:$X$40)</f>
        <v>0</v>
      </c>
      <c r="K47" s="119"/>
      <c r="P47"/>
      <c r="Q47"/>
      <c r="R47"/>
      <c r="S47"/>
      <c r="T47"/>
      <c r="U47"/>
      <c r="V47"/>
      <c r="W47"/>
      <c r="X47"/>
      <c r="Y47"/>
    </row>
    <row r="48" spans="1:25" x14ac:dyDescent="0.3">
      <c r="A48" s="149">
        <v>46111</v>
      </c>
      <c r="B48" s="80" t="s">
        <v>169</v>
      </c>
      <c r="C48" s="119" t="s">
        <v>210</v>
      </c>
      <c r="D48" s="119" t="s">
        <v>86</v>
      </c>
      <c r="E48" s="83"/>
      <c r="F48" s="83"/>
      <c r="G48" s="83"/>
      <c r="H48" s="120" t="e">
        <f>_xlfn.XLOOKUP(Table1[[#This Row],[Shipment Number]], 'pivot '!A:A,'pivot '!G:G, "NF")</f>
        <v>#DIV/0!</v>
      </c>
      <c r="I48" s="120">
        <f>_xlfn.XLOOKUP(Table1[[#This Row],[Party Name]],
[1]Billing!$R$5:$R$40,
[1]Billing!$V$5:$V$40)</f>
        <v>0</v>
      </c>
      <c r="J48" s="120">
        <f>_xlfn.XLOOKUP(Table1[[#This Row],[Party Name]],
[1]Billing!$R$5:$R$40,
[1]Billing!$X$5:$X$40)</f>
        <v>0</v>
      </c>
      <c r="K48" s="119"/>
      <c r="P48"/>
      <c r="Q48"/>
      <c r="R48"/>
      <c r="S48"/>
      <c r="T48"/>
      <c r="U48"/>
      <c r="V48"/>
      <c r="W48"/>
      <c r="X48"/>
      <c r="Y48"/>
    </row>
    <row r="49" spans="1:25" x14ac:dyDescent="0.3">
      <c r="A49" s="149">
        <v>46111</v>
      </c>
      <c r="B49" s="80" t="s">
        <v>170</v>
      </c>
      <c r="C49" s="119" t="s">
        <v>210</v>
      </c>
      <c r="D49" s="119" t="s">
        <v>86</v>
      </c>
      <c r="E49" s="83"/>
      <c r="F49" s="83"/>
      <c r="G49" s="83"/>
      <c r="H49" s="120" t="e">
        <f>_xlfn.XLOOKUP(Table1[[#This Row],[Shipment Number]], 'pivot '!A:A,'pivot '!G:G, "NF")</f>
        <v>#DIV/0!</v>
      </c>
      <c r="I49" s="120">
        <f>_xlfn.XLOOKUP(Table1[[#This Row],[Party Name]],
[1]Billing!$R$5:$R$40,
[1]Billing!$V$5:$V$40)</f>
        <v>0</v>
      </c>
      <c r="J49" s="120">
        <f>_xlfn.XLOOKUP(Table1[[#This Row],[Party Name]],
[1]Billing!$R$5:$R$40,
[1]Billing!$X$5:$X$40)</f>
        <v>0</v>
      </c>
      <c r="K49" s="119"/>
      <c r="P49"/>
      <c r="Q49"/>
      <c r="R49"/>
      <c r="S49"/>
      <c r="T49"/>
      <c r="U49"/>
      <c r="V49"/>
      <c r="W49"/>
      <c r="X49"/>
      <c r="Y49"/>
    </row>
    <row r="50" spans="1:25" x14ac:dyDescent="0.3">
      <c r="A50" s="149">
        <v>46111</v>
      </c>
      <c r="B50" s="80" t="s">
        <v>172</v>
      </c>
      <c r="C50" s="119" t="s">
        <v>210</v>
      </c>
      <c r="D50" s="119" t="s">
        <v>86</v>
      </c>
      <c r="E50" s="83"/>
      <c r="F50" s="83"/>
      <c r="G50" s="83"/>
      <c r="H50" s="120" t="e">
        <f>_xlfn.XLOOKUP(Table1[[#This Row],[Shipment Number]], 'pivot '!A:A,'pivot '!G:G, "NF")</f>
        <v>#DIV/0!</v>
      </c>
      <c r="I50" s="120">
        <f>_xlfn.XLOOKUP(Table1[[#This Row],[Party Name]],
[1]Billing!$R$5:$R$40,
[1]Billing!$V$5:$V$40)</f>
        <v>9232.809070958303</v>
      </c>
      <c r="J50" s="120">
        <f>_xlfn.XLOOKUP(Table1[[#This Row],[Party Name]],
[1]Billing!$R$5:$R$40,
[1]Billing!$X$5:$X$40)</f>
        <v>120026.51792245793</v>
      </c>
      <c r="K50" s="119"/>
      <c r="P50"/>
      <c r="Q50"/>
      <c r="R50"/>
      <c r="S50"/>
      <c r="T50"/>
      <c r="U50"/>
      <c r="V50"/>
      <c r="W50"/>
      <c r="X50"/>
      <c r="Y50"/>
    </row>
    <row r="51" spans="1:25" x14ac:dyDescent="0.3">
      <c r="A51" s="149">
        <v>46111</v>
      </c>
      <c r="B51" s="80" t="s">
        <v>174</v>
      </c>
      <c r="C51" s="119" t="s">
        <v>210</v>
      </c>
      <c r="D51" s="119" t="s">
        <v>86</v>
      </c>
      <c r="E51" s="83"/>
      <c r="F51" s="83"/>
      <c r="G51" s="83"/>
      <c r="H51" s="120" t="e">
        <f>_xlfn.XLOOKUP(Table1[[#This Row],[Shipment Number]], 'pivot '!A:A,'pivot '!G:G, "NF")</f>
        <v>#DIV/0!</v>
      </c>
      <c r="I51" s="120">
        <f>_xlfn.XLOOKUP(Table1[[#This Row],[Party Name]],
[1]Billing!$R$5:$R$40,
[1]Billing!$V$5:$V$40)</f>
        <v>513809.43672275054</v>
      </c>
      <c r="J51" s="120">
        <f>_xlfn.XLOOKUP(Table1[[#This Row],[Party Name]],
[1]Billing!$R$5:$R$40,
[1]Billing!$X$5:$X$40)</f>
        <v>6679522.6773957582</v>
      </c>
      <c r="K51" s="119"/>
      <c r="P51"/>
      <c r="Q51"/>
      <c r="R51"/>
      <c r="S51"/>
      <c r="T51"/>
      <c r="U51"/>
      <c r="V51"/>
      <c r="W51"/>
      <c r="X51"/>
      <c r="Y51"/>
    </row>
    <row r="52" spans="1:25" x14ac:dyDescent="0.3">
      <c r="A52" s="149">
        <v>46111</v>
      </c>
      <c r="B52" s="80" t="s">
        <v>176</v>
      </c>
      <c r="C52" s="119" t="s">
        <v>210</v>
      </c>
      <c r="D52" s="119" t="s">
        <v>86</v>
      </c>
      <c r="E52" s="83"/>
      <c r="F52" s="83"/>
      <c r="G52" s="83"/>
      <c r="H52" s="120" t="e">
        <f>_xlfn.XLOOKUP(Table1[[#This Row],[Shipment Number]], 'pivot '!A:A,'pivot '!G:G, "NF")</f>
        <v>#DIV/0!</v>
      </c>
      <c r="I52" s="120">
        <f>_xlfn.XLOOKUP(Table1[[#This Row],[Party Name]],
[1]Billing!$R$5:$R$40,
[1]Billing!$V$5:$V$40)</f>
        <v>7565.8376005852242</v>
      </c>
      <c r="J52" s="120">
        <f>_xlfn.XLOOKUP(Table1[[#This Row],[Party Name]],
[1]Billing!$R$5:$R$40,
[1]Billing!$X$5:$X$40)</f>
        <v>98355.888807607917</v>
      </c>
      <c r="K52" s="119"/>
      <c r="P52"/>
      <c r="Q52"/>
      <c r="R52"/>
      <c r="S52"/>
      <c r="T52"/>
      <c r="U52"/>
      <c r="V52"/>
      <c r="W52"/>
      <c r="X52"/>
      <c r="Y52"/>
    </row>
    <row r="53" spans="1:25" x14ac:dyDescent="0.3">
      <c r="A53" s="149">
        <v>46111</v>
      </c>
      <c r="B53" s="80" t="s">
        <v>177</v>
      </c>
      <c r="C53" s="119" t="s">
        <v>210</v>
      </c>
      <c r="D53" s="119" t="s">
        <v>86</v>
      </c>
      <c r="E53" s="83"/>
      <c r="F53" s="83"/>
      <c r="G53" s="83"/>
      <c r="H53" s="120" t="e">
        <f>_xlfn.XLOOKUP(Table1[[#This Row],[Shipment Number]], 'pivot '!A:A,'pivot '!G:G, "NF")</f>
        <v>#DIV/0!</v>
      </c>
      <c r="I53" s="120">
        <f>_xlfn.XLOOKUP(Table1[[#This Row],[Party Name]],
[1]Billing!$R$5:$R$40,
[1]Billing!$V$5:$V$40)</f>
        <v>95441.660570592547</v>
      </c>
      <c r="J53" s="120">
        <f>_xlfn.XLOOKUP(Table1[[#This Row],[Party Name]],
[1]Billing!$R$5:$R$40,
[1]Billing!$X$5:$X$40)</f>
        <v>1240741.5874177031</v>
      </c>
      <c r="K53" s="119"/>
      <c r="P53"/>
      <c r="Q53"/>
      <c r="R53"/>
      <c r="S53"/>
      <c r="T53"/>
      <c r="U53"/>
      <c r="V53"/>
      <c r="W53"/>
      <c r="X53"/>
      <c r="Y53"/>
    </row>
    <row r="54" spans="1:25" x14ac:dyDescent="0.3">
      <c r="A54" s="149">
        <v>46111</v>
      </c>
      <c r="B54" s="80" t="s">
        <v>182</v>
      </c>
      <c r="C54" s="119" t="s">
        <v>210</v>
      </c>
      <c r="D54" s="119" t="s">
        <v>86</v>
      </c>
      <c r="E54" s="83"/>
      <c r="F54" s="83"/>
      <c r="G54" s="83"/>
      <c r="H54" s="120" t="e">
        <f>_xlfn.XLOOKUP(Table1[[#This Row],[Shipment Number]], 'pivot '!A:A,'pivot '!G:G, "NF")</f>
        <v>#DIV/0!</v>
      </c>
      <c r="I54" s="120">
        <f>_xlfn.XLOOKUP(Table1[[#This Row],[Party Name]],
[1]Billing!$R$5:$R$40,
[1]Billing!$V$5:$V$40)</f>
        <v>31409.107534747625</v>
      </c>
      <c r="J54" s="120">
        <f>_xlfn.XLOOKUP(Table1[[#This Row],[Party Name]],
[1]Billing!$R$5:$R$40,
[1]Billing!$X$5:$X$40)</f>
        <v>408318.39795171918</v>
      </c>
      <c r="K54" s="119"/>
      <c r="P54"/>
      <c r="Q54"/>
      <c r="R54"/>
      <c r="S54"/>
      <c r="T54"/>
      <c r="U54"/>
      <c r="V54"/>
      <c r="W54"/>
      <c r="X54"/>
      <c r="Y54"/>
    </row>
    <row r="55" spans="1:25" x14ac:dyDescent="0.3">
      <c r="A55" s="149">
        <v>46111</v>
      </c>
      <c r="B55" s="80" t="s">
        <v>189</v>
      </c>
      <c r="C55" s="119" t="s">
        <v>210</v>
      </c>
      <c r="D55" s="119" t="s">
        <v>86</v>
      </c>
      <c r="E55" s="83"/>
      <c r="F55" s="83"/>
      <c r="G55" s="83"/>
      <c r="H55" s="120" t="e">
        <f>_xlfn.XLOOKUP(Table1[[#This Row],[Shipment Number]], 'pivot '!A:A,'pivot '!G:G, "NF")</f>
        <v>#DIV/0!</v>
      </c>
      <c r="I55" s="120">
        <f>_xlfn.XLOOKUP(Table1[[#This Row],[Party Name]],
[1]Billing!$R$5:$R$40,
[1]Billing!$V$5:$V$40)</f>
        <v>0</v>
      </c>
      <c r="J55" s="120">
        <f>_xlfn.XLOOKUP(Table1[[#This Row],[Party Name]],
[1]Billing!$R$5:$R$40,
[1]Billing!$X$5:$X$40)</f>
        <v>0</v>
      </c>
      <c r="K55" s="119"/>
      <c r="P55"/>
      <c r="Q55"/>
      <c r="R55"/>
      <c r="S55"/>
      <c r="T55"/>
      <c r="U55"/>
      <c r="V55"/>
      <c r="W55"/>
      <c r="X55"/>
      <c r="Y55"/>
    </row>
    <row r="56" spans="1:25" x14ac:dyDescent="0.3">
      <c r="A56" s="149">
        <v>46111</v>
      </c>
      <c r="B56" s="80" t="s">
        <v>192</v>
      </c>
      <c r="C56" s="119" t="s">
        <v>210</v>
      </c>
      <c r="D56" s="119" t="s">
        <v>86</v>
      </c>
      <c r="E56" s="83"/>
      <c r="F56" s="83"/>
      <c r="G56" s="83"/>
      <c r="H56" s="120" t="e">
        <f>_xlfn.XLOOKUP(Table1[[#This Row],[Shipment Number]], 'pivot '!A:A,'pivot '!G:G, "NF")</f>
        <v>#DIV/0!</v>
      </c>
      <c r="I56" s="120">
        <f>_xlfn.XLOOKUP(Table1[[#This Row],[Party Name]],
[1]Billing!$R$5:$R$40,
[1]Billing!$V$5:$V$40)</f>
        <v>0</v>
      </c>
      <c r="J56" s="120">
        <f>_xlfn.XLOOKUP(Table1[[#This Row],[Party Name]],
[1]Billing!$R$5:$R$40,
[1]Billing!$X$5:$X$40)</f>
        <v>0</v>
      </c>
      <c r="K56" s="119"/>
      <c r="P56"/>
      <c r="Q56"/>
      <c r="R56"/>
      <c r="S56"/>
      <c r="T56"/>
      <c r="U56"/>
      <c r="V56"/>
      <c r="W56"/>
      <c r="X56"/>
      <c r="Y56"/>
    </row>
    <row r="57" spans="1:25" x14ac:dyDescent="0.3">
      <c r="A57" s="149">
        <v>46111</v>
      </c>
      <c r="B57" s="80" t="s">
        <v>191</v>
      </c>
      <c r="C57" s="119" t="s">
        <v>210</v>
      </c>
      <c r="D57" s="119" t="s">
        <v>86</v>
      </c>
      <c r="E57" s="83"/>
      <c r="F57" s="83"/>
      <c r="G57" s="83"/>
      <c r="H57" s="120" t="e">
        <f>_xlfn.XLOOKUP(Table1[[#This Row],[Shipment Number]], 'pivot '!A:A,'pivot '!G:G, "NF")</f>
        <v>#DIV/0!</v>
      </c>
      <c r="I57" s="120">
        <f>_xlfn.XLOOKUP(Table1[[#This Row],[Party Name]],
[1]Billing!$R$5:$R$40,
[1]Billing!$V$5:$V$40)</f>
        <v>125143.56254572056</v>
      </c>
      <c r="J57" s="120">
        <f>_xlfn.XLOOKUP(Table1[[#This Row],[Party Name]],
[1]Billing!$R$5:$R$40,
[1]Billing!$X$5:$X$40)</f>
        <v>1626866.3130943675</v>
      </c>
      <c r="K57" s="119"/>
      <c r="P57"/>
      <c r="Q57"/>
      <c r="R57"/>
      <c r="S57"/>
      <c r="T57"/>
      <c r="U57"/>
      <c r="V57"/>
      <c r="W57"/>
      <c r="X57"/>
      <c r="Y57"/>
    </row>
    <row r="58" spans="1:25" x14ac:dyDescent="0.3">
      <c r="A58" s="149">
        <v>46111</v>
      </c>
      <c r="B58" s="80" t="s">
        <v>196</v>
      </c>
      <c r="C58" s="119" t="s">
        <v>210</v>
      </c>
      <c r="D58" s="119" t="s">
        <v>86</v>
      </c>
      <c r="E58" s="83"/>
      <c r="F58" s="83"/>
      <c r="G58" s="83"/>
      <c r="H58" s="120" t="e">
        <f>_xlfn.XLOOKUP(Table1[[#This Row],[Shipment Number]], 'pivot '!A:A,'pivot '!G:G, "NF")</f>
        <v>#DIV/0!</v>
      </c>
      <c r="I58" s="120">
        <f>_xlfn.XLOOKUP(Table1[[#This Row],[Party Name]],
[1]Billing!$R$5:$R$40,
[1]Billing!$V$5:$V$40)</f>
        <v>0</v>
      </c>
      <c r="J58" s="120">
        <f>_xlfn.XLOOKUP(Table1[[#This Row],[Party Name]],
[1]Billing!$R$5:$R$40,
[1]Billing!$X$5:$X$40)</f>
        <v>0</v>
      </c>
      <c r="K58" s="119"/>
      <c r="P58"/>
      <c r="Q58"/>
      <c r="R58"/>
      <c r="S58"/>
      <c r="T58"/>
      <c r="U58"/>
      <c r="V58"/>
      <c r="W58"/>
    </row>
    <row r="59" spans="1:25" x14ac:dyDescent="0.3">
      <c r="A59" s="149">
        <v>46111</v>
      </c>
      <c r="B59" s="80" t="s">
        <v>201</v>
      </c>
      <c r="C59" s="119" t="s">
        <v>210</v>
      </c>
      <c r="D59" s="119" t="s">
        <v>86</v>
      </c>
      <c r="E59" s="83"/>
      <c r="F59" s="83"/>
      <c r="G59" s="83"/>
      <c r="H59" s="120" t="e">
        <f>_xlfn.XLOOKUP(Table1[[#This Row],[Shipment Number]], 'pivot '!A:A,'pivot '!G:G, "NF")</f>
        <v>#DIV/0!</v>
      </c>
      <c r="I59" s="120">
        <f>_xlfn.XLOOKUP(Table1[[#This Row],[Party Name]],
[1]Billing!$R$5:$R$40,
[1]Billing!$V$5:$V$40)</f>
        <v>29626.005852231167</v>
      </c>
      <c r="J59" s="120">
        <f>_xlfn.XLOOKUP(Table1[[#This Row],[Party Name]],
[1]Billing!$R$5:$R$40,
[1]Billing!$X$5:$X$40)</f>
        <v>385138.07607900514</v>
      </c>
      <c r="K59" s="119"/>
      <c r="P59"/>
      <c r="Q59"/>
      <c r="R59"/>
      <c r="S59"/>
      <c r="T59"/>
      <c r="U59"/>
    </row>
    <row r="60" spans="1:25" x14ac:dyDescent="0.3">
      <c r="A60" s="149">
        <v>46111</v>
      </c>
      <c r="B60" s="80" t="s">
        <v>203</v>
      </c>
      <c r="C60" s="119" t="s">
        <v>210</v>
      </c>
      <c r="D60" s="119" t="s">
        <v>86</v>
      </c>
      <c r="E60" s="83"/>
      <c r="F60" s="83"/>
      <c r="G60" s="83"/>
      <c r="H60" s="120" t="e">
        <f>_xlfn.XLOOKUP(Table1[[#This Row],[Shipment Number]], 'pivot '!A:A,'pivot '!G:G, "NF")</f>
        <v>#DIV/0!</v>
      </c>
      <c r="I60" s="120">
        <f>_xlfn.XLOOKUP(Table1[[#This Row],[Party Name]],
[1]Billing!$R$5:$R$40,
[1]Billing!$V$5:$V$40)</f>
        <v>0</v>
      </c>
      <c r="J60" s="120">
        <f>_xlfn.XLOOKUP(Table1[[#This Row],[Party Name]],
[1]Billing!$R$5:$R$40,
[1]Billing!$X$5:$X$40)</f>
        <v>0</v>
      </c>
      <c r="K60" s="119"/>
      <c r="M60"/>
      <c r="P60"/>
      <c r="Q60"/>
      <c r="R60"/>
      <c r="S60"/>
      <c r="T60"/>
      <c r="U60"/>
    </row>
    <row r="61" spans="1:25" x14ac:dyDescent="0.3">
      <c r="A61" s="149">
        <v>46111</v>
      </c>
      <c r="B61" s="119" t="s">
        <v>226</v>
      </c>
      <c r="C61" s="119" t="s">
        <v>210</v>
      </c>
      <c r="D61" s="119" t="s">
        <v>86</v>
      </c>
      <c r="E61" s="83"/>
      <c r="F61" s="83"/>
      <c r="G61" s="83"/>
      <c r="H61" s="120" t="e">
        <f>_xlfn.XLOOKUP(Table1[[#This Row],[Shipment Number]], 'pivot '!A:A,'pivot '!G:G, "NF")</f>
        <v>#DIV/0!</v>
      </c>
      <c r="I61" s="120">
        <f>_xlfn.XLOOKUP(Table1[[#This Row],[Party Name]],
[1]Billing!$R$5:$R$40,
[1]Billing!$V$5:$V$40)</f>
        <v>86727.322604242872</v>
      </c>
      <c r="J61" s="120">
        <f>_xlfn.XLOOKUP(Table1[[#This Row],[Party Name]],
[1]Billing!$R$5:$R$40,
[1]Billing!$X$5:$X$40)</f>
        <v>1127455.1938551574</v>
      </c>
      <c r="K61" s="119"/>
      <c r="M61"/>
      <c r="P61"/>
      <c r="Q61"/>
      <c r="R61"/>
      <c r="S61"/>
    </row>
    <row r="62" spans="1:25" x14ac:dyDescent="0.3">
      <c r="A62" s="149">
        <v>46111</v>
      </c>
      <c r="B62" s="139" t="s">
        <v>225</v>
      </c>
      <c r="C62" s="119" t="s">
        <v>210</v>
      </c>
      <c r="D62" s="119" t="s">
        <v>86</v>
      </c>
      <c r="E62" s="83"/>
      <c r="F62" s="83"/>
      <c r="G62" s="83"/>
      <c r="H62" s="120" t="e">
        <f>_xlfn.XLOOKUP(Table1[[#This Row],[Shipment Number]], 'pivot '!A:A,'pivot '!G:G, "NF")</f>
        <v>#DIV/0!</v>
      </c>
      <c r="I62" s="120">
        <f>_xlfn.XLOOKUP(Table1[[#This Row],[Party Name]],
[1]Billing!$R$5:$R$40,
[1]Billing!$V$5:$V$40)</f>
        <v>45840.343818580841</v>
      </c>
      <c r="J62" s="120">
        <f>_xlfn.XLOOKUP(Table1[[#This Row],[Party Name]],
[1]Billing!$R$5:$R$40,
[1]Billing!$X$5:$X$40)</f>
        <v>595924.46964155091</v>
      </c>
      <c r="K62" s="119"/>
      <c r="M62"/>
      <c r="P62"/>
      <c r="Q62"/>
      <c r="R62"/>
      <c r="S62"/>
    </row>
    <row r="63" spans="1:25" x14ac:dyDescent="0.3">
      <c r="A63" s="149">
        <v>46111</v>
      </c>
      <c r="B63" s="139" t="s">
        <v>242</v>
      </c>
      <c r="C63" s="119" t="s">
        <v>210</v>
      </c>
      <c r="D63" s="119" t="s">
        <v>86</v>
      </c>
      <c r="E63" s="83"/>
      <c r="F63" s="83"/>
      <c r="G63" s="83"/>
      <c r="H63" s="120" t="e">
        <f>_xlfn.XLOOKUP(Table1[[#This Row],[Shipment Number]], 'pivot '!A:A,'pivot '!G:G, "NF")</f>
        <v>#DIV/0!</v>
      </c>
      <c r="I63" s="120">
        <f>_xlfn.XLOOKUP(Table1[[#This Row],[Party Name]],
[1]Billing!$R$5:$R$40,
[1]Billing!$V$5:$V$40)</f>
        <v>48958.485735186543</v>
      </c>
      <c r="J63" s="120">
        <f>_xlfn.XLOOKUP(Table1[[#This Row],[Party Name]],
[1]Billing!$R$5:$R$40,
[1]Billing!$X$5:$X$40)</f>
        <v>636460.3145574251</v>
      </c>
      <c r="K63" s="119"/>
      <c r="S63"/>
    </row>
    <row r="64" spans="1:25" x14ac:dyDescent="0.3">
      <c r="A64" s="149">
        <v>46111</v>
      </c>
      <c r="B64" s="139" t="s">
        <v>245</v>
      </c>
      <c r="C64" s="119" t="s">
        <v>210</v>
      </c>
      <c r="D64" s="119" t="s">
        <v>86</v>
      </c>
      <c r="E64" s="83"/>
      <c r="F64" s="83"/>
      <c r="G64" s="83"/>
      <c r="H64" s="120" t="e">
        <f>_xlfn.XLOOKUP(Table1[[#This Row],[Shipment Number]], 'pivot '!A:A,'pivot '!G:G, "NF")</f>
        <v>#DIV/0!</v>
      </c>
      <c r="I64" s="120">
        <f>_xlfn.XLOOKUP(Table1[[#This Row],[Party Name]],
[1]Billing!$R$5:$R$40,
[1]Billing!$V$5:$V$40)</f>
        <v>1321.3240673006585</v>
      </c>
      <c r="J64" s="120">
        <f>_xlfn.XLOOKUP(Table1[[#This Row],[Party Name]],
[1]Billing!$R$5:$R$40,
[1]Billing!$X$5:$X$40)</f>
        <v>15855.888807607902</v>
      </c>
      <c r="K64" s="119"/>
      <c r="S64"/>
    </row>
    <row r="65" spans="1:19" x14ac:dyDescent="0.3">
      <c r="A65" s="149">
        <v>46111</v>
      </c>
      <c r="B65" s="139" t="s">
        <v>230</v>
      </c>
      <c r="C65" s="119" t="s">
        <v>210</v>
      </c>
      <c r="D65" s="119" t="s">
        <v>86</v>
      </c>
      <c r="E65" s="83"/>
      <c r="F65" s="83"/>
      <c r="G65" s="83"/>
      <c r="H65" s="120" t="e">
        <f>_xlfn.XLOOKUP(Table1[[#This Row],[Shipment Number]], 'pivot '!A:A,'pivot '!G:G, "NF")</f>
        <v>#DIV/0!</v>
      </c>
      <c r="I65" s="120">
        <f>_xlfn.XLOOKUP(Table1[[#This Row],[Party Name]],
[1]Billing!$R$5:$R$40,
[1]Billing!$V$5:$V$40)</f>
        <v>0</v>
      </c>
      <c r="J65" s="120">
        <f>_xlfn.XLOOKUP(Table1[[#This Row],[Party Name]],
[1]Billing!$R$5:$R$40,
[1]Billing!$X$5:$X$40)</f>
        <v>0</v>
      </c>
      <c r="K65" s="119"/>
      <c r="S65"/>
    </row>
    <row r="66" spans="1:19" x14ac:dyDescent="0.3">
      <c r="A66" s="149">
        <v>46111</v>
      </c>
      <c r="B66" s="139" t="s">
        <v>258</v>
      </c>
      <c r="C66" s="119" t="s">
        <v>210</v>
      </c>
      <c r="D66" s="119" t="s">
        <v>86</v>
      </c>
      <c r="E66" s="83"/>
      <c r="F66" s="83"/>
      <c r="G66" s="83"/>
      <c r="H66" s="120" t="e">
        <f>_xlfn.XLOOKUP(Table1[[#This Row],[Shipment Number]], 'pivot '!A:A,'pivot '!G:G, "NF")</f>
        <v>#DIV/0!</v>
      </c>
      <c r="I66" s="120">
        <f>_xlfn.XLOOKUP(Table1[[#This Row],[Party Name]],
[1]Billing!$R$5:$R$40,
[1]Billing!$V$5:$V$40)</f>
        <v>157432.33357717632</v>
      </c>
      <c r="J66" s="120">
        <f>_xlfn.XLOOKUP(Table1[[#This Row],[Party Name]],
[1]Billing!$R$5:$R$40,
[1]Billing!$X$5:$X$40)</f>
        <v>2046620.336503292</v>
      </c>
      <c r="K66" s="119"/>
      <c r="S66"/>
    </row>
    <row r="67" spans="1:19" x14ac:dyDescent="0.3">
      <c r="A67" s="149">
        <v>46111</v>
      </c>
      <c r="B67" s="139" t="s">
        <v>273</v>
      </c>
      <c r="C67" s="119" t="s">
        <v>210</v>
      </c>
      <c r="D67" s="119" t="s">
        <v>86</v>
      </c>
      <c r="E67" s="83"/>
      <c r="F67" s="83"/>
      <c r="G67" s="83"/>
      <c r="H67" s="120" t="e">
        <f>_xlfn.XLOOKUP(Table1[[#This Row],[Shipment Number]], 'pivot '!A:A,'pivot '!G:G, "NF")</f>
        <v>#DIV/0!</v>
      </c>
      <c r="I67" s="120">
        <f>_xlfn.XLOOKUP(Table1[[#This Row],[Party Name]],
[1]Billing!$R$5:$R$40,
[1]Billing!$V$5:$V$40)</f>
        <v>0</v>
      </c>
      <c r="J67" s="120">
        <f>_xlfn.XLOOKUP(Table1[[#This Row],[Party Name]],
[1]Billing!$R$5:$R$40,
[1]Billing!$X$5:$X$40)</f>
        <v>0</v>
      </c>
      <c r="K67" s="119"/>
      <c r="S67"/>
    </row>
    <row r="68" spans="1:19" x14ac:dyDescent="0.3">
      <c r="A68" s="149">
        <v>46111</v>
      </c>
      <c r="B68" s="80" t="s">
        <v>25</v>
      </c>
      <c r="C68" s="119" t="s">
        <v>210</v>
      </c>
      <c r="D68" s="119" t="s">
        <v>183</v>
      </c>
      <c r="E68" s="83"/>
      <c r="F68" s="83"/>
      <c r="G68" s="83"/>
      <c r="H68" s="120" t="e">
        <f>_xlfn.XLOOKUP(Table1[[#This Row],[Shipment Number]], 'pivot '!A:A,'pivot '!G:G, "NF")</f>
        <v>#DIV/0!</v>
      </c>
      <c r="I68" s="120"/>
      <c r="J68" s="120">
        <f>_xlfn.XLOOKUP(Table1[[#This Row],[Party Name]],
[1]Billing!$R$5:$R$40,
[1]Billing!$Y$5:$Y$40)</f>
        <v>71359.729334308722</v>
      </c>
      <c r="K68" s="119"/>
      <c r="S68"/>
    </row>
    <row r="69" spans="1:19" x14ac:dyDescent="0.3">
      <c r="A69" s="149">
        <v>46111</v>
      </c>
      <c r="B69" s="80" t="s">
        <v>174</v>
      </c>
      <c r="C69" s="119" t="s">
        <v>210</v>
      </c>
      <c r="D69" s="119" t="s">
        <v>183</v>
      </c>
      <c r="E69" s="83"/>
      <c r="F69" s="83"/>
      <c r="G69" s="83"/>
      <c r="H69" s="120" t="e">
        <f>_xlfn.XLOOKUP(Table1[[#This Row],[Shipment Number]], 'pivot '!A:A,'pivot '!G:G, "NF")</f>
        <v>#DIV/0!</v>
      </c>
      <c r="I69" s="120"/>
      <c r="J69" s="120">
        <f>_xlfn.XLOOKUP(Table1[[#This Row],[Party Name]],
[1]Billing!$R$5:$R$40,
[1]Billing!$Y$5:$Y$40)</f>
        <v>44550.109729334312</v>
      </c>
      <c r="K69" s="119"/>
      <c r="S69"/>
    </row>
    <row r="70" spans="1:19" x14ac:dyDescent="0.3">
      <c r="A70" s="149">
        <v>46111</v>
      </c>
      <c r="B70" s="80" t="s">
        <v>176</v>
      </c>
      <c r="C70" s="119" t="s">
        <v>210</v>
      </c>
      <c r="D70" s="119" t="s">
        <v>184</v>
      </c>
      <c r="E70" s="83"/>
      <c r="F70" s="83"/>
      <c r="G70" s="83"/>
      <c r="H70" s="120" t="e">
        <f>_xlfn.XLOOKUP(Table1[[#This Row],[Shipment Number]], 'pivot '!A:A,'pivot '!G:G, "NF")</f>
        <v>#DIV/0!</v>
      </c>
      <c r="I70" s="120"/>
      <c r="J70" s="120">
        <f>_xlfn.XLOOKUP(Table1[[#This Row],[Party Name]],
[1]Billing!$R$5:$R$40,
[1]Billing!$Z$5:$Z$40)</f>
        <v>94656.181419166067</v>
      </c>
      <c r="K70" s="119"/>
      <c r="S70"/>
    </row>
    <row r="71" spans="1:19" x14ac:dyDescent="0.3">
      <c r="A71" s="149">
        <v>46111</v>
      </c>
      <c r="B71" s="119" t="s">
        <v>24</v>
      </c>
      <c r="C71" s="119" t="s">
        <v>210</v>
      </c>
      <c r="D71" s="119" t="s">
        <v>184</v>
      </c>
      <c r="E71" s="83"/>
      <c r="F71" s="83"/>
      <c r="G71" s="83"/>
      <c r="H71" s="120" t="e">
        <f>_xlfn.XLOOKUP(Table1[[#This Row],[Shipment Number]], 'pivot '!A:A,'pivot '!G:G, "NF")</f>
        <v>#DIV/0!</v>
      </c>
      <c r="I71" s="120"/>
      <c r="J71" s="120">
        <f>_xlfn.XLOOKUP(Table1[[#This Row],[Party Name]],
[1]Billing!$R$5:$R$40,
[1]Billing!$Z$5:$Z$40)</f>
        <v>239959.76591075349</v>
      </c>
      <c r="K71" s="119"/>
      <c r="S71"/>
    </row>
    <row r="72" spans="1:19" x14ac:dyDescent="0.3">
      <c r="A72" s="149">
        <v>46111</v>
      </c>
      <c r="B72" s="80" t="s">
        <v>182</v>
      </c>
      <c r="C72" s="119" t="s">
        <v>210</v>
      </c>
      <c r="D72" s="119" t="s">
        <v>198</v>
      </c>
      <c r="E72" s="83"/>
      <c r="F72" s="83"/>
      <c r="G72" s="83"/>
      <c r="H72" s="120" t="e">
        <f>_xlfn.XLOOKUP(Table1[[#This Row],[Shipment Number]], 'pivot '!A:A,'pivot '!G:G, "NF")</f>
        <v>#DIV/0!</v>
      </c>
      <c r="I72" s="120"/>
      <c r="J72" s="120">
        <f>_xlfn.XLOOKUP(Table1[[#This Row],[Party Name]],
[1]Billing!$R$5:$R$40,
[1]Billing!$AA$5:$AA$40)</f>
        <v>161653.2553035845</v>
      </c>
      <c r="K72" s="119"/>
      <c r="S72"/>
    </row>
    <row r="73" spans="1:19" x14ac:dyDescent="0.3">
      <c r="A73" s="149">
        <v>46111</v>
      </c>
      <c r="B73" s="119" t="s">
        <v>189</v>
      </c>
      <c r="C73" s="119" t="s">
        <v>210</v>
      </c>
      <c r="D73" s="119" t="s">
        <v>198</v>
      </c>
      <c r="E73" s="83"/>
      <c r="F73" s="83"/>
      <c r="G73" s="83"/>
      <c r="H73" s="120" t="e">
        <f>_xlfn.XLOOKUP(Table1[[#This Row],[Shipment Number]], 'pivot '!A:A,'pivot '!G:G, "NF")</f>
        <v>#DIV/0!</v>
      </c>
      <c r="I73" s="120"/>
      <c r="J73" s="120">
        <f>_xlfn.XLOOKUP(Table1[[#This Row],[Party Name]],
[1]Billing!$R$5:$R$40,
[1]Billing!$AA$5:$AA$40)</f>
        <v>23767.373811265548</v>
      </c>
      <c r="K73" s="119"/>
    </row>
    <row r="74" spans="1:19" x14ac:dyDescent="0.3">
      <c r="A74" s="149">
        <v>46111</v>
      </c>
      <c r="B74" s="119" t="s">
        <v>25</v>
      </c>
      <c r="C74" s="119" t="s">
        <v>210</v>
      </c>
      <c r="D74" s="119" t="s">
        <v>198</v>
      </c>
      <c r="E74" s="83"/>
      <c r="F74" s="83"/>
      <c r="G74" s="83"/>
      <c r="H74" s="120" t="e">
        <f>_xlfn.XLOOKUP(Table1[[#This Row],[Shipment Number]], 'pivot '!A:A,'pivot '!G:G, "NF")</f>
        <v>#DIV/0!</v>
      </c>
      <c r="I74" s="120"/>
      <c r="J74" s="120">
        <f>_xlfn.XLOOKUP(Table1[[#This Row],[Party Name]],
[1]Billing!$R$5:$R$40,
[1]Billing!$AA$5:$AA$40)</f>
        <v>322297.00073152891</v>
      </c>
      <c r="K74" s="119"/>
    </row>
    <row r="75" spans="1:19" x14ac:dyDescent="0.3">
      <c r="A75" s="149">
        <v>46111</v>
      </c>
      <c r="B75" s="119" t="s">
        <v>182</v>
      </c>
      <c r="C75" s="119" t="s">
        <v>210</v>
      </c>
      <c r="D75" s="119" t="s">
        <v>206</v>
      </c>
      <c r="E75" s="83"/>
      <c r="F75" s="83"/>
      <c r="G75" s="83"/>
      <c r="H75" s="120" t="e">
        <f>_xlfn.XLOOKUP(Table1[[#This Row],[Shipment Number]], 'pivot '!A:A,'pivot '!G:G, "NF")</f>
        <v>#DIV/0!</v>
      </c>
      <c r="I75" s="120"/>
      <c r="J75" s="120">
        <f>_xlfn.XLOOKUP(Table1[[#This Row],[Party Name]],
[1]Billing!$R$5:$R$40,
[1]Billing!$AB$5:$AB$40)</f>
        <v>1970409.6561814193</v>
      </c>
      <c r="K75" s="119"/>
    </row>
    <row r="76" spans="1:19" x14ac:dyDescent="0.3">
      <c r="A76" s="149">
        <v>46111</v>
      </c>
      <c r="B76" s="80" t="s">
        <v>189</v>
      </c>
      <c r="C76" s="119" t="s">
        <v>210</v>
      </c>
      <c r="D76" s="119" t="s">
        <v>206</v>
      </c>
      <c r="E76" s="83"/>
      <c r="F76" s="83"/>
      <c r="G76" s="83"/>
      <c r="H76" s="120" t="e">
        <f>_xlfn.XLOOKUP(Table1[[#This Row],[Shipment Number]], 'pivot '!A:A,'pivot '!G:G, "NF")</f>
        <v>#DIV/0!</v>
      </c>
      <c r="I76" s="120"/>
      <c r="J76" s="120">
        <f>_xlfn.XLOOKUP(Table1[[#This Row],[Party Name]],
[1]Billing!$R$5:$R$40,
[1]Billing!$AB$5:$AB$40)</f>
        <v>523143.74542794435</v>
      </c>
      <c r="K76" s="119"/>
    </row>
    <row r="77" spans="1:19" x14ac:dyDescent="0.3">
      <c r="A77" s="149">
        <v>46111</v>
      </c>
      <c r="B77" s="119" t="s">
        <v>258</v>
      </c>
      <c r="C77" s="119" t="s">
        <v>210</v>
      </c>
      <c r="D77" s="157" t="s">
        <v>206</v>
      </c>
      <c r="E77" s="83"/>
      <c r="F77" s="83"/>
      <c r="G77" s="83"/>
      <c r="H77" s="120" t="e">
        <f>_xlfn.XLOOKUP(Table1[[#This Row],[Shipment Number]], 'pivot '!A:A,'pivot '!G:G, "NF")</f>
        <v>#DIV/0!</v>
      </c>
      <c r="I77" s="120"/>
      <c r="J77" s="120">
        <f>_xlfn.XLOOKUP(Table1[[#This Row],[Party Name]],
[1]Billing!$R$5:$R$40,
[1]Billing!$AB$5:$AB$40)</f>
        <v>659577.54206291155</v>
      </c>
      <c r="K77" s="119"/>
    </row>
    <row r="78" spans="1:19" x14ac:dyDescent="0.3">
      <c r="A78" s="149">
        <v>46111</v>
      </c>
      <c r="B78" s="119" t="s">
        <v>21</v>
      </c>
      <c r="C78" s="119" t="s">
        <v>210</v>
      </c>
      <c r="D78" s="119" t="s">
        <v>206</v>
      </c>
      <c r="E78" s="95"/>
      <c r="F78" s="95"/>
      <c r="G78" s="95"/>
      <c r="H78" s="120" t="e">
        <f>_xlfn.XLOOKUP(Table1[[#This Row],[Shipment Number]], 'pivot '!A:A,'pivot '!G:G, "NF")</f>
        <v>#DIV/0!</v>
      </c>
      <c r="I78" s="166"/>
      <c r="J78" s="120">
        <f>_xlfn.XLOOKUP(Table1[[#This Row],[Party Name]],
[1]Billing!$R$5:$R$40,
[1]Billing!$AB$5:$AB$40)</f>
        <v>2127095.8302852963</v>
      </c>
      <c r="K78" s="165"/>
    </row>
    <row r="79" spans="1:19" x14ac:dyDescent="0.3">
      <c r="A79" s="149">
        <v>46111</v>
      </c>
      <c r="B79" s="80" t="s">
        <v>203</v>
      </c>
      <c r="C79" s="119" t="s">
        <v>210</v>
      </c>
      <c r="D79" s="119" t="s">
        <v>204</v>
      </c>
      <c r="E79" s="83"/>
      <c r="F79" s="83"/>
      <c r="G79" s="83"/>
      <c r="H79" s="120" t="e">
        <f>_xlfn.XLOOKUP(Table1[[#This Row],[Shipment Number]], 'pivot '!A:A,'pivot '!G:G, "NF")</f>
        <v>#DIV/0!</v>
      </c>
      <c r="I79" s="120"/>
      <c r="J79" s="120">
        <f>_xlfn.XLOOKUP(Table1[[#This Row],[Party Name]],
[1]Billing!$R$5:$R$40,
[1]Billing!$AC$5:$AC$40)</f>
        <v>151504.2062911485</v>
      </c>
      <c r="K79" s="119"/>
    </row>
    <row r="80" spans="1:19" x14ac:dyDescent="0.3">
      <c r="A80" s="149">
        <v>46111</v>
      </c>
      <c r="B80" s="119" t="s">
        <v>245</v>
      </c>
      <c r="C80" s="119" t="s">
        <v>210</v>
      </c>
      <c r="D80" s="119" t="s">
        <v>625</v>
      </c>
      <c r="E80" s="95"/>
      <c r="F80" s="95"/>
      <c r="G80" s="95"/>
      <c r="H80" s="120"/>
      <c r="I80" s="166"/>
      <c r="J80" s="120">
        <f>_xlfn.XLOOKUP(Table1[[#This Row],[Party Name]],
[1]Billing!$R$5:$R$40,
[1]Billing!$AD$5:$AD$40)</f>
        <v>51636.795903438193</v>
      </c>
      <c r="K80" s="165"/>
    </row>
    <row r="81" spans="1:17" x14ac:dyDescent="0.3">
      <c r="A81" s="118">
        <v>46154</v>
      </c>
      <c r="B81" s="116" t="s">
        <v>441</v>
      </c>
      <c r="C81" s="113" t="s">
        <v>587</v>
      </c>
      <c r="D81" s="113" t="s">
        <v>274</v>
      </c>
      <c r="E81" s="11"/>
      <c r="F81" s="11"/>
      <c r="G81" s="11"/>
      <c r="H81" s="114" t="e">
        <f>_xlfn.XLOOKUP(Table1[[#This Row],[Shipment Number]], 'pivot '!A:A,'pivot '!G:G, "NF")</f>
        <v>#DIV/0!</v>
      </c>
      <c r="I81" s="115"/>
      <c r="J81" s="115">
        <v>17000</v>
      </c>
      <c r="K81" s="113"/>
    </row>
    <row r="82" spans="1:17" x14ac:dyDescent="0.3">
      <c r="A82" s="149">
        <v>46111</v>
      </c>
      <c r="B82" s="119"/>
      <c r="C82" s="119"/>
      <c r="D82" s="119"/>
      <c r="E82" s="83"/>
      <c r="F82" s="83"/>
      <c r="G82" s="83"/>
      <c r="H82" s="120" t="e">
        <f>_xlfn.XLOOKUP(Table1[[#This Row],[Shipment Number]], 'pivot '!A:A,'pivot '!G:G, "NF")</f>
        <v>#DIV/0!</v>
      </c>
      <c r="I82" s="120"/>
      <c r="J82" s="120"/>
      <c r="K82" s="119"/>
    </row>
    <row r="83" spans="1:17" x14ac:dyDescent="0.3">
      <c r="A83" s="149">
        <v>46111</v>
      </c>
      <c r="B83" s="116"/>
      <c r="C83" s="119"/>
      <c r="D83" s="119"/>
      <c r="E83" s="83"/>
      <c r="F83" s="83"/>
      <c r="G83" s="83"/>
      <c r="H83" s="120" t="e">
        <f>_xlfn.XLOOKUP(Table1[[#This Row],[Shipment Number]], 'pivot '!A:A,'pivot '!G:G, "NF")</f>
        <v>#DIV/0!</v>
      </c>
      <c r="I83" s="120"/>
      <c r="J83" s="120"/>
      <c r="K83" s="119"/>
    </row>
    <row r="84" spans="1:17" x14ac:dyDescent="0.3">
      <c r="A84" s="149">
        <v>46111</v>
      </c>
      <c r="B84" s="116"/>
      <c r="C84" s="119"/>
      <c r="D84" s="119"/>
      <c r="E84" s="83"/>
      <c r="F84" s="83"/>
      <c r="G84" s="83"/>
      <c r="H84" s="120" t="e">
        <f>_xlfn.XLOOKUP(Table1[[#This Row],[Shipment Number]], 'pivot '!A:A,'pivot '!G:G, "NF")</f>
        <v>#DIV/0!</v>
      </c>
      <c r="I84" s="120"/>
      <c r="J84" s="120"/>
      <c r="K84" s="119"/>
    </row>
    <row r="85" spans="1:17" x14ac:dyDescent="0.3">
      <c r="A85" s="149">
        <v>46111</v>
      </c>
      <c r="B85" s="119"/>
      <c r="C85" s="119"/>
      <c r="D85" s="119"/>
      <c r="E85" s="83"/>
      <c r="F85" s="83"/>
      <c r="G85" s="83"/>
      <c r="H85" s="120" t="e">
        <f>_xlfn.XLOOKUP(Table1[[#This Row],[Shipment Number]], 'pivot '!A:A,'pivot '!G:G, "NF")</f>
        <v>#DIV/0!</v>
      </c>
      <c r="I85" s="120"/>
      <c r="J85" s="120"/>
      <c r="K85" s="119"/>
    </row>
    <row r="86" spans="1:17" x14ac:dyDescent="0.3">
      <c r="A86" s="149">
        <v>46111</v>
      </c>
      <c r="B86" s="116"/>
      <c r="C86" s="119"/>
      <c r="D86" s="119"/>
      <c r="E86" s="83"/>
      <c r="F86" s="83"/>
      <c r="G86" s="83"/>
      <c r="H86" s="120" t="e">
        <f>_xlfn.XLOOKUP(Table1[[#This Row],[Shipment Number]], 'pivot '!A:A,'pivot '!G:G, "NF")</f>
        <v>#DIV/0!</v>
      </c>
      <c r="I86" s="120"/>
      <c r="J86" s="120"/>
      <c r="K86" s="119"/>
    </row>
    <row r="87" spans="1:17" x14ac:dyDescent="0.3">
      <c r="A87" s="149">
        <v>46111</v>
      </c>
      <c r="B87" s="116"/>
      <c r="C87" s="113"/>
      <c r="D87" s="113"/>
      <c r="E87" s="11"/>
      <c r="F87" s="11"/>
      <c r="G87" s="11"/>
      <c r="H87" s="114"/>
      <c r="I87" s="115"/>
      <c r="J87" s="115"/>
      <c r="K87" s="113"/>
    </row>
    <row r="88" spans="1:17" x14ac:dyDescent="0.3">
      <c r="A88" s="149">
        <v>46111</v>
      </c>
      <c r="B88" s="116"/>
      <c r="C88" s="113"/>
      <c r="D88" s="113"/>
      <c r="E88" s="11"/>
      <c r="F88" s="11"/>
      <c r="G88" s="11"/>
      <c r="H88" s="114"/>
      <c r="I88" s="115"/>
      <c r="J88" s="115"/>
      <c r="K88" s="113"/>
    </row>
    <row r="89" spans="1:17" x14ac:dyDescent="0.3">
      <c r="A89" s="149">
        <v>46111</v>
      </c>
      <c r="B89" s="116"/>
      <c r="C89" s="113"/>
      <c r="D89" s="113"/>
      <c r="E89" s="11"/>
      <c r="F89" s="11"/>
      <c r="G89" s="11"/>
      <c r="H89" s="114"/>
      <c r="I89" s="115"/>
      <c r="J89" s="115"/>
      <c r="K89" s="113"/>
    </row>
    <row r="90" spans="1:17" x14ac:dyDescent="0.3">
      <c r="A90" s="149">
        <v>46111</v>
      </c>
      <c r="B90" s="116"/>
      <c r="C90" s="113"/>
      <c r="D90" s="113"/>
      <c r="E90" s="11"/>
      <c r="F90" s="11"/>
      <c r="G90" s="11"/>
      <c r="H90" s="114"/>
      <c r="I90" s="115"/>
      <c r="J90" s="115"/>
      <c r="K90" s="113"/>
    </row>
    <row r="91" spans="1:17" x14ac:dyDescent="0.3">
      <c r="A91" s="149">
        <v>46111</v>
      </c>
      <c r="B91" s="116"/>
      <c r="C91" s="113"/>
      <c r="D91" s="113"/>
      <c r="E91" s="11"/>
      <c r="F91" s="11"/>
      <c r="G91" s="11"/>
      <c r="H91" s="114"/>
      <c r="I91" s="115"/>
      <c r="J91" s="115"/>
      <c r="K91" s="113"/>
    </row>
    <row r="92" spans="1:17" x14ac:dyDescent="0.3">
      <c r="A92" s="149">
        <v>46111</v>
      </c>
      <c r="B92" s="116"/>
      <c r="C92" s="113"/>
      <c r="D92" s="113"/>
      <c r="E92" s="11"/>
      <c r="F92" s="11"/>
      <c r="G92" s="11"/>
      <c r="H92" s="114"/>
      <c r="I92" s="115"/>
      <c r="J92" s="115"/>
      <c r="K92" s="113"/>
    </row>
    <row r="93" spans="1:17" x14ac:dyDescent="0.3">
      <c r="A93" s="148">
        <v>46123</v>
      </c>
      <c r="B93" s="116" t="s">
        <v>35</v>
      </c>
      <c r="C93" s="153">
        <v>1613</v>
      </c>
      <c r="D93" s="153" t="s">
        <v>86</v>
      </c>
      <c r="E93" s="22" t="s">
        <v>354</v>
      </c>
      <c r="F93" s="22">
        <v>78365</v>
      </c>
      <c r="G93" s="22">
        <v>28736</v>
      </c>
      <c r="H93" s="107">
        <f>_xlfn.XLOOKUP(Table1[[#This Row],[Shipment Number]], 'pivot '!A:A,'pivot '!G:G, "NF")</f>
        <v>1.7584184749482432</v>
      </c>
      <c r="I93" s="63">
        <f>Table1[[#This Row],[Tiyaar/gaz]]/1.0936</f>
        <v>26276.517922457941</v>
      </c>
      <c r="J93" s="63" cm="1">
        <f t="array" ref="J9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315318.21506949526</v>
      </c>
      <c r="K93" s="153"/>
    </row>
    <row r="94" spans="1:17" x14ac:dyDescent="0.3">
      <c r="A94" s="148">
        <v>46123</v>
      </c>
      <c r="B94" s="116" t="s">
        <v>35</v>
      </c>
      <c r="C94" s="153">
        <v>1614</v>
      </c>
      <c r="D94" s="153" t="s">
        <v>86</v>
      </c>
      <c r="E94" s="22" t="s">
        <v>354</v>
      </c>
      <c r="F94" s="22">
        <v>78365</v>
      </c>
      <c r="G94" s="22">
        <v>19637</v>
      </c>
      <c r="H94" s="107">
        <f>_xlfn.XLOOKUP(Table1[[#This Row],[Shipment Number]], 'pivot '!A:A,'pivot '!G:G, "NF")</f>
        <v>1.7584184749482432</v>
      </c>
      <c r="I94" s="63">
        <f>Table1[[#This Row],[Tiyaar/gaz]]/1.0936</f>
        <v>17956.291148500368</v>
      </c>
      <c r="J94" s="63" cm="1">
        <f t="array" ref="J9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215475.4937820044</v>
      </c>
      <c r="K94" s="153"/>
    </row>
    <row r="95" spans="1:17" x14ac:dyDescent="0.3">
      <c r="A95" s="148">
        <v>46123</v>
      </c>
      <c r="B95" s="116" t="s">
        <v>277</v>
      </c>
      <c r="C95" s="153">
        <v>1615</v>
      </c>
      <c r="D95" s="153" t="s">
        <v>86</v>
      </c>
      <c r="E95" s="22">
        <v>2151</v>
      </c>
      <c r="F95" s="22">
        <v>61027</v>
      </c>
      <c r="G95" s="22">
        <v>20336</v>
      </c>
      <c r="H95" s="107">
        <f>_xlfn.XLOOKUP(Table1[[#This Row],[Shipment Number]], 'pivot '!A:A,'pivot '!G:G, "NF")</f>
        <v>5.0916566376672563</v>
      </c>
      <c r="I95" s="63">
        <f>Table1[[#This Row],[Tiyaar/gaz]]/1.0936</f>
        <v>18595.464520848574</v>
      </c>
      <c r="J95" s="63" cm="1">
        <f t="array" ref="J9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241741.03877103148</v>
      </c>
      <c r="K95" s="153"/>
    </row>
    <row r="96" spans="1:17" x14ac:dyDescent="0.3">
      <c r="A96" s="148">
        <v>46123</v>
      </c>
      <c r="B96" s="116" t="s">
        <v>21</v>
      </c>
      <c r="C96" s="153">
        <v>1616</v>
      </c>
      <c r="D96" s="153" t="s">
        <v>86</v>
      </c>
      <c r="E96" s="22">
        <v>2153</v>
      </c>
      <c r="F96" s="22">
        <v>20212</v>
      </c>
      <c r="G96" s="22">
        <v>21525</v>
      </c>
      <c r="H96" s="107">
        <f>_xlfn.XLOOKUP(Table1[[#This Row],[Shipment Number]], 'pivot '!A:A,'pivot '!G:G, "NF")</f>
        <v>2.6187445991292577</v>
      </c>
      <c r="I96" s="63">
        <f>Table1[[#This Row],[Tiyaar/gaz]]/1.0936</f>
        <v>19682.699341623997</v>
      </c>
      <c r="J96" s="63" cm="1">
        <f t="array" ref="J9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255875.09144111196</v>
      </c>
      <c r="K96" s="153"/>
      <c r="O96"/>
      <c r="P96"/>
      <c r="Q96"/>
    </row>
    <row r="97" spans="1:18" x14ac:dyDescent="0.3">
      <c r="A97" s="148">
        <v>46123</v>
      </c>
      <c r="B97" s="116" t="s">
        <v>21</v>
      </c>
      <c r="C97" s="153">
        <v>1617</v>
      </c>
      <c r="D97" s="153" t="s">
        <v>85</v>
      </c>
      <c r="E97" s="22">
        <v>2148</v>
      </c>
      <c r="F97" s="22">
        <v>28859</v>
      </c>
      <c r="G97" s="22">
        <v>2172</v>
      </c>
      <c r="H97" s="107">
        <f>_xlfn.XLOOKUP(Table1[[#This Row],[Shipment Number]], 'pivot '!A:A,'pivot '!G:G, "NF")</f>
        <v>2.1108939402745932</v>
      </c>
      <c r="I97" s="63">
        <f>Table1[[#This Row],[Tiyaar/gaz]]/1.0936</f>
        <v>1986.1009509875641</v>
      </c>
      <c r="J97" s="63" cm="1">
        <f t="array" ref="J9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19861.009509875643</v>
      </c>
      <c r="K97" s="153"/>
      <c r="O97"/>
      <c r="P97"/>
      <c r="Q97"/>
    </row>
    <row r="98" spans="1:18" x14ac:dyDescent="0.3">
      <c r="A98" s="148">
        <v>46123</v>
      </c>
      <c r="B98" s="116" t="s">
        <v>9</v>
      </c>
      <c r="C98" s="153">
        <v>1618</v>
      </c>
      <c r="D98" s="153" t="s">
        <v>85</v>
      </c>
      <c r="E98" s="22">
        <v>2136</v>
      </c>
      <c r="F98" s="22">
        <v>24072</v>
      </c>
      <c r="G98" s="22">
        <v>6820</v>
      </c>
      <c r="H98" s="107">
        <f>_xlfn.XLOOKUP(Table1[[#This Row],[Shipment Number]], 'pivot '!A:A,'pivot '!G:G, "NF")</f>
        <v>2.1581621874196912</v>
      </c>
      <c r="I98" s="63">
        <f>Table1[[#This Row],[Tiyaar/gaz]]/1.0936</f>
        <v>6236.2838332114125</v>
      </c>
      <c r="J98" s="63" cm="1">
        <f t="array" ref="J9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62362.838332114123</v>
      </c>
      <c r="K98" s="153"/>
      <c r="L98"/>
      <c r="M98"/>
      <c r="O98"/>
      <c r="P98"/>
      <c r="Q98"/>
    </row>
    <row r="99" spans="1:18" x14ac:dyDescent="0.3">
      <c r="A99" s="148">
        <v>46123</v>
      </c>
      <c r="B99" s="116" t="s">
        <v>35</v>
      </c>
      <c r="C99" s="153">
        <v>1619</v>
      </c>
      <c r="D99" s="153" t="s">
        <v>86</v>
      </c>
      <c r="E99" s="22" t="s">
        <v>354</v>
      </c>
      <c r="F99" s="22">
        <v>78365</v>
      </c>
      <c r="G99" s="22">
        <v>35820</v>
      </c>
      <c r="H99" s="107">
        <f>_xlfn.XLOOKUP(Table1[[#This Row],[Shipment Number]], 'pivot '!A:A,'pivot '!G:G, "NF")</f>
        <v>1.7584184749482432</v>
      </c>
      <c r="I99" s="63">
        <f>Table1[[#This Row],[Tiyaar/gaz]]/1.0936</f>
        <v>32754.206291148505</v>
      </c>
      <c r="J99" s="63" cm="1">
        <f t="array" ref="J9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393050.47549378208</v>
      </c>
      <c r="K99" s="153"/>
      <c r="M99"/>
      <c r="P99"/>
      <c r="Q99"/>
      <c r="R99"/>
    </row>
    <row r="100" spans="1:18" x14ac:dyDescent="0.3">
      <c r="A100" s="148">
        <v>46123</v>
      </c>
      <c r="B100" s="116" t="s">
        <v>9</v>
      </c>
      <c r="C100" s="153">
        <v>1620</v>
      </c>
      <c r="D100" s="153" t="s">
        <v>85</v>
      </c>
      <c r="E100" s="22">
        <v>2136</v>
      </c>
      <c r="F100" s="22">
        <v>24072</v>
      </c>
      <c r="G100" s="22">
        <v>18937</v>
      </c>
      <c r="H100" s="107">
        <f>_xlfn.XLOOKUP(Table1[[#This Row],[Shipment Number]], 'pivot '!A:A,'pivot '!G:G, "NF")</f>
        <v>2.1581621874196912</v>
      </c>
      <c r="I100" s="63">
        <f>Table1[[#This Row],[Tiyaar/gaz]]/1.0936</f>
        <v>17316.203365032921</v>
      </c>
      <c r="J100" s="63" cm="1">
        <f t="array" ref="J10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173162.03365032922</v>
      </c>
      <c r="K100" s="153"/>
      <c r="M100"/>
      <c r="P100"/>
      <c r="Q100"/>
      <c r="R100"/>
    </row>
    <row r="101" spans="1:18" x14ac:dyDescent="0.3">
      <c r="A101" s="148">
        <v>46123</v>
      </c>
      <c r="B101" s="116" t="s">
        <v>258</v>
      </c>
      <c r="C101" s="153">
        <v>1621</v>
      </c>
      <c r="D101" s="153" t="s">
        <v>86</v>
      </c>
      <c r="E101" s="22">
        <v>2134</v>
      </c>
      <c r="F101" s="22">
        <v>45364</v>
      </c>
      <c r="G101" s="22">
        <v>48061</v>
      </c>
      <c r="H101" s="107">
        <f>_xlfn.XLOOKUP(Table1[[#This Row],[Shipment Number]], 'pivot '!A:A,'pivot '!G:G, "NF")</f>
        <v>3.1224918398825707</v>
      </c>
      <c r="I101" s="63">
        <f>Table1[[#This Row],[Tiyaar/gaz]]/1.0936</f>
        <v>43947.512801755671</v>
      </c>
      <c r="J101" s="63" cm="1">
        <f t="array" ref="J10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571317.66642282368</v>
      </c>
      <c r="K101" s="153"/>
      <c r="M101"/>
      <c r="P101"/>
      <c r="Q101"/>
      <c r="R101"/>
    </row>
    <row r="102" spans="1:18" x14ac:dyDescent="0.3">
      <c r="A102" s="148">
        <v>46123</v>
      </c>
      <c r="B102" s="116" t="s">
        <v>258</v>
      </c>
      <c r="C102" s="153">
        <v>1622</v>
      </c>
      <c r="D102" s="153" t="s">
        <v>86</v>
      </c>
      <c r="E102" s="22">
        <v>2117</v>
      </c>
      <c r="F102" s="22">
        <v>16284</v>
      </c>
      <c r="G102" s="22">
        <v>17178</v>
      </c>
      <c r="H102" s="107">
        <f>_xlfn.XLOOKUP(Table1[[#This Row],[Shipment Number]], 'pivot '!A:A,'pivot '!G:G, "NF")</f>
        <v>3.5387238621275401</v>
      </c>
      <c r="I102" s="63">
        <f>Table1[[#This Row],[Tiyaar/gaz]]/1.0936</f>
        <v>15707.754206291151</v>
      </c>
      <c r="J102" s="63" cm="1">
        <f t="array" ref="J10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204200.80468178497</v>
      </c>
      <c r="K102" s="153"/>
      <c r="M102"/>
      <c r="P102"/>
      <c r="Q102"/>
      <c r="R102"/>
    </row>
    <row r="103" spans="1:18" x14ac:dyDescent="0.3">
      <c r="A103" s="148">
        <v>46125</v>
      </c>
      <c r="B103" s="116" t="s">
        <v>21</v>
      </c>
      <c r="C103" s="153">
        <v>1623</v>
      </c>
      <c r="D103" s="153" t="s">
        <v>86</v>
      </c>
      <c r="E103" s="22">
        <v>2151</v>
      </c>
      <c r="F103" s="22">
        <v>61027</v>
      </c>
      <c r="G103" s="22">
        <v>36335</v>
      </c>
      <c r="H103" s="107">
        <f>_xlfn.XLOOKUP(Table1[[#This Row],[Shipment Number]], 'pivot '!A:A,'pivot '!G:G, "NF")</f>
        <v>5.0916566376672563</v>
      </c>
      <c r="I103" s="63">
        <f>Table1[[#This Row],[Tiyaar/gaz]]/1.0936</f>
        <v>33225.128017556694</v>
      </c>
      <c r="J103" s="63" cm="1">
        <f t="array" ref="J10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431926.664228237</v>
      </c>
      <c r="K103" s="153"/>
      <c r="M103"/>
      <c r="P103"/>
      <c r="Q103"/>
      <c r="R103"/>
    </row>
    <row r="104" spans="1:18" x14ac:dyDescent="0.3">
      <c r="A104" s="148">
        <v>46124</v>
      </c>
      <c r="B104" s="116" t="s">
        <v>21</v>
      </c>
      <c r="C104" s="153">
        <v>1624</v>
      </c>
      <c r="D104" s="153" t="s">
        <v>86</v>
      </c>
      <c r="E104" s="22">
        <v>2151</v>
      </c>
      <c r="F104" s="22">
        <v>61027</v>
      </c>
      <c r="G104" s="22">
        <v>6670</v>
      </c>
      <c r="H104" s="107">
        <f>_xlfn.XLOOKUP(Table1[[#This Row],[Shipment Number]], 'pivot '!A:A,'pivot '!G:G, "NF")</f>
        <v>5.0916566376672563</v>
      </c>
      <c r="I104" s="63">
        <f>Table1[[#This Row],[Tiyaar/gaz]]/1.0936</f>
        <v>6099.1221653255307</v>
      </c>
      <c r="J104" s="63" cm="1">
        <f t="array" ref="J10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79288.588149231902</v>
      </c>
      <c r="K104" s="153"/>
      <c r="M104"/>
      <c r="P104"/>
      <c r="Q104"/>
      <c r="R104"/>
    </row>
    <row r="105" spans="1:18" x14ac:dyDescent="0.3">
      <c r="A105" s="148">
        <v>46124</v>
      </c>
      <c r="B105" s="116" t="s">
        <v>21</v>
      </c>
      <c r="C105" s="153">
        <v>1625</v>
      </c>
      <c r="D105" s="153" t="s">
        <v>85</v>
      </c>
      <c r="E105" s="22">
        <v>2148</v>
      </c>
      <c r="F105" s="22">
        <v>28857</v>
      </c>
      <c r="G105" s="22">
        <v>21620</v>
      </c>
      <c r="H105" s="107">
        <f>_xlfn.XLOOKUP(Table1[[#This Row],[Shipment Number]], 'pivot '!A:A,'pivot '!G:G, "NF")</f>
        <v>2.1108939402745932</v>
      </c>
      <c r="I105" s="63">
        <f>Table1[[#This Row],[Tiyaar/gaz]]/1.0936</f>
        <v>19769.56839795172</v>
      </c>
      <c r="J105" s="63" cm="1">
        <f t="array" ref="J10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197695.6839795172</v>
      </c>
      <c r="K105" s="153"/>
      <c r="M105"/>
      <c r="P105"/>
      <c r="Q105"/>
      <c r="R105"/>
    </row>
    <row r="106" spans="1:18" x14ac:dyDescent="0.3">
      <c r="A106" s="148">
        <v>46125</v>
      </c>
      <c r="B106" s="116" t="s">
        <v>9</v>
      </c>
      <c r="C106" s="153">
        <v>1626</v>
      </c>
      <c r="D106" s="153" t="s">
        <v>85</v>
      </c>
      <c r="E106" s="22">
        <v>2131</v>
      </c>
      <c r="F106" s="22">
        <v>25617</v>
      </c>
      <c r="G106" s="22">
        <v>27435</v>
      </c>
      <c r="H106" s="107">
        <f>_xlfn.XLOOKUP(Table1[[#This Row],[Shipment Number]], 'pivot '!A:A,'pivot '!G:G, "NF")</f>
        <v>2.0694497547420525</v>
      </c>
      <c r="I106" s="63">
        <f>Table1[[#This Row],[Tiyaar/gaz]]/1.0936</f>
        <v>25086.869056327727</v>
      </c>
      <c r="J106" s="63" cm="1">
        <f t="array" ref="J10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250868.69056327728</v>
      </c>
      <c r="K106" s="153"/>
      <c r="P106"/>
      <c r="Q106"/>
      <c r="R106"/>
    </row>
    <row r="107" spans="1:18" x14ac:dyDescent="0.3">
      <c r="A107" s="148">
        <v>46125</v>
      </c>
      <c r="B107" s="116" t="s">
        <v>22</v>
      </c>
      <c r="C107" s="153">
        <v>1627</v>
      </c>
      <c r="D107" s="153" t="s">
        <v>86</v>
      </c>
      <c r="E107" s="22">
        <v>2146</v>
      </c>
      <c r="F107" s="22">
        <v>20038</v>
      </c>
      <c r="G107" s="22">
        <v>4919</v>
      </c>
      <c r="H107" s="107">
        <f>_xlfn.XLOOKUP(Table1[[#This Row],[Shipment Number]], 'pivot '!A:A,'pivot '!G:G, "NF")</f>
        <v>3.1558400414486698</v>
      </c>
      <c r="I107" s="63">
        <f>Table1[[#This Row],[Tiyaar/gaz]]/1.0936</f>
        <v>4497.9882955376743</v>
      </c>
      <c r="J107" s="63" cm="1">
        <f t="array" ref="J10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58473.847841989766</v>
      </c>
      <c r="K107" s="153"/>
      <c r="L107"/>
      <c r="P107"/>
      <c r="Q107"/>
      <c r="R107"/>
    </row>
    <row r="108" spans="1:18" x14ac:dyDescent="0.3">
      <c r="A108" s="148">
        <v>46130</v>
      </c>
      <c r="B108" s="116" t="s">
        <v>21</v>
      </c>
      <c r="C108" s="153">
        <v>1628</v>
      </c>
      <c r="D108" s="153" t="s">
        <v>86</v>
      </c>
      <c r="E108" s="22">
        <v>2152</v>
      </c>
      <c r="F108" s="22">
        <v>22707</v>
      </c>
      <c r="G108" s="22">
        <v>23910</v>
      </c>
      <c r="H108" s="107">
        <f>_xlfn.XLOOKUP(Table1[[#This Row],[Shipment Number]], 'pivot '!A:A,'pivot '!G:G, "NF")</f>
        <v>3.714405861586684</v>
      </c>
      <c r="I108" s="63">
        <f>Table1[[#This Row],[Tiyaar/gaz]]/1.0936</f>
        <v>21863.569861009513</v>
      </c>
      <c r="J108" s="63" cm="1">
        <f t="array" ref="J10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284226.40819312364</v>
      </c>
      <c r="K108" s="153"/>
      <c r="L108"/>
      <c r="P108"/>
      <c r="Q108"/>
      <c r="R108"/>
    </row>
    <row r="109" spans="1:18" x14ac:dyDescent="0.3">
      <c r="A109" s="148">
        <v>46130</v>
      </c>
      <c r="B109" s="116" t="s">
        <v>22</v>
      </c>
      <c r="C109" s="153">
        <v>1629</v>
      </c>
      <c r="D109" s="153" t="s">
        <v>86</v>
      </c>
      <c r="E109" s="22">
        <v>2146</v>
      </c>
      <c r="F109" s="22">
        <v>20038</v>
      </c>
      <c r="G109" s="22">
        <v>16303</v>
      </c>
      <c r="H109" s="107">
        <f>_xlfn.XLOOKUP(Table1[[#This Row],[Shipment Number]], 'pivot '!A:A,'pivot '!G:G, "NF")</f>
        <v>3.1558400414486698</v>
      </c>
      <c r="I109" s="63">
        <f>Table1[[#This Row],[Tiyaar/gaz]]/1.0936</f>
        <v>14907.644476956841</v>
      </c>
      <c r="J109" s="63" cm="1">
        <f t="array" ref="J10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193799.37820043892</v>
      </c>
      <c r="K109" s="153"/>
      <c r="L109"/>
      <c r="O109"/>
      <c r="P109"/>
      <c r="Q109"/>
    </row>
    <row r="110" spans="1:18" x14ac:dyDescent="0.3">
      <c r="A110" s="148">
        <v>46130</v>
      </c>
      <c r="B110" s="116" t="s">
        <v>21</v>
      </c>
      <c r="C110" s="153">
        <v>1630</v>
      </c>
      <c r="D110" s="153" t="s">
        <v>86</v>
      </c>
      <c r="E110" s="22">
        <v>2162</v>
      </c>
      <c r="F110" s="22">
        <v>3017</v>
      </c>
      <c r="G110" s="22">
        <v>3252</v>
      </c>
      <c r="H110" s="107">
        <f>_xlfn.XLOOKUP(Table1[[#This Row],[Shipment Number]], 'pivot '!A:A,'pivot '!G:G, "NF")</f>
        <v>1.4363619567149186</v>
      </c>
      <c r="I110" s="63">
        <f>Table1[[#This Row],[Tiyaar/gaz]]/1.0936</f>
        <v>2973.6649597659111</v>
      </c>
      <c r="J110" s="63" cm="1">
        <f t="array" ref="J11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38657.644476956848</v>
      </c>
      <c r="K110" s="153"/>
      <c r="L110"/>
      <c r="O110"/>
      <c r="P110"/>
      <c r="Q110"/>
    </row>
    <row r="111" spans="1:18" x14ac:dyDescent="0.3">
      <c r="A111" s="148">
        <v>46130</v>
      </c>
      <c r="B111" s="116" t="s">
        <v>21</v>
      </c>
      <c r="C111" s="153">
        <v>1631</v>
      </c>
      <c r="D111" s="153" t="s">
        <v>85</v>
      </c>
      <c r="E111" s="22">
        <v>2148</v>
      </c>
      <c r="F111" s="22">
        <v>28857</v>
      </c>
      <c r="G111" s="22">
        <v>7102</v>
      </c>
      <c r="H111" s="107">
        <f>_xlfn.XLOOKUP(Table1[[#This Row],[Shipment Number]], 'pivot '!A:A,'pivot '!G:G, "NF")</f>
        <v>2.1108939402745932</v>
      </c>
      <c r="I111" s="63">
        <f>Table1[[#This Row],[Tiyaar/gaz]]/1.0936</f>
        <v>6494.1477688368695</v>
      </c>
      <c r="J111" s="63" cm="1">
        <f t="array" ref="J11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64941.477688368694</v>
      </c>
      <c r="K111" s="153"/>
      <c r="L111"/>
      <c r="O111"/>
      <c r="P111"/>
      <c r="Q111"/>
    </row>
    <row r="112" spans="1:18" x14ac:dyDescent="0.3">
      <c r="A112" s="148">
        <v>46130</v>
      </c>
      <c r="B112" s="116" t="s">
        <v>21</v>
      </c>
      <c r="C112" s="153">
        <v>1632</v>
      </c>
      <c r="D112" s="153" t="s">
        <v>85</v>
      </c>
      <c r="E112" s="22">
        <v>2135</v>
      </c>
      <c r="F112" s="22">
        <v>14433</v>
      </c>
      <c r="G112" s="22">
        <v>10979</v>
      </c>
      <c r="H112" s="107">
        <f>_xlfn.XLOOKUP(Table1[[#This Row],[Shipment Number]], 'pivot '!A:A,'pivot '!G:G, "NF")</f>
        <v>3.2750325128177167</v>
      </c>
      <c r="I112" s="63">
        <f>Table1[[#This Row],[Tiyaar/gaz]]/1.0936</f>
        <v>10039.319678127287</v>
      </c>
      <c r="J112" s="63" cm="1">
        <f t="array" ref="J11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100393.19678127287</v>
      </c>
      <c r="K112" s="153"/>
      <c r="L112"/>
      <c r="O112"/>
      <c r="P112"/>
      <c r="Q112"/>
    </row>
    <row r="113" spans="1:17" x14ac:dyDescent="0.3">
      <c r="A113" s="148">
        <v>46130</v>
      </c>
      <c r="B113" s="116" t="s">
        <v>21</v>
      </c>
      <c r="C113" s="153">
        <v>1633</v>
      </c>
      <c r="D113" s="153" t="s">
        <v>85</v>
      </c>
      <c r="E113" s="22">
        <v>2154</v>
      </c>
      <c r="F113" s="22">
        <v>10364</v>
      </c>
      <c r="G113" s="22">
        <v>11077</v>
      </c>
      <c r="H113" s="107">
        <f>_xlfn.XLOOKUP(Table1[[#This Row],[Shipment Number]], 'pivot '!A:A,'pivot '!G:G, "NF")</f>
        <v>2.2681207273955124</v>
      </c>
      <c r="I113" s="63">
        <f>Table1[[#This Row],[Tiyaar/gaz]]/1.0936</f>
        <v>10128.93196781273</v>
      </c>
      <c r="J113" s="63" cm="1">
        <f t="array" ref="J11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101289.3196781273</v>
      </c>
      <c r="K113" s="153"/>
      <c r="O113"/>
      <c r="P113"/>
      <c r="Q113"/>
    </row>
    <row r="114" spans="1:17" x14ac:dyDescent="0.3">
      <c r="A114" s="150">
        <v>46130</v>
      </c>
      <c r="B114" s="133" t="s">
        <v>273</v>
      </c>
      <c r="C114" s="154">
        <v>1634</v>
      </c>
      <c r="D114" s="154" t="s">
        <v>85</v>
      </c>
      <c r="E114" s="159">
        <v>2158</v>
      </c>
      <c r="F114" s="159">
        <v>29532</v>
      </c>
      <c r="G114" s="159">
        <v>31473</v>
      </c>
      <c r="H114" s="161">
        <f>_xlfn.XLOOKUP(Table1[[#This Row],[Shipment Number]], 'pivot '!A:A,'pivot '!G:G, "NF")</f>
        <v>2.5488921989175992</v>
      </c>
      <c r="I114" s="163">
        <f>Table1[[#This Row],[Tiyaar/gaz]]/1.0936</f>
        <v>28779.261155815657</v>
      </c>
      <c r="J114" s="163" cm="1">
        <f t="array" ref="J11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287792.61155815655</v>
      </c>
      <c r="K114" s="154"/>
      <c r="O114"/>
      <c r="P114"/>
      <c r="Q114"/>
    </row>
    <row r="115" spans="1:17" x14ac:dyDescent="0.3">
      <c r="A115" s="148">
        <v>46132</v>
      </c>
      <c r="B115" s="116" t="s">
        <v>258</v>
      </c>
      <c r="C115" s="153">
        <v>1635</v>
      </c>
      <c r="D115" s="153" t="s">
        <v>206</v>
      </c>
      <c r="E115" s="22">
        <v>2155</v>
      </c>
      <c r="F115" s="22">
        <v>44910</v>
      </c>
      <c r="G115" s="22">
        <v>33115</v>
      </c>
      <c r="H115" s="107">
        <f>_xlfn.XLOOKUP(Table1[[#This Row],[Shipment Number]], 'pivot '!A:A,'pivot '!G:G, "NF")</f>
        <v>5.8936372297549582</v>
      </c>
      <c r="I115" s="63">
        <f>Table1[[#This Row],[Tiyaar/gaz]]/1.0936</f>
        <v>30280.724213606441</v>
      </c>
      <c r="J115" s="63" cm="1">
        <f t="array" ref="J11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363368.69056327728</v>
      </c>
      <c r="K115" s="153"/>
      <c r="O115"/>
      <c r="P115"/>
      <c r="Q115"/>
    </row>
    <row r="116" spans="1:17" x14ac:dyDescent="0.3">
      <c r="A116" s="148">
        <v>46132</v>
      </c>
      <c r="B116" s="116" t="s">
        <v>258</v>
      </c>
      <c r="C116" s="153">
        <v>1636</v>
      </c>
      <c r="D116" s="153" t="s">
        <v>206</v>
      </c>
      <c r="E116" s="22">
        <v>2155</v>
      </c>
      <c r="F116" s="22">
        <v>44910</v>
      </c>
      <c r="G116" s="22">
        <v>13104</v>
      </c>
      <c r="H116" s="107">
        <f>_xlfn.XLOOKUP(Table1[[#This Row],[Shipment Number]], 'pivot '!A:A,'pivot '!G:G, "NF")</f>
        <v>5.8936372297549582</v>
      </c>
      <c r="I116" s="63">
        <f>Table1[[#This Row],[Tiyaar/gaz]]/1.0936</f>
        <v>11982.443306510608</v>
      </c>
      <c r="J116" s="63" cm="1">
        <f t="array" ref="J11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143789.3196781273</v>
      </c>
      <c r="K116" s="153"/>
      <c r="O116"/>
      <c r="P116"/>
      <c r="Q116"/>
    </row>
    <row r="117" spans="1:17" x14ac:dyDescent="0.3">
      <c r="A117" s="148">
        <v>46132</v>
      </c>
      <c r="B117" s="116" t="s">
        <v>27</v>
      </c>
      <c r="C117" s="153">
        <v>1637</v>
      </c>
      <c r="D117" s="153" t="s">
        <v>85</v>
      </c>
      <c r="E117" s="22">
        <v>2128</v>
      </c>
      <c r="F117" s="22">
        <v>50106</v>
      </c>
      <c r="G117" s="22">
        <v>600</v>
      </c>
      <c r="H117" s="107">
        <f>_xlfn.XLOOKUP(Table1[[#This Row],[Shipment Number]], 'pivot '!A:A,'pivot '!G:G, "NF")</f>
        <v>98.905027997558122</v>
      </c>
      <c r="I117" s="63">
        <f>Table1[[#This Row],[Tiyaar/gaz]]/1.0936</f>
        <v>548.64667154352605</v>
      </c>
      <c r="J117" s="63" cm="1">
        <f t="array" ref="J11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5486.466715435261</v>
      </c>
      <c r="K117" s="153"/>
      <c r="O117"/>
      <c r="P117"/>
      <c r="Q117"/>
    </row>
    <row r="118" spans="1:17" x14ac:dyDescent="0.3">
      <c r="A118" s="148">
        <v>46133</v>
      </c>
      <c r="B118" s="152" t="s">
        <v>441</v>
      </c>
      <c r="C118" s="153">
        <v>1638</v>
      </c>
      <c r="D118" s="153" t="s">
        <v>447</v>
      </c>
      <c r="E118" s="22">
        <v>2166</v>
      </c>
      <c r="F118" s="22">
        <v>16758</v>
      </c>
      <c r="G118" s="22">
        <v>16705</v>
      </c>
      <c r="H118" s="107">
        <f>_xlfn.XLOOKUP(Table1[[#This Row],[Shipment Number]], 'pivot '!A:A,'pivot '!G:G, "NF")</f>
        <v>8.8480860073337766</v>
      </c>
      <c r="I118" s="63">
        <f>Table1[[#This Row],[Tiyaar/gaz]]/1.0936</f>
        <v>15275.237746891004</v>
      </c>
      <c r="J118" s="63" cm="1">
        <f t="array" ref="J11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229128.56620336504</v>
      </c>
      <c r="K118" s="153"/>
      <c r="O118"/>
      <c r="P118"/>
      <c r="Q118"/>
    </row>
    <row r="119" spans="1:17" x14ac:dyDescent="0.3">
      <c r="A119" s="148">
        <v>46133</v>
      </c>
      <c r="B119" s="116" t="s">
        <v>441</v>
      </c>
      <c r="C119" s="153">
        <v>1639</v>
      </c>
      <c r="D119" s="153" t="s">
        <v>447</v>
      </c>
      <c r="E119" s="11">
        <v>2165</v>
      </c>
      <c r="F119" s="11">
        <v>5601</v>
      </c>
      <c r="G119" s="11">
        <v>5649</v>
      </c>
      <c r="H119" s="114">
        <f>_xlfn.XLOOKUP(Table1[[#This Row],[Shipment Number]], 'pivot '!A:A,'pivot '!G:G, "NF")</f>
        <v>7.7752470526281456</v>
      </c>
      <c r="I119" s="63">
        <f>Table1[[#This Row],[Tiyaar/gaz]]/1.0936</f>
        <v>5165.5084125822978</v>
      </c>
      <c r="J119" s="63" cm="1">
        <f t="array" ref="J11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77482.626188734459</v>
      </c>
      <c r="K119" s="113"/>
      <c r="O119"/>
      <c r="P119"/>
      <c r="Q119"/>
    </row>
    <row r="120" spans="1:17" x14ac:dyDescent="0.3">
      <c r="A120" s="148">
        <v>46133</v>
      </c>
      <c r="B120" s="116" t="s">
        <v>21</v>
      </c>
      <c r="C120" s="153">
        <v>1640</v>
      </c>
      <c r="D120" s="153" t="s">
        <v>85</v>
      </c>
      <c r="E120" s="11" t="s">
        <v>442</v>
      </c>
      <c r="F120" s="11">
        <v>23377</v>
      </c>
      <c r="G120" s="11">
        <v>12483</v>
      </c>
      <c r="H120" s="114">
        <f>_xlfn.XLOOKUP(Table1[[#This Row],[Shipment Number]], 'pivot '!A:A,'pivot '!G:G, "NF")</f>
        <v>51.171690116511705</v>
      </c>
      <c r="I120" s="63">
        <f>Table1[[#This Row],[Tiyaar/gaz]]/1.0936</f>
        <v>11414.59400146306</v>
      </c>
      <c r="J120" s="63" cm="1">
        <f t="array" ref="J12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114145.9400146306</v>
      </c>
      <c r="K120" s="113"/>
      <c r="P120"/>
      <c r="Q120"/>
    </row>
    <row r="121" spans="1:17" x14ac:dyDescent="0.3">
      <c r="A121" s="148">
        <v>46133</v>
      </c>
      <c r="B121" s="116" t="s">
        <v>21</v>
      </c>
      <c r="C121" s="153">
        <v>1641</v>
      </c>
      <c r="D121" s="153" t="s">
        <v>85</v>
      </c>
      <c r="E121" s="11">
        <v>2147</v>
      </c>
      <c r="F121" s="11">
        <v>37086</v>
      </c>
      <c r="G121" s="11">
        <v>4157</v>
      </c>
      <c r="H121" s="114">
        <f>_xlfn.XLOOKUP(Table1[[#This Row],[Shipment Number]], 'pivot '!A:A,'pivot '!G:G, "NF")</f>
        <v>2.2838077264489698</v>
      </c>
      <c r="I121" s="63">
        <f>Table1[[#This Row],[Tiyaar/gaz]]/1.0936</f>
        <v>3801.2070226773963</v>
      </c>
      <c r="J121" s="63" cm="1">
        <f t="array" ref="J12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38012.070226773962</v>
      </c>
      <c r="K121" s="113"/>
      <c r="P121"/>
      <c r="Q121"/>
    </row>
    <row r="122" spans="1:17" x14ac:dyDescent="0.3">
      <c r="A122" s="148">
        <v>46134</v>
      </c>
      <c r="B122" s="116" t="s">
        <v>245</v>
      </c>
      <c r="C122" s="153">
        <v>1642</v>
      </c>
      <c r="D122" s="153" t="s">
        <v>274</v>
      </c>
      <c r="E122" s="11">
        <v>2144</v>
      </c>
      <c r="F122" s="11">
        <v>2940</v>
      </c>
      <c r="G122" s="11">
        <v>3292</v>
      </c>
      <c r="H122" s="114">
        <f>_xlfn.XLOOKUP(Table1[[#This Row],[Shipment Number]], 'pivot '!A:A,'pivot '!G:G, "NF")</f>
        <v>-2.3891634195741318</v>
      </c>
      <c r="I122" s="63">
        <f>Table1[[#This Row],[Tiyaar/gaz]]/1.0936</f>
        <v>3010.2414045354794</v>
      </c>
      <c r="J122" s="63" cm="1">
        <f t="array" ref="J12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60204.82809070959</v>
      </c>
      <c r="K122" s="113"/>
      <c r="P122"/>
      <c r="Q122"/>
    </row>
    <row r="123" spans="1:17" x14ac:dyDescent="0.3">
      <c r="A123" s="148">
        <v>46134</v>
      </c>
      <c r="B123" s="116" t="s">
        <v>245</v>
      </c>
      <c r="C123" s="153">
        <v>1643</v>
      </c>
      <c r="D123" s="153" t="s">
        <v>274</v>
      </c>
      <c r="E123" s="11" t="s">
        <v>443</v>
      </c>
      <c r="F123" s="11">
        <v>3710</v>
      </c>
      <c r="G123" s="11">
        <v>3636</v>
      </c>
      <c r="H123" s="114">
        <f>_xlfn.XLOOKUP(Table1[[#This Row],[Shipment Number]], 'pivot '!A:A,'pivot '!G:G, "NF")</f>
        <v>10.382780874561519</v>
      </c>
      <c r="I123" s="63">
        <f>Table1[[#This Row],[Tiyaar/gaz]]/1.0936</f>
        <v>3324.7988295537675</v>
      </c>
      <c r="J123" s="63" cm="1">
        <f t="array" ref="J12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66495.976591075349</v>
      </c>
      <c r="K123" s="113"/>
      <c r="P123"/>
      <c r="Q123"/>
    </row>
    <row r="124" spans="1:17" x14ac:dyDescent="0.3">
      <c r="A124" s="148">
        <v>46134</v>
      </c>
      <c r="B124" s="116" t="s">
        <v>245</v>
      </c>
      <c r="C124" s="153">
        <v>1644</v>
      </c>
      <c r="D124" s="153" t="s">
        <v>274</v>
      </c>
      <c r="E124" s="11">
        <v>2143</v>
      </c>
      <c r="F124" s="11">
        <v>5180</v>
      </c>
      <c r="G124" s="11">
        <v>5214</v>
      </c>
      <c r="H124" s="114">
        <f>_xlfn.XLOOKUP(Table1[[#This Row],[Shipment Number]], 'pivot '!A:A,'pivot '!G:G, "NF")</f>
        <v>7.9586954495513282</v>
      </c>
      <c r="I124" s="63">
        <f>Table1[[#This Row],[Tiyaar/gaz]]/1.0936</f>
        <v>4767.7395757132408</v>
      </c>
      <c r="J124" s="63" cm="1">
        <f t="array" ref="J12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95354.791514264813</v>
      </c>
      <c r="K124" s="113"/>
      <c r="P124"/>
      <c r="Q124"/>
    </row>
    <row r="125" spans="1:17" x14ac:dyDescent="0.3">
      <c r="A125" s="148">
        <v>46134</v>
      </c>
      <c r="B125" s="116" t="s">
        <v>245</v>
      </c>
      <c r="C125" s="153">
        <v>1645</v>
      </c>
      <c r="D125" s="153" t="s">
        <v>274</v>
      </c>
      <c r="E125" s="11">
        <v>2142</v>
      </c>
      <c r="F125" s="11">
        <v>4200</v>
      </c>
      <c r="G125" s="11">
        <v>4467</v>
      </c>
      <c r="H125" s="114">
        <f>_xlfn.XLOOKUP(Table1[[#This Row],[Shipment Number]], 'pivot '!A:A,'pivot '!G:G, "NF")</f>
        <v>2.745845960915446</v>
      </c>
      <c r="I125" s="63">
        <f>Table1[[#This Row],[Tiyaar/gaz]]/1.0936</f>
        <v>4084.6744696415512</v>
      </c>
      <c r="J125" s="63" cm="1">
        <f t="array" ref="J12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81693.489392831019</v>
      </c>
      <c r="K125" s="113"/>
      <c r="P125"/>
      <c r="Q125"/>
    </row>
    <row r="126" spans="1:17" x14ac:dyDescent="0.3">
      <c r="A126" s="148">
        <v>46134</v>
      </c>
      <c r="B126" s="116" t="s">
        <v>245</v>
      </c>
      <c r="C126" s="153">
        <v>1646</v>
      </c>
      <c r="D126" s="156" t="s">
        <v>274</v>
      </c>
      <c r="E126" s="11">
        <v>2140</v>
      </c>
      <c r="F126" s="11">
        <v>4200</v>
      </c>
      <c r="G126" s="11">
        <v>4253</v>
      </c>
      <c r="H126" s="114">
        <f>_xlfn.XLOOKUP(Table1[[#This Row],[Shipment Number]], 'pivot '!A:A,'pivot '!G:G, "NF")</f>
        <v>7.4049883303723902</v>
      </c>
      <c r="I126" s="162">
        <f>Table1[[#This Row],[Tiyaar/gaz]]/1.0936</f>
        <v>3888.9904901243603</v>
      </c>
      <c r="J126" s="162" cm="1">
        <f t="array" ref="J12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77779.809802487202</v>
      </c>
      <c r="K126" s="113"/>
      <c r="P126"/>
      <c r="Q126"/>
    </row>
    <row r="127" spans="1:17" x14ac:dyDescent="0.3">
      <c r="A127" s="148">
        <v>46134</v>
      </c>
      <c r="B127" s="116" t="s">
        <v>245</v>
      </c>
      <c r="C127" s="153">
        <v>1647</v>
      </c>
      <c r="D127" s="156" t="s">
        <v>274</v>
      </c>
      <c r="E127" s="160">
        <v>2141</v>
      </c>
      <c r="F127" s="160">
        <v>2968</v>
      </c>
      <c r="G127" s="160">
        <v>3096</v>
      </c>
      <c r="H127" s="109">
        <f>_xlfn.XLOOKUP(Table1[[#This Row],[Shipment Number]], 'pivot '!A:A,'pivot '!G:G, "NF")</f>
        <v>4.6153360793600342</v>
      </c>
      <c r="I127" s="162">
        <f>Table1[[#This Row],[Tiyaar/gaz]]/1.0936</f>
        <v>2831.0168251645941</v>
      </c>
      <c r="J127" s="162" cm="1">
        <f t="array" ref="J12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56620.336503291881</v>
      </c>
      <c r="K127" s="156"/>
      <c r="P127"/>
      <c r="Q127"/>
    </row>
    <row r="128" spans="1:17" x14ac:dyDescent="0.3">
      <c r="A128" s="148">
        <v>46134</v>
      </c>
      <c r="B128" s="116" t="s">
        <v>245</v>
      </c>
      <c r="C128" s="153">
        <v>1648</v>
      </c>
      <c r="D128" s="153" t="s">
        <v>274</v>
      </c>
      <c r="E128" s="22" t="s">
        <v>444</v>
      </c>
      <c r="F128" s="22">
        <v>5362</v>
      </c>
      <c r="G128" s="22">
        <v>5154</v>
      </c>
      <c r="H128" s="107">
        <f>_xlfn.XLOOKUP(Table1[[#This Row],[Shipment Number]], 'pivot '!A:A,'pivot '!G:G, "NF")</f>
        <v>12.106025577044221</v>
      </c>
      <c r="I128" s="162">
        <f>Table1[[#This Row],[Tiyaar/gaz]]/1.0936</f>
        <v>4712.8749085588888</v>
      </c>
      <c r="J128" s="162" cm="1">
        <f t="array" ref="J12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94257.49817117778</v>
      </c>
      <c r="K128" s="153"/>
      <c r="P128"/>
      <c r="Q128"/>
    </row>
    <row r="129" spans="1:17" x14ac:dyDescent="0.3">
      <c r="A129" s="148">
        <v>46135</v>
      </c>
      <c r="B129" s="116" t="s">
        <v>258</v>
      </c>
      <c r="C129" s="153">
        <v>1649</v>
      </c>
      <c r="D129" s="156" t="s">
        <v>86</v>
      </c>
      <c r="E129" s="22">
        <v>2167</v>
      </c>
      <c r="F129" s="22">
        <v>47687</v>
      </c>
      <c r="G129" s="22">
        <v>35027</v>
      </c>
      <c r="H129" s="107">
        <f>_xlfn.XLOOKUP(Table1[[#This Row],[Shipment Number]], 'pivot '!A:A,'pivot '!G:G, "NF")</f>
        <v>4.562761726141872</v>
      </c>
      <c r="I129" s="162">
        <f>Table1[[#This Row],[Tiyaar/gaz]]/1.0936</f>
        <v>32029.078273591811</v>
      </c>
      <c r="J129" s="162" cm="1">
        <f t="array" ref="J12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416378.01755669352</v>
      </c>
      <c r="K129" s="153"/>
      <c r="P129"/>
      <c r="Q129"/>
    </row>
    <row r="130" spans="1:17" x14ac:dyDescent="0.3">
      <c r="A130" s="148">
        <v>46135</v>
      </c>
      <c r="B130" s="116" t="s">
        <v>258</v>
      </c>
      <c r="C130" s="153">
        <v>1650</v>
      </c>
      <c r="D130" s="153" t="s">
        <v>86</v>
      </c>
      <c r="E130" s="22">
        <v>2167</v>
      </c>
      <c r="F130" s="22">
        <v>47687</v>
      </c>
      <c r="G130" s="22">
        <v>13248</v>
      </c>
      <c r="H130" s="107">
        <f>_xlfn.XLOOKUP(Table1[[#This Row],[Shipment Number]], 'pivot '!A:A,'pivot '!G:G, "NF")</f>
        <v>4.562761726141872</v>
      </c>
      <c r="I130" s="162">
        <f>Table1[[#This Row],[Tiyaar/gaz]]/1.0936</f>
        <v>12114.118507681054</v>
      </c>
      <c r="J130" s="162" cm="1">
        <f t="array" ref="J13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157483.5405998537</v>
      </c>
      <c r="K130" s="153"/>
      <c r="P130"/>
      <c r="Q130"/>
    </row>
    <row r="131" spans="1:17" x14ac:dyDescent="0.3">
      <c r="A131" s="148">
        <v>46135</v>
      </c>
      <c r="B131" s="116" t="s">
        <v>22</v>
      </c>
      <c r="C131" s="153">
        <v>1651</v>
      </c>
      <c r="D131" s="156" t="s">
        <v>86</v>
      </c>
      <c r="E131" s="22">
        <v>2171</v>
      </c>
      <c r="F131" s="22">
        <v>15000</v>
      </c>
      <c r="G131" s="22">
        <v>1535</v>
      </c>
      <c r="H131" s="107">
        <f>_xlfn.XLOOKUP(Table1[[#This Row],[Shipment Number]], 'pivot '!A:A,'pivot '!G:G, "NF")</f>
        <v>90.642526213118757</v>
      </c>
      <c r="I131" s="162">
        <f>Table1[[#This Row],[Tiyaar/gaz]]/1.0936</f>
        <v>1403.6210680321874</v>
      </c>
      <c r="J131" s="162" cm="1">
        <f t="array" ref="J13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18247.073884418438</v>
      </c>
      <c r="K131" s="153"/>
      <c r="O131"/>
      <c r="P131"/>
      <c r="Q131"/>
    </row>
    <row r="132" spans="1:17" x14ac:dyDescent="0.3">
      <c r="A132" s="148">
        <v>46136</v>
      </c>
      <c r="B132" s="116" t="s">
        <v>21</v>
      </c>
      <c r="C132" s="153">
        <v>1652</v>
      </c>
      <c r="D132" s="153" t="s">
        <v>85</v>
      </c>
      <c r="E132" s="22">
        <v>2178</v>
      </c>
      <c r="F132" s="22">
        <v>15645</v>
      </c>
      <c r="G132" s="22">
        <v>10649</v>
      </c>
      <c r="H132" s="107">
        <f>_xlfn.XLOOKUP(Table1[[#This Row],[Shipment Number]], 'pivot '!A:A,'pivot '!G:G, "NF")</f>
        <v>28.460261428648579</v>
      </c>
      <c r="I132" s="162">
        <f>Table1[[#This Row],[Tiyaar/gaz]]/1.0936</f>
        <v>9737.5640087783468</v>
      </c>
      <c r="J132" s="162" cm="1">
        <f t="array" ref="J13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97375.640087783468</v>
      </c>
      <c r="K132" s="153"/>
      <c r="M132"/>
      <c r="N132"/>
    </row>
    <row r="133" spans="1:17" x14ac:dyDescent="0.3">
      <c r="A133" s="148">
        <v>46136</v>
      </c>
      <c r="B133" s="116" t="s">
        <v>21</v>
      </c>
      <c r="C133" s="153">
        <v>1653</v>
      </c>
      <c r="D133" s="156" t="s">
        <v>85</v>
      </c>
      <c r="E133" s="22">
        <v>2150</v>
      </c>
      <c r="F133" s="22">
        <v>14993</v>
      </c>
      <c r="G133" s="22">
        <v>6728</v>
      </c>
      <c r="H133" s="107">
        <f>_xlfn.XLOOKUP(Table1[[#This Row],[Shipment Number]], 'pivot '!A:A,'pivot '!G:G, "NF")</f>
        <v>0.97183123399551619</v>
      </c>
      <c r="I133" s="162">
        <f>Table1[[#This Row],[Tiyaar/gaz]]/1.0936</f>
        <v>6152.1580102414055</v>
      </c>
      <c r="J133" s="162" cm="1">
        <f t="array" ref="J13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61521.580102414053</v>
      </c>
      <c r="K133" s="153"/>
    </row>
    <row r="134" spans="1:17" x14ac:dyDescent="0.3">
      <c r="A134" s="148">
        <v>46136</v>
      </c>
      <c r="B134" s="116" t="s">
        <v>189</v>
      </c>
      <c r="C134" s="153">
        <v>1654</v>
      </c>
      <c r="D134" s="153" t="s">
        <v>85</v>
      </c>
      <c r="E134" s="22">
        <v>2172</v>
      </c>
      <c r="F134" s="22">
        <v>78432</v>
      </c>
      <c r="G134" s="22">
        <v>4817</v>
      </c>
      <c r="H134" s="107">
        <f>_xlfn.XLOOKUP(Table1[[#This Row],[Shipment Number]], 'pivot '!A:A,'pivot '!G:G, "NF")</f>
        <v>2.5084090589677857</v>
      </c>
      <c r="I134" s="162">
        <f>Table1[[#This Row],[Tiyaar/gaz]]/1.0936</f>
        <v>4404.718361375275</v>
      </c>
      <c r="J134" s="162" cm="1">
        <f t="array" ref="J13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44047.18361375275</v>
      </c>
      <c r="K134" s="153"/>
    </row>
    <row r="135" spans="1:17" x14ac:dyDescent="0.3">
      <c r="A135" s="148">
        <v>46136</v>
      </c>
      <c r="B135" s="116" t="s">
        <v>441</v>
      </c>
      <c r="C135" s="153">
        <v>1655</v>
      </c>
      <c r="D135" s="156" t="s">
        <v>85</v>
      </c>
      <c r="E135" s="22">
        <v>2170</v>
      </c>
      <c r="F135" s="22">
        <v>83592</v>
      </c>
      <c r="G135" s="22">
        <v>49176</v>
      </c>
      <c r="H135" s="107">
        <f>_xlfn.XLOOKUP(Table1[[#This Row],[Shipment Number]], 'pivot '!A:A,'pivot '!G:G, "NF")</f>
        <v>3.0467366383261378</v>
      </c>
      <c r="I135" s="162">
        <f>Table1[[#This Row],[Tiyaar/gaz]]/1.0936</f>
        <v>44967.081199707391</v>
      </c>
      <c r="J135" s="162" cm="1">
        <f t="array" ref="J13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449670.81199707394</v>
      </c>
      <c r="K135" s="153"/>
    </row>
    <row r="136" spans="1:17" x14ac:dyDescent="0.3">
      <c r="A136" s="148">
        <v>46137</v>
      </c>
      <c r="B136" s="116" t="s">
        <v>441</v>
      </c>
      <c r="C136" s="153">
        <v>1656</v>
      </c>
      <c r="D136" s="153" t="s">
        <v>85</v>
      </c>
      <c r="E136" s="22">
        <v>2170</v>
      </c>
      <c r="F136" s="22">
        <v>83592</v>
      </c>
      <c r="G136" s="22">
        <v>39455</v>
      </c>
      <c r="H136" s="107">
        <f>_xlfn.XLOOKUP(Table1[[#This Row],[Shipment Number]], 'pivot '!A:A,'pivot '!G:G, "NF")</f>
        <v>3.0467366383261378</v>
      </c>
      <c r="I136" s="162">
        <f>Table1[[#This Row],[Tiyaar/gaz]]/1.0936</f>
        <v>36078.090709583033</v>
      </c>
      <c r="J136" s="162" cm="1">
        <f t="array" ref="J13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360780.90709583031</v>
      </c>
      <c r="K136" s="153"/>
    </row>
    <row r="137" spans="1:17" x14ac:dyDescent="0.3">
      <c r="A137" s="148">
        <v>46139</v>
      </c>
      <c r="B137" s="116" t="s">
        <v>27</v>
      </c>
      <c r="C137" s="153">
        <v>1657</v>
      </c>
      <c r="D137" s="156" t="s">
        <v>206</v>
      </c>
      <c r="E137" s="22">
        <v>2157</v>
      </c>
      <c r="F137" s="22">
        <v>50133</v>
      </c>
      <c r="G137" s="22">
        <v>51781</v>
      </c>
      <c r="H137" s="107">
        <f>_xlfn.XLOOKUP(Table1[[#This Row],[Shipment Number]], 'pivot '!A:A,'pivot '!G:G, "NF")</f>
        <v>5.5529847299672213</v>
      </c>
      <c r="I137" s="162">
        <f>Table1[[#This Row],[Tiyaar/gaz]]/1.0936</f>
        <v>47349.122165325534</v>
      </c>
      <c r="J137" s="162" cm="1">
        <f t="array" ref="J13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520840.34381858085</v>
      </c>
      <c r="K137" s="153"/>
    </row>
    <row r="138" spans="1:17" x14ac:dyDescent="0.3">
      <c r="A138" s="148">
        <v>46139</v>
      </c>
      <c r="B138" s="116" t="s">
        <v>258</v>
      </c>
      <c r="C138" s="153">
        <v>1658</v>
      </c>
      <c r="D138" s="153" t="s">
        <v>206</v>
      </c>
      <c r="E138" s="22">
        <v>2177</v>
      </c>
      <c r="F138" s="22">
        <v>7882</v>
      </c>
      <c r="G138" s="22">
        <v>8164</v>
      </c>
      <c r="H138" s="107">
        <f>_xlfn.XLOOKUP(Table1[[#This Row],[Shipment Number]], 'pivot '!A:A,'pivot '!G:G, "NF")</f>
        <v>5.2873334500265088</v>
      </c>
      <c r="I138" s="162">
        <f>Table1[[#This Row],[Tiyaar/gaz]]/1.0936</f>
        <v>7465.2523774689107</v>
      </c>
      <c r="J138" s="162" cm="1">
        <f t="array" ref="J13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89583.028529626929</v>
      </c>
      <c r="K138" s="153"/>
    </row>
    <row r="139" spans="1:17" x14ac:dyDescent="0.3">
      <c r="A139" s="148">
        <v>46139</v>
      </c>
      <c r="B139" s="116" t="s">
        <v>258</v>
      </c>
      <c r="C139" s="153">
        <v>1659</v>
      </c>
      <c r="D139" s="156" t="s">
        <v>206</v>
      </c>
      <c r="E139" s="22">
        <v>2180</v>
      </c>
      <c r="F139" s="22">
        <v>34252</v>
      </c>
      <c r="G139" s="22">
        <v>34786</v>
      </c>
      <c r="H139" s="107">
        <f>_xlfn.XLOOKUP(Table1[[#This Row],[Shipment Number]], 'pivot '!A:A,'pivot '!G:G, "NF")</f>
        <v>7.1332909206610964</v>
      </c>
      <c r="I139" s="162">
        <f>Table1[[#This Row],[Tiyaar/gaz]]/1.0936</f>
        <v>31808.705193855159</v>
      </c>
      <c r="J139" s="162" cm="1">
        <f t="array" ref="J13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381704.46232626191</v>
      </c>
      <c r="K139" s="153"/>
    </row>
    <row r="140" spans="1:17" x14ac:dyDescent="0.3">
      <c r="A140" s="148">
        <v>46140</v>
      </c>
      <c r="B140" s="116" t="s">
        <v>35</v>
      </c>
      <c r="C140" s="153">
        <v>1660</v>
      </c>
      <c r="D140" s="153" t="s">
        <v>86</v>
      </c>
      <c r="E140" s="22">
        <v>2156</v>
      </c>
      <c r="F140" s="22">
        <v>23596</v>
      </c>
      <c r="G140" s="22">
        <v>25362</v>
      </c>
      <c r="H140" s="107">
        <f>_xlfn.XLOOKUP(Table1[[#This Row],[Shipment Number]], 'pivot '!A:A,'pivot '!G:G, "NF")</f>
        <v>1.7151432185758466</v>
      </c>
      <c r="I140" s="162">
        <f>Table1[[#This Row],[Tiyaar/gaz]]/1.0936</f>
        <v>23191.294806144844</v>
      </c>
      <c r="J140" s="162" cm="1">
        <f t="array" ref="J14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278295.53767373814</v>
      </c>
      <c r="K140" s="153"/>
    </row>
    <row r="141" spans="1:17" x14ac:dyDescent="0.3">
      <c r="A141" s="148">
        <v>46140</v>
      </c>
      <c r="B141" s="116" t="s">
        <v>191</v>
      </c>
      <c r="C141" s="153">
        <v>1661</v>
      </c>
      <c r="D141" s="156" t="s">
        <v>86</v>
      </c>
      <c r="E141" s="22">
        <v>2168</v>
      </c>
      <c r="F141" s="22">
        <v>22019</v>
      </c>
      <c r="G141" s="22">
        <v>23463</v>
      </c>
      <c r="H141" s="107">
        <f>_xlfn.XLOOKUP(Table1[[#This Row],[Shipment Number]], 'pivot '!A:A,'pivot '!G:G, "NF")</f>
        <v>2.562204956130671</v>
      </c>
      <c r="I141" s="162">
        <f>Table1[[#This Row],[Tiyaar/gaz]]/1.0936</f>
        <v>21454.828090709583</v>
      </c>
      <c r="J141" s="162" cm="1">
        <f t="array" ref="J14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278912.7651792246</v>
      </c>
      <c r="K141" s="153"/>
    </row>
    <row r="142" spans="1:17" x14ac:dyDescent="0.3">
      <c r="A142" s="148">
        <v>46141</v>
      </c>
      <c r="B142" s="116" t="s">
        <v>189</v>
      </c>
      <c r="C142" s="153">
        <v>1662</v>
      </c>
      <c r="D142" s="153" t="s">
        <v>85</v>
      </c>
      <c r="E142" s="22">
        <v>2172</v>
      </c>
      <c r="F142" s="22">
        <v>78482</v>
      </c>
      <c r="G142" s="22">
        <v>34684</v>
      </c>
      <c r="H142" s="107">
        <f>_xlfn.XLOOKUP(Table1[[#This Row],[Shipment Number]], 'pivot '!A:A,'pivot '!G:G, "NF")</f>
        <v>2.5084090589677857</v>
      </c>
      <c r="I142" s="162">
        <f>Table1[[#This Row],[Tiyaar/gaz]]/1.0936</f>
        <v>31715.43525969276</v>
      </c>
      <c r="J142" s="162" cm="1">
        <f t="array" ref="J14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317154.35259692761</v>
      </c>
      <c r="K142" s="153"/>
    </row>
    <row r="143" spans="1:17" x14ac:dyDescent="0.3">
      <c r="A143" s="148">
        <v>46141</v>
      </c>
      <c r="B143" s="116" t="s">
        <v>21</v>
      </c>
      <c r="C143" s="153">
        <v>1663</v>
      </c>
      <c r="D143" s="156" t="s">
        <v>85</v>
      </c>
      <c r="E143" s="22">
        <v>2149</v>
      </c>
      <c r="F143" s="22">
        <v>16408</v>
      </c>
      <c r="G143" s="22">
        <v>10093</v>
      </c>
      <c r="H143" s="107">
        <f>_xlfn.XLOOKUP(Table1[[#This Row],[Shipment Number]], 'pivot '!A:A,'pivot '!G:G, "NF")</f>
        <v>43.752124411985939</v>
      </c>
      <c r="I143" s="162">
        <f>Table1[[#This Row],[Tiyaar/gaz]]/1.0936</f>
        <v>9229.1514264813468</v>
      </c>
      <c r="J143" s="162" cm="1">
        <f t="array" ref="J14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92291.514264813464</v>
      </c>
      <c r="K143" s="153"/>
    </row>
    <row r="144" spans="1:17" x14ac:dyDescent="0.3">
      <c r="A144" s="148">
        <v>46142</v>
      </c>
      <c r="B144" s="116" t="s">
        <v>189</v>
      </c>
      <c r="C144" s="153">
        <v>1664</v>
      </c>
      <c r="D144" s="153" t="s">
        <v>85</v>
      </c>
      <c r="E144" s="22">
        <v>2172</v>
      </c>
      <c r="F144" s="22">
        <v>78482</v>
      </c>
      <c r="G144" s="22">
        <v>44174</v>
      </c>
      <c r="H144" s="107">
        <f>_xlfn.XLOOKUP(Table1[[#This Row],[Shipment Number]], 'pivot '!A:A,'pivot '!G:G, "NF")</f>
        <v>2.5084090589677857</v>
      </c>
      <c r="I144" s="162">
        <f>Table1[[#This Row],[Tiyaar/gaz]]/1.0936</f>
        <v>40393.196781272862</v>
      </c>
      <c r="J144" s="162" cm="1">
        <f t="array" ref="J14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403931.9678127286</v>
      </c>
      <c r="K144" s="153"/>
    </row>
    <row r="145" spans="1:11" x14ac:dyDescent="0.3">
      <c r="A145" s="148">
        <v>46143</v>
      </c>
      <c r="B145" s="116" t="s">
        <v>21</v>
      </c>
      <c r="C145" s="153">
        <v>1665</v>
      </c>
      <c r="D145" s="156" t="s">
        <v>85</v>
      </c>
      <c r="E145" s="22">
        <v>2150</v>
      </c>
      <c r="F145" s="22">
        <v>14993</v>
      </c>
      <c r="G145" s="22">
        <v>5614</v>
      </c>
      <c r="H145" s="107">
        <f>_xlfn.XLOOKUP(Table1[[#This Row],[Shipment Number]], 'pivot '!A:A,'pivot '!G:G, "NF")</f>
        <v>0.97183123399551619</v>
      </c>
      <c r="I145" s="162">
        <f>Table1[[#This Row],[Tiyaar/gaz]]/1.0936</f>
        <v>5133.5040234089247</v>
      </c>
      <c r="J145" s="162" cm="1">
        <f t="array" ref="J14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51335.040234089247</v>
      </c>
      <c r="K145" s="153"/>
    </row>
    <row r="146" spans="1:11" x14ac:dyDescent="0.3">
      <c r="A146" s="148">
        <v>46144</v>
      </c>
      <c r="B146" s="116" t="s">
        <v>258</v>
      </c>
      <c r="C146" s="153">
        <v>1666</v>
      </c>
      <c r="D146" s="153" t="s">
        <v>86</v>
      </c>
      <c r="E146" s="22">
        <v>2164</v>
      </c>
      <c r="F146" s="22">
        <v>45908</v>
      </c>
      <c r="G146" s="22">
        <v>33781</v>
      </c>
      <c r="H146" s="107">
        <f>_xlfn.XLOOKUP(Table1[[#This Row],[Shipment Number]], 'pivot '!A:A,'pivot '!G:G, "NF")</f>
        <v>3.8043804921633608</v>
      </c>
      <c r="I146" s="162">
        <f>Table1[[#This Row],[Tiyaar/gaz]]/1.0936</f>
        <v>30889.722019019755</v>
      </c>
      <c r="J146" s="162" cm="1">
        <f t="array" ref="J14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401566.38624725683</v>
      </c>
      <c r="K146" s="153"/>
    </row>
    <row r="147" spans="1:11" x14ac:dyDescent="0.3">
      <c r="A147" s="148">
        <v>46144</v>
      </c>
      <c r="B147" s="116" t="s">
        <v>258</v>
      </c>
      <c r="C147" s="153">
        <v>1667</v>
      </c>
      <c r="D147" s="113" t="s">
        <v>86</v>
      </c>
      <c r="E147" s="11">
        <v>2164</v>
      </c>
      <c r="F147" s="11">
        <v>45908</v>
      </c>
      <c r="G147" s="11">
        <v>14514</v>
      </c>
      <c r="H147" s="114">
        <f>_xlfn.XLOOKUP(Table1[[#This Row],[Shipment Number]], 'pivot '!A:A,'pivot '!G:G, "NF")</f>
        <v>3.8043804921633608</v>
      </c>
      <c r="I147" s="162">
        <f>Table1[[#This Row],[Tiyaar/gaz]]/1.0936</f>
        <v>13271.762984637895</v>
      </c>
      <c r="J147" s="162" cm="1">
        <f t="array" ref="J14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172532.91880029262</v>
      </c>
      <c r="K147" s="113"/>
    </row>
    <row r="148" spans="1:11" x14ac:dyDescent="0.3">
      <c r="A148" s="151">
        <v>46144</v>
      </c>
      <c r="B148" s="125" t="s">
        <v>258</v>
      </c>
      <c r="C148" s="155">
        <v>1668</v>
      </c>
      <c r="D148" s="126" t="s">
        <v>86</v>
      </c>
      <c r="E148" s="127">
        <v>2167</v>
      </c>
      <c r="F148" s="127">
        <v>47687</v>
      </c>
      <c r="G148" s="127">
        <v>1496</v>
      </c>
      <c r="H148" s="128">
        <f>_xlfn.XLOOKUP(Table1[[#This Row],[Shipment Number]], 'pivot '!A:A,'pivot '!G:G, "NF")</f>
        <v>4.562761726141872</v>
      </c>
      <c r="I148" s="164">
        <f>Table1[[#This Row],[Tiyaar/gaz]]/1.0936</f>
        <v>1367.9590343818581</v>
      </c>
      <c r="J148" s="164" cm="1">
        <f t="array" ref="J14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17783.467446964154</v>
      </c>
      <c r="K148" s="126"/>
    </row>
    <row r="149" spans="1:11" x14ac:dyDescent="0.3">
      <c r="A149" s="148">
        <v>46146</v>
      </c>
      <c r="B149" s="116" t="s">
        <v>500</v>
      </c>
      <c r="C149" s="153">
        <v>1669</v>
      </c>
      <c r="D149" s="113" t="s">
        <v>86</v>
      </c>
      <c r="E149" s="11">
        <v>2185</v>
      </c>
      <c r="F149" s="11">
        <v>50029</v>
      </c>
      <c r="G149" s="11">
        <v>36039</v>
      </c>
      <c r="H149" s="114">
        <f>_xlfn.XLOOKUP(Table1[[#This Row],[Shipment Number]], 'pivot '!A:A,'pivot '!G:G, "NF")</f>
        <v>4.8759473711538419</v>
      </c>
      <c r="I149" s="162">
        <f>Table1[[#This Row],[Tiyaar/gaz]]/1.0936</f>
        <v>32954.462326261892</v>
      </c>
      <c r="J149" s="162" cm="1">
        <f t="array" ref="J14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395453.54791514273</v>
      </c>
      <c r="K149" s="113"/>
    </row>
    <row r="150" spans="1:11" x14ac:dyDescent="0.3">
      <c r="A150" s="148">
        <v>46146</v>
      </c>
      <c r="B150" s="116" t="s">
        <v>500</v>
      </c>
      <c r="C150" s="153">
        <v>1670</v>
      </c>
      <c r="D150" s="113" t="s">
        <v>86</v>
      </c>
      <c r="E150" s="11">
        <v>2185</v>
      </c>
      <c r="F150" s="11">
        <v>50029</v>
      </c>
      <c r="G150" s="11">
        <v>16005</v>
      </c>
      <c r="H150" s="114">
        <f>_xlfn.XLOOKUP(Table1[[#This Row],[Shipment Number]], 'pivot '!A:A,'pivot '!G:G, "NF")</f>
        <v>4.8759473711538419</v>
      </c>
      <c r="I150" s="162">
        <f>Table1[[#This Row],[Tiyaar/gaz]]/1.0936</f>
        <v>14635.149963423557</v>
      </c>
      <c r="J150" s="162" cm="1">
        <f t="array" ref="J15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175621.79956108268</v>
      </c>
      <c r="K150" s="113"/>
    </row>
    <row r="151" spans="1:11" x14ac:dyDescent="0.3">
      <c r="A151" s="148">
        <v>46146</v>
      </c>
      <c r="B151" s="116" t="s">
        <v>500</v>
      </c>
      <c r="C151" s="153">
        <v>1671</v>
      </c>
      <c r="D151" s="156" t="s">
        <v>86</v>
      </c>
      <c r="E151" s="22">
        <v>2186</v>
      </c>
      <c r="F151" s="22">
        <v>36740</v>
      </c>
      <c r="G151" s="22">
        <v>38709</v>
      </c>
      <c r="H151" s="107">
        <f>_xlfn.XLOOKUP(Table1[[#This Row],[Shipment Number]], 'pivot '!A:A,'pivot '!G:G, "NF")</f>
        <v>3.6583015388389128</v>
      </c>
      <c r="I151" s="162">
        <f>Table1[[#This Row],[Tiyaar/gaz]]/1.0936</f>
        <v>35395.940014630578</v>
      </c>
      <c r="J151" s="162" cm="1">
        <f t="array" ref="J15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424751.28017556691</v>
      </c>
      <c r="K151" s="153"/>
    </row>
    <row r="152" spans="1:11" x14ac:dyDescent="0.3">
      <c r="A152" s="148">
        <v>46146</v>
      </c>
      <c r="B152" s="152" t="s">
        <v>500</v>
      </c>
      <c r="C152" s="153">
        <v>1672</v>
      </c>
      <c r="D152" s="153" t="s">
        <v>86</v>
      </c>
      <c r="E152" s="22">
        <v>2190</v>
      </c>
      <c r="F152" s="22">
        <v>39984</v>
      </c>
      <c r="G152" s="22">
        <v>41078</v>
      </c>
      <c r="H152" s="107">
        <f>_xlfn.XLOOKUP(Table1[[#This Row],[Shipment Number]], 'pivot '!A:A,'pivot '!G:G, "NF")</f>
        <v>6.0569728988888727</v>
      </c>
      <c r="I152" s="162">
        <f>Table1[[#This Row],[Tiyaar/gaz]]/1.0936</f>
        <v>37562.179956108266</v>
      </c>
      <c r="J152" s="162" cm="1">
        <f t="array" ref="J15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450746.15947329917</v>
      </c>
      <c r="K152" s="153"/>
    </row>
    <row r="153" spans="1:11" x14ac:dyDescent="0.3">
      <c r="A153" s="148">
        <v>46146</v>
      </c>
      <c r="B153" s="116" t="s">
        <v>500</v>
      </c>
      <c r="C153" s="153">
        <v>1673</v>
      </c>
      <c r="D153" s="156" t="s">
        <v>86</v>
      </c>
      <c r="E153" s="22">
        <v>2187</v>
      </c>
      <c r="F153" s="22">
        <v>30346</v>
      </c>
      <c r="G153" s="22">
        <v>32052</v>
      </c>
      <c r="H153" s="107">
        <f>_xlfn.XLOOKUP(Table1[[#This Row],[Shipment Number]], 'pivot '!A:A,'pivot '!G:G, "NF")</f>
        <v>3.4182258160707732</v>
      </c>
      <c r="I153" s="162">
        <f>Table1[[#This Row],[Tiyaar/gaz]]/1.0936</f>
        <v>29308.705193855159</v>
      </c>
      <c r="J153" s="162" cm="1">
        <f t="array" ref="J15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351704.46232626191</v>
      </c>
      <c r="K153" s="153"/>
    </row>
    <row r="154" spans="1:11" x14ac:dyDescent="0.3">
      <c r="A154" s="148">
        <v>46147</v>
      </c>
      <c r="B154" s="116" t="s">
        <v>21</v>
      </c>
      <c r="C154" s="153">
        <v>1674</v>
      </c>
      <c r="D154" s="153" t="s">
        <v>85</v>
      </c>
      <c r="E154" s="22">
        <v>2147</v>
      </c>
      <c r="F154" s="22">
        <v>31086</v>
      </c>
      <c r="G154" s="22">
        <v>35474</v>
      </c>
      <c r="H154" s="107">
        <f>_xlfn.XLOOKUP(Table1[[#This Row],[Shipment Number]], 'pivot '!A:A,'pivot '!G:G, "NF")</f>
        <v>2.2838077264489698</v>
      </c>
      <c r="I154" s="162">
        <f>Table1[[#This Row],[Tiyaar/gaz]]/1.0936</f>
        <v>32437.820043891737</v>
      </c>
      <c r="J154" s="162" cm="1">
        <f t="array" ref="J15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324378.20043891738</v>
      </c>
      <c r="K154" s="153"/>
    </row>
    <row r="155" spans="1:11" x14ac:dyDescent="0.3">
      <c r="A155" s="148">
        <v>46147</v>
      </c>
      <c r="B155" s="116" t="s">
        <v>21</v>
      </c>
      <c r="C155" s="153">
        <v>1675</v>
      </c>
      <c r="D155" s="156" t="s">
        <v>85</v>
      </c>
      <c r="E155" s="22">
        <v>2150</v>
      </c>
      <c r="F155" s="22">
        <v>14993</v>
      </c>
      <c r="G155" s="22">
        <v>3895</v>
      </c>
      <c r="H155" s="107">
        <f>_xlfn.XLOOKUP(Table1[[#This Row],[Shipment Number]], 'pivot '!A:A,'pivot '!G:G, "NF")</f>
        <v>0.97183123399551619</v>
      </c>
      <c r="I155" s="162">
        <f>Table1[[#This Row],[Tiyaar/gaz]]/1.0936</f>
        <v>3561.6313094367229</v>
      </c>
      <c r="J155" s="162" cm="1">
        <f t="array" ref="J15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35616.313094367229</v>
      </c>
      <c r="K155" s="153"/>
    </row>
    <row r="156" spans="1:11" x14ac:dyDescent="0.3">
      <c r="A156" s="148">
        <v>46148</v>
      </c>
      <c r="B156" s="116" t="s">
        <v>21</v>
      </c>
      <c r="C156" s="153">
        <v>1676</v>
      </c>
      <c r="D156" s="153" t="s">
        <v>85</v>
      </c>
      <c r="E156" s="22">
        <v>2135</v>
      </c>
      <c r="F156" s="22">
        <v>14433</v>
      </c>
      <c r="G156" s="22">
        <v>4288</v>
      </c>
      <c r="H156" s="107">
        <f>_xlfn.XLOOKUP(Table1[[#This Row],[Shipment Number]], 'pivot '!A:A,'pivot '!G:G, "NF")</f>
        <v>3.2750325128177167</v>
      </c>
      <c r="I156" s="162">
        <f>Table1[[#This Row],[Tiyaar/gaz]]/1.0936</f>
        <v>3920.9948792977325</v>
      </c>
      <c r="J156" s="162" cm="1">
        <f t="array" ref="J15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39209.948792977324</v>
      </c>
      <c r="K156" s="153"/>
    </row>
    <row r="157" spans="1:11" x14ac:dyDescent="0.3">
      <c r="A157" s="148">
        <v>46148</v>
      </c>
      <c r="B157" s="116" t="s">
        <v>21</v>
      </c>
      <c r="C157" s="153">
        <v>1677</v>
      </c>
      <c r="D157" s="153" t="s">
        <v>85</v>
      </c>
      <c r="E157" s="22">
        <v>2169</v>
      </c>
      <c r="F157" s="22">
        <v>38665</v>
      </c>
      <c r="G157" s="22">
        <v>41074</v>
      </c>
      <c r="H157" s="107">
        <f>_xlfn.XLOOKUP(Table1[[#This Row],[Shipment Number]], 'pivot '!A:A,'pivot '!G:G, "NF")</f>
        <v>2.8617035778318467</v>
      </c>
      <c r="I157" s="162">
        <f>Table1[[#This Row],[Tiyaar/gaz]]/1.0936</f>
        <v>37558.522311631314</v>
      </c>
      <c r="J157" s="162" cm="1">
        <f t="array" ref="J15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375585.22311631311</v>
      </c>
      <c r="K157" s="153"/>
    </row>
    <row r="158" spans="1:11" x14ac:dyDescent="0.3">
      <c r="A158" s="148">
        <v>46148</v>
      </c>
      <c r="B158" s="116" t="s">
        <v>21</v>
      </c>
      <c r="C158" s="153">
        <v>1678</v>
      </c>
      <c r="D158" s="156" t="s">
        <v>85</v>
      </c>
      <c r="E158" s="22">
        <v>2191</v>
      </c>
      <c r="F158" s="22">
        <v>107006</v>
      </c>
      <c r="G158" s="22">
        <v>6592</v>
      </c>
      <c r="H158" s="107">
        <f>_xlfn.XLOOKUP(Table1[[#This Row],[Shipment Number]], 'pivot '!A:A,'pivot '!G:G, "NF")</f>
        <v>2.0207879010428371</v>
      </c>
      <c r="I158" s="162">
        <f>Table1[[#This Row],[Tiyaar/gaz]]/1.0936</f>
        <v>6027.7980980248722</v>
      </c>
      <c r="J158" s="162" cm="1">
        <f t="array" ref="J15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60277.980980248722</v>
      </c>
      <c r="K158" s="153"/>
    </row>
    <row r="159" spans="1:11" x14ac:dyDescent="0.3">
      <c r="A159" s="148">
        <v>46148</v>
      </c>
      <c r="B159" s="116" t="s">
        <v>530</v>
      </c>
      <c r="C159" s="153">
        <v>1679</v>
      </c>
      <c r="D159" s="153" t="s">
        <v>85</v>
      </c>
      <c r="E159" s="22">
        <v>2188</v>
      </c>
      <c r="F159" s="22">
        <v>19276</v>
      </c>
      <c r="G159" s="22">
        <v>20731</v>
      </c>
      <c r="H159" s="107">
        <f>_xlfn.XLOOKUP(Table1[[#This Row],[Shipment Number]], 'pivot '!A:A,'pivot '!G:G, "NF")</f>
        <v>1.6566875236145364</v>
      </c>
      <c r="I159" s="162">
        <f>Table1[[#This Row],[Tiyaar/gaz]]/1.0936</f>
        <v>18956.656912948063</v>
      </c>
      <c r="J159" s="162" cm="1">
        <f t="array" ref="J15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189566.56912948063</v>
      </c>
      <c r="K159" s="153"/>
    </row>
    <row r="160" spans="1:11" x14ac:dyDescent="0.3">
      <c r="A160" s="148">
        <v>46149</v>
      </c>
      <c r="B160" s="116" t="s">
        <v>21</v>
      </c>
      <c r="C160" s="153">
        <v>1680</v>
      </c>
      <c r="D160" s="153" t="s">
        <v>85</v>
      </c>
      <c r="E160" s="22">
        <v>2193</v>
      </c>
      <c r="F160" s="22">
        <v>61241</v>
      </c>
      <c r="G160" s="22">
        <v>21509</v>
      </c>
      <c r="H160" s="107">
        <f>_xlfn.XLOOKUP(Table1[[#This Row],[Shipment Number]], 'pivot '!A:A,'pivot '!G:G, "NF")</f>
        <v>1.2664142327970467</v>
      </c>
      <c r="I160" s="162">
        <f>Table1[[#This Row],[Tiyaar/gaz]]/1.0936</f>
        <v>19668.068763716168</v>
      </c>
      <c r="J160" s="162" cm="1">
        <f t="array" ref="J16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196680.6876371617</v>
      </c>
      <c r="K160" s="153"/>
    </row>
    <row r="161" spans="1:12" x14ac:dyDescent="0.3">
      <c r="A161" s="148">
        <v>46149</v>
      </c>
      <c r="B161" s="116" t="s">
        <v>21</v>
      </c>
      <c r="C161" s="153">
        <v>1681</v>
      </c>
      <c r="D161" s="153" t="s">
        <v>85</v>
      </c>
      <c r="E161" s="22">
        <v>2191</v>
      </c>
      <c r="F161" s="22">
        <v>107006</v>
      </c>
      <c r="G161" s="22">
        <v>6364</v>
      </c>
      <c r="H161" s="107">
        <f>_xlfn.XLOOKUP(Table1[[#This Row],[Shipment Number]], 'pivot '!A:A,'pivot '!G:G, "NF")</f>
        <v>2.0207879010428371</v>
      </c>
      <c r="I161" s="162">
        <f>Table1[[#This Row],[Tiyaar/gaz]]/1.0936</f>
        <v>5819.3123628383328</v>
      </c>
      <c r="J161" s="162" cm="1">
        <f t="array" ref="J16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58193.123628383328</v>
      </c>
      <c r="K161" s="153"/>
    </row>
    <row r="162" spans="1:12" x14ac:dyDescent="0.3">
      <c r="A162" s="148">
        <v>46149</v>
      </c>
      <c r="B162" s="116" t="s">
        <v>21</v>
      </c>
      <c r="C162" s="153">
        <v>1682</v>
      </c>
      <c r="D162" s="153" t="s">
        <v>85</v>
      </c>
      <c r="E162" s="22">
        <v>2193</v>
      </c>
      <c r="F162" s="22">
        <v>61241</v>
      </c>
      <c r="G162" s="22">
        <v>44616</v>
      </c>
      <c r="H162" s="107">
        <f>_xlfn.XLOOKUP(Table1[[#This Row],[Shipment Number]], 'pivot '!A:A,'pivot '!G:G, "NF")</f>
        <v>1.2664142327970467</v>
      </c>
      <c r="I162" s="162">
        <f>Table1[[#This Row],[Tiyaar/gaz]]/1.0936</f>
        <v>40797.366495976596</v>
      </c>
      <c r="J162" s="162" cm="1">
        <f t="array" ref="J16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407973.66495976597</v>
      </c>
      <c r="K162" s="153"/>
    </row>
    <row r="163" spans="1:12" x14ac:dyDescent="0.3">
      <c r="A163" s="148">
        <v>46149</v>
      </c>
      <c r="B163" s="116" t="s">
        <v>21</v>
      </c>
      <c r="C163" s="153">
        <v>1683</v>
      </c>
      <c r="D163" s="153" t="s">
        <v>85</v>
      </c>
      <c r="E163" s="22">
        <v>2181</v>
      </c>
      <c r="F163" s="22">
        <v>9943</v>
      </c>
      <c r="G163" s="22">
        <v>2330</v>
      </c>
      <c r="H163" s="107">
        <f>_xlfn.XLOOKUP(Table1[[#This Row],[Shipment Number]], 'pivot '!A:A,'pivot '!G:G, "NF")</f>
        <v>1.4131831615776633</v>
      </c>
      <c r="I163" s="162">
        <f>Table1[[#This Row],[Tiyaar/gaz]]/1.0936</f>
        <v>2130.5779078273595</v>
      </c>
      <c r="J163" s="162" cm="1">
        <f t="array" ref="J16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21305.779078273594</v>
      </c>
      <c r="K163" s="153"/>
      <c r="L163"/>
    </row>
    <row r="164" spans="1:12" x14ac:dyDescent="0.3">
      <c r="A164" s="148">
        <v>46149</v>
      </c>
      <c r="B164" s="106" t="s">
        <v>21</v>
      </c>
      <c r="C164" s="153">
        <v>1684</v>
      </c>
      <c r="D164" s="153" t="s">
        <v>85</v>
      </c>
      <c r="E164" s="22">
        <v>2191</v>
      </c>
      <c r="F164" s="22">
        <v>107006</v>
      </c>
      <c r="G164" s="22">
        <v>2290</v>
      </c>
      <c r="H164" s="107">
        <f>_xlfn.XLOOKUP(Table1[[#This Row],[Shipment Number]], 'pivot '!A:A,'pivot '!G:G, "NF")</f>
        <v>2.0207879010428371</v>
      </c>
      <c r="I164" s="63">
        <f>Table1[[#This Row],[Tiyaar/gaz]]/1.0936</f>
        <v>2094.0014630577912</v>
      </c>
      <c r="J164" s="63" cm="1">
        <f t="array" ref="J16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20940.014630577913</v>
      </c>
      <c r="K164" s="153"/>
    </row>
    <row r="165" spans="1:12" x14ac:dyDescent="0.3">
      <c r="A165" s="148">
        <v>46150</v>
      </c>
      <c r="B165" s="106" t="s">
        <v>21</v>
      </c>
      <c r="C165" s="153">
        <v>1685</v>
      </c>
      <c r="D165" s="153" t="s">
        <v>85</v>
      </c>
      <c r="E165" s="22">
        <v>2191</v>
      </c>
      <c r="F165" s="22">
        <v>107006</v>
      </c>
      <c r="G165" s="22">
        <v>45049</v>
      </c>
      <c r="H165" s="107">
        <f>_xlfn.XLOOKUP(Table1[[#This Row],[Shipment Number]], 'pivot '!A:A,'pivot '!G:G, "NF")</f>
        <v>2.0207879010428371</v>
      </c>
      <c r="I165" s="63">
        <f>Table1[[#This Row],[Tiyaar/gaz]]/1.0936</f>
        <v>41193.306510607174</v>
      </c>
      <c r="J165" s="63" cm="1">
        <f t="array" ref="J16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411933.06510607176</v>
      </c>
      <c r="K165" s="153"/>
    </row>
    <row r="166" spans="1:12" x14ac:dyDescent="0.3">
      <c r="A166" s="148">
        <v>46150</v>
      </c>
      <c r="B166" s="106" t="s">
        <v>21</v>
      </c>
      <c r="C166" s="153">
        <v>1686</v>
      </c>
      <c r="D166" s="153" t="s">
        <v>85</v>
      </c>
      <c r="E166" s="22">
        <v>2191</v>
      </c>
      <c r="F166" s="22">
        <v>107006</v>
      </c>
      <c r="G166" s="22">
        <v>17678</v>
      </c>
      <c r="H166" s="107">
        <f>_xlfn.XLOOKUP(Table1[[#This Row],[Shipment Number]], 'pivot '!A:A,'pivot '!G:G, "NF")</f>
        <v>2.0207879010428371</v>
      </c>
      <c r="I166" s="63">
        <f>Table1[[#This Row],[Tiyaar/gaz]]/1.0936</f>
        <v>16164.959765910755</v>
      </c>
      <c r="J166" s="63" cm="1">
        <f t="array" ref="J16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161649.59765910756</v>
      </c>
      <c r="K166" s="153"/>
    </row>
    <row r="167" spans="1:12" x14ac:dyDescent="0.3">
      <c r="A167" s="148">
        <v>46150</v>
      </c>
      <c r="B167" s="106" t="s">
        <v>21</v>
      </c>
      <c r="C167" s="153">
        <v>1687</v>
      </c>
      <c r="D167" s="153" t="s">
        <v>85</v>
      </c>
      <c r="E167" s="22">
        <v>2181</v>
      </c>
      <c r="F167" s="22">
        <v>9943</v>
      </c>
      <c r="G167" s="22">
        <v>2530</v>
      </c>
      <c r="H167" s="107">
        <f>_xlfn.XLOOKUP(Table1[[#This Row],[Shipment Number]], 'pivot '!A:A,'pivot '!G:G, "NF")</f>
        <v>1.4131831615776633</v>
      </c>
      <c r="I167" s="63">
        <f>Table1[[#This Row],[Tiyaar/gaz]]/1.0936</f>
        <v>2313.4601316752014</v>
      </c>
      <c r="J167" s="63" cm="1">
        <f t="array" ref="J16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23134.601316752014</v>
      </c>
      <c r="K167" s="153"/>
    </row>
    <row r="168" spans="1:12" x14ac:dyDescent="0.3">
      <c r="A168" s="148">
        <v>46150</v>
      </c>
      <c r="B168" s="106" t="s">
        <v>21</v>
      </c>
      <c r="C168" s="153">
        <v>1688</v>
      </c>
      <c r="D168" s="153" t="s">
        <v>85</v>
      </c>
      <c r="E168" s="22">
        <v>2191</v>
      </c>
      <c r="F168" s="22">
        <v>107006</v>
      </c>
      <c r="G168" s="22">
        <v>25378</v>
      </c>
      <c r="H168" s="107">
        <f>_xlfn.XLOOKUP(Table1[[#This Row],[Shipment Number]], 'pivot '!A:A,'pivot '!G:G, "NF")</f>
        <v>2.0207879010428371</v>
      </c>
      <c r="I168" s="63">
        <f>Table1[[#This Row],[Tiyaar/gaz]]/1.0936</f>
        <v>23205.925384052673</v>
      </c>
      <c r="J168" s="63" cm="1">
        <f t="array" ref="J16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232059.25384052674</v>
      </c>
      <c r="K168" s="153"/>
    </row>
    <row r="169" spans="1:12" x14ac:dyDescent="0.3">
      <c r="A169" s="148">
        <v>46150</v>
      </c>
      <c r="B169" s="106" t="s">
        <v>21</v>
      </c>
      <c r="C169" s="153">
        <v>1689</v>
      </c>
      <c r="D169" s="153" t="s">
        <v>85</v>
      </c>
      <c r="E169" s="22">
        <v>2191</v>
      </c>
      <c r="F169" s="22">
        <v>107006</v>
      </c>
      <c r="G169" s="22">
        <v>11306</v>
      </c>
      <c r="H169" s="107">
        <f>_xlfn.XLOOKUP(Table1[[#This Row],[Shipment Number]], 'pivot '!A:A,'pivot '!G:G, "NF")</f>
        <v>2.0207879010428371</v>
      </c>
      <c r="I169" s="63">
        <f>Table1[[#This Row],[Tiyaar/gaz]]/1.0936</f>
        <v>10338.332114118508</v>
      </c>
      <c r="J169" s="63" cm="1">
        <f t="array" ref="J16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103383.32114118508</v>
      </c>
      <c r="K169" s="153"/>
    </row>
    <row r="170" spans="1:12" x14ac:dyDescent="0.3">
      <c r="A170" s="148">
        <v>46150</v>
      </c>
      <c r="B170" s="116" t="s">
        <v>21</v>
      </c>
      <c r="C170" s="153">
        <v>1690</v>
      </c>
      <c r="D170" s="153" t="s">
        <v>85</v>
      </c>
      <c r="E170" s="11">
        <v>2181</v>
      </c>
      <c r="F170" s="11">
        <v>9943</v>
      </c>
      <c r="G170" s="11">
        <v>5860</v>
      </c>
      <c r="H170" s="114">
        <f>_xlfn.XLOOKUP(Table1[[#This Row],[Shipment Number]], 'pivot '!A:A,'pivot '!G:G, "NF")</f>
        <v>1.4131831615776633</v>
      </c>
      <c r="I170" s="115">
        <f>Table1[[#This Row],[Tiyaar/gaz]]/1.0936</f>
        <v>5358.4491587417706</v>
      </c>
      <c r="J170" s="63" cm="1">
        <f t="array" ref="J17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53584.49158741771</v>
      </c>
      <c r="K170" s="113"/>
    </row>
    <row r="171" spans="1:12" x14ac:dyDescent="0.3">
      <c r="A171" s="148">
        <v>46151</v>
      </c>
      <c r="B171" s="106" t="s">
        <v>21</v>
      </c>
      <c r="C171" s="153">
        <v>1691</v>
      </c>
      <c r="D171" s="153" t="s">
        <v>86</v>
      </c>
      <c r="E171" s="22">
        <v>2195</v>
      </c>
      <c r="F171" s="22">
        <v>17930</v>
      </c>
      <c r="G171" s="22">
        <v>19428</v>
      </c>
      <c r="H171" s="107">
        <f>_xlfn.XLOOKUP(Table1[[#This Row],[Shipment Number]], 'pivot '!A:A,'pivot '!G:G, "NF")</f>
        <v>0.91924581941231054</v>
      </c>
      <c r="I171" s="63">
        <f>Table1[[#This Row],[Tiyaar/gaz]]/1.0936</f>
        <v>17765.179224579373</v>
      </c>
      <c r="J171" s="63" cm="1">
        <f t="array" ref="J17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230947.32991953185</v>
      </c>
      <c r="K171" s="153"/>
    </row>
    <row r="172" spans="1:12" x14ac:dyDescent="0.3">
      <c r="A172" s="148">
        <v>46151</v>
      </c>
      <c r="B172" s="106" t="s">
        <v>21</v>
      </c>
      <c r="C172" s="153">
        <v>1692</v>
      </c>
      <c r="D172" s="153" t="s">
        <v>85</v>
      </c>
      <c r="E172" s="22">
        <v>2192</v>
      </c>
      <c r="F172" s="22">
        <v>57164</v>
      </c>
      <c r="G172" s="22">
        <v>19836</v>
      </c>
      <c r="H172" s="107">
        <f>_xlfn.XLOOKUP(Table1[[#This Row],[Shipment Number]], 'pivot '!A:A,'pivot '!G:G, "NF")</f>
        <v>1.2469903326698102</v>
      </c>
      <c r="I172" s="63">
        <f>Table1[[#This Row],[Tiyaar/gaz]]/1.0936</f>
        <v>18138.25896122897</v>
      </c>
      <c r="J172" s="63" cm="1">
        <f t="array" ref="J17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181382.58961228971</v>
      </c>
      <c r="K172" s="153"/>
    </row>
    <row r="173" spans="1:12" x14ac:dyDescent="0.3">
      <c r="A173" s="148">
        <v>46151</v>
      </c>
      <c r="B173" s="116" t="s">
        <v>441</v>
      </c>
      <c r="C173" s="153">
        <v>1693</v>
      </c>
      <c r="D173" s="153" t="s">
        <v>86</v>
      </c>
      <c r="E173" s="11">
        <v>2182</v>
      </c>
      <c r="F173" s="11">
        <v>99404</v>
      </c>
      <c r="G173" s="11">
        <v>37070</v>
      </c>
      <c r="H173" s="114">
        <f>_xlfn.XLOOKUP(Table1[[#This Row],[Shipment Number]], 'pivot '!A:A,'pivot '!G:G, "NF")</f>
        <v>6.694263575356814</v>
      </c>
      <c r="I173" s="115">
        <f>Table1[[#This Row],[Tiyaar/gaz]]/1.0936</f>
        <v>33897.220190197513</v>
      </c>
      <c r="J173" s="63">
        <f>Table1[[#This Row],[tiyar/meters]]*12</f>
        <v>406766.64228237013</v>
      </c>
      <c r="K173" s="113"/>
    </row>
    <row r="174" spans="1:12" x14ac:dyDescent="0.3">
      <c r="A174" s="148">
        <v>46151</v>
      </c>
      <c r="B174" s="116" t="s">
        <v>441</v>
      </c>
      <c r="C174" s="153">
        <v>1694</v>
      </c>
      <c r="D174" s="153" t="s">
        <v>86</v>
      </c>
      <c r="E174" s="11">
        <v>2182</v>
      </c>
      <c r="F174" s="11">
        <v>99404</v>
      </c>
      <c r="G174" s="11">
        <v>14046</v>
      </c>
      <c r="H174" s="114">
        <f>_xlfn.XLOOKUP(Table1[[#This Row],[Shipment Number]], 'pivot '!A:A,'pivot '!G:G, "NF")</f>
        <v>6.694263575356814</v>
      </c>
      <c r="I174" s="115">
        <f>Table1[[#This Row],[Tiyaar/gaz]]/1.0936</f>
        <v>12843.818580833944</v>
      </c>
      <c r="J174" s="63">
        <f>Table1[[#This Row],[tiyar/meters]]*12</f>
        <v>154125.82297000731</v>
      </c>
      <c r="K174" s="113"/>
    </row>
    <row r="175" spans="1:12" x14ac:dyDescent="0.3">
      <c r="A175" s="148">
        <v>46153</v>
      </c>
      <c r="B175" s="106" t="s">
        <v>441</v>
      </c>
      <c r="C175" s="153">
        <v>1695</v>
      </c>
      <c r="D175" s="153" t="s">
        <v>86</v>
      </c>
      <c r="E175" s="22">
        <v>2182</v>
      </c>
      <c r="F175" s="22">
        <v>99404</v>
      </c>
      <c r="G175" s="22">
        <v>39878</v>
      </c>
      <c r="H175" s="107">
        <f>_xlfn.XLOOKUP(Table1[[#This Row],[Shipment Number]], 'pivot '!A:A,'pivot '!G:G, "NF")</f>
        <v>6.694263575356814</v>
      </c>
      <c r="I175" s="63">
        <f>Table1[[#This Row],[Tiyaar/gaz]]/1.0936</f>
        <v>36464.886613021219</v>
      </c>
      <c r="J175" s="63">
        <f>Table1[[#This Row],[tiyar/meters]]*12</f>
        <v>437578.6393562546</v>
      </c>
      <c r="K175" s="153"/>
    </row>
    <row r="176" spans="1:12" x14ac:dyDescent="0.3">
      <c r="A176" s="148">
        <v>46153</v>
      </c>
      <c r="B176" s="116" t="s">
        <v>441</v>
      </c>
      <c r="C176" s="113">
        <v>1696</v>
      </c>
      <c r="D176" s="113" t="s">
        <v>86</v>
      </c>
      <c r="E176" s="11">
        <v>2182</v>
      </c>
      <c r="F176" s="11">
        <v>99404</v>
      </c>
      <c r="G176" s="11">
        <v>10437</v>
      </c>
      <c r="H176" s="114">
        <f>_xlfn.XLOOKUP(Table1[[#This Row],[Shipment Number]], 'pivot '!A:A,'pivot '!G:G, "NF")</f>
        <v>6.694263575356814</v>
      </c>
      <c r="I176" s="115">
        <f>Table1[[#This Row],[Tiyaar/gaz]]/1.0936</f>
        <v>9543.7088514996358</v>
      </c>
      <c r="J176" s="63">
        <f>Table1[[#This Row],[tiyar/meters]]*12</f>
        <v>114524.50621799563</v>
      </c>
      <c r="K176" s="113"/>
    </row>
    <row r="177" spans="1:11" x14ac:dyDescent="0.3">
      <c r="A177" s="148">
        <v>46154</v>
      </c>
      <c r="B177" s="116" t="s">
        <v>258</v>
      </c>
      <c r="C177" s="113">
        <v>1697</v>
      </c>
      <c r="D177" s="113" t="s">
        <v>86</v>
      </c>
      <c r="E177" s="11" t="s">
        <v>574</v>
      </c>
      <c r="F177" s="11">
        <v>7846</v>
      </c>
      <c r="G177" s="11">
        <v>8229</v>
      </c>
      <c r="H177" s="114">
        <f>_xlfn.XLOOKUP(Table1[[#This Row],[Shipment Number]], 'pivot '!A:A,'pivot '!G:G, "NF")</f>
        <v>4.0952192171876334</v>
      </c>
      <c r="I177" s="115">
        <f>Table1[[#This Row],[Tiyaar/gaz]]/1.0936</f>
        <v>7524.6891002194598</v>
      </c>
      <c r="J177" s="115" cm="1">
        <f t="array" ref="J17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97820.958302852974</v>
      </c>
      <c r="K177" s="113"/>
    </row>
    <row r="178" spans="1:11" x14ac:dyDescent="0.3">
      <c r="A178" s="148">
        <v>46154</v>
      </c>
      <c r="B178" s="116" t="s">
        <v>258</v>
      </c>
      <c r="C178" s="113">
        <v>1698</v>
      </c>
      <c r="D178" s="113" t="s">
        <v>86</v>
      </c>
      <c r="E178" s="11">
        <v>2176</v>
      </c>
      <c r="F178" s="11">
        <v>17218</v>
      </c>
      <c r="G178" s="11">
        <v>18230</v>
      </c>
      <c r="H178" s="114">
        <f>_xlfn.XLOOKUP(Table1[[#This Row],[Shipment Number]], 'pivot '!A:A,'pivot '!G:G, "NF")</f>
        <v>3.1843727277802287</v>
      </c>
      <c r="I178" s="115">
        <f>Table1[[#This Row],[Tiyaar/gaz]]/1.0936</f>
        <v>16669.714703730799</v>
      </c>
      <c r="J178" s="115" cm="1">
        <f t="array" ref="J17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216706.29114850037</v>
      </c>
      <c r="K178" s="113"/>
    </row>
    <row r="179" spans="1:11" x14ac:dyDescent="0.3">
      <c r="A179" s="148">
        <v>46154</v>
      </c>
      <c r="B179" s="116" t="s">
        <v>258</v>
      </c>
      <c r="C179" s="113">
        <v>1699</v>
      </c>
      <c r="D179" s="113" t="s">
        <v>86</v>
      </c>
      <c r="E179" s="11">
        <v>2173</v>
      </c>
      <c r="F179" s="11">
        <v>46820</v>
      </c>
      <c r="G179" s="11">
        <v>27486</v>
      </c>
      <c r="H179" s="114">
        <f>_xlfn.XLOOKUP(Table1[[#This Row],[Shipment Number]], 'pivot '!A:A,'pivot '!G:G, "NF")</f>
        <v>4.2778347369667671</v>
      </c>
      <c r="I179" s="115">
        <f>Table1[[#This Row],[Tiyaar/gaz]]/1.0936</f>
        <v>25133.504023408928</v>
      </c>
      <c r="J179" s="115" cm="1">
        <f t="array" ref="J17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326735.55230431608</v>
      </c>
      <c r="K179" s="113"/>
    </row>
    <row r="180" spans="1:11" x14ac:dyDescent="0.3">
      <c r="A180" s="148">
        <v>46154</v>
      </c>
      <c r="B180" s="116" t="s">
        <v>258</v>
      </c>
      <c r="C180" s="113">
        <v>1700</v>
      </c>
      <c r="D180" s="113" t="s">
        <v>86</v>
      </c>
      <c r="E180" s="11">
        <v>2173</v>
      </c>
      <c r="F180" s="11">
        <v>46820</v>
      </c>
      <c r="G180" s="11">
        <v>20078</v>
      </c>
      <c r="H180" s="114">
        <f>_xlfn.XLOOKUP(Table1[[#This Row],[Shipment Number]], 'pivot '!A:A,'pivot '!G:G, "NF")</f>
        <v>4.2778347369667671</v>
      </c>
      <c r="I180" s="115">
        <f>Table1[[#This Row],[Tiyaar/gaz]]/1.0936</f>
        <v>18359.546452084858</v>
      </c>
      <c r="J180" s="115" cm="1">
        <f t="array" ref="J18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238674.10387710316</v>
      </c>
      <c r="K180" s="113"/>
    </row>
    <row r="181" spans="1:11" x14ac:dyDescent="0.3">
      <c r="A181" s="148">
        <v>46154</v>
      </c>
      <c r="B181" s="116" t="s">
        <v>21</v>
      </c>
      <c r="C181" s="113">
        <v>1701</v>
      </c>
      <c r="D181" s="113" t="s">
        <v>86</v>
      </c>
      <c r="E181" s="11">
        <v>2200</v>
      </c>
      <c r="F181" s="11">
        <v>37514</v>
      </c>
      <c r="G181" s="11">
        <v>40509</v>
      </c>
      <c r="H181" s="114">
        <f>_xlfn.XLOOKUP(Table1[[#This Row],[Shipment Number]], 'pivot '!A:A,'pivot '!G:G, "NF")</f>
        <v>1.2585167423864192</v>
      </c>
      <c r="I181" s="115">
        <f>Table1[[#This Row],[Tiyaar/gaz]]/1.0936</f>
        <v>37041.880029261156</v>
      </c>
      <c r="J181" s="115" cm="1">
        <f t="array" ref="J18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481544.44038039504</v>
      </c>
      <c r="K181" s="113"/>
    </row>
    <row r="182" spans="1:11" x14ac:dyDescent="0.3">
      <c r="A182" s="148">
        <v>46155</v>
      </c>
      <c r="B182" s="116" t="s">
        <v>500</v>
      </c>
      <c r="C182" s="113">
        <v>1702</v>
      </c>
      <c r="D182" s="113" t="s">
        <v>86</v>
      </c>
      <c r="E182" s="11">
        <v>2194</v>
      </c>
      <c r="F182" s="11">
        <v>30184</v>
      </c>
      <c r="G182" s="11">
        <v>7748</v>
      </c>
      <c r="H182" s="114">
        <f>_xlfn.XLOOKUP(Table1[[#This Row],[Shipment Number]], 'pivot '!A:A,'pivot '!G:G, "NF")</f>
        <v>3.6329919725706645</v>
      </c>
      <c r="I182" s="115">
        <f>Table1[[#This Row],[Tiyaar/gaz]]/1.0936</f>
        <v>7084.8573518653993</v>
      </c>
      <c r="J182" s="115" cm="1">
        <f t="array" ref="J18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85018.288222384785</v>
      </c>
      <c r="K182" s="113"/>
    </row>
    <row r="183" spans="1:11" x14ac:dyDescent="0.3">
      <c r="A183" s="118">
        <v>46155</v>
      </c>
      <c r="B183" s="116" t="s">
        <v>500</v>
      </c>
      <c r="C183" s="113">
        <v>1703</v>
      </c>
      <c r="D183" s="113" t="s">
        <v>86</v>
      </c>
      <c r="E183" s="11">
        <v>2194</v>
      </c>
      <c r="F183" s="11">
        <v>30184</v>
      </c>
      <c r="G183" s="11">
        <v>24062</v>
      </c>
      <c r="H183" s="114">
        <f>_xlfn.XLOOKUP(Table1[[#This Row],[Shipment Number]], 'pivot '!A:A,'pivot '!G:G, "NF")</f>
        <v>3.6329919725706645</v>
      </c>
      <c r="I183" s="115">
        <f>Table1[[#This Row],[Tiyaar/gaz]]/1.0936</f>
        <v>22002.56035113387</v>
      </c>
      <c r="J183" s="115" cm="1">
        <f t="array" ref="J18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264030.72421360645</v>
      </c>
      <c r="K183" s="113"/>
    </row>
    <row r="184" spans="1:11" x14ac:dyDescent="0.3">
      <c r="A184" s="118">
        <v>46157</v>
      </c>
      <c r="B184" s="116" t="s">
        <v>530</v>
      </c>
      <c r="C184" s="113">
        <v>1704</v>
      </c>
      <c r="D184" s="113" t="s">
        <v>85</v>
      </c>
      <c r="E184" s="11">
        <v>2198</v>
      </c>
      <c r="F184" s="11">
        <v>29612</v>
      </c>
      <c r="G184" s="11">
        <v>19224</v>
      </c>
      <c r="H184" s="114">
        <f>_xlfn.XLOOKUP(Table1[[#This Row],[Shipment Number]], 'pivot '!A:A,'pivot '!G:G, "NF")</f>
        <v>2.0525250197605516</v>
      </c>
      <c r="I184" s="115">
        <f>Table1[[#This Row],[Tiyaar/gaz]]/1.0936</f>
        <v>17578.639356254575</v>
      </c>
      <c r="J184" s="115" cm="1">
        <f t="array" ref="J18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175786.39356254574</v>
      </c>
      <c r="K184" s="113"/>
    </row>
    <row r="185" spans="1:11" x14ac:dyDescent="0.3">
      <c r="A185" s="118">
        <v>46157</v>
      </c>
      <c r="B185" s="116" t="s">
        <v>21</v>
      </c>
      <c r="C185" s="113">
        <v>1705</v>
      </c>
      <c r="D185" s="113" t="s">
        <v>85</v>
      </c>
      <c r="E185" s="11">
        <v>2192</v>
      </c>
      <c r="F185" s="11">
        <v>57164</v>
      </c>
      <c r="G185" s="11">
        <v>6620</v>
      </c>
      <c r="H185" s="114">
        <f>_xlfn.XLOOKUP(Table1[[#This Row],[Shipment Number]], 'pivot '!A:A,'pivot '!G:G, "NF")</f>
        <v>1.2469903326698102</v>
      </c>
      <c r="I185" s="115">
        <f>Table1[[#This Row],[Tiyaar/gaz]]/1.0936</f>
        <v>6053.4016093635701</v>
      </c>
      <c r="J185" s="115" cm="1">
        <f t="array" ref="J18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60534.016093635699</v>
      </c>
      <c r="K185" s="113"/>
    </row>
    <row r="186" spans="1:11" x14ac:dyDescent="0.3">
      <c r="A186" s="118">
        <v>46157</v>
      </c>
      <c r="B186" s="116" t="s">
        <v>21</v>
      </c>
      <c r="C186" s="113">
        <v>1706</v>
      </c>
      <c r="D186" s="113" t="s">
        <v>85</v>
      </c>
      <c r="E186" s="11">
        <v>2197</v>
      </c>
      <c r="F186" s="11">
        <v>9641</v>
      </c>
      <c r="G186" s="11">
        <v>10359</v>
      </c>
      <c r="H186" s="114">
        <f>_xlfn.XLOOKUP(Table1[[#This Row],[Shipment Number]], 'pivot '!A:A,'pivot '!G:G, "NF")</f>
        <v>1.7489390706464434</v>
      </c>
      <c r="I186" s="115">
        <f>Table1[[#This Row],[Tiyaar/gaz]]/1.0936</f>
        <v>9472.3847841989773</v>
      </c>
      <c r="J186" s="115" cm="1">
        <f t="array" ref="J18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94723.847841989773</v>
      </c>
      <c r="K186" s="113"/>
    </row>
    <row r="187" spans="1:11" x14ac:dyDescent="0.3">
      <c r="A187" s="118">
        <v>46157</v>
      </c>
      <c r="B187" s="116" t="s">
        <v>21</v>
      </c>
      <c r="C187" s="113">
        <v>1707</v>
      </c>
      <c r="D187" s="113" t="s">
        <v>85</v>
      </c>
      <c r="E187" s="11">
        <v>2192</v>
      </c>
      <c r="F187" s="11">
        <v>57164</v>
      </c>
      <c r="G187" s="11">
        <v>35279</v>
      </c>
      <c r="H187" s="114">
        <f>_xlfn.XLOOKUP(Table1[[#This Row],[Shipment Number]], 'pivot '!A:A,'pivot '!G:G, "NF")</f>
        <v>1.2469903326698102</v>
      </c>
      <c r="I187" s="115">
        <f>Table1[[#This Row],[Tiyaar/gaz]]/1.0936</f>
        <v>32259.509875640091</v>
      </c>
      <c r="J187" s="115" cm="1">
        <f t="array" ref="J18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322595.09875640093</v>
      </c>
      <c r="K187" s="113"/>
    </row>
    <row r="188" spans="1:11" x14ac:dyDescent="0.3">
      <c r="A188" s="118">
        <v>46157</v>
      </c>
      <c r="B188" s="116" t="s">
        <v>21</v>
      </c>
      <c r="C188" s="113">
        <v>1708</v>
      </c>
      <c r="D188" s="113" t="s">
        <v>231</v>
      </c>
      <c r="E188" s="11">
        <v>2161</v>
      </c>
      <c r="F188" s="11">
        <v>4032</v>
      </c>
      <c r="G188" s="11">
        <v>4192</v>
      </c>
      <c r="H188" s="114">
        <f>_xlfn.XLOOKUP(Table1[[#This Row],[Shipment Number]], 'pivot '!A:A,'pivot '!G:G, "NF")</f>
        <v>4.930272523542456</v>
      </c>
      <c r="I188" s="115">
        <f>Table1[[#This Row],[Tiyaar/gaz]]/1.0936</f>
        <v>3833.2114118507684</v>
      </c>
      <c r="J188" s="115" cm="1">
        <f t="array" ref="J18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38332.114118507685</v>
      </c>
      <c r="K188" s="113"/>
    </row>
    <row r="189" spans="1:11" x14ac:dyDescent="0.3">
      <c r="A189" s="118">
        <v>46157</v>
      </c>
      <c r="B189" s="116" t="s">
        <v>21</v>
      </c>
      <c r="C189" s="135">
        <v>1709</v>
      </c>
      <c r="D189" s="135" t="s">
        <v>85</v>
      </c>
      <c r="E189" s="136">
        <v>2178</v>
      </c>
      <c r="F189" s="136">
        <v>15645</v>
      </c>
      <c r="G189" s="11">
        <v>1591</v>
      </c>
      <c r="H189" s="114">
        <f>_xlfn.XLOOKUP(Table1[[#This Row],[Shipment Number]], 'pivot '!A:A,'pivot '!G:G, "NF")</f>
        <v>28.460261428648579</v>
      </c>
      <c r="I189" s="115">
        <f>Table1[[#This Row],[Tiyaar/gaz]]/1.0936</f>
        <v>1454.8280907095832</v>
      </c>
      <c r="J189" s="115" cm="1">
        <f t="array" ref="J18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14548.280907095832</v>
      </c>
      <c r="K189" s="113"/>
    </row>
    <row r="190" spans="1:11" x14ac:dyDescent="0.3">
      <c r="A190" s="118">
        <v>46157</v>
      </c>
      <c r="B190" s="116" t="s">
        <v>21</v>
      </c>
      <c r="C190" s="113">
        <v>1710</v>
      </c>
      <c r="D190" s="113" t="s">
        <v>231</v>
      </c>
      <c r="E190" s="11">
        <v>2175</v>
      </c>
      <c r="F190" s="11">
        <v>6003</v>
      </c>
      <c r="G190" s="11">
        <v>5324</v>
      </c>
      <c r="H190" s="114">
        <f>_xlfn.XLOOKUP(Table1[[#This Row],[Shipment Number]], 'pivot '!A:A,'pivot '!G:G, "NF")</f>
        <v>18.901802451614941</v>
      </c>
      <c r="I190" s="115">
        <f>Table1[[#This Row],[Tiyaar/gaz]]/1.0936</f>
        <v>4868.3247988295543</v>
      </c>
      <c r="J190" s="115" cm="1">
        <f t="array" ref="J19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48683.247988295545</v>
      </c>
      <c r="K190" s="113"/>
    </row>
    <row r="191" spans="1:11" x14ac:dyDescent="0.3">
      <c r="A191" s="118">
        <v>46157</v>
      </c>
      <c r="B191" s="116" t="s">
        <v>21</v>
      </c>
      <c r="C191" s="113">
        <v>1711</v>
      </c>
      <c r="D191" s="113" t="s">
        <v>231</v>
      </c>
      <c r="E191" s="11">
        <v>2163</v>
      </c>
      <c r="F191" s="11">
        <v>4051</v>
      </c>
      <c r="G191" s="11">
        <v>4170</v>
      </c>
      <c r="H191" s="114">
        <f>_xlfn.XLOOKUP(Table1[[#This Row],[Shipment Number]], 'pivot '!A:A,'pivot '!G:G, "NF")</f>
        <v>5.8727630899159209</v>
      </c>
      <c r="I191" s="115">
        <f>Table1[[#This Row],[Tiyaar/gaz]]/1.0936</f>
        <v>3813.0943672275057</v>
      </c>
      <c r="J191" s="115" cm="1">
        <f t="array" ref="J19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38130.943672275054</v>
      </c>
      <c r="K191" s="113"/>
    </row>
    <row r="192" spans="1:11" x14ac:dyDescent="0.3">
      <c r="A192" s="118">
        <v>46157</v>
      </c>
      <c r="B192" s="116" t="s">
        <v>21</v>
      </c>
      <c r="C192" s="113">
        <v>1712</v>
      </c>
      <c r="D192" s="113" t="s">
        <v>231</v>
      </c>
      <c r="E192" s="11">
        <v>2160</v>
      </c>
      <c r="F192" s="11">
        <v>2810</v>
      </c>
      <c r="G192" s="11">
        <v>2704</v>
      </c>
      <c r="H192" s="114">
        <f>_xlfn.XLOOKUP(Table1[[#This Row],[Shipment Number]], 'pivot '!A:A,'pivot '!G:G, "NF")</f>
        <v>12.008268098831891</v>
      </c>
      <c r="I192" s="115">
        <f>Table1[[#This Row],[Tiyaar/gaz]]/1.0936</f>
        <v>2472.567666422824</v>
      </c>
      <c r="J192" s="115" cm="1">
        <f t="array" ref="J19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24725.676664228238</v>
      </c>
      <c r="K192" s="113"/>
    </row>
    <row r="193" spans="1:11" x14ac:dyDescent="0.3">
      <c r="A193" s="118">
        <v>46157</v>
      </c>
      <c r="B193" s="116" t="s">
        <v>21</v>
      </c>
      <c r="C193" s="113">
        <v>1713</v>
      </c>
      <c r="D193" s="113" t="s">
        <v>231</v>
      </c>
      <c r="E193" s="11" t="s">
        <v>611</v>
      </c>
      <c r="F193" s="11">
        <v>2308</v>
      </c>
      <c r="G193" s="11">
        <v>2238</v>
      </c>
      <c r="H193" s="114">
        <f>_xlfn.XLOOKUP(Table1[[#This Row],[Shipment Number]], 'pivot '!A:A,'pivot '!G:G, "NF")</f>
        <v>11.332232025244707</v>
      </c>
      <c r="I193" s="115">
        <f>Table1[[#This Row],[Tiyaar/gaz]]/1.0936</f>
        <v>2046.452084857352</v>
      </c>
      <c r="J193" s="115" cm="1">
        <f t="array" ref="J19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20464.52084857352</v>
      </c>
      <c r="K193" s="113"/>
    </row>
    <row r="194" spans="1:11" x14ac:dyDescent="0.3">
      <c r="A194" s="118">
        <v>46157</v>
      </c>
      <c r="B194" s="116" t="s">
        <v>21</v>
      </c>
      <c r="C194" s="113">
        <v>1714</v>
      </c>
      <c r="D194" s="113" t="s">
        <v>231</v>
      </c>
      <c r="E194" s="11" t="s">
        <v>97</v>
      </c>
      <c r="F194" s="11" t="s">
        <v>97</v>
      </c>
      <c r="G194" s="11">
        <v>2192</v>
      </c>
      <c r="H194" s="114">
        <f>_xlfn.XLOOKUP(Table1[[#This Row],[Shipment Number]], 'pivot '!A:A,'pivot '!G:G, "NF")</f>
        <v>-5.0674587415249448</v>
      </c>
      <c r="I194" s="115">
        <f>Table1[[#This Row],[Tiyaar/gaz]]/1.0936</f>
        <v>2004.3891733723483</v>
      </c>
      <c r="J194" s="115" cm="1">
        <f t="array" ref="J19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20043.891733723482</v>
      </c>
      <c r="K194" s="113"/>
    </row>
    <row r="195" spans="1:11" x14ac:dyDescent="0.3">
      <c r="A195" s="118">
        <v>46158</v>
      </c>
      <c r="B195" s="116" t="s">
        <v>530</v>
      </c>
      <c r="C195" s="113">
        <v>1715</v>
      </c>
      <c r="D195" s="113" t="s">
        <v>85</v>
      </c>
      <c r="E195" s="11">
        <v>2198</v>
      </c>
      <c r="F195" s="11">
        <v>29612</v>
      </c>
      <c r="G195" s="11">
        <v>12495</v>
      </c>
      <c r="H195" s="114">
        <f>_xlfn.XLOOKUP(Table1[[#This Row],[Shipment Number]], 'pivot '!A:A,'pivot '!G:G, "NF")</f>
        <v>2.0525250197605516</v>
      </c>
      <c r="I195" s="115">
        <f>Table1[[#This Row],[Tiyaar/gaz]]/1.0936</f>
        <v>11425.56693489393</v>
      </c>
      <c r="J195" s="115" cm="1">
        <f t="array" ref="J19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114255.66934893929</v>
      </c>
      <c r="K195" s="113"/>
    </row>
    <row r="196" spans="1:11" x14ac:dyDescent="0.3">
      <c r="A196" s="118">
        <v>46158</v>
      </c>
      <c r="B196" s="116" t="s">
        <v>21</v>
      </c>
      <c r="C196" s="113">
        <v>1716</v>
      </c>
      <c r="D196" s="113" t="s">
        <v>231</v>
      </c>
      <c r="E196" s="11">
        <v>2179</v>
      </c>
      <c r="F196" s="11">
        <v>35766</v>
      </c>
      <c r="G196" s="11">
        <v>36604</v>
      </c>
      <c r="H196" s="114">
        <f>_xlfn.XLOOKUP(Table1[[#This Row],[Shipment Number]], 'pivot '!A:A,'pivot '!G:G, "NF")</f>
        <v>6.4164161252808753</v>
      </c>
      <c r="I196" s="115">
        <f>Table1[[#This Row],[Tiyaar/gaz]]/1.0936</f>
        <v>33471.104608632042</v>
      </c>
      <c r="J196" s="115" cm="1">
        <f t="array" ref="J19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334711.04608632042</v>
      </c>
      <c r="K196" s="113"/>
    </row>
    <row r="197" spans="1:11" x14ac:dyDescent="0.3">
      <c r="A197" s="118">
        <v>46158</v>
      </c>
      <c r="B197" s="116" t="s">
        <v>21</v>
      </c>
      <c r="C197" s="113">
        <v>1717</v>
      </c>
      <c r="D197" s="113" t="s">
        <v>231</v>
      </c>
      <c r="E197" s="11">
        <v>2196</v>
      </c>
      <c r="F197" s="11">
        <v>5782</v>
      </c>
      <c r="G197" s="11">
        <v>5794</v>
      </c>
      <c r="H197" s="114">
        <f>_xlfn.XLOOKUP(Table1[[#This Row],[Shipment Number]], 'pivot '!A:A,'pivot '!G:G, "NF")</f>
        <v>8.369110604081925</v>
      </c>
      <c r="I197" s="115">
        <f>Table1[[#This Row],[Tiyaar/gaz]]/1.0936</f>
        <v>5298.0980248719825</v>
      </c>
      <c r="J197" s="115" cm="1">
        <f t="array" ref="J19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52980.980248719825</v>
      </c>
      <c r="K197" s="113"/>
    </row>
    <row r="198" spans="1:11" x14ac:dyDescent="0.3">
      <c r="A198" s="118">
        <v>46160</v>
      </c>
      <c r="B198" s="116" t="s">
        <v>22</v>
      </c>
      <c r="C198" s="113">
        <v>1718</v>
      </c>
      <c r="D198" s="113" t="s">
        <v>86</v>
      </c>
      <c r="E198" s="11">
        <v>2202</v>
      </c>
      <c r="F198" s="11">
        <v>30431</v>
      </c>
      <c r="G198" s="11">
        <v>31404</v>
      </c>
      <c r="H198" s="114">
        <f>_xlfn.XLOOKUP(Table1[[#This Row],[Shipment Number]], 'pivot '!A:A,'pivot '!G:G, "NF")</f>
        <v>5.6351523492880631</v>
      </c>
      <c r="I198" s="115">
        <f>Table1[[#This Row],[Tiyaar/gaz]]/1.0936</f>
        <v>28716.166788588151</v>
      </c>
      <c r="J198" s="115" cm="1">
        <f t="array" ref="J19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373310.16825164598</v>
      </c>
      <c r="K198" s="113"/>
    </row>
    <row r="199" spans="1:11" x14ac:dyDescent="0.3">
      <c r="A199" s="118">
        <v>46160</v>
      </c>
      <c r="B199" s="116" t="s">
        <v>530</v>
      </c>
      <c r="C199" s="113">
        <v>1719</v>
      </c>
      <c r="D199" s="113" t="s">
        <v>86</v>
      </c>
      <c r="E199" s="11">
        <v>2199</v>
      </c>
      <c r="F199" s="11">
        <v>2332</v>
      </c>
      <c r="G199" s="11">
        <v>2498</v>
      </c>
      <c r="H199" s="114">
        <f>_xlfn.XLOOKUP(Table1[[#This Row],[Shipment Number]], 'pivot '!A:A,'pivot '!G:G, "NF")</f>
        <v>2.0497866269490999</v>
      </c>
      <c r="I199" s="115">
        <f>Table1[[#This Row],[Tiyaar/gaz]]/1.0936</f>
        <v>2284.1989758595469</v>
      </c>
      <c r="J199" s="115" cm="1">
        <f t="array" ref="J19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29694.586686174109</v>
      </c>
      <c r="K199" s="113"/>
    </row>
    <row r="200" spans="1:11" x14ac:dyDescent="0.3">
      <c r="A200" s="118">
        <v>46160</v>
      </c>
      <c r="B200" s="116" t="s">
        <v>27</v>
      </c>
      <c r="C200" s="113">
        <v>1720</v>
      </c>
      <c r="D200" s="113" t="s">
        <v>231</v>
      </c>
      <c r="E200" s="11" t="s">
        <v>612</v>
      </c>
      <c r="F200" s="11"/>
      <c r="G200" s="11">
        <v>1756</v>
      </c>
      <c r="H200" s="114" t="e">
        <f>_xlfn.XLOOKUP(Table1[[#This Row],[Shipment Number]], 'pivot '!A:A,'pivot '!G:G, "NF")</f>
        <v>#DIV/0!</v>
      </c>
      <c r="I200" s="115">
        <f>Table1[[#This Row],[Tiyaar/gaz]]/1.0936</f>
        <v>1605.7059253840528</v>
      </c>
      <c r="J200" s="115" cm="1">
        <f t="array" ref="J20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16057.059253840527</v>
      </c>
      <c r="K200" s="113"/>
    </row>
    <row r="201" spans="1:11" x14ac:dyDescent="0.3">
      <c r="A201" s="118">
        <v>46160</v>
      </c>
      <c r="B201" s="116" t="s">
        <v>189</v>
      </c>
      <c r="C201" s="113">
        <v>1721</v>
      </c>
      <c r="D201" s="113" t="s">
        <v>86</v>
      </c>
      <c r="E201" s="11" t="s">
        <v>613</v>
      </c>
      <c r="F201" s="11">
        <v>4165</v>
      </c>
      <c r="G201" s="11">
        <v>4446</v>
      </c>
      <c r="H201" s="114">
        <f>_xlfn.XLOOKUP(Table1[[#This Row],[Shipment Number]], 'pivot '!A:A,'pivot '!G:G, "NF")</f>
        <v>2.3896317854134992</v>
      </c>
      <c r="I201" s="115">
        <f>Table1[[#This Row],[Tiyaar/gaz]]/1.0936</f>
        <v>4065.4718361375276</v>
      </c>
      <c r="J201" s="115" cm="1">
        <f t="array" ref="J20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52851.13386978786</v>
      </c>
      <c r="K201" s="113"/>
    </row>
    <row r="202" spans="1:11" x14ac:dyDescent="0.3">
      <c r="A202" s="118">
        <v>46160</v>
      </c>
      <c r="B202" s="116" t="s">
        <v>189</v>
      </c>
      <c r="C202" s="113">
        <v>1722</v>
      </c>
      <c r="D202" s="113" t="s">
        <v>85</v>
      </c>
      <c r="E202" s="11" t="s">
        <v>614</v>
      </c>
      <c r="F202" s="11">
        <v>30095</v>
      </c>
      <c r="G202" s="11">
        <v>32028</v>
      </c>
      <c r="H202" s="114">
        <f>_xlfn.XLOOKUP(Table1[[#This Row],[Shipment Number]], 'pivot '!A:A,'pivot '!G:G, "NF")</f>
        <v>2.6856310782740707</v>
      </c>
      <c r="I202" s="115">
        <f>Table1[[#This Row],[Tiyaar/gaz]]/1.0936</f>
        <v>29286.759326993419</v>
      </c>
      <c r="J202" s="115" cm="1">
        <f t="array" ref="J20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292867.59326993418</v>
      </c>
      <c r="K202" s="113"/>
    </row>
    <row r="203" spans="1:11" x14ac:dyDescent="0.3">
      <c r="A203" s="124">
        <v>46160</v>
      </c>
      <c r="B203" s="125" t="s">
        <v>21</v>
      </c>
      <c r="C203" s="126">
        <v>1723</v>
      </c>
      <c r="D203" s="126" t="s">
        <v>85</v>
      </c>
      <c r="E203" s="127">
        <v>2500</v>
      </c>
      <c r="F203" s="127">
        <v>18246</v>
      </c>
      <c r="G203" s="127">
        <v>19353</v>
      </c>
      <c r="H203" s="128">
        <f>_xlfn.XLOOKUP(Table1[[#This Row],[Shipment Number]], 'pivot '!A:A,'pivot '!G:G, "NF")</f>
        <v>3.011079740017351</v>
      </c>
      <c r="I203" s="129">
        <f>Table1[[#This Row],[Tiyaar/gaz]]/1.0936</f>
        <v>17696.598390636431</v>
      </c>
      <c r="J203" s="129" cm="1">
        <f t="array" ref="J20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176965.9839063643</v>
      </c>
      <c r="K203" s="113"/>
    </row>
    <row r="204" spans="1:11" x14ac:dyDescent="0.3">
      <c r="A204" s="118">
        <v>46163</v>
      </c>
      <c r="B204" s="116" t="s">
        <v>441</v>
      </c>
      <c r="C204" s="113">
        <v>1724</v>
      </c>
      <c r="D204" s="113" t="s">
        <v>447</v>
      </c>
      <c r="E204" s="11">
        <v>2205</v>
      </c>
      <c r="F204" s="11">
        <v>14922</v>
      </c>
      <c r="G204" s="11">
        <v>14491</v>
      </c>
      <c r="H204" s="114">
        <f>_xlfn.XLOOKUP(Table1[[#This Row],[Shipment Number]], 'pivot '!A:A,'pivot '!G:G, "NF")</f>
        <v>11.200029963172554</v>
      </c>
      <c r="I204" s="115">
        <f>Table1[[#This Row],[Tiyaar/gaz]]/1.0936</f>
        <v>13250.731528895392</v>
      </c>
      <c r="J204" s="137" cm="1">
        <f t="array" ref="J20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198760.97293343089</v>
      </c>
      <c r="K204" s="113"/>
    </row>
    <row r="205" spans="1:11" x14ac:dyDescent="0.3">
      <c r="A205" s="118">
        <v>46163</v>
      </c>
      <c r="B205" s="116" t="s">
        <v>27</v>
      </c>
      <c r="C205" s="113">
        <v>1725</v>
      </c>
      <c r="D205" s="113" t="s">
        <v>86</v>
      </c>
      <c r="E205" s="11">
        <v>2207</v>
      </c>
      <c r="F205" s="11">
        <v>27810</v>
      </c>
      <c r="G205" s="11">
        <v>29585</v>
      </c>
      <c r="H205" s="114">
        <f>_xlfn.XLOOKUP(Table1[[#This Row],[Shipment Number]], 'pivot '!A:A,'pivot '!G:G, "NF")</f>
        <v>2.722571151772641</v>
      </c>
      <c r="I205" s="115">
        <f>Table1[[#This Row],[Tiyaar/gaz]]/1.0936</f>
        <v>27052.852962692028</v>
      </c>
      <c r="J205" s="115" cm="1">
        <f t="array" ref="J20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351687.08851499634</v>
      </c>
      <c r="K205" s="113"/>
    </row>
    <row r="206" spans="1:11" x14ac:dyDescent="0.3">
      <c r="A206" s="118">
        <v>46163</v>
      </c>
      <c r="B206" s="116" t="s">
        <v>21</v>
      </c>
      <c r="C206" s="113">
        <v>1726</v>
      </c>
      <c r="D206" s="113" t="s">
        <v>231</v>
      </c>
      <c r="E206" s="11" t="s">
        <v>97</v>
      </c>
      <c r="F206" s="11">
        <v>2087</v>
      </c>
      <c r="G206" s="11">
        <v>206</v>
      </c>
      <c r="H206" s="114">
        <f>_xlfn.XLOOKUP(Table1[[#This Row],[Shipment Number]], 'pivot '!A:A,'pivot '!G:G, "NF")</f>
        <v>-5.0674587415249448</v>
      </c>
      <c r="I206" s="115">
        <f>Table1[[#This Row],[Tiyaar/gaz]]/1.0936</f>
        <v>188.36869056327726</v>
      </c>
      <c r="J206" s="115" cm="1">
        <f t="array" ref="J20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1883.6869056327726</v>
      </c>
      <c r="K206" s="113"/>
    </row>
    <row r="207" spans="1:11" x14ac:dyDescent="0.3">
      <c r="A207" s="118">
        <v>46163</v>
      </c>
      <c r="B207" s="116" t="s">
        <v>21</v>
      </c>
      <c r="C207" s="113">
        <v>1727</v>
      </c>
      <c r="D207" s="113" t="s">
        <v>231</v>
      </c>
      <c r="E207" s="11" t="s">
        <v>615</v>
      </c>
      <c r="F207" s="11">
        <v>3244</v>
      </c>
      <c r="G207" s="11">
        <v>3296</v>
      </c>
      <c r="H207" s="114">
        <f>_xlfn.XLOOKUP(Table1[[#This Row],[Shipment Number]], 'pivot '!A:A,'pivot '!G:G, "NF")</f>
        <v>7.0931242597892634</v>
      </c>
      <c r="I207" s="115">
        <f>Table1[[#This Row],[Tiyaar/gaz]]/1.0936</f>
        <v>3013.8990490124361</v>
      </c>
      <c r="J207" s="115" cm="1">
        <f t="array" ref="J20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30138.990490124361</v>
      </c>
      <c r="K207" s="113"/>
    </row>
    <row r="208" spans="1:11" x14ac:dyDescent="0.3">
      <c r="A208" s="118">
        <v>46163</v>
      </c>
      <c r="B208" s="116" t="s">
        <v>21</v>
      </c>
      <c r="C208" s="113">
        <v>1728</v>
      </c>
      <c r="D208" s="113" t="s">
        <v>231</v>
      </c>
      <c r="E208" s="11">
        <v>2203</v>
      </c>
      <c r="F208" s="11">
        <v>9612</v>
      </c>
      <c r="G208" s="11">
        <v>10216</v>
      </c>
      <c r="H208" s="114">
        <f>_xlfn.XLOOKUP(Table1[[#This Row],[Shipment Number]], 'pivot '!A:A,'pivot '!G:G, "NF")</f>
        <v>2.8129006018750573</v>
      </c>
      <c r="I208" s="115">
        <f>Table1[[#This Row],[Tiyaar/gaz]]/1.0936</f>
        <v>9341.6239941477688</v>
      </c>
      <c r="J208" s="115" cm="1">
        <f t="array" ref="J20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93416.239941477688</v>
      </c>
      <c r="K208" s="113"/>
    </row>
    <row r="209" spans="1:11" x14ac:dyDescent="0.3">
      <c r="A209" s="118">
        <v>46164</v>
      </c>
      <c r="B209" s="116" t="s">
        <v>27</v>
      </c>
      <c r="C209" s="113">
        <v>1729</v>
      </c>
      <c r="D209" s="113" t="s">
        <v>85</v>
      </c>
      <c r="E209" s="11">
        <v>2210</v>
      </c>
      <c r="F209" s="11">
        <v>53625</v>
      </c>
      <c r="G209" s="11">
        <v>12287</v>
      </c>
      <c r="H209" s="114">
        <f>_xlfn.XLOOKUP(Table1[[#This Row],[Shipment Number]], 'pivot '!A:A,'pivot '!G:G, "NF")</f>
        <v>2.9078699890696953</v>
      </c>
      <c r="I209" s="115">
        <f>Table1[[#This Row],[Tiyaar/gaz]]/1.0936</f>
        <v>11235.369422092173</v>
      </c>
      <c r="J209" s="115" cm="1">
        <f t="array" ref="J20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112353.69422092174</v>
      </c>
      <c r="K209" s="113"/>
    </row>
    <row r="210" spans="1:11" x14ac:dyDescent="0.3">
      <c r="A210" s="118">
        <v>46164</v>
      </c>
      <c r="B210" s="116" t="s">
        <v>27</v>
      </c>
      <c r="C210" s="113">
        <v>1730</v>
      </c>
      <c r="D210" s="113" t="s">
        <v>85</v>
      </c>
      <c r="E210" s="11">
        <v>2210</v>
      </c>
      <c r="F210" s="11">
        <v>53625</v>
      </c>
      <c r="G210" s="11">
        <v>44652</v>
      </c>
      <c r="H210" s="114">
        <f>_xlfn.XLOOKUP(Table1[[#This Row],[Shipment Number]], 'pivot '!A:A,'pivot '!G:G, "NF")</f>
        <v>2.9078699890696953</v>
      </c>
      <c r="I210" s="115">
        <f>Table1[[#This Row],[Tiyaar/gaz]]/1.0936</f>
        <v>40830.285296269205</v>
      </c>
      <c r="J210" s="115" cm="1">
        <f t="array" ref="J21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408302.85296269204</v>
      </c>
      <c r="K210" s="113"/>
    </row>
    <row r="211" spans="1:11" x14ac:dyDescent="0.3">
      <c r="A211" s="118">
        <v>46167</v>
      </c>
      <c r="B211" s="116" t="s">
        <v>176</v>
      </c>
      <c r="C211" s="113">
        <v>1731</v>
      </c>
      <c r="D211" s="113" t="s">
        <v>206</v>
      </c>
      <c r="E211" s="11">
        <v>2214</v>
      </c>
      <c r="F211" s="11">
        <v>44943</v>
      </c>
      <c r="G211" s="11">
        <v>40590</v>
      </c>
      <c r="H211" s="114">
        <f>_xlfn.XLOOKUP(Table1[[#This Row],[Shipment Number]], 'pivot '!A:A,'pivot '!G:G, "NF")</f>
        <v>3.4052415348313758</v>
      </c>
      <c r="I211" s="115">
        <f>Table1[[#This Row],[Tiyaar/gaz]]/1.0936</f>
        <v>37115.947329919538</v>
      </c>
      <c r="J211" s="115">
        <f>Table1[[#This Row],[tiyar/meters]]*11</f>
        <v>408275.4206291149</v>
      </c>
      <c r="K211" s="113"/>
    </row>
    <row r="212" spans="1:11" x14ac:dyDescent="0.3">
      <c r="A212" s="118">
        <v>46167</v>
      </c>
      <c r="B212" s="116" t="s">
        <v>176</v>
      </c>
      <c r="C212" s="113">
        <v>1732</v>
      </c>
      <c r="D212" s="113" t="s">
        <v>206</v>
      </c>
      <c r="E212" s="11">
        <v>2214</v>
      </c>
      <c r="F212" s="11">
        <v>44943</v>
      </c>
      <c r="G212" s="11">
        <v>6886</v>
      </c>
      <c r="H212" s="114">
        <f>_xlfn.XLOOKUP(Table1[[#This Row],[Shipment Number]], 'pivot '!A:A,'pivot '!G:G, "NF")</f>
        <v>3.4052415348313758</v>
      </c>
      <c r="I212" s="115">
        <f>Table1[[#This Row],[Tiyaar/gaz]]/1.0936</f>
        <v>6296.6349670812006</v>
      </c>
      <c r="J212" s="115">
        <f>Table1[[#This Row],[tiyar/meters]]*11</f>
        <v>69262.984637893212</v>
      </c>
      <c r="K212" s="113"/>
    </row>
    <row r="213" spans="1:11" x14ac:dyDescent="0.3">
      <c r="A213" s="118">
        <v>46167</v>
      </c>
      <c r="B213" s="116" t="s">
        <v>176</v>
      </c>
      <c r="C213" s="113">
        <v>1733</v>
      </c>
      <c r="D213" s="113" t="s">
        <v>274</v>
      </c>
      <c r="E213" s="11">
        <v>2215</v>
      </c>
      <c r="F213" s="11">
        <v>3800</v>
      </c>
      <c r="G213" s="11">
        <v>4120</v>
      </c>
      <c r="H213" s="114">
        <f>_xlfn.XLOOKUP(Table1[[#This Row],[Shipment Number]], 'pivot '!A:A,'pivot '!G:G, "NF")</f>
        <v>0.85858391406459589</v>
      </c>
      <c r="I213" s="115">
        <f>Table1[[#This Row],[Tiyaar/gaz]]/1.0936</f>
        <v>3767.3738112655451</v>
      </c>
      <c r="J213" s="115" cm="1">
        <f t="array" ref="J21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45208.485735186543</v>
      </c>
      <c r="K213" s="113"/>
    </row>
    <row r="214" spans="1:11" x14ac:dyDescent="0.3">
      <c r="A214" s="118">
        <v>46167</v>
      </c>
      <c r="B214" s="116" t="s">
        <v>441</v>
      </c>
      <c r="C214" s="113">
        <v>1734</v>
      </c>
      <c r="D214" s="113" t="s">
        <v>447</v>
      </c>
      <c r="E214" s="11">
        <v>2213</v>
      </c>
      <c r="F214" s="11">
        <v>24903</v>
      </c>
      <c r="G214" s="11">
        <v>24785</v>
      </c>
      <c r="H214" s="114">
        <f>_xlfn.XLOOKUP(Table1[[#This Row],[Shipment Number]], 'pivot '!A:A,'pivot '!G:G, "NF")</f>
        <v>8.9921712631256412</v>
      </c>
      <c r="I214" s="115">
        <f>Table1[[#This Row],[Tiyaar/gaz]]/1.0936</f>
        <v>22663.679590343821</v>
      </c>
      <c r="J214" s="115" cm="1">
        <f t="array" ref="J21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339955.1938551573</v>
      </c>
      <c r="K214" s="113"/>
    </row>
    <row r="215" spans="1:11" x14ac:dyDescent="0.3">
      <c r="A215" s="118">
        <v>46167</v>
      </c>
      <c r="B215" s="116" t="s">
        <v>280</v>
      </c>
      <c r="C215" s="113">
        <v>1735</v>
      </c>
      <c r="D215" s="113" t="s">
        <v>231</v>
      </c>
      <c r="E215" s="11">
        <v>1639</v>
      </c>
      <c r="F215" s="11">
        <v>26048</v>
      </c>
      <c r="G215" s="11">
        <f>27444</f>
        <v>27444</v>
      </c>
      <c r="H215" s="114">
        <f>_xlfn.XLOOKUP(Table1[[#This Row],[Shipment Number]], 'pivot '!A:A,'pivot '!G:G, "NF")</f>
        <v>3.6582510887558328</v>
      </c>
      <c r="I215" s="115">
        <f>Table1[[#This Row],[Tiyaar/gaz]]/1.0936</f>
        <v>25095.098756400879</v>
      </c>
      <c r="J215" s="115" cm="1">
        <f t="array" ref="J21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250950.9875640088</v>
      </c>
      <c r="K215" s="113"/>
    </row>
    <row r="216" spans="1:11" x14ac:dyDescent="0.3">
      <c r="A216" s="118">
        <v>46167</v>
      </c>
      <c r="B216" s="116" t="s">
        <v>280</v>
      </c>
      <c r="C216" s="113">
        <v>1736</v>
      </c>
      <c r="D216" s="113" t="s">
        <v>231</v>
      </c>
      <c r="E216" s="11">
        <v>1636</v>
      </c>
      <c r="F216" s="11">
        <v>26025</v>
      </c>
      <c r="G216" s="11">
        <v>27459</v>
      </c>
      <c r="H216" s="114">
        <f>_xlfn.XLOOKUP(Table1[[#This Row],[Shipment Number]], 'pivot '!A:A,'pivot '!G:G, "NF")</f>
        <v>3.5204037533546</v>
      </c>
      <c r="I216" s="115">
        <f>Table1[[#This Row],[Tiyaar/gaz]]/1.0936</f>
        <v>25108.814923189468</v>
      </c>
      <c r="J216" s="115" cm="1">
        <f t="array" ref="J21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251088.14923189467</v>
      </c>
      <c r="K216" s="113"/>
    </row>
    <row r="217" spans="1:11" x14ac:dyDescent="0.3">
      <c r="A217" s="144">
        <v>46167</v>
      </c>
      <c r="B217" s="145"/>
      <c r="C217" s="135">
        <v>1737</v>
      </c>
      <c r="D217" s="135"/>
      <c r="E217" s="136"/>
      <c r="F217" s="136"/>
      <c r="G217" s="136"/>
      <c r="H217" s="146"/>
      <c r="I217" s="137"/>
      <c r="J217" s="137"/>
      <c r="K217" s="135"/>
    </row>
    <row r="218" spans="1:11" x14ac:dyDescent="0.3">
      <c r="A218" s="144">
        <v>46167</v>
      </c>
      <c r="B218" s="145"/>
      <c r="C218" s="135">
        <v>1738</v>
      </c>
      <c r="D218" s="135"/>
      <c r="E218" s="136"/>
      <c r="F218" s="136"/>
      <c r="G218" s="136"/>
      <c r="H218" s="146"/>
      <c r="I218" s="137"/>
      <c r="J218" s="137"/>
      <c r="K218" s="135"/>
    </row>
    <row r="219" spans="1:11" x14ac:dyDescent="0.3">
      <c r="A219" s="118">
        <v>46167</v>
      </c>
      <c r="B219" s="116" t="s">
        <v>258</v>
      </c>
      <c r="C219" s="113">
        <v>1739</v>
      </c>
      <c r="D219" s="113" t="s">
        <v>86</v>
      </c>
      <c r="E219" s="11">
        <v>2173</v>
      </c>
      <c r="F219" s="11">
        <v>46820</v>
      </c>
      <c r="G219" s="11">
        <v>1448</v>
      </c>
      <c r="H219" s="114">
        <f>_xlfn.XLOOKUP(Table1[[#This Row],[Shipment Number]], 'pivot '!A:A,'pivot '!G:G, "NF")</f>
        <v>4.2778347369667671</v>
      </c>
      <c r="I219" s="115">
        <f>Table1[[#This Row],[Tiyaar/gaz]]/1.0936</f>
        <v>1324.0673006583761</v>
      </c>
      <c r="J219" s="115" cm="1">
        <f t="array" ref="J21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17212.87490855889</v>
      </c>
      <c r="K219" s="113"/>
    </row>
    <row r="220" spans="1:11" x14ac:dyDescent="0.3">
      <c r="A220" s="118">
        <v>46167</v>
      </c>
      <c r="B220" s="116" t="s">
        <v>258</v>
      </c>
      <c r="C220" s="113">
        <v>1740</v>
      </c>
      <c r="D220" s="113" t="s">
        <v>86</v>
      </c>
      <c r="E220" s="11">
        <v>2109</v>
      </c>
      <c r="F220" s="11"/>
      <c r="G220" s="11">
        <v>2870</v>
      </c>
      <c r="H220" s="114" t="e">
        <f>_xlfn.XLOOKUP(Table1[[#This Row],[Shipment Number]], 'pivot '!A:A,'pivot '!G:G, "NF")</f>
        <v>#DIV/0!</v>
      </c>
      <c r="I220" s="115">
        <f>Table1[[#This Row],[Tiyaar/gaz]]/1.0936</f>
        <v>2624.3599122165328</v>
      </c>
      <c r="J220" s="115" cm="1">
        <f t="array" ref="J22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34116.678858814928</v>
      </c>
      <c r="K220" s="113"/>
    </row>
    <row r="221" spans="1:11" x14ac:dyDescent="0.3">
      <c r="A221" s="118">
        <v>46167</v>
      </c>
      <c r="B221" s="116" t="s">
        <v>441</v>
      </c>
      <c r="C221" s="113">
        <v>1741</v>
      </c>
      <c r="D221" s="113" t="s">
        <v>86</v>
      </c>
      <c r="E221" s="11">
        <v>2208</v>
      </c>
      <c r="F221" s="11">
        <v>73515</v>
      </c>
      <c r="G221" s="11">
        <v>38150</v>
      </c>
      <c r="H221" s="114">
        <f>_xlfn.XLOOKUP(Table1[[#This Row],[Shipment Number]], 'pivot '!A:A,'pivot '!G:G, "NF")</f>
        <v>3.9604008179311876</v>
      </c>
      <c r="I221" s="115">
        <f>Table1[[#This Row],[Tiyaar/gaz]]/1.0936</f>
        <v>34884.78419897586</v>
      </c>
      <c r="J221" s="115">
        <f>Table1[[#This Row],[tiyar/meters]]*12</f>
        <v>418617.41038771032</v>
      </c>
      <c r="K221" s="113"/>
    </row>
    <row r="222" spans="1:11" x14ac:dyDescent="0.3">
      <c r="A222" s="118">
        <v>46167</v>
      </c>
      <c r="B222" s="116" t="s">
        <v>441</v>
      </c>
      <c r="C222" s="113">
        <v>1742</v>
      </c>
      <c r="D222" s="113" t="s">
        <v>86</v>
      </c>
      <c r="E222" s="11">
        <v>2208</v>
      </c>
      <c r="F222" s="11">
        <v>73515</v>
      </c>
      <c r="G222" s="11">
        <v>15552</v>
      </c>
      <c r="H222" s="114">
        <f>_xlfn.XLOOKUP(Table1[[#This Row],[Shipment Number]], 'pivot '!A:A,'pivot '!G:G, "NF")</f>
        <v>3.9604008179311876</v>
      </c>
      <c r="I222" s="115">
        <f>Table1[[#This Row],[Tiyaar/gaz]]/1.0936</f>
        <v>14220.921726408194</v>
      </c>
      <c r="J222" s="115">
        <f>Table1[[#This Row],[tiyar/meters]]*12</f>
        <v>170651.06071689833</v>
      </c>
      <c r="K222" s="113"/>
    </row>
    <row r="223" spans="1:11" x14ac:dyDescent="0.3">
      <c r="A223" s="118">
        <v>46167</v>
      </c>
      <c r="B223" s="116" t="s">
        <v>441</v>
      </c>
      <c r="C223" s="113">
        <v>1743</v>
      </c>
      <c r="D223" s="113" t="s">
        <v>86</v>
      </c>
      <c r="E223" s="11">
        <v>2208</v>
      </c>
      <c r="F223" s="11">
        <v>73515</v>
      </c>
      <c r="G223" s="11">
        <v>23510</v>
      </c>
      <c r="H223" s="114">
        <f>_xlfn.XLOOKUP(Table1[[#This Row],[Shipment Number]], 'pivot '!A:A,'pivot '!G:G, "NF")</f>
        <v>3.9604008179311876</v>
      </c>
      <c r="I223" s="115">
        <f>Table1[[#This Row],[Tiyaar/gaz]]/1.0936</f>
        <v>21497.805413313828</v>
      </c>
      <c r="J223" s="115">
        <f>Table1[[#This Row],[tiyar/meters]]*12</f>
        <v>257973.66495976594</v>
      </c>
      <c r="K223" s="113"/>
    </row>
    <row r="224" spans="1:11" x14ac:dyDescent="0.3">
      <c r="A224" s="118">
        <v>46167</v>
      </c>
      <c r="B224" s="116" t="s">
        <v>441</v>
      </c>
      <c r="C224" s="113">
        <v>1744</v>
      </c>
      <c r="D224" s="113" t="s">
        <v>86</v>
      </c>
      <c r="E224" s="11">
        <v>2201</v>
      </c>
      <c r="F224" s="11">
        <v>83485</v>
      </c>
      <c r="G224" s="11">
        <v>38261</v>
      </c>
      <c r="H224" s="114">
        <f>_xlfn.XLOOKUP(Table1[[#This Row],[Shipment Number]], 'pivot '!A:A,'pivot '!G:G, "NF")</f>
        <v>4.5227079546242663</v>
      </c>
      <c r="I224" s="115">
        <f>Table1[[#This Row],[Tiyaar/gaz]]/1.0936</f>
        <v>34986.283833211412</v>
      </c>
      <c r="J224" s="115">
        <f>Table1[[#This Row],[tiyar/meters]]*12</f>
        <v>419835.40599853697</v>
      </c>
      <c r="K224" s="113"/>
    </row>
    <row r="225" spans="1:11" x14ac:dyDescent="0.3">
      <c r="A225" s="118">
        <v>46167</v>
      </c>
      <c r="B225" s="116" t="s">
        <v>441</v>
      </c>
      <c r="C225" s="113">
        <v>1745</v>
      </c>
      <c r="D225" s="113" t="s">
        <v>86</v>
      </c>
      <c r="E225" s="11">
        <v>2201</v>
      </c>
      <c r="F225" s="11">
        <v>83485</v>
      </c>
      <c r="G225" s="11">
        <v>28576</v>
      </c>
      <c r="H225" s="114">
        <f>_xlfn.XLOOKUP(Table1[[#This Row],[Shipment Number]], 'pivot '!A:A,'pivot '!G:G, "NF")</f>
        <v>4.5227079546242663</v>
      </c>
      <c r="I225" s="115">
        <f>Table1[[#This Row],[Tiyaar/gaz]]/1.0936</f>
        <v>26130.212143379667</v>
      </c>
      <c r="J225" s="115">
        <f>Table1[[#This Row],[tiyar/meters]]*12</f>
        <v>313562.54572055599</v>
      </c>
      <c r="K225" s="113"/>
    </row>
    <row r="226" spans="1:11" x14ac:dyDescent="0.3">
      <c r="A226" s="118">
        <v>46183</v>
      </c>
      <c r="B226" s="116" t="s">
        <v>21</v>
      </c>
      <c r="C226" s="113">
        <v>1746</v>
      </c>
      <c r="D226" s="113" t="s">
        <v>86</v>
      </c>
      <c r="E226" s="11" t="s">
        <v>726</v>
      </c>
      <c r="F226" s="11">
        <v>33085</v>
      </c>
      <c r="G226" s="11">
        <v>31683</v>
      </c>
      <c r="H226" s="114">
        <f>_xlfn.XLOOKUP(Table1[[#This Row],[Shipment Number]], 'pivot '!A:A,'pivot '!G:G, "NF")</f>
        <v>12.433769107281563</v>
      </c>
      <c r="I226" s="115">
        <f>Table1[[#This Row],[Tiyaar/gaz]]/1.0936</f>
        <v>28971.287490855892</v>
      </c>
      <c r="J226" s="115" cm="1">
        <f t="array" ref="J22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376626.73738112662</v>
      </c>
      <c r="K226" s="113"/>
    </row>
    <row r="227" spans="1:11" x14ac:dyDescent="0.3">
      <c r="A227" s="118">
        <v>46183</v>
      </c>
      <c r="B227" s="116" t="s">
        <v>21</v>
      </c>
      <c r="C227" s="113">
        <v>1747</v>
      </c>
      <c r="D227" s="113" t="s">
        <v>85</v>
      </c>
      <c r="E227" s="11">
        <v>2211</v>
      </c>
      <c r="F227" s="11">
        <v>7182</v>
      </c>
      <c r="G227" s="11">
        <v>7337</v>
      </c>
      <c r="H227" s="114">
        <f>_xlfn.XLOOKUP(Table1[[#This Row],[Shipment Number]], 'pivot '!A:A,'pivot '!G:G, "NF")</f>
        <v>6.5854304948749132</v>
      </c>
      <c r="I227" s="115">
        <f>Table1[[#This Row],[Tiyaar/gaz]]/1.0936</f>
        <v>6709.0343818580841</v>
      </c>
      <c r="J227" s="115" cm="1">
        <f t="array" ref="J22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67090.343818580848</v>
      </c>
      <c r="K227" s="113"/>
    </row>
    <row r="228" spans="1:11" x14ac:dyDescent="0.3">
      <c r="A228" s="118">
        <v>46183</v>
      </c>
      <c r="B228" s="116" t="s">
        <v>21</v>
      </c>
      <c r="C228" s="113">
        <v>1748</v>
      </c>
      <c r="D228" s="113" t="s">
        <v>86</v>
      </c>
      <c r="E228" s="11">
        <v>2212</v>
      </c>
      <c r="F228" s="11">
        <v>1558</v>
      </c>
      <c r="G228" s="11">
        <v>1527</v>
      </c>
      <c r="H228" s="114">
        <f>_xlfn.XLOOKUP(Table1[[#This Row],[Shipment Number]], 'pivot '!A:A,'pivot '!G:G, "NF")</f>
        <v>10.378319699725694</v>
      </c>
      <c r="I228" s="115">
        <f>Table1[[#This Row],[Tiyaar/gaz]]/1.0936</f>
        <v>1396.3057790782736</v>
      </c>
      <c r="J228" s="115" cm="1">
        <f t="array" ref="J22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18151.975128017559</v>
      </c>
      <c r="K228" s="113"/>
    </row>
    <row r="229" spans="1:11" x14ac:dyDescent="0.3">
      <c r="A229" s="118">
        <v>46185</v>
      </c>
      <c r="B229" s="116" t="s">
        <v>441</v>
      </c>
      <c r="C229" s="113">
        <v>1749</v>
      </c>
      <c r="D229" s="113" t="s">
        <v>86</v>
      </c>
      <c r="E229" s="11">
        <v>2201</v>
      </c>
      <c r="F229" s="11">
        <v>83485</v>
      </c>
      <c r="G229" s="11">
        <v>20333</v>
      </c>
      <c r="H229" s="114">
        <f>_xlfn.XLOOKUP(Table1[[#This Row],[Shipment Number]], 'pivot '!A:A,'pivot '!G:G, "NF")</f>
        <v>4.5227079546242663</v>
      </c>
      <c r="I229" s="115">
        <f>Table1[[#This Row],[Tiyaar/gaz]]/1.0936</f>
        <v>18592.721287490858</v>
      </c>
      <c r="J229" s="115" cm="1">
        <f t="array" ref="J22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241705.37673738116</v>
      </c>
      <c r="K229" s="113"/>
    </row>
    <row r="230" spans="1:11" x14ac:dyDescent="0.3">
      <c r="A230" s="118">
        <v>46184</v>
      </c>
      <c r="B230" s="116" t="s">
        <v>258</v>
      </c>
      <c r="C230" s="113">
        <v>1750</v>
      </c>
      <c r="D230" s="113" t="s">
        <v>206</v>
      </c>
      <c r="E230" s="11">
        <v>2220</v>
      </c>
      <c r="F230" s="11">
        <v>24199</v>
      </c>
      <c r="G230" s="11">
        <v>25514</v>
      </c>
      <c r="H230" s="114">
        <f>_xlfn.XLOOKUP(Table1[[#This Row],[Shipment Number]], 'pivot '!A:A,'pivot '!G:G, "NF")</f>
        <v>3.5898785227934837</v>
      </c>
      <c r="I230" s="115">
        <f>Table1[[#This Row],[Tiyaar/gaz]]/1.0936</f>
        <v>23330.285296269205</v>
      </c>
      <c r="J230" s="115" cm="1">
        <f t="array" ref="J23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256633.13825896126</v>
      </c>
      <c r="K230" s="113"/>
    </row>
    <row r="231" spans="1:11" x14ac:dyDescent="0.3">
      <c r="A231" s="118">
        <v>46184</v>
      </c>
      <c r="B231" s="116" t="s">
        <v>258</v>
      </c>
      <c r="C231" s="113">
        <v>1751</v>
      </c>
      <c r="D231" s="113" t="s">
        <v>274</v>
      </c>
      <c r="E231" s="11">
        <v>2219</v>
      </c>
      <c r="F231" s="11">
        <v>23675</v>
      </c>
      <c r="G231" s="11">
        <v>24836</v>
      </c>
      <c r="H231" s="114">
        <f>_xlfn.XLOOKUP(Table1[[#This Row],[Shipment Number]], 'pivot '!A:A,'pivot '!G:G, "NF")</f>
        <v>4.0747009190073129</v>
      </c>
      <c r="I231" s="115">
        <f>Table1[[#This Row],[Tiyaar/gaz]]/1.0936</f>
        <v>22710.314557425019</v>
      </c>
      <c r="J231" s="115" cm="1">
        <f t="array" ref="J23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272523.77468910022</v>
      </c>
      <c r="K231" s="113"/>
    </row>
    <row r="232" spans="1:11" x14ac:dyDescent="0.3">
      <c r="A232" s="118">
        <v>46185</v>
      </c>
      <c r="B232" s="116" t="s">
        <v>176</v>
      </c>
      <c r="C232" s="113">
        <v>1752</v>
      </c>
      <c r="D232" s="113" t="s">
        <v>274</v>
      </c>
      <c r="E232" s="11">
        <v>2222</v>
      </c>
      <c r="F232" s="11">
        <v>9409</v>
      </c>
      <c r="G232" s="11">
        <v>8549</v>
      </c>
      <c r="H232" s="114">
        <f>_xlfn.XLOOKUP(Table1[[#This Row],[Shipment Number]], 'pivot '!A:A,'pivot '!G:G, "NF")</f>
        <v>1.8725786910585214</v>
      </c>
      <c r="I232" s="115">
        <f>Table1[[#This Row],[Tiyaar/gaz]]/1.0936</f>
        <v>7817.3006583760061</v>
      </c>
      <c r="J232" s="115" cm="1">
        <f t="array" ref="J23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93807.60790051207</v>
      </c>
      <c r="K232" s="113"/>
    </row>
    <row r="233" spans="1:11" x14ac:dyDescent="0.3">
      <c r="A233" s="118">
        <v>46185</v>
      </c>
      <c r="B233" s="116" t="s">
        <v>258</v>
      </c>
      <c r="C233" s="113">
        <v>1753</v>
      </c>
      <c r="D233" s="113" t="s">
        <v>86</v>
      </c>
      <c r="E233" s="147" t="s">
        <v>727</v>
      </c>
      <c r="F233" s="11">
        <v>4471</v>
      </c>
      <c r="G233" s="11">
        <v>4765</v>
      </c>
      <c r="H233" s="114">
        <f>_xlfn.XLOOKUP(Table1[[#This Row],[Shipment Number]], 'pivot '!A:A,'pivot '!G:G, "NF")</f>
        <v>2.5459856145194522</v>
      </c>
      <c r="I233" s="115">
        <f>Table1[[#This Row],[Tiyaar/gaz]]/1.0936</f>
        <v>4357.1689831748354</v>
      </c>
      <c r="J233" s="115" cm="1">
        <f t="array" ref="J23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56643.196781272862</v>
      </c>
      <c r="K233" s="113"/>
    </row>
    <row r="234" spans="1:11" x14ac:dyDescent="0.3">
      <c r="A234" s="118">
        <v>46185</v>
      </c>
      <c r="B234" s="116" t="s">
        <v>176</v>
      </c>
      <c r="C234" s="113">
        <v>1754</v>
      </c>
      <c r="D234" s="113" t="s">
        <v>206</v>
      </c>
      <c r="E234" s="11">
        <v>2216</v>
      </c>
      <c r="F234" s="11">
        <v>12883</v>
      </c>
      <c r="G234" s="11">
        <v>13549</v>
      </c>
      <c r="H234" s="114">
        <f>_xlfn.XLOOKUP(Table1[[#This Row],[Shipment Number]], 'pivot '!A:A,'pivot '!G:G, "NF")</f>
        <v>3.831745287805191</v>
      </c>
      <c r="I234" s="115">
        <f>Table1[[#This Row],[Tiyaar/gaz]]/1.0936</f>
        <v>12389.356254572056</v>
      </c>
      <c r="J234" s="115">
        <f>Table1[[#This Row],[tiyar/meters]]*11</f>
        <v>136282.91880029262</v>
      </c>
      <c r="K234" s="113"/>
    </row>
    <row r="235" spans="1:11" x14ac:dyDescent="0.3">
      <c r="A235" s="118">
        <v>46185</v>
      </c>
      <c r="B235" s="116" t="s">
        <v>176</v>
      </c>
      <c r="C235" s="113">
        <v>1755</v>
      </c>
      <c r="D235" s="113" t="s">
        <v>86</v>
      </c>
      <c r="E235" s="11">
        <v>2223</v>
      </c>
      <c r="F235" s="11">
        <v>14949</v>
      </c>
      <c r="G235" s="11">
        <v>15026</v>
      </c>
      <c r="H235" s="114">
        <f>_xlfn.XLOOKUP(Table1[[#This Row],[Shipment Number]], 'pivot '!A:A,'pivot '!G:G, "NF")</f>
        <v>0.96785055533607078</v>
      </c>
      <c r="I235" s="115">
        <f>Table1[[#This Row],[Tiyaar/gaz]]/1.0936</f>
        <v>13739.94147768837</v>
      </c>
      <c r="J235" s="115">
        <f>Table1[[#This Row],[tiyar/meters]]*11</f>
        <v>151139.35625457208</v>
      </c>
      <c r="K235" s="113"/>
    </row>
    <row r="236" spans="1:11" x14ac:dyDescent="0.3">
      <c r="A236" s="167">
        <v>46185</v>
      </c>
      <c r="B236" s="133" t="s">
        <v>21</v>
      </c>
      <c r="C236" s="168">
        <v>1756</v>
      </c>
      <c r="D236" s="168" t="s">
        <v>85</v>
      </c>
      <c r="E236" s="134">
        <v>2227</v>
      </c>
      <c r="F236" s="134"/>
      <c r="G236" s="134">
        <v>6743</v>
      </c>
      <c r="H236" s="169">
        <f>_xlfn.XLOOKUP(Table1[[#This Row],[Shipment Number]], 'pivot '!A:A,'pivot '!G:G, "NF")</f>
        <v>16.329502602226924</v>
      </c>
      <c r="I236" s="170">
        <f>Table1[[#This Row],[Tiyaar/gaz]]/1.0936</f>
        <v>6165.874177029993</v>
      </c>
      <c r="J236" s="170" cm="1">
        <f t="array" ref="J23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61658.74177029993</v>
      </c>
      <c r="K236" s="113"/>
    </row>
    <row r="237" spans="1:11" x14ac:dyDescent="0.3">
      <c r="A237" s="118">
        <v>46186</v>
      </c>
      <c r="B237" s="116" t="s">
        <v>27</v>
      </c>
      <c r="C237" s="113">
        <v>1757</v>
      </c>
      <c r="D237" s="113" t="s">
        <v>86</v>
      </c>
      <c r="E237" s="11">
        <v>2217</v>
      </c>
      <c r="F237" s="11">
        <v>30502</v>
      </c>
      <c r="G237" s="11">
        <v>24765</v>
      </c>
      <c r="H237" s="114">
        <f>_xlfn.XLOOKUP(Table1[[#This Row],[Shipment Number]], 'pivot '!A:A,'pivot '!G:G, "NF")</f>
        <v>1.3100319803462241</v>
      </c>
      <c r="I237" s="115">
        <f>Table1[[#This Row],[Tiyaar/gaz]]/1.0936</f>
        <v>22645.391367959037</v>
      </c>
      <c r="J237" s="115" cm="1">
        <f t="array" ref="J23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294390.08778346749</v>
      </c>
      <c r="K237" s="113"/>
    </row>
    <row r="238" spans="1:11" x14ac:dyDescent="0.3">
      <c r="A238" s="118">
        <v>46186</v>
      </c>
      <c r="B238" s="116" t="s">
        <v>21</v>
      </c>
      <c r="C238" s="113">
        <v>1758</v>
      </c>
      <c r="D238" s="113" t="s">
        <v>86</v>
      </c>
      <c r="E238" s="11" t="s">
        <v>728</v>
      </c>
      <c r="F238" s="11">
        <v>39273</v>
      </c>
      <c r="G238" s="11">
        <v>9874</v>
      </c>
      <c r="H238" s="114">
        <f>_xlfn.XLOOKUP(Table1[[#This Row],[Shipment Number]], 'pivot '!A:A,'pivot '!G:G, "NF")</f>
        <v>77.009916758668908</v>
      </c>
      <c r="I238" s="115">
        <f>Table1[[#This Row],[Tiyaar/gaz]]/1.0936</f>
        <v>9028.8953913679597</v>
      </c>
      <c r="J238" s="115" cm="1">
        <f t="array" ref="J23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117375.64008778348</v>
      </c>
      <c r="K238" s="113"/>
    </row>
    <row r="239" spans="1:11" x14ac:dyDescent="0.3">
      <c r="A239" s="118">
        <v>46186</v>
      </c>
      <c r="B239" s="116" t="s">
        <v>21</v>
      </c>
      <c r="C239" s="113">
        <v>1759</v>
      </c>
      <c r="D239" s="113" t="s">
        <v>85</v>
      </c>
      <c r="E239" s="11">
        <v>2225</v>
      </c>
      <c r="F239" s="11">
        <v>52646</v>
      </c>
      <c r="G239" s="11">
        <v>6914</v>
      </c>
      <c r="H239" s="114">
        <f>_xlfn.XLOOKUP(Table1[[#This Row],[Shipment Number]], 'pivot '!A:A,'pivot '!G:G, "NF")</f>
        <v>87.991037346769176</v>
      </c>
      <c r="I239" s="115">
        <f>Table1[[#This Row],[Tiyaar/gaz]]/1.0936</f>
        <v>6322.2384784198985</v>
      </c>
      <c r="J239" s="115" cm="1">
        <f t="array" ref="J23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63222.384784198985</v>
      </c>
      <c r="K239" s="113"/>
    </row>
    <row r="240" spans="1:11" x14ac:dyDescent="0.3">
      <c r="A240" s="118">
        <v>46186</v>
      </c>
      <c r="B240" s="116" t="s">
        <v>21</v>
      </c>
      <c r="C240" s="113">
        <v>1760</v>
      </c>
      <c r="D240" s="171" t="s">
        <v>85</v>
      </c>
      <c r="E240" s="172">
        <v>2227</v>
      </c>
      <c r="F240" s="172">
        <v>12403</v>
      </c>
      <c r="G240" s="11">
        <v>4606</v>
      </c>
      <c r="H240" s="114">
        <f>_xlfn.XLOOKUP(Table1[[#This Row],[Shipment Number]], 'pivot '!A:A,'pivot '!G:G, "NF")</f>
        <v>16.329502602226924</v>
      </c>
      <c r="I240" s="115">
        <f>Table1[[#This Row],[Tiyaar/gaz]]/1.0936</f>
        <v>4211.7776152158012</v>
      </c>
      <c r="J240" s="115" cm="1">
        <f t="array" ref="J24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42117.776152158011</v>
      </c>
      <c r="K240" s="113"/>
    </row>
    <row r="241" spans="1:11" x14ac:dyDescent="0.3">
      <c r="A241" s="118">
        <v>46186</v>
      </c>
      <c r="B241" s="116" t="s">
        <v>441</v>
      </c>
      <c r="C241" s="113">
        <v>1761</v>
      </c>
      <c r="D241" s="113" t="s">
        <v>447</v>
      </c>
      <c r="E241" s="11" t="s">
        <v>731</v>
      </c>
      <c r="F241" s="11">
        <v>11205</v>
      </c>
      <c r="G241" s="11">
        <v>11205</v>
      </c>
      <c r="H241" s="114">
        <f>_xlfn.XLOOKUP(Table1[[#This Row],[Shipment Number]], 'pivot '!A:A,'pivot '!G:G, "NF")</f>
        <v>8.5588880760790005</v>
      </c>
      <c r="I241" s="115">
        <f>Table1[[#This Row],[Tiyaar/gaz]]/1.0936</f>
        <v>10245.976591075349</v>
      </c>
      <c r="J241" s="115" cm="1">
        <f t="array" ref="J24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153689.64886613021</v>
      </c>
      <c r="K241" s="113"/>
    </row>
    <row r="242" spans="1:11" x14ac:dyDescent="0.3">
      <c r="A242" s="118">
        <v>46186</v>
      </c>
      <c r="B242" s="116" t="s">
        <v>441</v>
      </c>
      <c r="C242" s="113">
        <v>1762</v>
      </c>
      <c r="D242" s="113" t="s">
        <v>85</v>
      </c>
      <c r="E242" s="11">
        <v>2209</v>
      </c>
      <c r="F242" s="11">
        <v>5702</v>
      </c>
      <c r="G242" s="11">
        <v>5958</v>
      </c>
      <c r="H242" s="114">
        <f>_xlfn.XLOOKUP(Table1[[#This Row],[Shipment Number]], 'pivot '!A:A,'pivot '!G:G, "NF")</f>
        <v>4.4534996768289545</v>
      </c>
      <c r="I242" s="115">
        <f>Table1[[#This Row],[Tiyaar/gaz]]/1.0936</f>
        <v>5448.0614484272137</v>
      </c>
      <c r="J242" s="115" cm="1">
        <f t="array" ref="J24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54480.614484272141</v>
      </c>
      <c r="K242" s="113"/>
    </row>
    <row r="243" spans="1:11" x14ac:dyDescent="0.3">
      <c r="A243" s="175">
        <v>46186</v>
      </c>
      <c r="B243" s="173" t="s">
        <v>27</v>
      </c>
      <c r="C243" s="171">
        <v>1763</v>
      </c>
      <c r="D243" s="171" t="s">
        <v>86</v>
      </c>
      <c r="E243" s="172">
        <v>2217</v>
      </c>
      <c r="F243" s="172">
        <v>30502</v>
      </c>
      <c r="G243" s="172">
        <v>8155</v>
      </c>
      <c r="H243" s="174">
        <f>_xlfn.XLOOKUP(Table1[[#This Row],[Shipment Number]], 'pivot '!A:A,'pivot '!G:G, "NF")</f>
        <v>1.3100319803462241</v>
      </c>
      <c r="I243" s="115">
        <f>Table1[[#This Row],[Tiyaar/gaz]]/1.0936</f>
        <v>7457.0226773957575</v>
      </c>
      <c r="J243" s="115" cm="1">
        <f t="array" ref="J24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96941.294806144841</v>
      </c>
      <c r="K243" s="135"/>
    </row>
    <row r="244" spans="1:11" x14ac:dyDescent="0.3">
      <c r="A244" s="118">
        <v>46191</v>
      </c>
      <c r="B244" s="116" t="s">
        <v>21</v>
      </c>
      <c r="C244" s="113">
        <v>1764</v>
      </c>
      <c r="D244" s="113" t="s">
        <v>86</v>
      </c>
      <c r="E244" s="11">
        <v>2242</v>
      </c>
      <c r="F244" s="11">
        <v>24854</v>
      </c>
      <c r="G244" s="11">
        <v>25714</v>
      </c>
      <c r="H244" s="114">
        <f>_xlfn.XLOOKUP(Table1[[#This Row],[Shipment Number]], 'pivot '!A:A,'pivot '!G:G, "NF")</f>
        <v>5.3948357603723878</v>
      </c>
      <c r="I244" s="115">
        <f>Table1[[#This Row],[Tiyaar/gaz]]/1.0936</f>
        <v>23513.167520117047</v>
      </c>
      <c r="J244" s="115" cm="1">
        <f t="array" ref="J24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305671.1777615216</v>
      </c>
      <c r="K244" s="113"/>
    </row>
    <row r="245" spans="1:11" x14ac:dyDescent="0.3">
      <c r="A245" s="118">
        <v>46191</v>
      </c>
      <c r="B245" s="116" t="s">
        <v>530</v>
      </c>
      <c r="C245" s="113">
        <v>1765</v>
      </c>
      <c r="D245" s="113" t="s">
        <v>85</v>
      </c>
      <c r="E245" s="11">
        <v>2232</v>
      </c>
      <c r="F245" s="11">
        <v>12052</v>
      </c>
      <c r="G245" s="11">
        <v>13016</v>
      </c>
      <c r="H245" s="114">
        <f>_xlfn.XLOOKUP(Table1[[#This Row],[Shipment Number]], 'pivot '!A:A,'pivot '!G:G, "NF")</f>
        <v>1.2448130765221066</v>
      </c>
      <c r="I245" s="115">
        <f>Table1[[#This Row],[Tiyaar/gaz]]/1.0936</f>
        <v>11901.975128017557</v>
      </c>
      <c r="J245" s="115" cm="1">
        <f t="array" ref="J24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119019.75128017557</v>
      </c>
      <c r="K245" s="113"/>
    </row>
    <row r="246" spans="1:11" x14ac:dyDescent="0.3">
      <c r="A246" s="118">
        <v>46191</v>
      </c>
      <c r="B246" s="116" t="s">
        <v>176</v>
      </c>
      <c r="C246" s="113">
        <v>1766</v>
      </c>
      <c r="D246" s="113" t="s">
        <v>274</v>
      </c>
      <c r="E246" s="11">
        <v>2221</v>
      </c>
      <c r="F246" s="11">
        <v>11026</v>
      </c>
      <c r="G246" s="11">
        <v>11640</v>
      </c>
      <c r="H246" s="114">
        <f>_xlfn.XLOOKUP(Table1[[#This Row],[Shipment Number]], 'pivot '!A:A,'pivot '!G:G, "NF")</f>
        <v>3.4668471980373283</v>
      </c>
      <c r="I246" s="115">
        <f>Table1[[#This Row],[Tiyaar/gaz]]/1.0936</f>
        <v>10643.745427944405</v>
      </c>
      <c r="J246" s="115">
        <f>Table1[[#This Row],[tiyar/meters]]*15</f>
        <v>159656.18141916607</v>
      </c>
      <c r="K246" s="113"/>
    </row>
    <row r="247" spans="1:11" x14ac:dyDescent="0.3">
      <c r="A247" s="118">
        <v>46191</v>
      </c>
      <c r="B247" s="116" t="s">
        <v>176</v>
      </c>
      <c r="C247" s="113">
        <v>1767</v>
      </c>
      <c r="D247" s="113" t="s">
        <v>274</v>
      </c>
      <c r="E247" s="11">
        <v>2230</v>
      </c>
      <c r="F247" s="11">
        <v>20189</v>
      </c>
      <c r="G247" s="11">
        <v>22169</v>
      </c>
      <c r="H247" s="114">
        <f>_xlfn.XLOOKUP(Table1[[#This Row],[Shipment Number]], 'pivot '!A:A,'pivot '!G:G, "NF")</f>
        <v>-0.40903513009087078</v>
      </c>
      <c r="I247" s="115">
        <f>Table1[[#This Row],[Tiyaar/gaz]]/1.0936</f>
        <v>20271.580102414046</v>
      </c>
      <c r="J247" s="115" cm="1">
        <f t="array" ref="J24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243258.96122896855</v>
      </c>
      <c r="K247" s="113"/>
    </row>
    <row r="248" spans="1:11" x14ac:dyDescent="0.3">
      <c r="A248" s="118">
        <v>46191</v>
      </c>
      <c r="B248" s="116" t="s">
        <v>176</v>
      </c>
      <c r="C248" s="113">
        <v>1768</v>
      </c>
      <c r="D248" s="113" t="s">
        <v>274</v>
      </c>
      <c r="E248" s="11">
        <v>2222</v>
      </c>
      <c r="F248" s="11">
        <v>9409</v>
      </c>
      <c r="G248" s="11">
        <v>1548</v>
      </c>
      <c r="H248" s="114">
        <f>_xlfn.XLOOKUP(Table1[[#This Row],[Shipment Number]], 'pivot '!A:A,'pivot '!G:G, "NF")</f>
        <v>1.8725786910585214</v>
      </c>
      <c r="I248" s="115">
        <f>Table1[[#This Row],[Tiyaar/gaz]]/1.0936</f>
        <v>1415.5084125822971</v>
      </c>
      <c r="J248" s="115" cm="1">
        <f t="array" ref="J24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16986.100950987566</v>
      </c>
      <c r="K248" s="113"/>
    </row>
    <row r="249" spans="1:11" x14ac:dyDescent="0.3">
      <c r="A249" s="118">
        <v>46191</v>
      </c>
      <c r="B249" s="116" t="s">
        <v>176</v>
      </c>
      <c r="C249" s="113">
        <v>1769</v>
      </c>
      <c r="D249" s="113" t="s">
        <v>274</v>
      </c>
      <c r="E249" s="11" t="s">
        <v>787</v>
      </c>
      <c r="F249" s="11">
        <v>2750</v>
      </c>
      <c r="G249" s="11">
        <v>3065</v>
      </c>
      <c r="H249" s="114">
        <f>_xlfn.XLOOKUP(Table1[[#This Row],[Shipment Number]], 'pivot '!A:A,'pivot '!G:G, "NF")</f>
        <v>-1.9152756533883206</v>
      </c>
      <c r="I249" s="115">
        <f>Table1[[#This Row],[Tiyaar/gaz]]/1.0936</f>
        <v>2802.6700804681786</v>
      </c>
      <c r="J249" s="115" cm="1">
        <f t="array" ref="J24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33632.040965618144</v>
      </c>
      <c r="K249" s="113"/>
    </row>
    <row r="250" spans="1:11" x14ac:dyDescent="0.3">
      <c r="A250" s="118">
        <v>46191</v>
      </c>
      <c r="B250" s="116" t="s">
        <v>176</v>
      </c>
      <c r="C250" s="113">
        <v>1770</v>
      </c>
      <c r="D250" s="113" t="s">
        <v>206</v>
      </c>
      <c r="E250" s="11">
        <v>2231</v>
      </c>
      <c r="F250" s="11">
        <v>25816</v>
      </c>
      <c r="G250" s="11">
        <v>27352</v>
      </c>
      <c r="H250" s="114">
        <f>_xlfn.XLOOKUP(Table1[[#This Row],[Shipment Number]], 'pivot '!A:A,'pivot '!G:G, "NF")</f>
        <v>3.1183261022975017</v>
      </c>
      <c r="I250" s="115">
        <f>Table1[[#This Row],[Tiyaar/gaz]]/1.0936</f>
        <v>25010.972933430872</v>
      </c>
      <c r="J250" s="115" cm="1">
        <f t="array" ref="J25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275120.70226773957</v>
      </c>
      <c r="K250" s="113"/>
    </row>
    <row r="251" spans="1:11" x14ac:dyDescent="0.3">
      <c r="A251" s="118">
        <v>46191</v>
      </c>
      <c r="B251" s="116" t="s">
        <v>176</v>
      </c>
      <c r="C251" s="113">
        <v>1771</v>
      </c>
      <c r="D251" s="113" t="s">
        <v>86</v>
      </c>
      <c r="E251" s="11">
        <v>2223</v>
      </c>
      <c r="F251" s="11">
        <v>14949</v>
      </c>
      <c r="G251" s="11">
        <v>1164</v>
      </c>
      <c r="H251" s="114">
        <f>_xlfn.XLOOKUP(Table1[[#This Row],[Shipment Number]], 'pivot '!A:A,'pivot '!G:G, "NF")</f>
        <v>0.96785055533607078</v>
      </c>
      <c r="I251" s="115">
        <f>Table1[[#This Row],[Tiyaar/gaz]]/1.0936</f>
        <v>1064.3745427944405</v>
      </c>
      <c r="J251" s="115" cm="1">
        <f t="array" ref="J25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12772.494513533285</v>
      </c>
      <c r="K251" s="113"/>
    </row>
    <row r="252" spans="1:11" x14ac:dyDescent="0.3">
      <c r="A252" s="118">
        <v>46191</v>
      </c>
      <c r="B252" s="116" t="s">
        <v>280</v>
      </c>
      <c r="C252" s="113">
        <v>1772</v>
      </c>
      <c r="D252" s="113" t="s">
        <v>85</v>
      </c>
      <c r="E252" s="11">
        <v>1965</v>
      </c>
      <c r="F252" s="11">
        <v>24024</v>
      </c>
      <c r="G252" s="11">
        <v>25488</v>
      </c>
      <c r="H252" s="114">
        <f>_xlfn.XLOOKUP(Table1[[#This Row],[Shipment Number]], 'pivot '!A:A,'pivot '!G:G, "NF")</f>
        <v>2.9865525842116938</v>
      </c>
      <c r="I252" s="115">
        <f>Table1[[#This Row],[Tiyaar/gaz]]/1.0936</f>
        <v>23306.510607168984</v>
      </c>
      <c r="J252" s="115" cm="1">
        <f t="array" ref="J25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233065.10607168984</v>
      </c>
      <c r="K252" s="113"/>
    </row>
    <row r="253" spans="1:11" x14ac:dyDescent="0.3">
      <c r="A253" s="118">
        <v>46195</v>
      </c>
      <c r="B253" s="116" t="s">
        <v>776</v>
      </c>
      <c r="C253" s="113">
        <v>1773</v>
      </c>
      <c r="D253" s="113" t="s">
        <v>86</v>
      </c>
      <c r="E253" s="11">
        <v>2243</v>
      </c>
      <c r="F253" s="11">
        <v>100115</v>
      </c>
      <c r="G253" s="11">
        <v>37718</v>
      </c>
      <c r="H253" s="114">
        <f>_xlfn.XLOOKUP(Table1[[#This Row],[Shipment Number]], 'pivot '!A:A,'pivot '!G:G, "NF")</f>
        <v>3.8322461722055436</v>
      </c>
      <c r="I253" s="115">
        <f>Table1[[#This Row],[Tiyaar/gaz]]/1.0936</f>
        <v>34489.758595464526</v>
      </c>
      <c r="J253" s="115" cm="1">
        <f t="array" ref="J25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413877.10314557434</v>
      </c>
      <c r="K253" s="113"/>
    </row>
    <row r="254" spans="1:11" x14ac:dyDescent="0.3">
      <c r="A254" s="118">
        <v>46195</v>
      </c>
      <c r="B254" s="116" t="s">
        <v>776</v>
      </c>
      <c r="C254" s="113">
        <v>1774</v>
      </c>
      <c r="D254" s="113" t="s">
        <v>86</v>
      </c>
      <c r="E254" s="11">
        <v>2243</v>
      </c>
      <c r="F254" s="11">
        <v>100115</v>
      </c>
      <c r="G254" s="11">
        <v>12423</v>
      </c>
      <c r="H254" s="114">
        <f>_xlfn.XLOOKUP(Table1[[#This Row],[Shipment Number]], 'pivot '!A:A,'pivot '!G:G, "NF")</f>
        <v>3.8322461722055436</v>
      </c>
      <c r="I254" s="115">
        <f>Table1[[#This Row],[Tiyaar/gaz]]/1.0936</f>
        <v>11359.729334308706</v>
      </c>
      <c r="J254" s="115" cm="1">
        <f t="array" ref="J25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136316.75201170446</v>
      </c>
      <c r="K254" s="113"/>
    </row>
    <row r="255" spans="1:11" x14ac:dyDescent="0.3">
      <c r="A255" s="118">
        <v>46195</v>
      </c>
      <c r="B255" s="116" t="s">
        <v>776</v>
      </c>
      <c r="C255" s="113">
        <v>1775</v>
      </c>
      <c r="D255" s="113" t="s">
        <v>86</v>
      </c>
      <c r="E255" s="11">
        <v>2243</v>
      </c>
      <c r="F255" s="11">
        <v>100115</v>
      </c>
      <c r="G255" s="11">
        <v>38464</v>
      </c>
      <c r="H255" s="114">
        <f>_xlfn.XLOOKUP(Table1[[#This Row],[Shipment Number]], 'pivot '!A:A,'pivot '!G:G, "NF")</f>
        <v>3.8322461722055436</v>
      </c>
      <c r="I255" s="115">
        <f>Table1[[#This Row],[Tiyaar/gaz]]/1.0936</f>
        <v>35171.909290416974</v>
      </c>
      <c r="J255" s="115" cm="1">
        <f t="array" ref="J25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422062.91148500366</v>
      </c>
      <c r="K255" s="113"/>
    </row>
    <row r="256" spans="1:11" x14ac:dyDescent="0.3">
      <c r="A256" s="118">
        <v>46195</v>
      </c>
      <c r="B256" s="116" t="s">
        <v>776</v>
      </c>
      <c r="C256" s="113">
        <v>1776</v>
      </c>
      <c r="D256" s="113" t="s">
        <v>86</v>
      </c>
      <c r="E256" s="11">
        <v>2243</v>
      </c>
      <c r="F256" s="11">
        <v>100115</v>
      </c>
      <c r="G256" s="11">
        <v>16685</v>
      </c>
      <c r="H256" s="114">
        <f>_xlfn.XLOOKUP(Table1[[#This Row],[Shipment Number]], 'pivot '!A:A,'pivot '!G:G, "NF")</f>
        <v>3.8322461722055436</v>
      </c>
      <c r="I256" s="115">
        <f>Table1[[#This Row],[Tiyaar/gaz]]/1.0936</f>
        <v>15256.949524506219</v>
      </c>
      <c r="J256" s="115" cm="1">
        <f t="array" ref="J25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183083.39429407462</v>
      </c>
      <c r="K256" s="113"/>
    </row>
    <row r="257" spans="1:11" x14ac:dyDescent="0.3">
      <c r="A257" s="118">
        <v>46195</v>
      </c>
      <c r="B257" s="116" t="s">
        <v>21</v>
      </c>
      <c r="C257" s="113">
        <v>1777</v>
      </c>
      <c r="D257" s="113" t="s">
        <v>85</v>
      </c>
      <c r="E257" s="11">
        <v>2237</v>
      </c>
      <c r="F257" s="11">
        <v>25929</v>
      </c>
      <c r="G257" s="11">
        <v>4360</v>
      </c>
      <c r="H257" s="114">
        <f>_xlfn.XLOOKUP(Table1[[#This Row],[Shipment Number]], 'pivot '!A:A,'pivot '!G:G, "NF")</f>
        <v>2.8634352719935237</v>
      </c>
      <c r="I257" s="115">
        <f>Table1[[#This Row],[Tiyaar/gaz]]/1.0936</f>
        <v>3986.8324798829558</v>
      </c>
      <c r="J257" s="115" cm="1">
        <f t="array" ref="J25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39868.324798829555</v>
      </c>
      <c r="K257" s="113"/>
    </row>
    <row r="258" spans="1:11" x14ac:dyDescent="0.3">
      <c r="A258" s="118">
        <v>46196</v>
      </c>
      <c r="B258" s="116" t="s">
        <v>776</v>
      </c>
      <c r="C258" s="113">
        <v>1778</v>
      </c>
      <c r="D258" s="113" t="s">
        <v>85</v>
      </c>
      <c r="E258" s="11" t="s">
        <v>852</v>
      </c>
      <c r="F258" s="11">
        <v>30000</v>
      </c>
      <c r="G258" s="11">
        <v>31992</v>
      </c>
      <c r="H258" s="114">
        <f>_xlfn.XLOOKUP(Table1[[#This Row],[Shipment Number]], 'pivot '!A:A,'pivot '!G:G, "NF")</f>
        <v>2.4871982443306422</v>
      </c>
      <c r="I258" s="115">
        <f>Table1[[#This Row],[Tiyaar/gaz]]/1.0936</f>
        <v>29253.840526700806</v>
      </c>
      <c r="J258" s="115" cm="1">
        <f t="array" ref="J25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292538.40526700806</v>
      </c>
      <c r="K258" s="113"/>
    </row>
    <row r="259" spans="1:11" x14ac:dyDescent="0.3">
      <c r="A259" s="124">
        <v>46196</v>
      </c>
      <c r="B259" s="125" t="s">
        <v>21</v>
      </c>
      <c r="C259" s="126">
        <v>1779</v>
      </c>
      <c r="D259" s="126" t="s">
        <v>85</v>
      </c>
      <c r="E259" s="127">
        <v>2237</v>
      </c>
      <c r="F259" s="127">
        <v>25929</v>
      </c>
      <c r="G259" s="127">
        <v>23184</v>
      </c>
      <c r="H259" s="128">
        <f>_xlfn.XLOOKUP(Table1[[#This Row],[Shipment Number]], 'pivot '!A:A,'pivot '!G:G, "NF")</f>
        <v>2.8634352719935237</v>
      </c>
      <c r="I259" s="129">
        <f>Table1[[#This Row],[Tiyaar/gaz]]/1.0936</f>
        <v>21199.707388441846</v>
      </c>
      <c r="J259" s="129" cm="1">
        <f t="array" ref="J25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211997.07388441847</v>
      </c>
      <c r="K259" s="113"/>
    </row>
    <row r="260" spans="1:11" x14ac:dyDescent="0.3">
      <c r="A260" s="118">
        <v>46196</v>
      </c>
      <c r="B260" s="116" t="s">
        <v>258</v>
      </c>
      <c r="C260" s="113">
        <v>1780</v>
      </c>
      <c r="D260" s="113" t="s">
        <v>86</v>
      </c>
      <c r="E260" s="11">
        <v>2244</v>
      </c>
      <c r="F260" s="11">
        <v>49912</v>
      </c>
      <c r="G260" s="11">
        <v>35923</v>
      </c>
      <c r="H260" s="114">
        <f>_xlfn.XLOOKUP(Table1[[#This Row],[Shipment Number]], 'pivot '!A:A,'pivot '!G:G, "NF")</f>
        <v>3.6966362920173168</v>
      </c>
      <c r="I260" s="115">
        <f>Table1[[#This Row],[Tiyaar/gaz]]/1.0936</f>
        <v>32848.390636430144</v>
      </c>
      <c r="J260" s="115" cm="1">
        <f t="array" ref="J26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427029.07827359188</v>
      </c>
      <c r="K260" s="113"/>
    </row>
    <row r="261" spans="1:11" x14ac:dyDescent="0.3">
      <c r="A261" s="118">
        <v>46196</v>
      </c>
      <c r="B261" s="116" t="s">
        <v>258</v>
      </c>
      <c r="C261" s="113">
        <v>1781</v>
      </c>
      <c r="D261" s="113" t="s">
        <v>86</v>
      </c>
      <c r="E261" s="11">
        <v>2244</v>
      </c>
      <c r="F261" s="11">
        <v>49912</v>
      </c>
      <c r="G261" s="11">
        <v>16643</v>
      </c>
      <c r="H261" s="114">
        <f>_xlfn.XLOOKUP(Table1[[#This Row],[Shipment Number]], 'pivot '!A:A,'pivot '!G:G, "NF")</f>
        <v>3.6966362920173168</v>
      </c>
      <c r="I261" s="115">
        <f>Table1[[#This Row],[Tiyaar/gaz]]/1.0936</f>
        <v>15218.544257498172</v>
      </c>
      <c r="J261" s="115" cm="1">
        <f t="array" ref="J26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197841.07534747623</v>
      </c>
      <c r="K261" s="113"/>
    </row>
    <row r="262" spans="1:11" x14ac:dyDescent="0.3">
      <c r="A262" s="118">
        <v>46196</v>
      </c>
      <c r="B262" s="116" t="s">
        <v>21</v>
      </c>
      <c r="C262" s="113">
        <v>1782</v>
      </c>
      <c r="D262" s="113" t="s">
        <v>231</v>
      </c>
      <c r="E262" s="11">
        <v>2238</v>
      </c>
      <c r="F262" s="11">
        <v>50235</v>
      </c>
      <c r="G262" s="11">
        <v>29885</v>
      </c>
      <c r="H262" s="114">
        <f>_xlfn.XLOOKUP(Table1[[#This Row],[Shipment Number]], 'pivot '!A:A,'pivot '!G:G, "NF")</f>
        <v>20.299610120655302</v>
      </c>
      <c r="I262" s="115">
        <f>Table1[[#This Row],[Tiyaar/gaz]]/1.0936</f>
        <v>27327.17629846379</v>
      </c>
      <c r="J262" s="115" cm="1">
        <f t="array" ref="J26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273271.76298463787</v>
      </c>
      <c r="K262" s="113"/>
    </row>
    <row r="263" spans="1:11" x14ac:dyDescent="0.3">
      <c r="A263" s="118">
        <v>46207</v>
      </c>
      <c r="B263" s="116" t="s">
        <v>776</v>
      </c>
      <c r="C263" s="113">
        <v>1783</v>
      </c>
      <c r="D263" s="113" t="s">
        <v>85</v>
      </c>
      <c r="E263" s="11" t="s">
        <v>890</v>
      </c>
      <c r="F263" s="11">
        <v>28918</v>
      </c>
      <c r="G263" s="11">
        <v>30765</v>
      </c>
      <c r="H263" s="114">
        <f>_xlfn.XLOOKUP(Table1[[#This Row],[Shipment Number]], 'pivot '!A:A,'pivot '!G:G, "NF")</f>
        <v>2.7185210478100146</v>
      </c>
      <c r="I263" s="115">
        <f>Table1[[#This Row],[Tiyaar/gaz]]/1.0936</f>
        <v>28131.858083394298</v>
      </c>
      <c r="J263" s="115" cm="1">
        <f t="array" ref="J26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281318.58083394298</v>
      </c>
      <c r="K263" s="113"/>
    </row>
    <row r="264" spans="1:11" x14ac:dyDescent="0.3">
      <c r="A264" s="118">
        <v>46207</v>
      </c>
      <c r="B264" s="116" t="s">
        <v>441</v>
      </c>
      <c r="C264" s="113">
        <v>1784</v>
      </c>
      <c r="D264" s="113" t="s">
        <v>447</v>
      </c>
      <c r="E264" s="11" t="s">
        <v>891</v>
      </c>
      <c r="F264" s="11">
        <v>15696</v>
      </c>
      <c r="G264" s="11">
        <v>6929</v>
      </c>
      <c r="H264" s="114">
        <f>_xlfn.XLOOKUP(Table1[[#This Row],[Shipment Number]], 'pivot '!A:A,'pivot '!G:G, "NF")</f>
        <v>7.9355318722143551</v>
      </c>
      <c r="I264" s="115">
        <f>Table1[[#This Row],[Tiyaar/gaz]]/1.0936</f>
        <v>6335.954645208486</v>
      </c>
      <c r="J264" s="115" cm="1">
        <f t="array" ref="J26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95039.319678127285</v>
      </c>
      <c r="K264" s="113"/>
    </row>
    <row r="265" spans="1:11" x14ac:dyDescent="0.3">
      <c r="A265" s="118">
        <v>46209</v>
      </c>
      <c r="B265" s="116" t="s">
        <v>21</v>
      </c>
      <c r="C265" s="113">
        <v>1785</v>
      </c>
      <c r="D265" s="113" t="s">
        <v>231</v>
      </c>
      <c r="E265" s="11">
        <v>2184</v>
      </c>
      <c r="F265" s="11">
        <v>4568</v>
      </c>
      <c r="G265" s="11">
        <v>4647</v>
      </c>
      <c r="H265" s="114">
        <f>_xlfn.XLOOKUP(Table1[[#This Row],[Shipment Number]], 'pivot '!A:A,'pivot '!G:G, "NF")</f>
        <v>6.9774853085681059</v>
      </c>
      <c r="I265" s="115">
        <f>Table1[[#This Row],[Tiyaar/gaz]]/1.0936</f>
        <v>4249.2684711046086</v>
      </c>
      <c r="J265" s="115" cm="1">
        <f t="array" ref="J26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42492.684711046088</v>
      </c>
      <c r="K265" s="113"/>
    </row>
    <row r="266" spans="1:11" x14ac:dyDescent="0.3">
      <c r="A266" s="118">
        <v>46209</v>
      </c>
      <c r="B266" s="116" t="s">
        <v>21</v>
      </c>
      <c r="C266" s="113">
        <v>1786</v>
      </c>
      <c r="D266" s="113" t="s">
        <v>231</v>
      </c>
      <c r="E266" s="11">
        <v>2238</v>
      </c>
      <c r="F266" s="11">
        <v>50235</v>
      </c>
      <c r="G266" s="11">
        <v>1792</v>
      </c>
      <c r="H266" s="114">
        <f>_xlfn.XLOOKUP(Table1[[#This Row],[Shipment Number]], 'pivot '!A:A,'pivot '!G:G, "NF")</f>
        <v>20.299610120655302</v>
      </c>
      <c r="I266" s="115">
        <f>Table1[[#This Row],[Tiyaar/gaz]]/1.0936</f>
        <v>1638.6247256766644</v>
      </c>
      <c r="J266" s="115" cm="1">
        <f t="array" ref="J26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16386.247256766645</v>
      </c>
      <c r="K266" s="113"/>
    </row>
    <row r="267" spans="1:11" x14ac:dyDescent="0.3">
      <c r="A267" s="118">
        <v>46209</v>
      </c>
      <c r="B267" s="116" t="s">
        <v>892</v>
      </c>
      <c r="C267" s="113">
        <v>1787</v>
      </c>
      <c r="D267" s="113" t="s">
        <v>86</v>
      </c>
      <c r="E267" s="11">
        <v>2247</v>
      </c>
      <c r="F267" s="11">
        <v>9028</v>
      </c>
      <c r="G267" s="11">
        <v>9579</v>
      </c>
      <c r="H267" s="114">
        <f>_xlfn.XLOOKUP(Table1[[#This Row],[Shipment Number]], 'pivot '!A:A,'pivot '!G:G, "NF")</f>
        <v>2.978022693925638</v>
      </c>
      <c r="I267" s="115">
        <f>Table1[[#This Row],[Tiyaar/gaz]]/1.0936</f>
        <v>8759.1441111923923</v>
      </c>
      <c r="J267" s="115" cm="1">
        <f t="array" ref="J26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105109.72933430871</v>
      </c>
      <c r="K267" s="113"/>
    </row>
    <row r="268" spans="1:11" x14ac:dyDescent="0.3">
      <c r="A268" s="118">
        <v>46209</v>
      </c>
      <c r="B268" s="116" t="s">
        <v>21</v>
      </c>
      <c r="C268" s="113">
        <v>1788</v>
      </c>
      <c r="D268" s="113" t="s">
        <v>86</v>
      </c>
      <c r="E268" s="11">
        <v>2249</v>
      </c>
      <c r="F268" s="11">
        <v>40536</v>
      </c>
      <c r="G268" s="11">
        <v>23098</v>
      </c>
      <c r="H268" s="114">
        <f>_xlfn.XLOOKUP(Table1[[#This Row],[Shipment Number]], 'pivot '!A:A,'pivot '!G:G, "NF")</f>
        <v>4.4420529354347309</v>
      </c>
      <c r="I268" s="115">
        <f>Table1[[#This Row],[Tiyaar/gaz]]/1.0936</f>
        <v>21121.068032187271</v>
      </c>
      <c r="J268" s="115" cm="1">
        <f t="array" ref="J26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253452.81638624726</v>
      </c>
      <c r="K268" s="113"/>
    </row>
    <row r="269" spans="1:11" x14ac:dyDescent="0.3">
      <c r="A269" s="118">
        <v>46209</v>
      </c>
      <c r="B269" s="116" t="s">
        <v>441</v>
      </c>
      <c r="C269" s="113">
        <v>1789</v>
      </c>
      <c r="D269" s="113" t="s">
        <v>447</v>
      </c>
      <c r="E269" s="11" t="s">
        <v>891</v>
      </c>
      <c r="F269" s="11">
        <v>15696</v>
      </c>
      <c r="G269" s="11">
        <v>8874</v>
      </c>
      <c r="H269" s="114">
        <f>_xlfn.XLOOKUP(Table1[[#This Row],[Shipment Number]], 'pivot '!A:A,'pivot '!G:G, "NF")</f>
        <v>7.9355318722143551</v>
      </c>
      <c r="I269" s="115">
        <f>Table1[[#This Row],[Tiyaar/gaz]]/1.0936</f>
        <v>8114.4842721287496</v>
      </c>
      <c r="J269" s="115" cm="1">
        <f t="array" ref="J26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121717.26408193124</v>
      </c>
      <c r="K269" s="113"/>
    </row>
    <row r="270" spans="1:11" x14ac:dyDescent="0.3">
      <c r="A270" s="118">
        <v>46209</v>
      </c>
      <c r="B270" s="116" t="s">
        <v>21</v>
      </c>
      <c r="C270" s="113">
        <v>1790</v>
      </c>
      <c r="D270" s="113" t="s">
        <v>85</v>
      </c>
      <c r="E270" s="11">
        <v>2236</v>
      </c>
      <c r="F270" s="11">
        <v>47555</v>
      </c>
      <c r="G270" s="11">
        <v>2230</v>
      </c>
      <c r="H270" s="114">
        <f>_xlfn.XLOOKUP(Table1[[#This Row],[Shipment Number]], 'pivot '!A:A,'pivot '!G:G, "NF")</f>
        <v>88.291768888555254</v>
      </c>
      <c r="I270" s="115">
        <f>Table1[[#This Row],[Tiyaar/gaz]]/1.0936</f>
        <v>2039.1367959034383</v>
      </c>
      <c r="J270" s="115" cm="1">
        <f t="array" ref="J27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20391.367959034382</v>
      </c>
      <c r="K270" s="113"/>
    </row>
    <row r="271" spans="1:11" x14ac:dyDescent="0.3">
      <c r="A271" s="118">
        <v>46211</v>
      </c>
      <c r="B271" s="116" t="s">
        <v>21</v>
      </c>
      <c r="C271" s="113">
        <v>1791</v>
      </c>
      <c r="D271" s="113" t="s">
        <v>85</v>
      </c>
      <c r="E271" s="11">
        <v>2236</v>
      </c>
      <c r="F271" s="11">
        <v>47555</v>
      </c>
      <c r="G271" s="11">
        <v>3859</v>
      </c>
      <c r="H271" s="114">
        <f>_xlfn.XLOOKUP(Table1[[#This Row],[Shipment Number]], 'pivot '!A:A,'pivot '!G:G, "NF")</f>
        <v>88.291768888555254</v>
      </c>
      <c r="I271" s="115">
        <f>Table1[[#This Row],[Tiyaar/gaz]]/1.0936</f>
        <v>3528.7125091441117</v>
      </c>
      <c r="J271" s="115" cm="1">
        <f t="array" ref="J27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35287.125091441114</v>
      </c>
      <c r="K271" s="113"/>
    </row>
    <row r="272" spans="1:11" x14ac:dyDescent="0.3">
      <c r="A272" s="118">
        <v>46211</v>
      </c>
      <c r="B272" s="116" t="s">
        <v>21</v>
      </c>
      <c r="C272" s="113">
        <v>1792</v>
      </c>
      <c r="D272" s="113" t="s">
        <v>85</v>
      </c>
      <c r="E272" s="11">
        <v>2239</v>
      </c>
      <c r="F272" s="11">
        <v>47555</v>
      </c>
      <c r="G272" s="11">
        <v>13484</v>
      </c>
      <c r="H272" s="114">
        <f>_xlfn.XLOOKUP(Table1[[#This Row],[Shipment Number]], 'pivot '!A:A,'pivot '!G:G, "NF")</f>
        <v>74.072296221592879</v>
      </c>
      <c r="I272" s="115">
        <f>Table1[[#This Row],[Tiyaar/gaz]]/1.0936</f>
        <v>12329.919531821508</v>
      </c>
      <c r="J272" s="115" cm="1">
        <f t="array" ref="J27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123299.19531821508</v>
      </c>
      <c r="K272" s="113"/>
    </row>
    <row r="273" spans="1:11" x14ac:dyDescent="0.3">
      <c r="A273" s="118">
        <v>46211</v>
      </c>
      <c r="B273" s="116" t="s">
        <v>21</v>
      </c>
      <c r="C273" s="113">
        <v>1793</v>
      </c>
      <c r="D273" s="113" t="s">
        <v>231</v>
      </c>
      <c r="E273" s="11">
        <v>2250</v>
      </c>
      <c r="F273" s="11">
        <v>14961</v>
      </c>
      <c r="G273" s="11">
        <v>14807</v>
      </c>
      <c r="H273" s="114">
        <f>_xlfn.XLOOKUP(Table1[[#This Row],[Shipment Number]], 'pivot '!A:A,'pivot '!G:G, "NF")</f>
        <v>9.5001307227124983</v>
      </c>
      <c r="I273" s="115">
        <f>Table1[[#This Row],[Tiyaar/gaz]]/1.0936</f>
        <v>13539.685442574983</v>
      </c>
      <c r="J273" s="115" cm="1">
        <f t="array" ref="J27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135396.85442574983</v>
      </c>
      <c r="K273" s="113"/>
    </row>
    <row r="274" spans="1:11" x14ac:dyDescent="0.3">
      <c r="A274" s="118">
        <v>46211</v>
      </c>
      <c r="B274" s="116" t="s">
        <v>21</v>
      </c>
      <c r="C274" s="113">
        <v>1794</v>
      </c>
      <c r="D274" s="113" t="s">
        <v>231</v>
      </c>
      <c r="E274" s="11">
        <v>2251</v>
      </c>
      <c r="F274" s="11">
        <v>28877</v>
      </c>
      <c r="G274" s="11">
        <v>18689</v>
      </c>
      <c r="H274" s="114">
        <f>_xlfn.XLOOKUP(Table1[[#This Row],[Shipment Number]], 'pivot '!A:A,'pivot '!G:G, "NF")</f>
        <v>8.1757328126238491</v>
      </c>
      <c r="I274" s="115">
        <f>Table1[[#This Row],[Tiyaar/gaz]]/1.0936</f>
        <v>17089.429407461597</v>
      </c>
      <c r="J274" s="115" cm="1">
        <f t="array" ref="J27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170894.29407461599</v>
      </c>
      <c r="K274" s="113"/>
    </row>
    <row r="275" spans="1:11" x14ac:dyDescent="0.3">
      <c r="A275" s="118">
        <v>46211</v>
      </c>
      <c r="B275" s="116" t="s">
        <v>901</v>
      </c>
      <c r="C275" s="113">
        <v>1795</v>
      </c>
      <c r="D275" s="113" t="s">
        <v>231</v>
      </c>
      <c r="E275" s="11">
        <v>2252</v>
      </c>
      <c r="F275" s="11">
        <v>10038</v>
      </c>
      <c r="G275" s="11">
        <v>10382</v>
      </c>
      <c r="H275" s="114">
        <f>_xlfn.XLOOKUP(Table1[[#This Row],[Shipment Number]], 'pivot '!A:A,'pivot '!G:G, "NF")</f>
        <v>5.4252217579051774</v>
      </c>
      <c r="I275" s="115">
        <f>Table1[[#This Row],[Tiyaar/gaz]]/1.0936</f>
        <v>9493.4162399414781</v>
      </c>
      <c r="J275" s="115" cm="1">
        <f t="array" ref="J27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94934.162399414781</v>
      </c>
      <c r="K275" s="113"/>
    </row>
    <row r="276" spans="1:11" x14ac:dyDescent="0.3">
      <c r="A276" s="118">
        <v>46211</v>
      </c>
      <c r="B276" s="116" t="s">
        <v>21</v>
      </c>
      <c r="C276" s="113">
        <v>1796</v>
      </c>
      <c r="D276" s="113" t="s">
        <v>85</v>
      </c>
      <c r="E276" s="11" t="s">
        <v>907</v>
      </c>
      <c r="F276" s="11">
        <v>12403</v>
      </c>
      <c r="G276" s="11">
        <v>4519</v>
      </c>
      <c r="H276" s="114">
        <f>_xlfn.XLOOKUP(Table1[[#This Row],[Shipment Number]], 'pivot '!A:A,'pivot '!G:G, "NF")</f>
        <v>66.683674531629521</v>
      </c>
      <c r="I276" s="115">
        <f>Table1[[#This Row],[Tiyaar/gaz]]/1.0936</f>
        <v>4132.2238478419904</v>
      </c>
      <c r="J276" s="115" cm="1">
        <f t="array" ref="J27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41322.238478419902</v>
      </c>
      <c r="K276" s="113"/>
    </row>
    <row r="277" spans="1:11" x14ac:dyDescent="0.3">
      <c r="A277" s="118">
        <v>46211</v>
      </c>
      <c r="B277" s="116" t="s">
        <v>21</v>
      </c>
      <c r="C277" s="113">
        <v>1797</v>
      </c>
      <c r="D277" s="113" t="s">
        <v>85</v>
      </c>
      <c r="E277" s="11" t="s">
        <v>906</v>
      </c>
      <c r="F277" s="11">
        <v>14953</v>
      </c>
      <c r="G277" s="11">
        <v>8881</v>
      </c>
      <c r="H277" s="114">
        <f>_xlfn.XLOOKUP(Table1[[#This Row],[Shipment Number]], 'pivot '!A:A,'pivot '!G:G, "NF")</f>
        <v>45.69059620167576</v>
      </c>
      <c r="I277" s="115">
        <f>Table1[[#This Row],[Tiyaar/gaz]]/1.0936</f>
        <v>8120.8851499634238</v>
      </c>
      <c r="J277" s="115" cm="1">
        <f t="array" ref="J27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81208.851499634242</v>
      </c>
      <c r="K277" s="113"/>
    </row>
    <row r="278" spans="1:11" x14ac:dyDescent="0.3">
      <c r="A278" s="118">
        <v>46211</v>
      </c>
      <c r="B278" s="116" t="s">
        <v>1034</v>
      </c>
      <c r="C278" s="113">
        <v>1798</v>
      </c>
      <c r="D278" s="113" t="s">
        <v>1032</v>
      </c>
      <c r="E278" s="11">
        <v>2256</v>
      </c>
      <c r="F278" s="11">
        <v>6400</v>
      </c>
      <c r="G278" s="11">
        <v>6660</v>
      </c>
      <c r="H278" s="114">
        <f>_xlfn.XLOOKUP(Table1[[#This Row],[Shipment Number]], 'pivot '!A:A,'pivot '!G:G, "NF")</f>
        <v>4.844092904169699</v>
      </c>
      <c r="I278" s="115">
        <f>Table1[[#This Row],[Tiyaar/gaz]]/1.0936</f>
        <v>6089.9780541331384</v>
      </c>
      <c r="J278" s="115">
        <f>Table1[[#This Row],[tiyar/meters]]*15</f>
        <v>91349.670811997072</v>
      </c>
      <c r="K278" s="113"/>
    </row>
    <row r="279" spans="1:11" x14ac:dyDescent="0.3">
      <c r="A279" s="118">
        <v>46212</v>
      </c>
      <c r="B279" s="116" t="s">
        <v>928</v>
      </c>
      <c r="C279" s="113">
        <v>1799</v>
      </c>
      <c r="D279" s="113" t="s">
        <v>85</v>
      </c>
      <c r="E279" s="11" t="s">
        <v>929</v>
      </c>
      <c r="F279" s="11">
        <v>50000</v>
      </c>
      <c r="G279" s="11">
        <v>53438</v>
      </c>
      <c r="H279" s="114">
        <f>_xlfn.XLOOKUP(Table1[[#This Row],[Shipment Number]], 'pivot '!A:A,'pivot '!G:G, "NF")</f>
        <v>2.2713972201901811</v>
      </c>
      <c r="I279" s="115">
        <f>Table1[[#This Row],[Tiyaar/gaz]]/1.0936</f>
        <v>48864.301389904904</v>
      </c>
      <c r="J279" s="115" cm="1">
        <f t="array" ref="J27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488643.01389904902</v>
      </c>
      <c r="K279" s="113"/>
    </row>
    <row r="280" spans="1:11" x14ac:dyDescent="0.3">
      <c r="A280" s="118">
        <v>46212</v>
      </c>
      <c r="B280" s="116" t="s">
        <v>21</v>
      </c>
      <c r="C280" s="113">
        <v>1800</v>
      </c>
      <c r="D280" s="113" t="s">
        <v>86</v>
      </c>
      <c r="E280" s="11">
        <v>2249</v>
      </c>
      <c r="F280" s="11">
        <v>40536</v>
      </c>
      <c r="G280" s="11">
        <v>19263</v>
      </c>
      <c r="H280" s="114">
        <f>_xlfn.XLOOKUP(Table1[[#This Row],[Shipment Number]], 'pivot '!A:A,'pivot '!G:G, "NF")</f>
        <v>4.4420529354347309</v>
      </c>
      <c r="I280" s="115">
        <f>Table1[[#This Row],[Tiyaar/gaz]]/1.0936</f>
        <v>17614.301389904904</v>
      </c>
      <c r="J280" s="115" cm="1">
        <f t="array" ref="J28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211371.61667885885</v>
      </c>
      <c r="K280" s="113"/>
    </row>
    <row r="281" spans="1:11" x14ac:dyDescent="0.3">
      <c r="A281" s="118">
        <v>46213</v>
      </c>
      <c r="B281" s="116" t="s">
        <v>21</v>
      </c>
      <c r="C281" s="113">
        <v>1801</v>
      </c>
      <c r="D281" s="113" t="s">
        <v>231</v>
      </c>
      <c r="E281" s="11">
        <v>2251</v>
      </c>
      <c r="F281" s="11">
        <v>28877</v>
      </c>
      <c r="G281" s="11">
        <v>6125</v>
      </c>
      <c r="H281" s="114">
        <f>_xlfn.XLOOKUP(Table1[[#This Row],[Shipment Number]], 'pivot '!A:A,'pivot '!G:G, "NF")</f>
        <v>8.1757328126238491</v>
      </c>
      <c r="I281" s="115">
        <f>Table1[[#This Row],[Tiyaar/gaz]]/1.0936</f>
        <v>5600.7681053401611</v>
      </c>
      <c r="J281" s="115" cm="1">
        <f t="array" ref="J28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56007.681053401611</v>
      </c>
      <c r="K281" s="113"/>
    </row>
    <row r="282" spans="1:11" x14ac:dyDescent="0.3">
      <c r="A282" s="118">
        <v>46213</v>
      </c>
      <c r="B282" s="116" t="s">
        <v>21</v>
      </c>
      <c r="C282" s="113">
        <v>1802</v>
      </c>
      <c r="D282" s="113" t="s">
        <v>231</v>
      </c>
      <c r="E282" s="11">
        <v>2251</v>
      </c>
      <c r="F282" s="11">
        <v>28877</v>
      </c>
      <c r="G282" s="11">
        <v>4184</v>
      </c>
      <c r="H282" s="114">
        <f>_xlfn.XLOOKUP(Table1[[#This Row],[Shipment Number]], 'pivot '!A:A,'pivot '!G:G, "NF")</f>
        <v>8.1757328126238491</v>
      </c>
      <c r="I282" s="115">
        <f>Table1[[#This Row],[Tiyaar/gaz]]/1.0936</f>
        <v>3825.8961228968546</v>
      </c>
      <c r="J282" s="115" cm="1">
        <f t="array" ref="J28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38258.961228968546</v>
      </c>
      <c r="K282" s="113"/>
    </row>
    <row r="283" spans="1:11" x14ac:dyDescent="0.3">
      <c r="A283" s="118">
        <v>46213</v>
      </c>
      <c r="B283" s="116" t="s">
        <v>176</v>
      </c>
      <c r="C283" s="113">
        <v>1803</v>
      </c>
      <c r="D283" s="113" t="s">
        <v>231</v>
      </c>
      <c r="E283" s="11">
        <v>2259</v>
      </c>
      <c r="F283" s="11">
        <v>28661</v>
      </c>
      <c r="G283" s="11">
        <v>28761</v>
      </c>
      <c r="H283" s="114">
        <f>_xlfn.XLOOKUP(Table1[[#This Row],[Shipment Number]], 'pivot '!A:A,'pivot '!G:G, "NF")</f>
        <v>8.2398443863126829</v>
      </c>
      <c r="I283" s="115">
        <f>Table1[[#This Row],[Tiyaar/gaz]]/1.0936</f>
        <v>26299.378200438921</v>
      </c>
      <c r="J283" s="115" cm="1">
        <f t="array" ref="J28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Row],[tiyar/meters]]*12,AND(Table1[[#This Row],[Party Name]]="Shafique Ansari",Table1[[#This Row],[Quality]]="Crinkle"),Table1[[#This Row],[tiyar/meters]]*11,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289293.16020482813</v>
      </c>
      <c r="K283" s="113"/>
    </row>
    <row r="284" spans="1:11" x14ac:dyDescent="0.3">
      <c r="A284" s="118">
        <v>46213</v>
      </c>
      <c r="B284" s="116" t="s">
        <v>21</v>
      </c>
      <c r="C284" s="113">
        <v>1804</v>
      </c>
      <c r="D284" s="113" t="s">
        <v>86</v>
      </c>
      <c r="E284" s="11">
        <v>2267</v>
      </c>
      <c r="F284" s="11">
        <v>16511</v>
      </c>
      <c r="G284" s="11">
        <v>17763</v>
      </c>
      <c r="H284" s="114">
        <f>_xlfn.XLOOKUP(Table1[[#This Row],[Shipment Number]], 'pivot '!A:A,'pivot '!G:G, "NF")</f>
        <v>1.6250698864630522</v>
      </c>
      <c r="I284" s="115">
        <f>Table1[[#This Row],[Tiyaar/gaz]]/1.0936</f>
        <v>16242.684711046088</v>
      </c>
      <c r="J284" s="115" cm="1">
        <f t="array" ref="J28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194912.21653255305</v>
      </c>
      <c r="K284" s="113"/>
    </row>
    <row r="285" spans="1:11" x14ac:dyDescent="0.3">
      <c r="A285" s="118">
        <v>46213</v>
      </c>
      <c r="B285" s="116" t="s">
        <v>21</v>
      </c>
      <c r="C285" s="113">
        <v>1805</v>
      </c>
      <c r="D285" s="113" t="s">
        <v>86</v>
      </c>
      <c r="E285" s="11">
        <v>2238</v>
      </c>
      <c r="F285" s="11">
        <v>50235</v>
      </c>
      <c r="G285" s="11">
        <v>12108</v>
      </c>
      <c r="H285" s="114">
        <f>_xlfn.XLOOKUP(Table1[[#This Row],[Shipment Number]], 'pivot '!A:A,'pivot '!G:G, "NF")</f>
        <v>20.299610120655302</v>
      </c>
      <c r="I285" s="115">
        <f>Table1[[#This Row],[Tiyaar/gaz]]/1.0936</f>
        <v>11071.689831748356</v>
      </c>
      <c r="J285" s="115" cm="1">
        <f t="array" ref="J28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132860.27798098026</v>
      </c>
      <c r="K285" s="113"/>
    </row>
    <row r="286" spans="1:11" x14ac:dyDescent="0.3">
      <c r="A286" s="118">
        <v>46213</v>
      </c>
      <c r="B286" s="116" t="s">
        <v>21</v>
      </c>
      <c r="C286" s="113">
        <v>1806</v>
      </c>
      <c r="D286" s="113" t="s">
        <v>86</v>
      </c>
      <c r="E286" s="11">
        <v>2269</v>
      </c>
      <c r="F286" s="11">
        <v>4869</v>
      </c>
      <c r="G286" s="11">
        <v>5141</v>
      </c>
      <c r="H286" s="114">
        <f>_xlfn.XLOOKUP(Table1[[#This Row],[Shipment Number]], 'pivot '!A:A,'pivot '!G:G, "NF")</f>
        <v>3.4506559045229324</v>
      </c>
      <c r="I286" s="115">
        <f>Table1[[#This Row],[Tiyaar/gaz]]/1.0936</f>
        <v>4700.9875640087785</v>
      </c>
      <c r="J286" s="115" cm="1">
        <f t="array" ref="J28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56411.850768105345</v>
      </c>
      <c r="K286" s="113"/>
    </row>
    <row r="287" spans="1:11" x14ac:dyDescent="0.3">
      <c r="A287" s="118">
        <v>46213</v>
      </c>
      <c r="B287" s="116" t="s">
        <v>21</v>
      </c>
      <c r="C287" s="113">
        <v>1807</v>
      </c>
      <c r="D287" s="113" t="s">
        <v>85</v>
      </c>
      <c r="E287" s="11">
        <v>2245</v>
      </c>
      <c r="F287" s="11">
        <v>14953</v>
      </c>
      <c r="G287" s="11">
        <v>7256</v>
      </c>
      <c r="H287" s="114">
        <f>_xlfn.XLOOKUP(Table1[[#This Row],[Shipment Number]], 'pivot '!A:A,'pivot '!G:G, "NF")</f>
        <v>55.627853399319818</v>
      </c>
      <c r="I287" s="115">
        <f>Table1[[#This Row],[Tiyaar/gaz]]/1.0936</f>
        <v>6634.9670811997075</v>
      </c>
      <c r="J287" s="115" cm="1">
        <f t="array" ref="J28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66349.670811997072</v>
      </c>
      <c r="K287" s="113"/>
    </row>
    <row r="288" spans="1:11" x14ac:dyDescent="0.3">
      <c r="A288" s="118">
        <v>46214</v>
      </c>
      <c r="B288" s="116" t="s">
        <v>21</v>
      </c>
      <c r="C288" s="113">
        <v>1808</v>
      </c>
      <c r="D288" s="113" t="s">
        <v>85</v>
      </c>
      <c r="E288" s="11" t="s">
        <v>1030</v>
      </c>
      <c r="F288" s="11">
        <v>27569</v>
      </c>
      <c r="G288" s="11">
        <v>11620</v>
      </c>
      <c r="H288" s="114">
        <f>_xlfn.XLOOKUP(Table1[[#This Row],[Shipment Number]], 'pivot '!A:A,'pivot '!G:G, "NF")</f>
        <v>61.458677479924475</v>
      </c>
      <c r="I288" s="115">
        <f>Table1[[#This Row],[Tiyaar/gaz]]/1.0936</f>
        <v>10625.45720555962</v>
      </c>
      <c r="J288" s="115" cm="1">
        <f t="array" ref="J28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106254.5720555962</v>
      </c>
      <c r="K288" s="113"/>
    </row>
    <row r="289" spans="1:11" x14ac:dyDescent="0.3">
      <c r="A289" s="118">
        <v>46214</v>
      </c>
      <c r="B289" s="116" t="s">
        <v>21</v>
      </c>
      <c r="C289" s="113">
        <v>1809</v>
      </c>
      <c r="D289" s="113" t="s">
        <v>85</v>
      </c>
      <c r="E289" s="11" t="s">
        <v>612</v>
      </c>
      <c r="F289" s="11"/>
      <c r="G289" s="11">
        <v>3933</v>
      </c>
      <c r="H289" s="114" t="e">
        <f>_xlfn.XLOOKUP(Table1[[#This Row],[Shipment Number]], 'pivot '!A:A,'pivot '!G:G, "NF")</f>
        <v>#DIV/0!</v>
      </c>
      <c r="I289" s="115">
        <f>Table1[[#This Row],[Tiyaar/gaz]]/1.0936</f>
        <v>3596.3789319678131</v>
      </c>
      <c r="J289" s="115" cm="1">
        <f t="array" ref="J28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35963.78931967813</v>
      </c>
      <c r="K289" s="113"/>
    </row>
    <row r="290" spans="1:11" x14ac:dyDescent="0.3">
      <c r="A290" s="118">
        <v>46214</v>
      </c>
      <c r="B290" s="116" t="s">
        <v>176</v>
      </c>
      <c r="C290" s="113">
        <v>1810</v>
      </c>
      <c r="D290" s="113" t="s">
        <v>447</v>
      </c>
      <c r="E290" s="11">
        <v>2261</v>
      </c>
      <c r="F290" s="11">
        <v>1209</v>
      </c>
      <c r="G290" s="11">
        <v>1212</v>
      </c>
      <c r="H290" s="114">
        <f>_xlfn.XLOOKUP(Table1[[#This Row],[Shipment Number]], 'pivot '!A:A,'pivot '!G:G, "NF")</f>
        <v>8.3319870539352792</v>
      </c>
      <c r="I290" s="115">
        <f>Table1[[#This Row],[Tiyaar/gaz]]/1.0936</f>
        <v>1108.2662765179225</v>
      </c>
      <c r="J290" s="115">
        <f>Table1[[#This Row],[tiyar/meters]]*35</f>
        <v>38789.319678127285</v>
      </c>
      <c r="K290" s="113"/>
    </row>
    <row r="291" spans="1:11" x14ac:dyDescent="0.3">
      <c r="A291" s="118">
        <v>46214</v>
      </c>
      <c r="B291" s="116" t="s">
        <v>176</v>
      </c>
      <c r="C291" s="113">
        <v>1811</v>
      </c>
      <c r="D291" s="113" t="s">
        <v>86</v>
      </c>
      <c r="E291" s="11">
        <v>2260</v>
      </c>
      <c r="F291" s="11">
        <v>2441</v>
      </c>
      <c r="G291" s="11">
        <v>2439</v>
      </c>
      <c r="H291" s="114">
        <f>_xlfn.XLOOKUP(Table1[[#This Row],[Shipment Number]], 'pivot '!A:A,'pivot '!G:G, "NF")</f>
        <v>8.6338091018257472</v>
      </c>
      <c r="I291" s="115">
        <f>Table1[[#This Row],[Tiyaar/gaz]]/1.0936</f>
        <v>2230.2487198244335</v>
      </c>
      <c r="J291" s="115">
        <f>Table1[[#This Row],[tiyar/meters]]*15</f>
        <v>33453.730797366501</v>
      </c>
      <c r="K291" s="113"/>
    </row>
    <row r="292" spans="1:11" x14ac:dyDescent="0.3">
      <c r="A292" s="118">
        <v>46214</v>
      </c>
      <c r="B292" s="116" t="s">
        <v>176</v>
      </c>
      <c r="C292" s="113">
        <v>1812</v>
      </c>
      <c r="D292" s="113" t="s">
        <v>206</v>
      </c>
      <c r="E292" s="11">
        <v>2254</v>
      </c>
      <c r="F292" s="11">
        <v>30184</v>
      </c>
      <c r="G292" s="11">
        <v>31912</v>
      </c>
      <c r="H292" s="114">
        <f>_xlfn.XLOOKUP(Table1[[#This Row],[Shipment Number]], 'pivot '!A:A,'pivot '!G:G, "NF")</f>
        <v>3.3239874199520614</v>
      </c>
      <c r="I292" s="115">
        <f>Table1[[#This Row],[Tiyaar/gaz]]/1.0936</f>
        <v>29180.687637161671</v>
      </c>
      <c r="J292" s="115" cm="1">
        <f t="array" ref="J29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320987.56400877837</v>
      </c>
      <c r="K292" s="113"/>
    </row>
    <row r="293" spans="1:11" x14ac:dyDescent="0.3">
      <c r="A293" s="118">
        <v>46214</v>
      </c>
      <c r="B293" s="116" t="s">
        <v>176</v>
      </c>
      <c r="C293" s="113">
        <v>1813</v>
      </c>
      <c r="D293" s="113" t="s">
        <v>274</v>
      </c>
      <c r="E293" s="11">
        <v>2253</v>
      </c>
      <c r="F293" s="11">
        <v>9273</v>
      </c>
      <c r="G293" s="11">
        <v>9916</v>
      </c>
      <c r="H293" s="114">
        <f>_xlfn.XLOOKUP(Table1[[#This Row],[Shipment Number]], 'pivot '!A:A,'pivot '!G:G, "NF")</f>
        <v>2.2182609902296235</v>
      </c>
      <c r="I293" s="115">
        <f>Table1[[#This Row],[Tiyaar/gaz]]/1.0936</f>
        <v>9067.300658376007</v>
      </c>
      <c r="J293" s="115" cm="1">
        <f t="array" ref="J29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108807.60790051208</v>
      </c>
      <c r="K293" s="113"/>
    </row>
    <row r="294" spans="1:11" x14ac:dyDescent="0.3">
      <c r="A294" s="118">
        <v>46216</v>
      </c>
      <c r="B294" s="116" t="s">
        <v>1031</v>
      </c>
      <c r="C294" s="113">
        <v>1814</v>
      </c>
      <c r="D294" s="113" t="s">
        <v>1032</v>
      </c>
      <c r="E294" s="11">
        <v>2262</v>
      </c>
      <c r="F294" s="11">
        <v>7211</v>
      </c>
      <c r="G294" s="11">
        <v>7429</v>
      </c>
      <c r="H294" s="114">
        <f>_xlfn.XLOOKUP(Table1[[#This Row],[Shipment Number]], 'pivot '!A:A,'pivot '!G:G, "NF")</f>
        <v>5.1477579821204955</v>
      </c>
      <c r="I294" s="115">
        <f>Table1[[#This Row],[Tiyaar/gaz]]/1.0936</f>
        <v>6793.1602048280911</v>
      </c>
      <c r="J294" s="115" cm="1">
        <f t="array" ref="J294">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101897.40307242137</v>
      </c>
      <c r="K294" s="113"/>
    </row>
    <row r="295" spans="1:11" x14ac:dyDescent="0.3">
      <c r="A295" s="118">
        <v>46216</v>
      </c>
      <c r="B295" s="116" t="s">
        <v>530</v>
      </c>
      <c r="C295" s="113">
        <v>1815</v>
      </c>
      <c r="D295" s="113" t="s">
        <v>85</v>
      </c>
      <c r="E295" s="11">
        <v>2257</v>
      </c>
      <c r="F295" s="11">
        <v>2977</v>
      </c>
      <c r="G295" s="11">
        <v>2111</v>
      </c>
      <c r="H295" s="114">
        <f>_xlfn.XLOOKUP(Table1[[#This Row],[Shipment Number]], 'pivot '!A:A,'pivot '!G:G, "NF")</f>
        <v>1.7092515429804536</v>
      </c>
      <c r="I295" s="115">
        <f>Table1[[#This Row],[Tiyaar/gaz]]/1.0936</f>
        <v>1930.3218727139724</v>
      </c>
      <c r="J295" s="115" cm="1">
        <f t="array" ref="J295">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19303.218727139723</v>
      </c>
      <c r="K295" s="113"/>
    </row>
    <row r="296" spans="1:11" x14ac:dyDescent="0.3">
      <c r="A296" s="167">
        <v>46216</v>
      </c>
      <c r="B296" s="133" t="s">
        <v>21</v>
      </c>
      <c r="C296" s="168">
        <v>1816</v>
      </c>
      <c r="D296" s="168" t="s">
        <v>86</v>
      </c>
      <c r="E296" s="134">
        <v>2258</v>
      </c>
      <c r="F296" s="134">
        <v>36789</v>
      </c>
      <c r="G296" s="134">
        <v>38686</v>
      </c>
      <c r="H296" s="169">
        <f>_xlfn.XLOOKUP(Table1[[#This Row],[Shipment Number]], 'pivot '!A:A,'pivot '!G:G, "NF")</f>
        <v>3.8437887442222376</v>
      </c>
      <c r="I296" s="170">
        <f>Table1[[#This Row],[Tiyaar/gaz]]/1.0936</f>
        <v>35374.908558888077</v>
      </c>
      <c r="J296" s="170" cm="1">
        <f t="array" ref="J296">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424498.90270665695</v>
      </c>
      <c r="K296" s="113"/>
    </row>
    <row r="297" spans="1:11" x14ac:dyDescent="0.3">
      <c r="A297" s="118">
        <v>46216</v>
      </c>
      <c r="B297" s="116" t="s">
        <v>901</v>
      </c>
      <c r="C297" s="113">
        <v>1817</v>
      </c>
      <c r="D297" s="113" t="s">
        <v>85</v>
      </c>
      <c r="E297" s="11" t="s">
        <v>1033</v>
      </c>
      <c r="F297" s="11">
        <v>12033</v>
      </c>
      <c r="G297" s="11">
        <v>12741</v>
      </c>
      <c r="H297" s="114">
        <f>_xlfn.XLOOKUP(Table1[[#This Row],[Shipment Number]], 'pivot '!A:A,'pivot '!G:G, "NF")</f>
        <v>3.178658104988159</v>
      </c>
      <c r="I297" s="115">
        <f>Table1[[#This Row],[Tiyaar/gaz]]/1.0936</f>
        <v>11650.512070226774</v>
      </c>
      <c r="J297" s="115" cm="1">
        <f t="array" ref="J297">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116505.12070226774</v>
      </c>
      <c r="K297" s="113"/>
    </row>
    <row r="298" spans="1:11" x14ac:dyDescent="0.3">
      <c r="A298" s="118">
        <v>46220</v>
      </c>
      <c r="B298" s="116" t="s">
        <v>1031</v>
      </c>
      <c r="C298" s="113">
        <v>1818</v>
      </c>
      <c r="D298" s="113" t="s">
        <v>1032</v>
      </c>
      <c r="E298" s="11">
        <v>2262</v>
      </c>
      <c r="F298" s="11"/>
      <c r="G298" s="11">
        <v>51</v>
      </c>
      <c r="H298" s="114">
        <f>_xlfn.XLOOKUP(Table1[[#This Row],[Shipment Number]], 'pivot '!A:A,'pivot '!G:G, "NF")</f>
        <v>5.1477579821204955</v>
      </c>
      <c r="I298" s="115">
        <f>Table1[[#This Row],[Tiyaar/gaz]]/1.0936</f>
        <v>46.634967081199711</v>
      </c>
      <c r="J298" s="115" cm="1">
        <f t="array" ref="J298">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699.52450621799562</v>
      </c>
      <c r="K298" s="113"/>
    </row>
    <row r="299" spans="1:11" x14ac:dyDescent="0.3">
      <c r="A299" s="118">
        <v>46220</v>
      </c>
      <c r="B299" s="116" t="s">
        <v>21</v>
      </c>
      <c r="C299" s="113">
        <v>1819</v>
      </c>
      <c r="D299" s="113" t="s">
        <v>231</v>
      </c>
      <c r="E299" s="11">
        <v>2271</v>
      </c>
      <c r="F299" s="11"/>
      <c r="G299" s="11">
        <v>300</v>
      </c>
      <c r="H299" s="114" t="e">
        <f>_xlfn.XLOOKUP(Table1[[#This Row],[Shipment Number]], 'pivot '!A:A,'pivot '!G:G, "NF")</f>
        <v>#DIV/0!</v>
      </c>
      <c r="I299" s="115">
        <f>Table1[[#This Row],[Tiyaar/gaz]]/1.0936</f>
        <v>274.32333577176303</v>
      </c>
      <c r="J299" s="115" cm="1">
        <f t="array" ref="J299">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2743.2333577176305</v>
      </c>
      <c r="K299" s="113"/>
    </row>
    <row r="300" spans="1:11" x14ac:dyDescent="0.3">
      <c r="A300" s="118">
        <v>46221</v>
      </c>
      <c r="B300" s="116" t="s">
        <v>530</v>
      </c>
      <c r="C300" s="113">
        <v>1820</v>
      </c>
      <c r="D300" s="113" t="s">
        <v>85</v>
      </c>
      <c r="E300" s="11">
        <v>2278</v>
      </c>
      <c r="F300" s="11">
        <v>21989</v>
      </c>
      <c r="G300" s="11">
        <v>23571</v>
      </c>
      <c r="H300" s="114">
        <f>_xlfn.XLOOKUP(Table1[[#This Row],[Shipment Number]], 'pivot '!A:A,'pivot '!G:G, "NF")</f>
        <v>1.9801514776141715</v>
      </c>
      <c r="I300" s="115">
        <f>Table1[[#This Row],[Tiyaar/gaz]]/1.0936</f>
        <v>21553.584491587419</v>
      </c>
      <c r="J300" s="115" cm="1">
        <f t="array" ref="J300">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215535.84491587419</v>
      </c>
      <c r="K300" s="113"/>
    </row>
    <row r="301" spans="1:11" x14ac:dyDescent="0.3">
      <c r="A301" s="118">
        <v>46221</v>
      </c>
      <c r="B301" s="116" t="s">
        <v>21</v>
      </c>
      <c r="C301" s="113">
        <v>1821</v>
      </c>
      <c r="D301" s="113" t="s">
        <v>85</v>
      </c>
      <c r="E301" s="11">
        <v>2276</v>
      </c>
      <c r="F301" s="11">
        <v>14222</v>
      </c>
      <c r="G301" s="11">
        <v>15277</v>
      </c>
      <c r="H301" s="114">
        <f>_xlfn.XLOOKUP(Table1[[#This Row],[Shipment Number]], 'pivot '!A:A,'pivot '!G:G, "NF")</f>
        <v>1.7757089817366705</v>
      </c>
      <c r="I301" s="115">
        <f>Table1[[#This Row],[Tiyaar/gaz]]/1.0936</f>
        <v>13969.458668617412</v>
      </c>
      <c r="J301" s="115" cm="1">
        <f t="array" ref="J301">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139694.58668617412</v>
      </c>
      <c r="K301" s="113"/>
    </row>
    <row r="302" spans="1:11" x14ac:dyDescent="0.3">
      <c r="A302" s="118">
        <v>46221</v>
      </c>
      <c r="B302" s="116" t="s">
        <v>530</v>
      </c>
      <c r="C302" s="113">
        <v>1822</v>
      </c>
      <c r="D302" s="113" t="s">
        <v>85</v>
      </c>
      <c r="E302" s="11">
        <v>2257</v>
      </c>
      <c r="F302" s="11">
        <v>2977</v>
      </c>
      <c r="G302" s="11">
        <v>1089</v>
      </c>
      <c r="H302" s="114">
        <f>_xlfn.XLOOKUP(Table1[[#This Row],[Shipment Number]], 'pivot '!A:A,'pivot '!G:G, "NF")</f>
        <v>1.7092515429804536</v>
      </c>
      <c r="I302" s="115">
        <f>Table1[[#This Row],[Tiyaar/gaz]]/1.0936</f>
        <v>995.79370885149967</v>
      </c>
      <c r="J302" s="115" cm="1">
        <f t="array" ref="J302">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9957.9370885149965</v>
      </c>
      <c r="K302" s="113"/>
    </row>
    <row r="303" spans="1:11" x14ac:dyDescent="0.3">
      <c r="A303" s="118">
        <v>46221</v>
      </c>
      <c r="B303" s="116" t="s">
        <v>21</v>
      </c>
      <c r="C303" s="113">
        <v>1823</v>
      </c>
      <c r="D303" s="113" t="s">
        <v>85</v>
      </c>
      <c r="E303" s="11" t="s">
        <v>612</v>
      </c>
      <c r="F303" s="11"/>
      <c r="G303" s="11">
        <v>2266</v>
      </c>
      <c r="H303" s="114" t="e">
        <f>_xlfn.XLOOKUP(Table1[[#This Row],[Shipment Number]], 'pivot '!A:A,'pivot '!G:G, "NF")</f>
        <v>#DIV/0!</v>
      </c>
      <c r="I303" s="115">
        <f>Table1[[#This Row],[Tiyaar/gaz]]/1.0936</f>
        <v>2072.0555961960499</v>
      </c>
      <c r="J303" s="115" cm="1">
        <f t="array" ref="J303">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20720.555961960497</v>
      </c>
      <c r="K303" s="113"/>
    </row>
    <row r="304" spans="1:11" x14ac:dyDescent="0.3">
      <c r="A304" s="118">
        <v>46221</v>
      </c>
      <c r="B304" s="116" t="s">
        <v>176</v>
      </c>
      <c r="C304" s="113">
        <v>1824</v>
      </c>
      <c r="D304" s="113" t="s">
        <v>447</v>
      </c>
      <c r="E304" s="11">
        <v>2264</v>
      </c>
      <c r="F304" s="11">
        <v>10346</v>
      </c>
      <c r="G304" s="11">
        <v>10516</v>
      </c>
      <c r="H304" s="114">
        <f>_xlfn.XLOOKUP(Table1[[#This Row],[Shipment Number]], 'pivot '!A:A,'pivot '!G:G, "NF")</f>
        <v>7.0563760881545363</v>
      </c>
      <c r="I304" s="115">
        <f>Table1[[#This Row],[Tiyaar/gaz]]/1.0936</f>
        <v>9615.9473299195324</v>
      </c>
      <c r="J304" s="115" cm="1">
        <f t="array" ref="J304">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336558.15654718364</v>
      </c>
      <c r="K304" s="113"/>
    </row>
    <row r="305" spans="1:11" x14ac:dyDescent="0.3">
      <c r="A305" s="118">
        <v>46221</v>
      </c>
      <c r="B305" s="116" t="s">
        <v>176</v>
      </c>
      <c r="C305" s="113">
        <v>1825</v>
      </c>
      <c r="D305" s="113" t="s">
        <v>86</v>
      </c>
      <c r="E305" s="11">
        <v>2272</v>
      </c>
      <c r="F305" s="11">
        <v>1641</v>
      </c>
      <c r="G305" s="11">
        <v>1730</v>
      </c>
      <c r="H305" s="114">
        <f>_xlfn.XLOOKUP(Table1[[#This Row],[Shipment Number]], 'pivot '!A:A,'pivot '!G:G, "NF")</f>
        <v>3.5995590320637803</v>
      </c>
      <c r="I305" s="115">
        <f>Table1[[#This Row],[Tiyaar/gaz]]/1.0936</f>
        <v>1581.9312362838334</v>
      </c>
      <c r="J305" s="115" cm="1">
        <f t="array" ref="J305">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18983.174835406</v>
      </c>
      <c r="K305" s="113"/>
    </row>
    <row r="306" spans="1:11" x14ac:dyDescent="0.3">
      <c r="A306" s="118">
        <v>46221</v>
      </c>
      <c r="B306" s="116" t="s">
        <v>21</v>
      </c>
      <c r="C306" s="113">
        <v>1826</v>
      </c>
      <c r="D306" s="113" t="s">
        <v>231</v>
      </c>
      <c r="E306" s="11">
        <v>2268</v>
      </c>
      <c r="F306" s="11">
        <v>2492</v>
      </c>
      <c r="G306" s="11">
        <v>2582</v>
      </c>
      <c r="H306" s="114">
        <f>_xlfn.XLOOKUP(Table1[[#This Row],[Shipment Number]], 'pivot '!A:A,'pivot '!G:G, "NF")</f>
        <v>5.256440213658081</v>
      </c>
      <c r="I306" s="115">
        <f>Table1[[#This Row],[Tiyaar/gaz]]/1.0936</f>
        <v>2361.0095098756401</v>
      </c>
      <c r="J306" s="115" cm="1">
        <f t="array" ref="J306">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23610.095098756399</v>
      </c>
      <c r="K306" s="113"/>
    </row>
    <row r="307" spans="1:11" x14ac:dyDescent="0.3">
      <c r="A307" s="118">
        <v>46221</v>
      </c>
      <c r="B307" s="116" t="s">
        <v>1034</v>
      </c>
      <c r="C307" s="113">
        <v>1827</v>
      </c>
      <c r="D307" s="113" t="s">
        <v>1032</v>
      </c>
      <c r="E307" s="11">
        <v>2277</v>
      </c>
      <c r="F307" s="11">
        <v>7310</v>
      </c>
      <c r="G307" s="11">
        <v>7534</v>
      </c>
      <c r="H307" s="114">
        <f>_xlfn.XLOOKUP(Table1[[#This Row],[Shipment Number]], 'pivot '!A:A,'pivot '!G:G, "NF")</f>
        <v>5.7568622113788166</v>
      </c>
      <c r="I307" s="115">
        <f>Table1[[#This Row],[Tiyaar/gaz]]/1.0936</f>
        <v>6889.1733723482084</v>
      </c>
      <c r="J307" s="115" cm="1">
        <f t="array" ref="J307">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103337.60058522313</v>
      </c>
      <c r="K307" s="113"/>
    </row>
    <row r="308" spans="1:11" x14ac:dyDescent="0.3">
      <c r="A308" s="118">
        <v>46235</v>
      </c>
      <c r="B308" s="116" t="s">
        <v>21</v>
      </c>
      <c r="C308" s="113">
        <v>1828</v>
      </c>
      <c r="D308" s="113" t="s">
        <v>231</v>
      </c>
      <c r="E308" s="11">
        <v>2271</v>
      </c>
      <c r="F308" s="11"/>
      <c r="G308" s="11">
        <v>1311</v>
      </c>
      <c r="H308" s="114" t="e">
        <f>_xlfn.XLOOKUP(Table1[[#This Row],[Shipment Number]], 'pivot '!A:A,'pivot '!G:G, "NF")</f>
        <v>#DIV/0!</v>
      </c>
      <c r="I308" s="115">
        <f>Table1[[#This Row],[Tiyaar/gaz]]/1.0936</f>
        <v>1198.7929773226044</v>
      </c>
      <c r="J308" s="115" cm="1">
        <f t="array" ref="J308">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11987.929773226044</v>
      </c>
      <c r="K308" s="113"/>
    </row>
    <row r="309" spans="1:11" x14ac:dyDescent="0.3">
      <c r="A309" s="118">
        <v>46235</v>
      </c>
      <c r="B309" s="116" t="s">
        <v>21</v>
      </c>
      <c r="C309" s="113">
        <v>1829</v>
      </c>
      <c r="D309" s="113" t="s">
        <v>231</v>
      </c>
      <c r="E309" s="11">
        <v>2266</v>
      </c>
      <c r="F309" s="11">
        <v>13467</v>
      </c>
      <c r="G309" s="11">
        <v>13975</v>
      </c>
      <c r="H309" s="114">
        <f>_xlfn.XLOOKUP(Table1[[#This Row],[Shipment Number]], 'pivot '!A:A,'pivot '!G:G, "NF")</f>
        <v>5.1095612135742243</v>
      </c>
      <c r="I309" s="115">
        <f>Table1[[#This Row],[Tiyaar/gaz]]/1.0936</f>
        <v>12778.89539136796</v>
      </c>
      <c r="J309" s="115" cm="1">
        <f t="array" ref="J309">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127788.95391367959</v>
      </c>
      <c r="K309" s="113"/>
    </row>
    <row r="310" spans="1:11" x14ac:dyDescent="0.3">
      <c r="A310" s="118">
        <v>46238</v>
      </c>
      <c r="B310" s="116" t="s">
        <v>258</v>
      </c>
      <c r="C310" s="113">
        <v>1830</v>
      </c>
      <c r="D310" s="113" t="s">
        <v>86</v>
      </c>
      <c r="E310" s="11">
        <v>2283</v>
      </c>
      <c r="F310" s="11">
        <v>28109</v>
      </c>
      <c r="G310" s="11">
        <v>29828</v>
      </c>
      <c r="H310" s="114">
        <f>_xlfn.XLOOKUP(Table1[[#This Row],[Shipment Number]], 'pivot '!A:A,'pivot '!G:G, "NF")</f>
        <v>2.966826053338238</v>
      </c>
      <c r="I310" s="115">
        <f>Table1[[#This Row],[Tiyaar/gaz]]/1.0936</f>
        <v>27275.054864667156</v>
      </c>
      <c r="J310" s="115" cm="1">
        <f t="array" ref="J310">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354575.71324067301</v>
      </c>
      <c r="K310" s="113"/>
    </row>
    <row r="311" spans="1:11" x14ac:dyDescent="0.3">
      <c r="A311" s="118">
        <v>46238</v>
      </c>
      <c r="B311" s="116" t="s">
        <v>258</v>
      </c>
      <c r="C311" s="113">
        <v>1831</v>
      </c>
      <c r="D311" s="113" t="s">
        <v>86</v>
      </c>
      <c r="E311" s="11">
        <v>2289</v>
      </c>
      <c r="F311" s="11">
        <v>46027</v>
      </c>
      <c r="G311" s="11">
        <v>29491</v>
      </c>
      <c r="H311" s="114">
        <f>_xlfn.XLOOKUP(Table1[[#This Row],[Shipment Number]], 'pivot '!A:A,'pivot '!G:G, "NF")</f>
        <v>3.192854154543582</v>
      </c>
      <c r="I311" s="115">
        <f>Table1[[#This Row],[Tiyaar/gaz]]/1.0936</f>
        <v>26966.898317483541</v>
      </c>
      <c r="J311" s="115" cm="1">
        <f t="array" ref="J311">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350569.67812728602</v>
      </c>
      <c r="K311" s="113"/>
    </row>
    <row r="312" spans="1:11" x14ac:dyDescent="0.3">
      <c r="A312" s="118">
        <v>46239</v>
      </c>
      <c r="B312" s="116" t="s">
        <v>258</v>
      </c>
      <c r="C312" s="113">
        <v>1832</v>
      </c>
      <c r="D312" s="113" t="s">
        <v>1032</v>
      </c>
      <c r="E312" s="11">
        <v>2282</v>
      </c>
      <c r="F312" s="11">
        <v>8855</v>
      </c>
      <c r="G312" s="11">
        <v>9093</v>
      </c>
      <c r="H312" s="114">
        <f>_xlfn.XLOOKUP(Table1[[#This Row],[Shipment Number]], 'pivot '!A:A,'pivot '!G:G, "NF")</f>
        <v>6.1011823010487092</v>
      </c>
      <c r="I312" s="115">
        <f>Table1[[#This Row],[Tiyaar/gaz]]/1.0936</f>
        <v>8314.7403072421366</v>
      </c>
      <c r="J312" s="115" cm="1">
        <f t="array" ref="J312">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133035.84491587419</v>
      </c>
      <c r="K312" s="115">
        <f>Table1[[#This Row],[tiyar/meters]]*16</f>
        <v>133035.84491587419</v>
      </c>
    </row>
    <row r="313" spans="1:11" x14ac:dyDescent="0.3">
      <c r="A313" s="118">
        <v>46239</v>
      </c>
      <c r="B313" s="116" t="s">
        <v>258</v>
      </c>
      <c r="C313" s="113">
        <v>1833</v>
      </c>
      <c r="D313" s="113" t="s">
        <v>86</v>
      </c>
      <c r="E313" s="11">
        <v>2289</v>
      </c>
      <c r="F313" s="11">
        <v>46027</v>
      </c>
      <c r="G313" s="11">
        <v>19237</v>
      </c>
      <c r="H313" s="114">
        <f>_xlfn.XLOOKUP(Table1[[#This Row],[Shipment Number]], 'pivot '!A:A,'pivot '!G:G, "NF")</f>
        <v>3.192854154543582</v>
      </c>
      <c r="I313" s="115">
        <f>Table1[[#This Row],[Tiyaar/gaz]]/1.0936</f>
        <v>17590.526700804683</v>
      </c>
      <c r="J313" s="115" cm="1">
        <f t="array" ref="J313">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228676.84711046089</v>
      </c>
      <c r="K313" s="113"/>
    </row>
    <row r="314" spans="1:11" x14ac:dyDescent="0.3">
      <c r="A314" s="118">
        <v>46239</v>
      </c>
      <c r="B314" s="116" t="s">
        <v>21</v>
      </c>
      <c r="C314" s="113">
        <v>1834</v>
      </c>
      <c r="D314" s="113" t="s">
        <v>86</v>
      </c>
      <c r="E314" s="11">
        <v>2288</v>
      </c>
      <c r="F314" s="11">
        <v>40084</v>
      </c>
      <c r="G314" s="11">
        <v>37597</v>
      </c>
      <c r="H314" s="114">
        <f>_xlfn.XLOOKUP(Table1[[#This Row],[Shipment Number]], 'pivot '!A:A,'pivot '!G:G, "NF")</f>
        <v>2.3311105201388642</v>
      </c>
      <c r="I314" s="115">
        <f>Table1[[#This Row],[Tiyaar/gaz]]/1.0936</f>
        <v>34379.114850036582</v>
      </c>
      <c r="J314" s="115" cm="1">
        <f t="array" ref="J314">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412549.37820043898</v>
      </c>
      <c r="K314" s="113"/>
    </row>
    <row r="315" spans="1:11" x14ac:dyDescent="0.3">
      <c r="A315" s="118">
        <v>46239</v>
      </c>
      <c r="B315" s="116" t="s">
        <v>21</v>
      </c>
      <c r="C315" s="113">
        <v>1835</v>
      </c>
      <c r="D315" s="113" t="s">
        <v>86</v>
      </c>
      <c r="E315" s="11">
        <v>2288</v>
      </c>
      <c r="F315" s="11">
        <v>40084</v>
      </c>
      <c r="G315" s="11">
        <v>5217</v>
      </c>
      <c r="H315" s="114">
        <f>_xlfn.XLOOKUP(Table1[[#This Row],[Shipment Number]], 'pivot '!A:A,'pivot '!G:G, "NF")</f>
        <v>2.3311105201388642</v>
      </c>
      <c r="I315" s="115">
        <f>Table1[[#This Row],[Tiyaar/gaz]]/1.0936</f>
        <v>4770.4828090709589</v>
      </c>
      <c r="J315" s="115" cm="1">
        <f t="array" ref="J315">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57245.793708851503</v>
      </c>
      <c r="K315" s="113"/>
    </row>
    <row r="316" spans="1:11" x14ac:dyDescent="0.3">
      <c r="A316" s="118">
        <v>46239</v>
      </c>
      <c r="B316" s="116" t="s">
        <v>441</v>
      </c>
      <c r="C316" s="113">
        <v>1836</v>
      </c>
      <c r="D316" s="113" t="s">
        <v>447</v>
      </c>
      <c r="E316" s="11">
        <v>2280</v>
      </c>
      <c r="F316" s="11">
        <v>15066</v>
      </c>
      <c r="G316" s="11">
        <v>3752</v>
      </c>
      <c r="H316" s="114">
        <f>_xlfn.XLOOKUP(Table1[[#This Row],[Shipment Number]], 'pivot '!A:A,'pivot '!G:G, "NF")</f>
        <v>6.9444359473279746</v>
      </c>
      <c r="I316" s="115">
        <f>Table1[[#This Row],[Tiyaar/gaz]]/1.0936</f>
        <v>3430.8705193855162</v>
      </c>
      <c r="J316" s="115" cm="1">
        <f t="array" ref="J316">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51463.057790782746</v>
      </c>
      <c r="K316" s="113"/>
    </row>
    <row r="317" spans="1:11" x14ac:dyDescent="0.3">
      <c r="A317" s="118">
        <v>46241</v>
      </c>
      <c r="B317" s="116" t="s">
        <v>176</v>
      </c>
      <c r="C317" s="113">
        <v>1837</v>
      </c>
      <c r="D317" s="113" t="s">
        <v>206</v>
      </c>
      <c r="E317" s="11">
        <v>2273</v>
      </c>
      <c r="F317" s="11">
        <v>21375</v>
      </c>
      <c r="G317" s="11">
        <v>22868</v>
      </c>
      <c r="H317" s="114">
        <f>_xlfn.XLOOKUP(Table1[[#This Row],[Shipment Number]], 'pivot '!A:A,'pivot '!G:G, "NF")</f>
        <v>2.1719135683637205</v>
      </c>
      <c r="I317" s="115">
        <f>Table1[[#This Row],[Tiyaar/gaz]]/1.0936</f>
        <v>20910.753474762256</v>
      </c>
      <c r="J317" s="115" cm="1">
        <f t="array" ref="J317">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230018.28822238481</v>
      </c>
      <c r="K317" s="113"/>
    </row>
    <row r="318" spans="1:11" x14ac:dyDescent="0.3">
      <c r="A318" s="118">
        <v>46241</v>
      </c>
      <c r="B318" s="116" t="s">
        <v>441</v>
      </c>
      <c r="C318" s="113">
        <v>1838</v>
      </c>
      <c r="D318" s="113" t="s">
        <v>447</v>
      </c>
      <c r="E318" s="11">
        <v>2280</v>
      </c>
      <c r="F318" s="11">
        <v>15066</v>
      </c>
      <c r="G318" s="11">
        <v>11580</v>
      </c>
      <c r="H318" s="114">
        <f>_xlfn.XLOOKUP(Table1[[#This Row],[Shipment Number]], 'pivot '!A:A,'pivot '!G:G, "NF")</f>
        <v>6.9444359473279746</v>
      </c>
      <c r="I318" s="115">
        <f>Table1[[#This Row],[Tiyaar/gaz]]/1.0936</f>
        <v>10588.880760790053</v>
      </c>
      <c r="J318" s="115" cm="1">
        <f t="array" ref="J318">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158833.21141185079</v>
      </c>
      <c r="K318" s="113"/>
    </row>
    <row r="319" spans="1:11" x14ac:dyDescent="0.3">
      <c r="A319" s="118"/>
      <c r="B319" s="116"/>
      <c r="C319" s="113"/>
      <c r="D319" s="113"/>
      <c r="E319" s="11"/>
      <c r="F319" s="11"/>
      <c r="G319" s="11"/>
      <c r="H319" s="114" t="e">
        <f>_xlfn.XLOOKUP(Table1[[#This Row],[Shipment Number]], 'pivot '!A:A,'pivot '!G:G, "NF")</f>
        <v>#DIV/0!</v>
      </c>
      <c r="I319" s="115"/>
      <c r="J319" s="115"/>
      <c r="K319" s="113"/>
    </row>
    <row r="320" spans="1:11" x14ac:dyDescent="0.3">
      <c r="A320" s="118"/>
      <c r="B320" s="116"/>
      <c r="C320" s="113"/>
      <c r="D320" s="113"/>
      <c r="E320" s="11"/>
      <c r="F320" s="11"/>
      <c r="G320" s="11"/>
      <c r="H320" s="114" t="e">
        <f>_xlfn.XLOOKUP(Table1[[#This Row],[Shipment Number]], 'pivot '!A:A,'pivot '!G:G, "NF")</f>
        <v>#DIV/0!</v>
      </c>
      <c r="I320" s="115"/>
      <c r="J320" s="115"/>
      <c r="K320" s="113"/>
    </row>
    <row r="321" spans="1:11" x14ac:dyDescent="0.3">
      <c r="A321" s="118"/>
      <c r="B321" s="116"/>
      <c r="C321" s="113"/>
      <c r="D321" s="113"/>
      <c r="E321" s="11"/>
      <c r="F321" s="11"/>
      <c r="G321" s="11"/>
      <c r="H321" s="114" t="e">
        <f>_xlfn.XLOOKUP(Table1[[#This Row],[Shipment Number]], 'pivot '!A:A,'pivot '!G:G, "NF")</f>
        <v>#DIV/0!</v>
      </c>
      <c r="I321" s="115"/>
      <c r="J321" s="115"/>
      <c r="K321" s="113"/>
    </row>
    <row r="322" spans="1:11" x14ac:dyDescent="0.3">
      <c r="A322" s="118"/>
      <c r="B322" s="116"/>
      <c r="C322" s="113"/>
      <c r="D322" s="113"/>
      <c r="E322" s="11"/>
      <c r="F322" s="11"/>
      <c r="G322" s="11"/>
      <c r="H322" s="114" t="e">
        <f>_xlfn.XLOOKUP(Table1[[#This Row],[Shipment Number]], 'pivot '!A:A,'pivot '!G:G, "NF")</f>
        <v>#DIV/0!</v>
      </c>
      <c r="I322" s="115"/>
      <c r="J322" s="115"/>
      <c r="K322" s="113"/>
    </row>
    <row r="323" spans="1:11" x14ac:dyDescent="0.3">
      <c r="A323" s="118"/>
      <c r="B323" s="116"/>
      <c r="C323" s="113"/>
      <c r="D323" s="113"/>
      <c r="E323" s="11"/>
      <c r="F323" s="11"/>
      <c r="G323" s="11"/>
      <c r="H323" s="114" t="e">
        <f>_xlfn.XLOOKUP(Table1[[#This Row],[Shipment Number]], 'pivot '!A:A,'pivot '!G:G, "NF")</f>
        <v>#DIV/0!</v>
      </c>
      <c r="I323" s="115"/>
      <c r="J323" s="115"/>
      <c r="K323" s="113"/>
    </row>
    <row r="324" spans="1:11" x14ac:dyDescent="0.3">
      <c r="A324" s="118"/>
      <c r="B324" s="116"/>
      <c r="C324" s="113"/>
      <c r="D324" s="113"/>
      <c r="E324" s="11"/>
      <c r="F324" s="11"/>
      <c r="G324" s="11"/>
      <c r="H324" s="114" t="e">
        <f>_xlfn.XLOOKUP(Table1[[#This Row],[Shipment Number]], 'pivot '!A:A,'pivot '!G:G, "NF")</f>
        <v>#DIV/0!</v>
      </c>
      <c r="I324" s="115"/>
      <c r="J324" s="115"/>
      <c r="K324" s="113"/>
    </row>
    <row r="325" spans="1:11" x14ac:dyDescent="0.3">
      <c r="A325" s="118"/>
      <c r="B325" s="116"/>
      <c r="C325" s="113"/>
      <c r="D325" s="113"/>
      <c r="E325" s="11"/>
      <c r="F325" s="11"/>
      <c r="G325" s="11"/>
      <c r="H325" s="114" t="e">
        <f>_xlfn.XLOOKUP(Table1[[#This Row],[Shipment Number]], 'pivot '!A:A,'pivot '!G:G, "NF")</f>
        <v>#DIV/0!</v>
      </c>
      <c r="I325" s="115"/>
      <c r="J325" s="115"/>
      <c r="K325" s="113"/>
    </row>
    <row r="326" spans="1:11" x14ac:dyDescent="0.3">
      <c r="A326" s="118"/>
      <c r="B326" s="116"/>
      <c r="C326" s="113"/>
      <c r="D326" s="113"/>
      <c r="E326" s="11"/>
      <c r="F326" s="11"/>
      <c r="G326" s="11"/>
      <c r="H326" s="114" t="e">
        <f>_xlfn.XLOOKUP(Table1[[#This Row],[Shipment Number]], 'pivot '!A:A,'pivot '!G:G, "NF")</f>
        <v>#DIV/0!</v>
      </c>
      <c r="I326" s="115"/>
      <c r="J326" s="115"/>
      <c r="K326" s="113"/>
    </row>
    <row r="327" spans="1:11" x14ac:dyDescent="0.3">
      <c r="A327" s="118"/>
      <c r="B327" s="116"/>
      <c r="C327" s="113"/>
      <c r="D327" s="113"/>
      <c r="E327" s="11"/>
      <c r="F327" s="11"/>
      <c r="G327" s="11"/>
      <c r="H327" s="114" t="e">
        <f>_xlfn.XLOOKUP(Table1[[#This Row],[Shipment Number]], 'pivot '!A:A,'pivot '!G:G, "NF")</f>
        <v>#DIV/0!</v>
      </c>
      <c r="I327" s="115"/>
      <c r="J327" s="115"/>
      <c r="K327" s="113"/>
    </row>
    <row r="328" spans="1:11" x14ac:dyDescent="0.3">
      <c r="A328" s="118"/>
      <c r="B328" s="116"/>
      <c r="C328" s="113"/>
      <c r="D328" s="113"/>
      <c r="E328" s="11"/>
      <c r="F328" s="11"/>
      <c r="G328" s="11"/>
      <c r="H328" s="114" t="e">
        <f>_xlfn.XLOOKUP(Table1[[#This Row],[Shipment Number]], 'pivot '!A:A,'pivot '!G:G, "NF")</f>
        <v>#DIV/0!</v>
      </c>
      <c r="I328" s="115"/>
      <c r="J328" s="115"/>
      <c r="K328" s="113"/>
    </row>
    <row r="329" spans="1:11" x14ac:dyDescent="0.3">
      <c r="A329" s="118"/>
      <c r="B329" s="116"/>
      <c r="C329" s="113"/>
      <c r="D329" s="113"/>
      <c r="E329" s="11"/>
      <c r="F329" s="11"/>
      <c r="G329" s="11"/>
      <c r="H329" s="114" t="e">
        <f>_xlfn.XLOOKUP(Table1[[#This Row],[Shipment Number]], 'pivot '!A:A,'pivot '!G:G, "NF")</f>
        <v>#DIV/0!</v>
      </c>
      <c r="I329" s="115"/>
      <c r="J329" s="115"/>
      <c r="K329" s="113"/>
    </row>
    <row r="330" spans="1:11" x14ac:dyDescent="0.3">
      <c r="A330" s="118"/>
      <c r="B330" s="116"/>
      <c r="C330" s="113"/>
      <c r="D330" s="113"/>
      <c r="E330" s="11"/>
      <c r="F330" s="11"/>
      <c r="G330" s="11"/>
      <c r="H330" s="114" t="e">
        <f>_xlfn.XLOOKUP(Table1[[#This Row],[Shipment Number]], 'pivot '!A:A,'pivot '!G:G, "NF")</f>
        <v>#DIV/0!</v>
      </c>
      <c r="I330" s="115"/>
      <c r="J330" s="115"/>
      <c r="K330" s="113"/>
    </row>
    <row r="331" spans="1:11" x14ac:dyDescent="0.3">
      <c r="A331" s="118"/>
      <c r="B331" s="116"/>
      <c r="C331" s="113"/>
      <c r="D331" s="113"/>
      <c r="E331" s="11"/>
      <c r="F331" s="11"/>
      <c r="G331" s="11"/>
      <c r="H331" s="114" t="e">
        <f>_xlfn.XLOOKUP(Table1[[#This Row],[Shipment Number]], 'pivot '!A:A,'pivot '!G:G, "NF")</f>
        <v>#DIV/0!</v>
      </c>
      <c r="I331" s="115"/>
      <c r="J331" s="115"/>
      <c r="K331" s="113"/>
    </row>
    <row r="332" spans="1:11" x14ac:dyDescent="0.3">
      <c r="A332" s="118"/>
      <c r="B332" s="116"/>
      <c r="C332" s="113"/>
      <c r="D332" s="113"/>
      <c r="E332" s="11"/>
      <c r="F332" s="11"/>
      <c r="G332" s="11"/>
      <c r="H332" s="114" t="e">
        <f>_xlfn.XLOOKUP(Table1[[#This Row],[Shipment Number]], 'pivot '!A:A,'pivot '!G:G, "NF")</f>
        <v>#DIV/0!</v>
      </c>
      <c r="I332" s="115"/>
      <c r="J332" s="115"/>
      <c r="K332" s="113"/>
    </row>
    <row r="333" spans="1:11" x14ac:dyDescent="0.3">
      <c r="A333" s="118"/>
      <c r="B333" s="116"/>
      <c r="C333" s="113"/>
      <c r="D333" s="113"/>
      <c r="E333" s="11"/>
      <c r="F333" s="11"/>
      <c r="G333" s="11"/>
      <c r="H333" s="114" t="e">
        <f>_xlfn.XLOOKUP(Table1[[#This Row],[Shipment Number]], 'pivot '!A:A,'pivot '!G:G, "NF")</f>
        <v>#DIV/0!</v>
      </c>
      <c r="I333" s="115"/>
      <c r="J333" s="115"/>
      <c r="K333" s="113"/>
    </row>
    <row r="334" spans="1:11" x14ac:dyDescent="0.3">
      <c r="A334" s="118"/>
      <c r="B334" s="116"/>
      <c r="C334" s="113"/>
      <c r="D334" s="113"/>
      <c r="E334" s="11"/>
      <c r="F334" s="11"/>
      <c r="G334" s="11"/>
      <c r="H334" s="114" t="e">
        <f>_xlfn.XLOOKUP(Table1[[#This Row],[Shipment Number]], 'pivot '!A:A,'pivot '!G:G, "NF")</f>
        <v>#DIV/0!</v>
      </c>
      <c r="I334" s="115"/>
      <c r="J334" s="115"/>
      <c r="K334" s="113"/>
    </row>
    <row r="335" spans="1:11" x14ac:dyDescent="0.3">
      <c r="A335" s="118"/>
      <c r="B335" s="116"/>
      <c r="C335" s="113"/>
      <c r="D335" s="113"/>
      <c r="E335" s="11"/>
      <c r="F335" s="11"/>
      <c r="G335" s="11"/>
      <c r="H335" s="114" t="e">
        <f>_xlfn.XLOOKUP(Table1[[#This Row],[Shipment Number]], 'pivot '!A:A,'pivot '!G:G, "NF")</f>
        <v>#DIV/0!</v>
      </c>
      <c r="I335" s="115"/>
      <c r="J335" s="115"/>
      <c r="K335" s="113"/>
    </row>
    <row r="336" spans="1:11" x14ac:dyDescent="0.3">
      <c r="A336" s="118"/>
      <c r="B336" s="116"/>
      <c r="C336" s="113"/>
      <c r="D336" s="113"/>
      <c r="E336" s="11"/>
      <c r="F336" s="11"/>
      <c r="G336" s="11"/>
      <c r="H336" s="114"/>
      <c r="I336" s="115"/>
      <c r="J336" s="115"/>
      <c r="K336" s="113"/>
    </row>
    <row r="337" spans="1:11" x14ac:dyDescent="0.3">
      <c r="A337" s="118"/>
      <c r="B337" s="116"/>
      <c r="C337" s="113"/>
      <c r="D337" s="113"/>
      <c r="E337" s="11"/>
      <c r="F337" s="11"/>
      <c r="G337" s="11"/>
      <c r="H337" s="114"/>
      <c r="I337" s="115"/>
      <c r="J337" s="115"/>
      <c r="K337" s="113"/>
    </row>
    <row r="338" spans="1:11" x14ac:dyDescent="0.3">
      <c r="A338" s="118"/>
      <c r="B338" s="116"/>
      <c r="C338" s="113"/>
      <c r="D338" s="113"/>
      <c r="E338" s="11"/>
      <c r="F338" s="11"/>
      <c r="G338" s="11"/>
      <c r="H338" s="114"/>
      <c r="I338" s="115"/>
      <c r="J338" s="115"/>
      <c r="K338" s="113"/>
    </row>
    <row r="339" spans="1:11" x14ac:dyDescent="0.3">
      <c r="A339" s="118"/>
      <c r="B339" s="116"/>
      <c r="C339" s="113"/>
      <c r="D339" s="113"/>
      <c r="E339" s="11"/>
      <c r="F339" s="11"/>
      <c r="G339" s="11"/>
      <c r="H339" s="114"/>
      <c r="I339" s="115"/>
      <c r="J339" s="115"/>
      <c r="K339" s="113"/>
    </row>
    <row r="340" spans="1:11" x14ac:dyDescent="0.3">
      <c r="A340" s="124"/>
      <c r="B340" s="125"/>
      <c r="C340" s="126"/>
      <c r="D340" s="126"/>
      <c r="E340" s="127"/>
      <c r="F340" s="127"/>
      <c r="G340" s="127"/>
      <c r="H340" s="128"/>
      <c r="I340" s="129"/>
      <c r="J340" s="129"/>
      <c r="K340" s="113"/>
    </row>
    <row r="341" spans="1:11" x14ac:dyDescent="0.3">
      <c r="A341" s="113"/>
      <c r="B341" s="116"/>
      <c r="C341" s="113"/>
      <c r="D341" s="113"/>
      <c r="E341" s="11"/>
      <c r="F341" s="11"/>
      <c r="G341" s="11"/>
      <c r="H341" s="114" t="e">
        <f>_xlfn.XLOOKUP(Table1[[#This Row],[Shipment Number]], 'pivot '!A:A,'pivot '!G:G, "NF")</f>
        <v>#DIV/0!</v>
      </c>
      <c r="I341" s="115"/>
      <c r="J341" s="115"/>
      <c r="K341" s="113"/>
    </row>
    <row r="342" spans="1:11" x14ac:dyDescent="0.3">
      <c r="A342" s="113"/>
      <c r="B342" s="116"/>
      <c r="C342" s="113"/>
      <c r="D342" s="113"/>
      <c r="E342" s="11"/>
      <c r="F342" s="11"/>
      <c r="G342" s="11"/>
      <c r="H342" s="114" t="e">
        <f>_xlfn.XLOOKUP(Table1[[#This Row],[Shipment Number]], 'pivot '!A:A,'pivot '!G:G, "NF")</f>
        <v>#DIV/0!</v>
      </c>
      <c r="I342" s="115"/>
      <c r="J342" s="115"/>
      <c r="K342" s="113"/>
    </row>
    <row r="343" spans="1:11" x14ac:dyDescent="0.3">
      <c r="A343" s="113"/>
      <c r="B343" s="116"/>
      <c r="C343" s="113"/>
      <c r="D343" s="113"/>
      <c r="E343" s="11"/>
      <c r="F343" s="11"/>
      <c r="G343" s="11"/>
      <c r="H343" s="114" t="e">
        <f>_xlfn.XLOOKUP(Table1[[#This Row],[Shipment Number]], 'pivot '!A:A,'pivot '!G:G, "NF")</f>
        <v>#DIV/0!</v>
      </c>
      <c r="I343" s="115"/>
      <c r="J343" s="115"/>
      <c r="K343" s="113"/>
    </row>
    <row r="344" spans="1:11" x14ac:dyDescent="0.3">
      <c r="A344" s="113"/>
      <c r="B344" s="116"/>
      <c r="C344" s="113"/>
      <c r="D344" s="113"/>
      <c r="E344" s="11"/>
      <c r="F344" s="11"/>
      <c r="G344" s="11"/>
      <c r="H344" s="114" t="e">
        <f>_xlfn.XLOOKUP(Table1[[#This Row],[Shipment Number]], 'pivot '!A:A,'pivot '!G:G, "NF")</f>
        <v>#DIV/0!</v>
      </c>
      <c r="I344" s="115"/>
      <c r="J344" s="115"/>
      <c r="K344" s="113"/>
    </row>
    <row r="345" spans="1:11" x14ac:dyDescent="0.3">
      <c r="A345"/>
      <c r="B345"/>
      <c r="C345"/>
      <c r="D345"/>
      <c r="E345" s="14"/>
      <c r="F345" s="14"/>
      <c r="G345" s="14"/>
      <c r="H345" s="43"/>
      <c r="I345" s="93" cm="1">
        <f t="array" aca="1" ref="I345" ca="1">SUMPRODUCT( SUBTOTAL(109, OFFSET(Table1[tiyar/meters], ROW(Table1[tiyar/meters])-MIN(ROW(Table1[tiyar/meters])), 0, 1)), --(Table1[Bill Number]&lt;&gt;"Closing CF") )</f>
        <v>3356051.5727871251</v>
      </c>
      <c r="J345" s="43" cm="1">
        <f t="array" aca="1" ref="J345" ca="1">SUMPRODUCT( SUBTOTAL(109, OFFSET(Table1[billing], ROW(Table1[billing])-MIN(ROW(Table1[billing])), 0, 1)), --(Table1[Bill Number]&lt;&gt;"Closing CF") )</f>
        <v>39009401.243599132</v>
      </c>
      <c r="K345" s="14">
        <f>SUMIFS(Table1[billing], Table1[Bill Number], "&lt;&gt;January Closing CF")</f>
        <v>176565156.03825897</v>
      </c>
    </row>
  </sheetData>
  <phoneticPr fontId="7" alignment="center"/>
  <conditionalFormatting sqref="H2:H345">
    <cfRule type="cellIs" dxfId="2"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L22"/>
  <sheetViews>
    <sheetView workbookViewId="0">
      <selection activeCell="K3" sqref="K3"/>
    </sheetView>
  </sheetViews>
  <sheetFormatPr defaultRowHeight="14.4" x14ac:dyDescent="0.3"/>
  <cols>
    <col min="1" max="1" width="10.33203125" bestFit="1" customWidth="1"/>
    <col min="2" max="3" width="12.5546875" customWidth="1"/>
    <col min="4" max="4" width="9.109375" customWidth="1"/>
    <col min="7" max="10" width="10.33203125" customWidth="1"/>
  </cols>
  <sheetData>
    <row r="1" spans="1:12" x14ac:dyDescent="0.3">
      <c r="A1" t="s">
        <v>75</v>
      </c>
      <c r="B1" t="s">
        <v>2</v>
      </c>
      <c r="C1" t="s">
        <v>228</v>
      </c>
      <c r="D1" t="s">
        <v>229</v>
      </c>
      <c r="E1" t="s">
        <v>78</v>
      </c>
      <c r="G1" t="s">
        <v>75</v>
      </c>
      <c r="H1" t="s">
        <v>942</v>
      </c>
      <c r="I1" t="s">
        <v>943</v>
      </c>
      <c r="J1" t="s">
        <v>5</v>
      </c>
      <c r="K1" t="s">
        <v>92</v>
      </c>
      <c r="L1" t="s">
        <v>18</v>
      </c>
    </row>
    <row r="2" spans="1:12" x14ac:dyDescent="0.3">
      <c r="A2" s="1">
        <v>46046</v>
      </c>
      <c r="B2" t="s">
        <v>230</v>
      </c>
      <c r="C2">
        <v>2069</v>
      </c>
      <c r="D2">
        <v>3875</v>
      </c>
      <c r="E2" t="s">
        <v>231</v>
      </c>
      <c r="G2" s="117">
        <v>46207</v>
      </c>
      <c r="H2">
        <v>6010</v>
      </c>
      <c r="I2" t="s">
        <v>97</v>
      </c>
      <c r="J2">
        <f>Table29[[#This Row],[Production]]*5</f>
        <v>30050</v>
      </c>
      <c r="K2">
        <v>30050</v>
      </c>
      <c r="L2">
        <f>Table29[[#This Row],[Total]]-Table29[[#This Row],[Paid]]</f>
        <v>0</v>
      </c>
    </row>
    <row r="3" spans="1:12" x14ac:dyDescent="0.3">
      <c r="A3" s="1">
        <v>46048</v>
      </c>
      <c r="B3" t="s">
        <v>232</v>
      </c>
      <c r="C3">
        <v>2070</v>
      </c>
      <c r="D3">
        <v>60945</v>
      </c>
      <c r="E3" t="s">
        <v>233</v>
      </c>
      <c r="G3" s="117">
        <v>46214</v>
      </c>
      <c r="H3">
        <v>9882</v>
      </c>
      <c r="J3">
        <f>Table29[[#This Row],[Production]]*5</f>
        <v>49410</v>
      </c>
      <c r="K3">
        <f>SUMIFS(Table14[Debit], Table14[Date], Table29[[#This Row],[Date]], Table14[Party], "Loom ac")</f>
        <v>49410</v>
      </c>
      <c r="L3">
        <f>Table29[[#This Row],[Total]]-Table29[[#This Row],[Paid]]</f>
        <v>0</v>
      </c>
    </row>
    <row r="4" spans="1:12" x14ac:dyDescent="0.3">
      <c r="A4" s="1">
        <v>46048</v>
      </c>
      <c r="C4">
        <v>2071</v>
      </c>
      <c r="J4">
        <f>Table29[[#This Row],[Production]]*5</f>
        <v>0</v>
      </c>
      <c r="K4">
        <f>SUMIFS(Table14[Debit], Table14[Date], Table29[[#This Row],[Date]], Table14[Party], "Loom ac")</f>
        <v>0</v>
      </c>
      <c r="L4">
        <f>Table29[[#This Row],[Total]]-Table29[[#This Row],[Paid]]</f>
        <v>0</v>
      </c>
    </row>
    <row r="5" spans="1:12" x14ac:dyDescent="0.3">
      <c r="A5" s="1">
        <v>46048</v>
      </c>
      <c r="B5" t="s">
        <v>232</v>
      </c>
      <c r="C5">
        <v>2072</v>
      </c>
      <c r="D5">
        <v>15104</v>
      </c>
      <c r="E5" t="s">
        <v>233</v>
      </c>
      <c r="J5">
        <f>Table29[[#This Row],[Production]]*5</f>
        <v>0</v>
      </c>
      <c r="K5">
        <f>SUMIFS(Table14[Debit], Table14[Date], Table29[[#This Row],[Date]], Table14[Party], "Loom ac")</f>
        <v>0</v>
      </c>
      <c r="L5">
        <f>Table29[[#This Row],[Total]]-Table29[[#This Row],[Paid]]</f>
        <v>0</v>
      </c>
    </row>
    <row r="6" spans="1:12" x14ac:dyDescent="0.3">
      <c r="A6" s="1">
        <v>46049</v>
      </c>
      <c r="B6" t="s">
        <v>9</v>
      </c>
      <c r="C6">
        <v>2073</v>
      </c>
      <c r="D6">
        <v>20111</v>
      </c>
      <c r="E6" t="s">
        <v>233</v>
      </c>
      <c r="J6">
        <f>Table29[[#This Row],[Production]]*5</f>
        <v>0</v>
      </c>
      <c r="K6">
        <f>SUMIFS(Table14[Debit], Table14[Date], Table29[[#This Row],[Date]], Table14[Party], "Loom ac")</f>
        <v>0</v>
      </c>
      <c r="L6">
        <f>Table29[[#This Row],[Total]]-Table29[[#This Row],[Paid]]</f>
        <v>0</v>
      </c>
    </row>
    <row r="7" spans="1:12" x14ac:dyDescent="0.3">
      <c r="A7" s="1">
        <v>46049</v>
      </c>
      <c r="B7" t="s">
        <v>234</v>
      </c>
      <c r="C7">
        <v>2074</v>
      </c>
      <c r="D7">
        <v>1519</v>
      </c>
      <c r="E7" t="s">
        <v>233</v>
      </c>
      <c r="J7">
        <f>Table29[[#This Row],[Production]]*5</f>
        <v>0</v>
      </c>
      <c r="K7">
        <f>SUMIFS(Table14[Debit], Table14[Date], Table29[[#This Row],[Date]], Table14[Party], "Loom ac")</f>
        <v>0</v>
      </c>
      <c r="L7">
        <f>Table29[[#This Row],[Total]]-Table29[[#This Row],[Paid]]</f>
        <v>0</v>
      </c>
    </row>
    <row r="8" spans="1:12" x14ac:dyDescent="0.3">
      <c r="A8" s="1">
        <v>46049</v>
      </c>
      <c r="B8" t="s">
        <v>234</v>
      </c>
      <c r="C8">
        <v>2075</v>
      </c>
      <c r="D8">
        <v>1519</v>
      </c>
      <c r="E8" t="s">
        <v>233</v>
      </c>
      <c r="J8">
        <f>Table29[[#This Row],[Production]]*5</f>
        <v>0</v>
      </c>
      <c r="K8">
        <f>SUMIFS(Table14[Debit], Table14[Date], Table29[[#This Row],[Date]], Table14[Party], "Loom ac")</f>
        <v>0</v>
      </c>
      <c r="L8">
        <f>Table29[[#This Row],[Total]]-Table29[[#This Row],[Paid]]</f>
        <v>0</v>
      </c>
    </row>
    <row r="9" spans="1:12" x14ac:dyDescent="0.3">
      <c r="A9" s="1">
        <v>46053</v>
      </c>
      <c r="B9" t="s">
        <v>235</v>
      </c>
      <c r="C9">
        <v>2076</v>
      </c>
      <c r="D9">
        <v>50784</v>
      </c>
      <c r="E9" t="s">
        <v>86</v>
      </c>
      <c r="J9">
        <f>Table29[[#This Row],[Production]]*5</f>
        <v>0</v>
      </c>
      <c r="K9">
        <f>SUMIFS(Table14[Debit], Table14[Date], Table29[[#This Row],[Date]], Table14[Party], "Loom ac")</f>
        <v>0</v>
      </c>
      <c r="L9">
        <f>Table29[[#This Row],[Total]]-Table29[[#This Row],[Paid]]</f>
        <v>0</v>
      </c>
    </row>
    <row r="10" spans="1:12" x14ac:dyDescent="0.3">
      <c r="A10" s="1">
        <v>46053</v>
      </c>
      <c r="B10" t="s">
        <v>236</v>
      </c>
      <c r="C10">
        <v>2077</v>
      </c>
      <c r="D10">
        <v>62470</v>
      </c>
      <c r="E10" t="s">
        <v>86</v>
      </c>
      <c r="J10">
        <f>Table29[[#This Row],[Production]]*5</f>
        <v>0</v>
      </c>
      <c r="K10">
        <f>SUMIFS(Table14[Debit], Table14[Date], Table29[[#This Row],[Date]], Table14[Party], "Loom ac")</f>
        <v>0</v>
      </c>
      <c r="L10">
        <f>Table29[[#This Row],[Total]]-Table29[[#This Row],[Paid]]</f>
        <v>0</v>
      </c>
    </row>
    <row r="11" spans="1:12" x14ac:dyDescent="0.3">
      <c r="A11" s="1">
        <v>46053</v>
      </c>
      <c r="B11" t="s">
        <v>9</v>
      </c>
      <c r="C11">
        <v>2078</v>
      </c>
      <c r="D11">
        <v>25072</v>
      </c>
      <c r="E11" t="s">
        <v>233</v>
      </c>
      <c r="J11">
        <f>Table29[[#This Row],[Production]]*5</f>
        <v>0</v>
      </c>
      <c r="K11">
        <f>SUMIFS(Table14[Debit], Table14[Date], Table29[[#This Row],[Date]], Table14[Party], "Loom ac")</f>
        <v>0</v>
      </c>
      <c r="L11">
        <f>Table29[[#This Row],[Total]]-Table29[[#This Row],[Paid]]</f>
        <v>0</v>
      </c>
    </row>
    <row r="12" spans="1:12" x14ac:dyDescent="0.3">
      <c r="A12" s="1">
        <v>46053</v>
      </c>
      <c r="B12" t="s">
        <v>21</v>
      </c>
      <c r="C12">
        <v>2079</v>
      </c>
      <c r="D12">
        <v>7968</v>
      </c>
      <c r="E12" t="s">
        <v>237</v>
      </c>
      <c r="J12">
        <f>Table29[[#This Row],[Production]]*5</f>
        <v>0</v>
      </c>
      <c r="K12">
        <f>SUMIFS(Table14[Debit], Table14[Date], Table29[[#This Row],[Date]], Table14[Party], "Loom ac")</f>
        <v>0</v>
      </c>
      <c r="L12">
        <f>Table29[[#This Row],[Total]]-Table29[[#This Row],[Paid]]</f>
        <v>0</v>
      </c>
    </row>
    <row r="13" spans="1:12" x14ac:dyDescent="0.3">
      <c r="A13" s="1">
        <v>46056</v>
      </c>
      <c r="B13" t="s">
        <v>21</v>
      </c>
      <c r="C13">
        <v>2080</v>
      </c>
      <c r="D13">
        <v>53024</v>
      </c>
      <c r="E13" t="s">
        <v>238</v>
      </c>
      <c r="J13">
        <f>Table29[[#This Row],[Production]]*5</f>
        <v>0</v>
      </c>
      <c r="K13">
        <f>SUMIFS(Table14[Debit], Table14[Date], Table29[[#This Row],[Date]], Table14[Party], "Loom ac")</f>
        <v>0</v>
      </c>
      <c r="L13">
        <f>Table29[[#This Row],[Total]]-Table29[[#This Row],[Paid]]</f>
        <v>0</v>
      </c>
    </row>
    <row r="14" spans="1:12" x14ac:dyDescent="0.3">
      <c r="A14" s="1">
        <v>46056</v>
      </c>
      <c r="B14" t="s">
        <v>21</v>
      </c>
      <c r="C14">
        <v>2081</v>
      </c>
      <c r="D14">
        <v>68014</v>
      </c>
      <c r="E14" t="s">
        <v>238</v>
      </c>
      <c r="J14">
        <f>Table29[[#This Row],[Production]]*5</f>
        <v>0</v>
      </c>
      <c r="K14">
        <f>SUMIFS(Table14[Debit], Table14[Date], Table29[[#This Row],[Date]], Table14[Party], "Loom ac")</f>
        <v>0</v>
      </c>
      <c r="L14">
        <f>Table29[[#This Row],[Total]]-Table29[[#This Row],[Paid]]</f>
        <v>0</v>
      </c>
    </row>
    <row r="15" spans="1:12" x14ac:dyDescent="0.3">
      <c r="A15" s="1">
        <v>46056</v>
      </c>
      <c r="B15" t="s">
        <v>21</v>
      </c>
      <c r="C15">
        <v>2082</v>
      </c>
      <c r="D15">
        <v>83635</v>
      </c>
      <c r="E15" t="s">
        <v>238</v>
      </c>
      <c r="J15">
        <f>Table29[[#This Row],[Production]]*5</f>
        <v>0</v>
      </c>
      <c r="K15">
        <f>SUMIFS(Table14[Debit], Table14[Date], Table29[[#This Row],[Date]], Table14[Party], "Loom ac")</f>
        <v>0</v>
      </c>
      <c r="L15">
        <f>Table29[[#This Row],[Total]]-Table29[[#This Row],[Paid]]</f>
        <v>0</v>
      </c>
    </row>
    <row r="16" spans="1:12" x14ac:dyDescent="0.3">
      <c r="A16" s="1">
        <v>46056</v>
      </c>
      <c r="B16" t="s">
        <v>22</v>
      </c>
      <c r="C16">
        <v>2083</v>
      </c>
      <c r="D16">
        <v>20008</v>
      </c>
      <c r="E16" t="s">
        <v>86</v>
      </c>
      <c r="J16">
        <f>Table29[[#This Row],[Production]]*5</f>
        <v>0</v>
      </c>
      <c r="K16">
        <f>SUMIFS(Table14[Debit], Table14[Date], Table29[[#This Row],[Date]], Table14[Party], "Loom ac")</f>
        <v>0</v>
      </c>
      <c r="L16">
        <f>Table29[[#This Row],[Total]]-Table29[[#This Row],[Paid]]</f>
        <v>0</v>
      </c>
    </row>
    <row r="17" spans="1:12" x14ac:dyDescent="0.3">
      <c r="A17" s="1">
        <v>46057</v>
      </c>
      <c r="B17" t="s">
        <v>174</v>
      </c>
      <c r="C17">
        <v>2084</v>
      </c>
      <c r="D17">
        <v>5816</v>
      </c>
      <c r="E17" t="s">
        <v>86</v>
      </c>
      <c r="J17">
        <f>Table29[[#This Row],[Production]]*5</f>
        <v>0</v>
      </c>
      <c r="K17">
        <f>SUMIFS(Table14[Debit], Table14[Date], Table29[[#This Row],[Date]], Table14[Party], "Loom ac")</f>
        <v>0</v>
      </c>
      <c r="L17">
        <f>Table29[[#This Row],[Total]]-Table29[[#This Row],[Paid]]</f>
        <v>0</v>
      </c>
    </row>
    <row r="18" spans="1:12" x14ac:dyDescent="0.3">
      <c r="A18" s="1">
        <v>46057</v>
      </c>
      <c r="B18" t="s">
        <v>9</v>
      </c>
      <c r="C18">
        <v>2085</v>
      </c>
      <c r="D18">
        <v>25013</v>
      </c>
      <c r="E18" t="s">
        <v>233</v>
      </c>
      <c r="J18">
        <f>Table29[[#This Row],[Production]]*5</f>
        <v>0</v>
      </c>
      <c r="K18">
        <f>SUMIFS(Table14[Debit], Table14[Date], Table29[[#This Row],[Date]], Table14[Party], "Loom ac")</f>
        <v>0</v>
      </c>
      <c r="L18">
        <f>Table29[[#This Row],[Total]]-Table29[[#This Row],[Paid]]</f>
        <v>0</v>
      </c>
    </row>
    <row r="19" spans="1:12" x14ac:dyDescent="0.3">
      <c r="A19" s="1">
        <v>46057</v>
      </c>
      <c r="B19" t="s">
        <v>234</v>
      </c>
      <c r="C19">
        <v>2086</v>
      </c>
      <c r="D19" t="s">
        <v>239</v>
      </c>
      <c r="E19" t="s">
        <v>86</v>
      </c>
      <c r="J19">
        <f>Table29[[#This Row],[Production]]*5</f>
        <v>0</v>
      </c>
      <c r="K19">
        <f>SUMIFS(Table14[Debit], Table14[Date], Table29[[#This Row],[Date]], Table14[Party], "Loom ac")</f>
        <v>0</v>
      </c>
      <c r="L19">
        <f>Table29[[#This Row],[Total]]-Table29[[#This Row],[Paid]]</f>
        <v>0</v>
      </c>
    </row>
    <row r="20" spans="1:12" x14ac:dyDescent="0.3">
      <c r="A20" s="1">
        <v>46058</v>
      </c>
      <c r="B20" t="s">
        <v>21</v>
      </c>
      <c r="C20">
        <v>2087</v>
      </c>
      <c r="D20">
        <v>25142</v>
      </c>
      <c r="E20" t="s">
        <v>86</v>
      </c>
      <c r="J20">
        <f>Table29[[#This Row],[Production]]*5</f>
        <v>0</v>
      </c>
      <c r="K20">
        <f>SUMIFS(Table14[Debit], Table14[Date], Table29[[#This Row],[Date]], Table14[Party], "Loom ac")</f>
        <v>0</v>
      </c>
      <c r="L20">
        <f>Table29[[#This Row],[Total]]-Table29[[#This Row],[Paid]]</f>
        <v>0</v>
      </c>
    </row>
    <row r="21" spans="1:12" x14ac:dyDescent="0.3">
      <c r="J21">
        <f>Table29[[#This Row],[Production]]*5</f>
        <v>0</v>
      </c>
      <c r="K21">
        <f>SUMIFS(Table14[Debit], Table14[Date], Table29[[#This Row],[Date]], Table14[Party], "Loom ac")</f>
        <v>0</v>
      </c>
      <c r="L21">
        <f>Table29[[#This Row],[Total]]-Table29[[#This Row],[Paid]]</f>
        <v>0</v>
      </c>
    </row>
    <row r="22" spans="1:12" x14ac:dyDescent="0.3">
      <c r="H22">
        <f>SUBTOTAL(109,Table29[Production])</f>
        <v>15892</v>
      </c>
      <c r="J22">
        <f>SUBTOTAL(109,Table29[Total])</f>
        <v>79460</v>
      </c>
      <c r="K22">
        <f>SUBTOTAL(109,Table29[Paid])</f>
        <v>79460</v>
      </c>
      <c r="L22">
        <f>SUBTOTAL(109,Table29[Balance])</f>
        <v>0</v>
      </c>
    </row>
  </sheetData>
  <pageMargins left="0.7" right="0.7" top="0.75" bottom="0.75" header="0.3" footer="0.3"/>
  <tableParts count="2">
    <tablePart r:id="rId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97"/>
  <sheetViews>
    <sheetView topLeftCell="A75" zoomScale="107" zoomScaleNormal="115" workbookViewId="0">
      <selection activeCell="A93" sqref="A93"/>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0.77734375" bestFit="1" customWidth="1"/>
    <col min="13" max="13" width="13.5546875" bestFit="1" customWidth="1"/>
    <col min="14" max="14" width="11.5546875" bestFit="1" customWidth="1"/>
    <col min="15" max="15" width="11.21875" bestFit="1" customWidth="1"/>
    <col min="16" max="16" width="14.4414062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4">
        <v>46111</v>
      </c>
      <c r="B2" s="4" t="s">
        <v>96</v>
      </c>
      <c r="C2" s="81" t="s">
        <v>95</v>
      </c>
      <c r="D2" s="82"/>
      <c r="E2" s="82"/>
      <c r="F2" s="82"/>
      <c r="G2" s="82">
        <f>D2*E2</f>
        <v>0</v>
      </c>
      <c r="H2" s="11"/>
      <c r="I2" s="83">
        <v>0</v>
      </c>
    </row>
    <row r="3" spans="1:16" x14ac:dyDescent="0.3">
      <c r="A3" s="84">
        <v>46111</v>
      </c>
      <c r="B3" s="4" t="s">
        <v>222</v>
      </c>
      <c r="C3" s="81" t="s">
        <v>95</v>
      </c>
      <c r="D3" s="82"/>
      <c r="E3" s="82"/>
      <c r="F3" s="82"/>
      <c r="G3" s="82">
        <f>D3*E3</f>
        <v>0</v>
      </c>
      <c r="H3" s="11">
        <v>0</v>
      </c>
      <c r="I3" s="83">
        <v>1050398</v>
      </c>
    </row>
    <row r="4" spans="1:16" x14ac:dyDescent="0.3">
      <c r="A4" s="84">
        <v>46111</v>
      </c>
      <c r="B4" s="4" t="s">
        <v>217</v>
      </c>
      <c r="C4" s="81" t="s">
        <v>95</v>
      </c>
      <c r="D4" s="11"/>
      <c r="E4" s="11"/>
      <c r="F4" s="11"/>
      <c r="G4" s="11">
        <f>D4*E4</f>
        <v>0</v>
      </c>
      <c r="H4" s="11">
        <v>0</v>
      </c>
      <c r="I4" s="83">
        <v>309985</v>
      </c>
    </row>
    <row r="5" spans="1:16" ht="15" thickBot="1" x14ac:dyDescent="0.35">
      <c r="A5" s="84">
        <v>46111</v>
      </c>
      <c r="B5" s="4" t="s">
        <v>148</v>
      </c>
      <c r="C5" s="81" t="s">
        <v>95</v>
      </c>
      <c r="D5" s="11"/>
      <c r="E5" s="11"/>
      <c r="F5" s="11"/>
      <c r="G5" s="11">
        <f t="shared" ref="G5:G6" si="0">D5*E5</f>
        <v>0</v>
      </c>
      <c r="H5" s="11"/>
      <c r="I5" s="83">
        <v>35680</v>
      </c>
    </row>
    <row r="6" spans="1:16" ht="15" thickTop="1" x14ac:dyDescent="0.3">
      <c r="A6" s="84">
        <v>46111</v>
      </c>
      <c r="B6" s="4" t="s">
        <v>168</v>
      </c>
      <c r="C6" s="81" t="s">
        <v>95</v>
      </c>
      <c r="D6" s="11"/>
      <c r="E6" s="11"/>
      <c r="F6" s="11"/>
      <c r="G6" s="11">
        <f t="shared" si="0"/>
        <v>0</v>
      </c>
      <c r="H6" s="11"/>
      <c r="I6" s="83">
        <v>1730359</v>
      </c>
      <c r="K6" s="17">
        <f>SUM(Table3[Total])</f>
        <v>16230110</v>
      </c>
      <c r="L6" s="3" t="s">
        <v>2</v>
      </c>
      <c r="M6" t="s">
        <v>87</v>
      </c>
    </row>
    <row r="7" spans="1:16" x14ac:dyDescent="0.3">
      <c r="A7" s="84">
        <v>46111</v>
      </c>
      <c r="B7" s="4" t="s">
        <v>171</v>
      </c>
      <c r="C7" s="81" t="s">
        <v>95</v>
      </c>
      <c r="D7" s="11"/>
      <c r="E7" s="11"/>
      <c r="F7" s="11"/>
      <c r="G7" s="11">
        <f>D7*E7</f>
        <v>0</v>
      </c>
      <c r="H7" s="11"/>
      <c r="I7" s="83">
        <v>222080</v>
      </c>
    </row>
    <row r="8" spans="1:16" x14ac:dyDescent="0.3">
      <c r="A8" s="84">
        <v>46111</v>
      </c>
      <c r="B8" s="4" t="s">
        <v>180</v>
      </c>
      <c r="C8" s="81" t="s">
        <v>95</v>
      </c>
      <c r="D8" s="11"/>
      <c r="E8" s="11"/>
      <c r="F8" s="11"/>
      <c r="G8" s="11">
        <f t="shared" ref="G8:G9" si="1">D8*E8</f>
        <v>0</v>
      </c>
      <c r="H8" s="11"/>
      <c r="I8" s="83">
        <v>326400</v>
      </c>
      <c r="K8" s="11"/>
      <c r="L8" s="3" t="s">
        <v>98</v>
      </c>
      <c r="M8" t="s">
        <v>99</v>
      </c>
      <c r="N8" t="s">
        <v>100</v>
      </c>
      <c r="O8" t="s">
        <v>101</v>
      </c>
      <c r="P8" t="s">
        <v>102</v>
      </c>
    </row>
    <row r="9" spans="1:16" x14ac:dyDescent="0.3">
      <c r="A9" s="84">
        <v>46111</v>
      </c>
      <c r="B9" s="4" t="s">
        <v>195</v>
      </c>
      <c r="C9" s="81" t="s">
        <v>95</v>
      </c>
      <c r="D9" s="11"/>
      <c r="E9" s="11"/>
      <c r="F9" s="11"/>
      <c r="G9" s="11">
        <f t="shared" si="1"/>
        <v>0</v>
      </c>
      <c r="H9" s="11"/>
      <c r="I9" s="83">
        <v>113516</v>
      </c>
      <c r="K9" s="11"/>
      <c r="L9" s="26" t="s">
        <v>103</v>
      </c>
      <c r="M9" s="14"/>
      <c r="N9" s="14">
        <v>0</v>
      </c>
      <c r="O9" s="14"/>
      <c r="P9" s="14">
        <v>0</v>
      </c>
    </row>
    <row r="10" spans="1:16" x14ac:dyDescent="0.3">
      <c r="A10" s="84">
        <v>46111</v>
      </c>
      <c r="B10" s="4" t="s">
        <v>197</v>
      </c>
      <c r="C10" s="81" t="s">
        <v>95</v>
      </c>
      <c r="D10" s="11"/>
      <c r="E10" s="11"/>
      <c r="F10" s="11"/>
      <c r="G10" s="11"/>
      <c r="H10" s="11"/>
      <c r="I10" s="83">
        <v>34336</v>
      </c>
      <c r="K10" s="11"/>
      <c r="L10" s="42" t="s">
        <v>103</v>
      </c>
      <c r="M10" s="14"/>
      <c r="N10" s="14">
        <v>0</v>
      </c>
      <c r="O10" s="14"/>
      <c r="P10" s="14">
        <v>0</v>
      </c>
    </row>
    <row r="11" spans="1:16" x14ac:dyDescent="0.3">
      <c r="A11" s="84">
        <v>46111</v>
      </c>
      <c r="B11" s="4" t="s">
        <v>212</v>
      </c>
      <c r="C11" s="81" t="s">
        <v>95</v>
      </c>
      <c r="D11" s="11"/>
      <c r="E11" s="11"/>
      <c r="F11" s="11"/>
      <c r="G11" s="11"/>
      <c r="H11" s="11"/>
      <c r="I11" s="83">
        <v>10</v>
      </c>
      <c r="K11" s="11"/>
      <c r="L11" s="26">
        <v>46098</v>
      </c>
      <c r="M11" s="14">
        <v>262</v>
      </c>
      <c r="N11" s="14">
        <v>151960</v>
      </c>
      <c r="O11" s="14"/>
      <c r="P11" s="14">
        <v>151960</v>
      </c>
    </row>
    <row r="12" spans="1:16" x14ac:dyDescent="0.3">
      <c r="A12" s="84">
        <v>46111</v>
      </c>
      <c r="B12" t="s">
        <v>249</v>
      </c>
      <c r="C12" s="81" t="s">
        <v>95</v>
      </c>
      <c r="D12" s="11"/>
      <c r="E12" s="11"/>
      <c r="F12" s="11"/>
      <c r="G12" s="11">
        <f t="shared" ref="G12:G38" si="2">D12*E12</f>
        <v>0</v>
      </c>
      <c r="H12" s="11"/>
      <c r="I12" s="86">
        <v>189310</v>
      </c>
      <c r="K12" s="11"/>
      <c r="L12" s="42" t="s">
        <v>103</v>
      </c>
      <c r="M12" s="14">
        <v>262</v>
      </c>
      <c r="N12" s="14">
        <v>151960</v>
      </c>
      <c r="O12" s="14"/>
      <c r="P12" s="14">
        <v>151960</v>
      </c>
    </row>
    <row r="13" spans="1:16" x14ac:dyDescent="0.3">
      <c r="A13" s="1">
        <v>46098</v>
      </c>
      <c r="B13" t="s">
        <v>168</v>
      </c>
      <c r="D13" s="11">
        <v>262</v>
      </c>
      <c r="E13" s="11">
        <v>580</v>
      </c>
      <c r="F13" s="11"/>
      <c r="G13" s="11">
        <f>D13*E13</f>
        <v>151960</v>
      </c>
      <c r="H13" s="11"/>
      <c r="I13" s="11">
        <f>(D13*E13)-Table3[[#This Row],[Paid]]</f>
        <v>151960</v>
      </c>
      <c r="K13" s="11"/>
      <c r="L13" s="26">
        <v>46122</v>
      </c>
      <c r="M13" s="14">
        <v>1061</v>
      </c>
      <c r="N13" s="14">
        <v>908830</v>
      </c>
      <c r="O13" s="14"/>
      <c r="P13" s="14">
        <v>908830</v>
      </c>
    </row>
    <row r="14" spans="1:16" x14ac:dyDescent="0.3">
      <c r="A14" s="1">
        <v>46122</v>
      </c>
      <c r="B14" t="s">
        <v>412</v>
      </c>
      <c r="D14" s="11">
        <v>337</v>
      </c>
      <c r="E14" s="11">
        <v>830</v>
      </c>
      <c r="F14" s="11"/>
      <c r="G14" s="11">
        <f t="shared" si="2"/>
        <v>279710</v>
      </c>
      <c r="H14" s="11"/>
      <c r="I14" s="11">
        <f>(D14*E14)-Table3[[#This Row],[Paid]]</f>
        <v>279710</v>
      </c>
      <c r="K14" s="11"/>
      <c r="L14" s="42" t="s">
        <v>103</v>
      </c>
      <c r="M14" s="14">
        <v>1061</v>
      </c>
      <c r="N14" s="14">
        <v>908830</v>
      </c>
      <c r="O14" s="14"/>
      <c r="P14" s="14">
        <v>908830</v>
      </c>
    </row>
    <row r="15" spans="1:16" x14ac:dyDescent="0.3">
      <c r="A15" s="1">
        <v>46122</v>
      </c>
      <c r="B15" t="s">
        <v>412</v>
      </c>
      <c r="D15" s="11">
        <v>205</v>
      </c>
      <c r="E15" s="11">
        <v>830</v>
      </c>
      <c r="F15" s="11"/>
      <c r="G15" s="11">
        <f t="shared" si="2"/>
        <v>170150</v>
      </c>
      <c r="H15" s="11"/>
      <c r="I15" s="11">
        <f>(D15*E15)-Table3[[#This Row],[Paid]]</f>
        <v>170150</v>
      </c>
      <c r="K15" s="11"/>
      <c r="L15" s="26">
        <v>46126</v>
      </c>
      <c r="M15" s="14">
        <v>429</v>
      </c>
      <c r="N15" s="14">
        <v>407550</v>
      </c>
      <c r="O15" s="14"/>
      <c r="P15" s="14">
        <v>407550</v>
      </c>
    </row>
    <row r="16" spans="1:16" x14ac:dyDescent="0.3">
      <c r="A16" s="1">
        <v>46122</v>
      </c>
      <c r="B16" t="s">
        <v>412</v>
      </c>
      <c r="D16" s="11">
        <v>284</v>
      </c>
      <c r="E16" s="11">
        <v>830</v>
      </c>
      <c r="F16" s="11"/>
      <c r="G16" s="11">
        <f t="shared" si="2"/>
        <v>235720</v>
      </c>
      <c r="H16" s="11"/>
      <c r="I16" s="11">
        <f>(D16*E16)-Table3[[#This Row],[Paid]]</f>
        <v>235720</v>
      </c>
      <c r="K16" s="11"/>
      <c r="L16" s="42" t="s">
        <v>103</v>
      </c>
      <c r="M16" s="14">
        <v>429</v>
      </c>
      <c r="N16" s="14">
        <v>407550</v>
      </c>
      <c r="O16" s="14"/>
      <c r="P16" s="14">
        <v>407550</v>
      </c>
    </row>
    <row r="17" spans="1:16" x14ac:dyDescent="0.3">
      <c r="A17" s="1">
        <v>46122</v>
      </c>
      <c r="B17" t="s">
        <v>217</v>
      </c>
      <c r="D17" s="11">
        <v>235</v>
      </c>
      <c r="E17" s="11">
        <v>950</v>
      </c>
      <c r="F17" s="11"/>
      <c r="G17" s="11">
        <f t="shared" si="2"/>
        <v>223250</v>
      </c>
      <c r="H17" s="11"/>
      <c r="I17" s="11">
        <f>(D17*E17)-Table3[[#This Row],[Paid]]</f>
        <v>223250</v>
      </c>
      <c r="K17" s="11"/>
      <c r="L17" s="26">
        <v>46127</v>
      </c>
      <c r="M17" s="14">
        <v>405</v>
      </c>
      <c r="N17" s="14">
        <v>390075</v>
      </c>
      <c r="O17" s="14"/>
      <c r="P17" s="14">
        <v>390075</v>
      </c>
    </row>
    <row r="18" spans="1:16" x14ac:dyDescent="0.3">
      <c r="A18" s="1">
        <v>46126</v>
      </c>
      <c r="B18" t="s">
        <v>217</v>
      </c>
      <c r="D18" s="11">
        <v>200</v>
      </c>
      <c r="E18" s="11">
        <v>950</v>
      </c>
      <c r="F18" s="11"/>
      <c r="G18" s="11">
        <f t="shared" si="2"/>
        <v>190000</v>
      </c>
      <c r="H18" s="11"/>
      <c r="I18" s="11">
        <f>(D18*E18)-Table3[[#This Row],[Paid]]</f>
        <v>190000</v>
      </c>
      <c r="L18" s="42" t="s">
        <v>103</v>
      </c>
      <c r="M18" s="14">
        <v>405</v>
      </c>
      <c r="N18" s="14">
        <v>390075</v>
      </c>
      <c r="O18" s="14"/>
      <c r="P18" s="14">
        <v>390075</v>
      </c>
    </row>
    <row r="19" spans="1:16" x14ac:dyDescent="0.3">
      <c r="A19" s="1">
        <v>46126</v>
      </c>
      <c r="B19" t="s">
        <v>217</v>
      </c>
      <c r="D19" s="11">
        <v>229</v>
      </c>
      <c r="E19" s="11">
        <v>950</v>
      </c>
      <c r="F19" s="11"/>
      <c r="G19" s="11">
        <f t="shared" si="2"/>
        <v>217550</v>
      </c>
      <c r="H19" s="11"/>
      <c r="I19" s="11">
        <f>(D19*E19)-Table3[[#This Row],[Paid]]</f>
        <v>217550</v>
      </c>
      <c r="L19" s="26">
        <v>46131</v>
      </c>
      <c r="M19" s="14">
        <v>962</v>
      </c>
      <c r="N19" s="14">
        <v>921500</v>
      </c>
      <c r="O19" s="14"/>
      <c r="P19" s="14">
        <v>921500</v>
      </c>
    </row>
    <row r="20" spans="1:16" x14ac:dyDescent="0.3">
      <c r="A20" s="1">
        <v>46127</v>
      </c>
      <c r="B20" t="s">
        <v>168</v>
      </c>
      <c r="D20" s="11">
        <v>213</v>
      </c>
      <c r="E20" s="11">
        <v>975</v>
      </c>
      <c r="F20" s="11"/>
      <c r="G20" s="11">
        <f t="shared" si="2"/>
        <v>207675</v>
      </c>
      <c r="H20" s="11"/>
      <c r="I20" s="11">
        <f>(D20*E20)-Table3[[#This Row],[Paid]]</f>
        <v>207675</v>
      </c>
      <c r="L20" s="42" t="s">
        <v>103</v>
      </c>
      <c r="M20" s="14">
        <v>962</v>
      </c>
      <c r="N20" s="14">
        <v>921500</v>
      </c>
      <c r="O20" s="14"/>
      <c r="P20" s="14">
        <v>921500</v>
      </c>
    </row>
    <row r="21" spans="1:16" x14ac:dyDescent="0.3">
      <c r="A21" s="1">
        <v>46127</v>
      </c>
      <c r="B21" t="s">
        <v>217</v>
      </c>
      <c r="D21" s="11">
        <v>192</v>
      </c>
      <c r="E21" s="11">
        <v>950</v>
      </c>
      <c r="F21" s="11"/>
      <c r="G21" s="11">
        <f t="shared" ref="G21:G25" si="3">D21*E21</f>
        <v>182400</v>
      </c>
      <c r="H21" s="11"/>
      <c r="I21" s="11">
        <f>(D21*E21)-Table3[[#This Row],[Paid]]</f>
        <v>182400</v>
      </c>
      <c r="L21" s="26">
        <v>46130</v>
      </c>
      <c r="M21" s="14">
        <v>192</v>
      </c>
      <c r="N21" s="14">
        <v>187200</v>
      </c>
      <c r="O21" s="14"/>
      <c r="P21" s="14">
        <v>187200</v>
      </c>
    </row>
    <row r="22" spans="1:16" x14ac:dyDescent="0.3">
      <c r="A22" s="1">
        <v>46129</v>
      </c>
      <c r="B22" t="s">
        <v>217</v>
      </c>
      <c r="D22" s="11">
        <v>191</v>
      </c>
      <c r="E22" s="11">
        <v>950</v>
      </c>
      <c r="F22" s="11"/>
      <c r="G22" s="11">
        <f t="shared" si="3"/>
        <v>181450</v>
      </c>
      <c r="H22" s="11"/>
      <c r="I22" s="11">
        <f>(D22*E22)-Table3[[#This Row],[Paid]]</f>
        <v>181450</v>
      </c>
      <c r="L22" s="42" t="s">
        <v>103</v>
      </c>
      <c r="M22" s="14">
        <v>192</v>
      </c>
      <c r="N22" s="14">
        <v>187200</v>
      </c>
      <c r="O22" s="14"/>
      <c r="P22" s="14">
        <v>187200</v>
      </c>
    </row>
    <row r="23" spans="1:16" x14ac:dyDescent="0.3">
      <c r="A23" s="1"/>
      <c r="D23" s="11"/>
      <c r="E23" s="11"/>
      <c r="F23" s="11"/>
      <c r="G23" s="11">
        <f t="shared" si="3"/>
        <v>0</v>
      </c>
      <c r="H23" s="11"/>
      <c r="I23" s="11">
        <f>(D23*E23)-Table3[[#This Row],[Paid]]</f>
        <v>0</v>
      </c>
      <c r="L23" s="26">
        <v>46129</v>
      </c>
      <c r="M23" s="14">
        <v>191</v>
      </c>
      <c r="N23" s="14">
        <v>181450</v>
      </c>
      <c r="O23" s="14"/>
      <c r="P23" s="14">
        <v>181450</v>
      </c>
    </row>
    <row r="24" spans="1:16" x14ac:dyDescent="0.3">
      <c r="A24" s="1"/>
      <c r="D24" s="11"/>
      <c r="E24" s="11"/>
      <c r="F24" s="11"/>
      <c r="G24" s="11">
        <f t="shared" si="3"/>
        <v>0</v>
      </c>
      <c r="H24" s="11"/>
      <c r="I24" s="11">
        <f>(D24*E24)-Table3[[#This Row],[Paid]]</f>
        <v>0</v>
      </c>
      <c r="L24" s="42" t="s">
        <v>103</v>
      </c>
      <c r="M24" s="14">
        <v>191</v>
      </c>
      <c r="N24" s="14">
        <v>181450</v>
      </c>
      <c r="O24" s="14"/>
      <c r="P24" s="14">
        <v>181450</v>
      </c>
    </row>
    <row r="25" spans="1:16" x14ac:dyDescent="0.3">
      <c r="A25" s="1"/>
      <c r="D25" s="11"/>
      <c r="E25" s="11"/>
      <c r="F25" s="11"/>
      <c r="G25" s="11">
        <f t="shared" si="3"/>
        <v>0</v>
      </c>
      <c r="H25" s="11"/>
      <c r="I25" s="11">
        <f>(D25*E25)-Table3[[#This Row],[Paid]]</f>
        <v>0</v>
      </c>
      <c r="L25" s="26">
        <v>46133</v>
      </c>
      <c r="M25" s="14">
        <v>208</v>
      </c>
      <c r="N25" s="14">
        <v>199680</v>
      </c>
      <c r="O25" s="14"/>
      <c r="P25" s="14">
        <v>199680</v>
      </c>
    </row>
    <row r="26" spans="1:16" x14ac:dyDescent="0.3">
      <c r="A26" s="1">
        <v>46131</v>
      </c>
      <c r="B26" t="s">
        <v>195</v>
      </c>
      <c r="D26" s="11">
        <v>210</v>
      </c>
      <c r="E26" s="11">
        <v>960</v>
      </c>
      <c r="F26" s="11"/>
      <c r="G26" s="11">
        <f t="shared" si="2"/>
        <v>201600</v>
      </c>
      <c r="H26" s="11"/>
      <c r="I26" s="11">
        <f>(D26*E26)-Table3[[#This Row],[Paid]]</f>
        <v>201600</v>
      </c>
      <c r="L26" s="42" t="s">
        <v>103</v>
      </c>
      <c r="M26" s="14">
        <v>208</v>
      </c>
      <c r="N26" s="14">
        <v>199680</v>
      </c>
      <c r="O26" s="14"/>
      <c r="P26" s="14">
        <v>199680</v>
      </c>
    </row>
    <row r="27" spans="1:16" x14ac:dyDescent="0.3">
      <c r="A27" s="1">
        <v>46131</v>
      </c>
      <c r="B27" t="s">
        <v>217</v>
      </c>
      <c r="D27" s="11">
        <v>203</v>
      </c>
      <c r="E27" s="11">
        <v>700</v>
      </c>
      <c r="F27" s="11">
        <v>48800</v>
      </c>
      <c r="G27" s="11">
        <f t="shared" si="2"/>
        <v>142100</v>
      </c>
      <c r="H27" s="11"/>
      <c r="I27" s="11">
        <f>(D27*E27)-Table3[[#This Row],[Paid]]</f>
        <v>142100</v>
      </c>
      <c r="L27" s="26">
        <v>46135</v>
      </c>
      <c r="M27" s="14">
        <v>635</v>
      </c>
      <c r="N27" s="14">
        <v>684220</v>
      </c>
      <c r="O27" s="14"/>
      <c r="P27" s="14">
        <v>684220</v>
      </c>
    </row>
    <row r="28" spans="1:16" x14ac:dyDescent="0.3">
      <c r="A28" s="1">
        <v>46131</v>
      </c>
      <c r="B28" t="s">
        <v>222</v>
      </c>
      <c r="D28" s="11">
        <v>261</v>
      </c>
      <c r="E28" s="11">
        <v>1000</v>
      </c>
      <c r="F28" s="11">
        <v>48500</v>
      </c>
      <c r="G28" s="11">
        <f t="shared" si="2"/>
        <v>261000</v>
      </c>
      <c r="H28" s="11"/>
      <c r="I28" s="11">
        <f>(D28*E28)-Table3[[#This Row],[Paid]]</f>
        <v>261000</v>
      </c>
      <c r="L28" s="42" t="s">
        <v>103</v>
      </c>
      <c r="M28" s="14">
        <v>635</v>
      </c>
      <c r="N28" s="14">
        <v>684220</v>
      </c>
      <c r="O28" s="14"/>
      <c r="P28" s="14">
        <v>684220</v>
      </c>
    </row>
    <row r="29" spans="1:16" x14ac:dyDescent="0.3">
      <c r="A29" s="1">
        <v>46131</v>
      </c>
      <c r="B29" t="s">
        <v>425</v>
      </c>
      <c r="D29" s="11">
        <v>288</v>
      </c>
      <c r="E29" s="11">
        <v>1100</v>
      </c>
      <c r="F29" s="11">
        <v>25000</v>
      </c>
      <c r="G29" s="11">
        <f t="shared" si="2"/>
        <v>316800</v>
      </c>
      <c r="H29" s="11"/>
      <c r="I29" s="11">
        <f>(D29*E29)-Table3[[#This Row],[Paid]]</f>
        <v>316800</v>
      </c>
      <c r="K29" s="14"/>
      <c r="L29" s="26">
        <v>46136</v>
      </c>
      <c r="M29" s="14">
        <v>377</v>
      </c>
      <c r="N29" s="14">
        <v>399620</v>
      </c>
      <c r="O29" s="14"/>
      <c r="P29" s="14">
        <v>399620</v>
      </c>
    </row>
    <row r="30" spans="1:16" x14ac:dyDescent="0.3">
      <c r="A30" s="1">
        <v>46130</v>
      </c>
      <c r="B30" t="s">
        <v>168</v>
      </c>
      <c r="D30" s="11">
        <v>192</v>
      </c>
      <c r="E30" s="11">
        <v>975</v>
      </c>
      <c r="F30" s="11"/>
      <c r="G30" s="11">
        <f t="shared" si="2"/>
        <v>187200</v>
      </c>
      <c r="H30" s="11"/>
      <c r="I30" s="11">
        <f>(D30*E30)-Table3[[#This Row],[Paid]]</f>
        <v>187200</v>
      </c>
      <c r="L30" s="42" t="s">
        <v>103</v>
      </c>
      <c r="M30" s="14">
        <v>377</v>
      </c>
      <c r="N30" s="14">
        <v>399620</v>
      </c>
      <c r="O30" s="14"/>
      <c r="P30" s="14">
        <v>399620</v>
      </c>
    </row>
    <row r="31" spans="1:16" x14ac:dyDescent="0.3">
      <c r="A31" s="1">
        <v>46133</v>
      </c>
      <c r="B31" t="s">
        <v>195</v>
      </c>
      <c r="D31" s="11">
        <v>208</v>
      </c>
      <c r="E31" s="11">
        <v>960</v>
      </c>
      <c r="F31" s="11"/>
      <c r="G31" s="11">
        <f t="shared" si="2"/>
        <v>199680</v>
      </c>
      <c r="H31" s="11"/>
      <c r="I31" s="11">
        <f>(D31*E31)-Table3[[#This Row],[Paid]]</f>
        <v>199680</v>
      </c>
      <c r="L31" s="26">
        <v>46137</v>
      </c>
      <c r="M31" s="14">
        <v>442</v>
      </c>
      <c r="N31" s="14">
        <v>424320</v>
      </c>
      <c r="O31" s="14"/>
      <c r="P31" s="14">
        <v>424320</v>
      </c>
    </row>
    <row r="32" spans="1:16" x14ac:dyDescent="0.3">
      <c r="A32" s="1">
        <v>46135</v>
      </c>
      <c r="B32" t="s">
        <v>425</v>
      </c>
      <c r="D32" s="11">
        <v>278</v>
      </c>
      <c r="E32" s="11">
        <v>1100</v>
      </c>
      <c r="F32" s="11">
        <v>30000</v>
      </c>
      <c r="G32" s="11">
        <f t="shared" si="2"/>
        <v>305800</v>
      </c>
      <c r="H32" s="11"/>
      <c r="I32" s="11">
        <f>(D32*E32)-Table3[[#This Row],[Paid]]</f>
        <v>305800</v>
      </c>
      <c r="L32" s="42" t="s">
        <v>103</v>
      </c>
      <c r="M32" s="14">
        <v>442</v>
      </c>
      <c r="N32" s="14">
        <v>424320</v>
      </c>
      <c r="O32" s="14"/>
      <c r="P32" s="14">
        <v>424320</v>
      </c>
    </row>
    <row r="33" spans="1:16" x14ac:dyDescent="0.3">
      <c r="A33" s="1">
        <v>46135</v>
      </c>
      <c r="B33" t="s">
        <v>222</v>
      </c>
      <c r="D33" s="11">
        <v>357</v>
      </c>
      <c r="E33" s="11">
        <v>1060</v>
      </c>
      <c r="F33" s="11">
        <v>70000</v>
      </c>
      <c r="G33" s="11">
        <f t="shared" si="2"/>
        <v>378420</v>
      </c>
      <c r="H33" s="11"/>
      <c r="I33" s="11">
        <f>(D33*E33)-Table3[[#This Row],[Paid]]</f>
        <v>378420</v>
      </c>
      <c r="L33" s="26">
        <v>46142</v>
      </c>
      <c r="M33" s="14">
        <v>661</v>
      </c>
      <c r="N33" s="14">
        <v>724600</v>
      </c>
      <c r="O33" s="14"/>
      <c r="P33" s="14">
        <v>724600</v>
      </c>
    </row>
    <row r="34" spans="1:16" x14ac:dyDescent="0.3">
      <c r="A34" s="1">
        <v>46136</v>
      </c>
      <c r="B34" t="s">
        <v>222</v>
      </c>
      <c r="D34" s="11">
        <v>377</v>
      </c>
      <c r="E34" s="11">
        <v>1060</v>
      </c>
      <c r="F34" s="11">
        <v>100000</v>
      </c>
      <c r="G34" s="11">
        <f t="shared" si="2"/>
        <v>399620</v>
      </c>
      <c r="H34" s="11"/>
      <c r="I34" s="11">
        <f>(D34*E34)-Table3[[#This Row],[Paid]]</f>
        <v>399620</v>
      </c>
      <c r="L34" s="42" t="s">
        <v>103</v>
      </c>
      <c r="M34" s="14">
        <v>661</v>
      </c>
      <c r="N34" s="14">
        <v>724600</v>
      </c>
      <c r="O34" s="14"/>
      <c r="P34" s="14">
        <v>724600</v>
      </c>
    </row>
    <row r="35" spans="1:16" x14ac:dyDescent="0.3">
      <c r="A35" s="1">
        <v>46137</v>
      </c>
      <c r="B35" t="s">
        <v>195</v>
      </c>
      <c r="D35" s="11">
        <v>243</v>
      </c>
      <c r="E35" s="11">
        <v>960</v>
      </c>
      <c r="F35" s="11"/>
      <c r="G35" s="11">
        <f t="shared" si="2"/>
        <v>233280</v>
      </c>
      <c r="H35" s="11"/>
      <c r="I35" s="11">
        <f>(D35*E35)-Table3[[#This Row],[Paid]]</f>
        <v>233280</v>
      </c>
      <c r="L35" s="26">
        <v>46144</v>
      </c>
      <c r="M35" s="14">
        <v>285</v>
      </c>
      <c r="N35" s="14">
        <v>280020</v>
      </c>
      <c r="O35" s="14"/>
      <c r="P35" s="14">
        <v>280020</v>
      </c>
    </row>
    <row r="36" spans="1:16" x14ac:dyDescent="0.3">
      <c r="A36" s="1">
        <v>46137</v>
      </c>
      <c r="B36" t="s">
        <v>195</v>
      </c>
      <c r="D36" s="11">
        <v>199</v>
      </c>
      <c r="E36" s="11">
        <v>960</v>
      </c>
      <c r="F36" s="11"/>
      <c r="G36" s="11">
        <f t="shared" si="2"/>
        <v>191040</v>
      </c>
      <c r="H36" s="11"/>
      <c r="I36" s="11">
        <f>(D36*E36)-Table3[[#This Row],[Paid]]</f>
        <v>191040</v>
      </c>
      <c r="L36" s="42" t="s">
        <v>103</v>
      </c>
      <c r="M36" s="14">
        <v>285</v>
      </c>
      <c r="N36" s="14">
        <v>280020</v>
      </c>
      <c r="O36" s="14"/>
      <c r="P36" s="14">
        <v>280020</v>
      </c>
    </row>
    <row r="37" spans="1:16" x14ac:dyDescent="0.3">
      <c r="A37" s="1">
        <v>46142</v>
      </c>
      <c r="B37" t="s">
        <v>222</v>
      </c>
      <c r="D37" s="11">
        <v>416</v>
      </c>
      <c r="E37" s="11">
        <v>1200</v>
      </c>
      <c r="F37" s="11">
        <v>82600</v>
      </c>
      <c r="G37" s="11">
        <f t="shared" si="2"/>
        <v>499200</v>
      </c>
      <c r="H37" s="11"/>
      <c r="I37" s="11">
        <f>(D37*E37)-Table3[[#This Row],[Paid]]</f>
        <v>499200</v>
      </c>
      <c r="L37" s="26">
        <v>46147</v>
      </c>
      <c r="M37" s="14">
        <v>1282</v>
      </c>
      <c r="N37" s="14">
        <v>1222900</v>
      </c>
      <c r="O37" s="14"/>
      <c r="P37" s="14">
        <v>1222900</v>
      </c>
    </row>
    <row r="38" spans="1:16" x14ac:dyDescent="0.3">
      <c r="A38" s="1">
        <v>46142</v>
      </c>
      <c r="B38" t="s">
        <v>476</v>
      </c>
      <c r="D38" s="11">
        <v>245</v>
      </c>
      <c r="E38" s="11">
        <v>920</v>
      </c>
      <c r="F38" s="11">
        <v>26000</v>
      </c>
      <c r="G38" s="11">
        <f t="shared" si="2"/>
        <v>225400</v>
      </c>
      <c r="H38" s="11"/>
      <c r="I38" s="11">
        <f>(D38*E38)-Table3[[#This Row],[Paid]]</f>
        <v>225400</v>
      </c>
      <c r="L38" s="42" t="s">
        <v>103</v>
      </c>
      <c r="M38" s="14">
        <v>1282</v>
      </c>
      <c r="N38" s="14">
        <v>1222900</v>
      </c>
      <c r="O38" s="14"/>
      <c r="P38" s="14">
        <v>1222900</v>
      </c>
    </row>
    <row r="39" spans="1:16" x14ac:dyDescent="0.3">
      <c r="A39" s="1"/>
      <c r="D39" s="11"/>
      <c r="E39" s="11"/>
      <c r="F39" s="11"/>
      <c r="G39" s="11">
        <f t="shared" ref="G39:G95" si="4">D39*E39</f>
        <v>0</v>
      </c>
      <c r="H39" s="11"/>
      <c r="I39" s="11">
        <f>(D39*E39)-Table3[[#This Row],[Paid]]</f>
        <v>0</v>
      </c>
      <c r="L39" s="26">
        <v>46148</v>
      </c>
      <c r="M39" s="14">
        <v>806</v>
      </c>
      <c r="N39" s="14">
        <v>826980</v>
      </c>
      <c r="O39" s="14"/>
      <c r="P39" s="14">
        <v>826980</v>
      </c>
    </row>
    <row r="40" spans="1:16" x14ac:dyDescent="0.3">
      <c r="A40" s="1"/>
      <c r="D40" s="11"/>
      <c r="E40" s="11"/>
      <c r="F40" s="11"/>
      <c r="G40" s="11">
        <f t="shared" si="4"/>
        <v>0</v>
      </c>
      <c r="H40" s="11"/>
      <c r="I40" s="11">
        <f>(D40*E40)-Table3[[#This Row],[Paid]]</f>
        <v>0</v>
      </c>
      <c r="L40" s="42" t="s">
        <v>103</v>
      </c>
      <c r="M40" s="14">
        <v>806</v>
      </c>
      <c r="N40" s="14">
        <v>826980</v>
      </c>
      <c r="O40" s="14"/>
      <c r="P40" s="14">
        <v>826980</v>
      </c>
    </row>
    <row r="41" spans="1:16" x14ac:dyDescent="0.3">
      <c r="A41" s="1"/>
      <c r="D41" s="11"/>
      <c r="E41" s="11"/>
      <c r="F41" s="11"/>
      <c r="G41" s="11">
        <f t="shared" si="4"/>
        <v>0</v>
      </c>
      <c r="H41" s="11"/>
      <c r="I41" s="11">
        <f>(D41*E41)-Table3[[#This Row],[Paid]]</f>
        <v>0</v>
      </c>
      <c r="L41" s="26">
        <v>46149</v>
      </c>
      <c r="M41" s="14">
        <v>472</v>
      </c>
      <c r="N41" s="14">
        <v>364040</v>
      </c>
      <c r="O41" s="14"/>
      <c r="P41" s="14">
        <v>364040</v>
      </c>
    </row>
    <row r="42" spans="1:16" x14ac:dyDescent="0.3">
      <c r="A42" s="1"/>
      <c r="D42" s="11"/>
      <c r="E42" s="11"/>
      <c r="F42" s="11"/>
      <c r="G42" s="11">
        <f t="shared" si="4"/>
        <v>0</v>
      </c>
      <c r="H42" s="11"/>
      <c r="I42" s="11">
        <f>(D42*E42)-Table3[[#This Row],[Paid]]</f>
        <v>0</v>
      </c>
      <c r="L42" s="42" t="s">
        <v>103</v>
      </c>
      <c r="M42" s="14">
        <v>472</v>
      </c>
      <c r="N42" s="14">
        <v>364040</v>
      </c>
      <c r="O42" s="14"/>
      <c r="P42" s="14">
        <v>364040</v>
      </c>
    </row>
    <row r="43" spans="1:16" x14ac:dyDescent="0.3">
      <c r="A43" s="1"/>
      <c r="D43" s="11"/>
      <c r="E43" s="11"/>
      <c r="F43" s="11"/>
      <c r="G43" s="11">
        <f t="shared" si="4"/>
        <v>0</v>
      </c>
      <c r="H43" s="11"/>
      <c r="I43" s="11">
        <f>(D43*E43)-Table3[[#This Row],[Paid]]</f>
        <v>0</v>
      </c>
      <c r="L43" s="26">
        <v>46151</v>
      </c>
      <c r="M43" s="14">
        <v>362</v>
      </c>
      <c r="N43" s="14">
        <v>383720</v>
      </c>
      <c r="O43" s="14"/>
      <c r="P43" s="14">
        <v>383720</v>
      </c>
    </row>
    <row r="44" spans="1:16" x14ac:dyDescent="0.3">
      <c r="A44" s="1"/>
      <c r="D44" s="11"/>
      <c r="E44" s="11"/>
      <c r="F44" s="11"/>
      <c r="G44" s="11">
        <f t="shared" si="4"/>
        <v>0</v>
      </c>
      <c r="H44" s="11"/>
      <c r="I44" s="11">
        <f>(D44*E44)-Table3[[#This Row],[Paid]]</f>
        <v>0</v>
      </c>
      <c r="L44" s="42" t="s">
        <v>103</v>
      </c>
      <c r="M44" s="14">
        <v>362</v>
      </c>
      <c r="N44" s="14">
        <v>383720</v>
      </c>
      <c r="O44" s="14"/>
      <c r="P44" s="14">
        <v>383720</v>
      </c>
    </row>
    <row r="45" spans="1:16" x14ac:dyDescent="0.3">
      <c r="A45" s="1">
        <v>46144</v>
      </c>
      <c r="B45" t="s">
        <v>222</v>
      </c>
      <c r="D45" s="11">
        <v>239</v>
      </c>
      <c r="E45" s="11">
        <v>1060</v>
      </c>
      <c r="F45" s="11">
        <v>60900</v>
      </c>
      <c r="G45" s="11">
        <f t="shared" ref="G45:G55" si="5">D45*E45</f>
        <v>253340</v>
      </c>
      <c r="H45" s="11"/>
      <c r="I45" s="11">
        <f>(D45*E45)-Table3[[#This Row],[Paid]]</f>
        <v>253340</v>
      </c>
      <c r="L45" s="26">
        <v>46152</v>
      </c>
      <c r="M45" s="14">
        <v>259</v>
      </c>
      <c r="N45" s="14">
        <v>271950</v>
      </c>
      <c r="O45" s="14"/>
      <c r="P45" s="14">
        <v>271950</v>
      </c>
    </row>
    <row r="46" spans="1:16" x14ac:dyDescent="0.3">
      <c r="A46" s="1">
        <v>46144</v>
      </c>
      <c r="B46" t="s">
        <v>222</v>
      </c>
      <c r="D46" s="11">
        <v>46</v>
      </c>
      <c r="E46" s="11">
        <v>580</v>
      </c>
      <c r="F46" s="11"/>
      <c r="G46" s="11">
        <f t="shared" si="5"/>
        <v>26680</v>
      </c>
      <c r="H46" s="11"/>
      <c r="I46" s="11">
        <f>(D46*E46)-Table3[[#This Row],[Paid]]</f>
        <v>26680</v>
      </c>
      <c r="L46" s="42" t="s">
        <v>103</v>
      </c>
      <c r="M46" s="14">
        <v>259</v>
      </c>
      <c r="N46" s="14">
        <v>271950</v>
      </c>
      <c r="O46" s="14"/>
      <c r="P46" s="14">
        <v>271950</v>
      </c>
    </row>
    <row r="47" spans="1:16" x14ac:dyDescent="0.3">
      <c r="A47" s="1">
        <v>46147</v>
      </c>
      <c r="B47" t="s">
        <v>195</v>
      </c>
      <c r="D47" s="11">
        <v>276</v>
      </c>
      <c r="E47" s="11">
        <v>1030</v>
      </c>
      <c r="F47" s="11"/>
      <c r="G47" s="11">
        <f t="shared" si="5"/>
        <v>284280</v>
      </c>
      <c r="H47" s="11"/>
      <c r="I47" s="11">
        <f>(D47*E47)-Table3[[#This Row],[Paid]]</f>
        <v>284280</v>
      </c>
      <c r="L47" s="26">
        <v>46153</v>
      </c>
      <c r="M47" s="14">
        <v>273</v>
      </c>
      <c r="N47" s="14">
        <v>163800</v>
      </c>
      <c r="O47" s="14"/>
      <c r="P47" s="14">
        <v>163800</v>
      </c>
    </row>
    <row r="48" spans="1:16" x14ac:dyDescent="0.3">
      <c r="A48" s="1">
        <v>46147</v>
      </c>
      <c r="B48" t="s">
        <v>222</v>
      </c>
      <c r="D48" s="11">
        <v>290</v>
      </c>
      <c r="E48" s="11">
        <v>1060</v>
      </c>
      <c r="F48" s="11"/>
      <c r="G48" s="11">
        <f t="shared" si="5"/>
        <v>307400</v>
      </c>
      <c r="H48" s="11"/>
      <c r="I48" s="11">
        <f>(D48*E48)-Table3[[#This Row],[Paid]]</f>
        <v>307400</v>
      </c>
      <c r="L48" s="42" t="s">
        <v>103</v>
      </c>
      <c r="M48" s="14">
        <v>273</v>
      </c>
      <c r="N48" s="14">
        <v>163800</v>
      </c>
      <c r="O48" s="14"/>
      <c r="P48" s="14">
        <v>163800</v>
      </c>
    </row>
    <row r="49" spans="1:16" x14ac:dyDescent="0.3">
      <c r="A49" s="1">
        <v>46147</v>
      </c>
      <c r="B49" t="s">
        <v>517</v>
      </c>
      <c r="D49" s="11">
        <v>262</v>
      </c>
      <c r="E49" s="11">
        <v>1050</v>
      </c>
      <c r="F49" s="11">
        <v>24000</v>
      </c>
      <c r="G49" s="11">
        <f t="shared" si="5"/>
        <v>275100</v>
      </c>
      <c r="H49" s="11"/>
      <c r="I49" s="11">
        <f>(D49*E49)-Table3[[#This Row],[Paid]]</f>
        <v>275100</v>
      </c>
      <c r="L49" s="26">
        <v>46154</v>
      </c>
      <c r="M49" s="14">
        <v>905</v>
      </c>
      <c r="N49" s="14">
        <v>956280</v>
      </c>
      <c r="O49" s="14"/>
      <c r="P49" s="14">
        <v>956280</v>
      </c>
    </row>
    <row r="50" spans="1:16" x14ac:dyDescent="0.3">
      <c r="A50" s="1">
        <v>46147</v>
      </c>
      <c r="B50" t="s">
        <v>517</v>
      </c>
      <c r="D50" s="11">
        <v>237</v>
      </c>
      <c r="E50" s="11">
        <v>600</v>
      </c>
      <c r="F50" s="11">
        <v>25000</v>
      </c>
      <c r="G50" s="11">
        <f t="shared" si="5"/>
        <v>142200</v>
      </c>
      <c r="H50" s="11"/>
      <c r="I50" s="11">
        <f>(D50*E50)-Table3[[#This Row],[Paid]]</f>
        <v>142200</v>
      </c>
      <c r="L50" s="42" t="s">
        <v>103</v>
      </c>
      <c r="M50" s="14">
        <v>905</v>
      </c>
      <c r="N50" s="14">
        <v>956280</v>
      </c>
      <c r="O50" s="14"/>
      <c r="P50" s="14">
        <v>956280</v>
      </c>
    </row>
    <row r="51" spans="1:16" x14ac:dyDescent="0.3">
      <c r="A51" s="1">
        <v>46147</v>
      </c>
      <c r="B51" t="s">
        <v>222</v>
      </c>
      <c r="D51" s="11">
        <f>217-35</f>
        <v>182</v>
      </c>
      <c r="E51" s="11">
        <v>1060</v>
      </c>
      <c r="F51" s="11"/>
      <c r="G51" s="11">
        <f t="shared" si="5"/>
        <v>192920</v>
      </c>
      <c r="H51" s="11"/>
      <c r="I51" s="11">
        <f>(D51*E51)-Table3[[#This Row],[Paid]]</f>
        <v>192920</v>
      </c>
      <c r="L51" s="26">
        <v>46156</v>
      </c>
      <c r="M51" s="14">
        <v>482</v>
      </c>
      <c r="N51" s="14">
        <v>433800</v>
      </c>
      <c r="O51" s="14"/>
      <c r="P51" s="14">
        <v>433800</v>
      </c>
    </row>
    <row r="52" spans="1:16" x14ac:dyDescent="0.3">
      <c r="A52" s="1">
        <v>46147</v>
      </c>
      <c r="B52" t="s">
        <v>222</v>
      </c>
      <c r="D52" s="11">
        <v>35</v>
      </c>
      <c r="E52" s="11">
        <v>600</v>
      </c>
      <c r="F52" s="11"/>
      <c r="G52" s="11">
        <f t="shared" si="5"/>
        <v>21000</v>
      </c>
      <c r="H52" s="11"/>
      <c r="I52" s="11">
        <f>(D52*E52)-Table3[[#This Row],[Paid]]</f>
        <v>21000</v>
      </c>
      <c r="L52" s="42" t="s">
        <v>103</v>
      </c>
      <c r="M52" s="14">
        <v>482</v>
      </c>
      <c r="N52" s="14">
        <v>433800</v>
      </c>
      <c r="O52" s="14"/>
      <c r="P52" s="14">
        <v>433800</v>
      </c>
    </row>
    <row r="53" spans="1:16" x14ac:dyDescent="0.3">
      <c r="A53" s="1">
        <v>46148</v>
      </c>
      <c r="B53" t="s">
        <v>517</v>
      </c>
      <c r="D53" s="11">
        <v>261</v>
      </c>
      <c r="E53" s="11">
        <v>1050</v>
      </c>
      <c r="F53" s="11"/>
      <c r="G53" s="11">
        <f t="shared" si="5"/>
        <v>274050</v>
      </c>
      <c r="H53" s="11"/>
      <c r="I53" s="11">
        <f>(D53*E53)-Table3[[#This Row],[Paid]]</f>
        <v>274050</v>
      </c>
      <c r="L53" s="26">
        <v>46111</v>
      </c>
      <c r="M53" s="14"/>
      <c r="N53" s="14">
        <v>0</v>
      </c>
      <c r="O53" s="14">
        <v>0</v>
      </c>
      <c r="P53" s="14">
        <v>4012074</v>
      </c>
    </row>
    <row r="54" spans="1:16" x14ac:dyDescent="0.3">
      <c r="A54" s="1">
        <v>46148</v>
      </c>
      <c r="B54" t="s">
        <v>476</v>
      </c>
      <c r="D54" s="11">
        <v>276</v>
      </c>
      <c r="E54" s="11">
        <v>980</v>
      </c>
      <c r="F54" s="11"/>
      <c r="G54" s="11">
        <f t="shared" si="5"/>
        <v>270480</v>
      </c>
      <c r="H54" s="11"/>
      <c r="I54" s="11">
        <f>(D54*E54)-Table3[[#This Row],[Paid]]</f>
        <v>270480</v>
      </c>
      <c r="L54" s="42" t="s">
        <v>95</v>
      </c>
      <c r="M54" s="14"/>
      <c r="N54" s="14">
        <v>0</v>
      </c>
      <c r="O54" s="14">
        <v>0</v>
      </c>
      <c r="P54" s="14">
        <v>4012074</v>
      </c>
    </row>
    <row r="55" spans="1:16" x14ac:dyDescent="0.3">
      <c r="A55" s="1">
        <v>46148</v>
      </c>
      <c r="B55" t="s">
        <v>517</v>
      </c>
      <c r="D55" s="11">
        <v>269</v>
      </c>
      <c r="E55" s="11">
        <v>1050</v>
      </c>
      <c r="F55" s="11">
        <v>24500</v>
      </c>
      <c r="G55" s="11">
        <f t="shared" si="5"/>
        <v>282450</v>
      </c>
      <c r="H55" s="11"/>
      <c r="I55" s="11">
        <f>(D55*E55)-Table3[[#This Row],[Paid]]</f>
        <v>282450</v>
      </c>
      <c r="L55" s="26">
        <v>46183</v>
      </c>
      <c r="M55" s="14">
        <v>244</v>
      </c>
      <c r="N55" s="14">
        <v>237900</v>
      </c>
      <c r="O55" s="14"/>
      <c r="P55" s="14">
        <v>237900</v>
      </c>
    </row>
    <row r="56" spans="1:16" x14ac:dyDescent="0.3">
      <c r="A56" s="1">
        <v>46149</v>
      </c>
      <c r="B56" t="s">
        <v>517</v>
      </c>
      <c r="D56" s="11">
        <v>284</v>
      </c>
      <c r="E56" s="11">
        <v>600</v>
      </c>
      <c r="F56" s="11">
        <v>25000</v>
      </c>
      <c r="G56" s="11">
        <f t="shared" ref="G56:G64" si="6">D56*E56</f>
        <v>170400</v>
      </c>
      <c r="H56" s="11"/>
      <c r="I56" s="11">
        <f>(D56*E56)-Table3[[#This Row],[Paid]]</f>
        <v>170400</v>
      </c>
      <c r="L56" s="42" t="s">
        <v>103</v>
      </c>
      <c r="M56" s="14">
        <v>244</v>
      </c>
      <c r="N56" s="14">
        <v>237900</v>
      </c>
      <c r="O56" s="14"/>
      <c r="P56" s="14">
        <v>237900</v>
      </c>
    </row>
    <row r="57" spans="1:16" x14ac:dyDescent="0.3">
      <c r="A57" s="1">
        <v>46149</v>
      </c>
      <c r="B57" t="s">
        <v>195</v>
      </c>
      <c r="D57" s="11">
        <v>188</v>
      </c>
      <c r="E57" s="11">
        <v>1030</v>
      </c>
      <c r="F57" s="11"/>
      <c r="G57" s="11">
        <f t="shared" si="6"/>
        <v>193640</v>
      </c>
      <c r="H57" s="11"/>
      <c r="I57" s="11">
        <f>(D57*E57)-Table3[[#This Row],[Paid]]</f>
        <v>193640</v>
      </c>
      <c r="L57" s="26">
        <v>46184</v>
      </c>
      <c r="M57" s="14">
        <v>257</v>
      </c>
      <c r="N57" s="14">
        <v>254430</v>
      </c>
      <c r="O57" s="14"/>
      <c r="P57" s="14">
        <v>254430</v>
      </c>
    </row>
    <row r="58" spans="1:16" x14ac:dyDescent="0.3">
      <c r="A58" s="1">
        <v>46151</v>
      </c>
      <c r="B58" t="s">
        <v>222</v>
      </c>
      <c r="D58" s="11">
        <v>362</v>
      </c>
      <c r="E58" s="11">
        <v>1060</v>
      </c>
      <c r="F58" s="11"/>
      <c r="G58" s="11">
        <f t="shared" si="6"/>
        <v>383720</v>
      </c>
      <c r="H58" s="11"/>
      <c r="I58" s="11">
        <f>(D58*E58)-Table3[[#This Row],[Paid]]</f>
        <v>383720</v>
      </c>
      <c r="L58" s="42" t="s">
        <v>103</v>
      </c>
      <c r="M58" s="14">
        <v>257</v>
      </c>
      <c r="N58" s="14">
        <v>254430</v>
      </c>
      <c r="O58" s="14"/>
      <c r="P58" s="14">
        <v>254430</v>
      </c>
    </row>
    <row r="59" spans="1:16" x14ac:dyDescent="0.3">
      <c r="A59" s="1">
        <v>46152</v>
      </c>
      <c r="B59" t="s">
        <v>517</v>
      </c>
      <c r="D59" s="11">
        <v>259</v>
      </c>
      <c r="E59" s="11">
        <v>1050</v>
      </c>
      <c r="F59" s="11"/>
      <c r="G59" s="11">
        <f t="shared" si="6"/>
        <v>271950</v>
      </c>
      <c r="H59" s="11"/>
      <c r="I59" s="11">
        <f>(D59*E59)-Table3[[#This Row],[Paid]]</f>
        <v>271950</v>
      </c>
      <c r="L59" s="26">
        <v>46185</v>
      </c>
      <c r="M59" s="14">
        <v>221</v>
      </c>
      <c r="N59" s="14">
        <v>132600</v>
      </c>
      <c r="O59" s="14"/>
      <c r="P59" s="14">
        <v>132600</v>
      </c>
    </row>
    <row r="60" spans="1:16" x14ac:dyDescent="0.3">
      <c r="A60" s="1">
        <v>46153</v>
      </c>
      <c r="B60" t="s">
        <v>517</v>
      </c>
      <c r="D60" s="11">
        <v>273</v>
      </c>
      <c r="E60" s="11">
        <v>600</v>
      </c>
      <c r="F60" s="11"/>
      <c r="G60" s="11">
        <f t="shared" si="6"/>
        <v>163800</v>
      </c>
      <c r="H60" s="11"/>
      <c r="I60" s="11">
        <f>(D60*E60)-Table3[[#This Row],[Paid]]</f>
        <v>163800</v>
      </c>
      <c r="L60" s="42" t="s">
        <v>103</v>
      </c>
      <c r="M60" s="14">
        <v>221</v>
      </c>
      <c r="N60" s="14">
        <v>132600</v>
      </c>
      <c r="O60" s="14"/>
      <c r="P60" s="14">
        <v>132600</v>
      </c>
    </row>
    <row r="61" spans="1:16" x14ac:dyDescent="0.3">
      <c r="A61" s="1">
        <v>46154</v>
      </c>
      <c r="B61" t="s">
        <v>222</v>
      </c>
      <c r="D61" s="11">
        <v>394</v>
      </c>
      <c r="E61" s="11">
        <v>1060</v>
      </c>
      <c r="F61" s="11"/>
      <c r="G61" s="11">
        <f t="shared" si="6"/>
        <v>417640</v>
      </c>
      <c r="H61" s="11"/>
      <c r="I61" s="11">
        <f>(D61*E61)-Table3[[#This Row],[Paid]]</f>
        <v>417640</v>
      </c>
      <c r="L61" s="26">
        <v>46186</v>
      </c>
      <c r="M61" s="14">
        <v>529</v>
      </c>
      <c r="N61" s="14">
        <v>413575</v>
      </c>
      <c r="O61" s="14"/>
      <c r="P61" s="14">
        <v>413575</v>
      </c>
    </row>
    <row r="62" spans="1:16" x14ac:dyDescent="0.3">
      <c r="A62" s="1">
        <v>46154</v>
      </c>
      <c r="B62" t="s">
        <v>222</v>
      </c>
      <c r="D62" s="11">
        <v>209</v>
      </c>
      <c r="E62" s="11">
        <v>1060</v>
      </c>
      <c r="F62" s="11"/>
      <c r="G62" s="11">
        <f t="shared" si="6"/>
        <v>221540</v>
      </c>
      <c r="H62" s="11"/>
      <c r="I62" s="11">
        <f>(D62*E62)-Table3[[#This Row],[Paid]]</f>
        <v>221540</v>
      </c>
      <c r="L62" s="42" t="s">
        <v>103</v>
      </c>
      <c r="M62" s="14">
        <v>529</v>
      </c>
      <c r="N62" s="14">
        <v>413575</v>
      </c>
      <c r="O62" s="14"/>
      <c r="P62" s="14">
        <v>413575</v>
      </c>
    </row>
    <row r="63" spans="1:16" x14ac:dyDescent="0.3">
      <c r="A63" s="1">
        <v>46154</v>
      </c>
      <c r="B63" t="s">
        <v>517</v>
      </c>
      <c r="D63" s="11">
        <v>302</v>
      </c>
      <c r="E63" s="11">
        <v>1050</v>
      </c>
      <c r="F63" s="11"/>
      <c r="G63" s="11">
        <f t="shared" si="6"/>
        <v>317100</v>
      </c>
      <c r="H63" s="11"/>
      <c r="I63" s="11">
        <f>(D63*E63)-Table3[[#This Row],[Paid]]</f>
        <v>317100</v>
      </c>
      <c r="L63" s="26">
        <v>46187</v>
      </c>
      <c r="M63" s="14">
        <v>300</v>
      </c>
      <c r="N63" s="14">
        <v>297000</v>
      </c>
      <c r="O63" s="14"/>
      <c r="P63" s="14">
        <v>297000</v>
      </c>
    </row>
    <row r="64" spans="1:16" x14ac:dyDescent="0.3">
      <c r="A64" s="1">
        <v>46156</v>
      </c>
      <c r="B64" t="s">
        <v>222</v>
      </c>
      <c r="D64" s="11">
        <v>482</v>
      </c>
      <c r="E64" s="11">
        <v>900</v>
      </c>
      <c r="F64" s="11"/>
      <c r="G64" s="11">
        <f t="shared" si="6"/>
        <v>433800</v>
      </c>
      <c r="H64" s="11"/>
      <c r="I64" s="11">
        <f>(D64*E64)-Table3[[#This Row],[Paid]]</f>
        <v>433800</v>
      </c>
      <c r="L64" s="42" t="s">
        <v>103</v>
      </c>
      <c r="M64" s="14">
        <v>300</v>
      </c>
      <c r="N64" s="14">
        <v>297000</v>
      </c>
      <c r="O64" s="14"/>
      <c r="P64" s="14">
        <v>297000</v>
      </c>
    </row>
    <row r="65" spans="1:16" x14ac:dyDescent="0.3">
      <c r="A65" s="1"/>
      <c r="D65" s="11"/>
      <c r="E65" s="11"/>
      <c r="F65" s="11"/>
      <c r="G65" s="11">
        <f t="shared" si="4"/>
        <v>0</v>
      </c>
      <c r="H65" s="11"/>
      <c r="I65" s="11">
        <f>(D65*E65)-Table3[[#This Row],[Paid]]</f>
        <v>0</v>
      </c>
      <c r="L65" s="26">
        <v>46190</v>
      </c>
      <c r="M65" s="14">
        <v>495</v>
      </c>
      <c r="N65" s="14">
        <v>486420</v>
      </c>
      <c r="O65" s="14"/>
      <c r="P65" s="14">
        <v>486420</v>
      </c>
    </row>
    <row r="66" spans="1:16" x14ac:dyDescent="0.3">
      <c r="A66" s="1">
        <v>46183</v>
      </c>
      <c r="B66" t="s">
        <v>168</v>
      </c>
      <c r="D66" s="11">
        <v>244</v>
      </c>
      <c r="E66" s="11">
        <v>975</v>
      </c>
      <c r="F66" s="11"/>
      <c r="G66" s="11">
        <f t="shared" si="4"/>
        <v>237900</v>
      </c>
      <c r="H66" s="11"/>
      <c r="I66" s="11">
        <f>(D66*E66)-Table3[[#This Row],[Paid]]</f>
        <v>237900</v>
      </c>
      <c r="L66" s="42" t="s">
        <v>103</v>
      </c>
      <c r="M66" s="14">
        <v>495</v>
      </c>
      <c r="N66" s="14">
        <v>486420</v>
      </c>
      <c r="O66" s="14"/>
      <c r="P66" s="14">
        <v>486420</v>
      </c>
    </row>
    <row r="67" spans="1:16" x14ac:dyDescent="0.3">
      <c r="A67" s="1">
        <v>46184</v>
      </c>
      <c r="B67" t="s">
        <v>517</v>
      </c>
      <c r="D67" s="11">
        <v>257</v>
      </c>
      <c r="E67" s="11">
        <v>990</v>
      </c>
      <c r="F67" s="11"/>
      <c r="G67" s="11">
        <f>D67*E67</f>
        <v>254430</v>
      </c>
      <c r="H67" s="11"/>
      <c r="I67" s="11">
        <f>(D67*E67)-Table3[[#This Row],[Paid]]</f>
        <v>254430</v>
      </c>
      <c r="L67" s="26">
        <v>46192</v>
      </c>
      <c r="M67" s="14">
        <v>537</v>
      </c>
      <c r="N67" s="14">
        <v>426370</v>
      </c>
      <c r="O67" s="14"/>
      <c r="P67" s="14">
        <v>426370</v>
      </c>
    </row>
    <row r="68" spans="1:16" x14ac:dyDescent="0.3">
      <c r="A68" s="1">
        <v>46185</v>
      </c>
      <c r="B68" t="s">
        <v>517</v>
      </c>
      <c r="D68" s="11">
        <v>221</v>
      </c>
      <c r="E68" s="11">
        <v>600</v>
      </c>
      <c r="F68" s="11"/>
      <c r="G68" s="11">
        <f t="shared" si="4"/>
        <v>132600</v>
      </c>
      <c r="H68" s="11"/>
      <c r="I68" s="11">
        <f>(D68*E68)-Table3[[#This Row],[Paid]]</f>
        <v>132600</v>
      </c>
      <c r="L68" s="42" t="s">
        <v>103</v>
      </c>
      <c r="M68" s="14">
        <v>537</v>
      </c>
      <c r="N68" s="14">
        <v>426370</v>
      </c>
      <c r="O68" s="14"/>
      <c r="P68" s="14">
        <v>426370</v>
      </c>
    </row>
    <row r="69" spans="1:16" x14ac:dyDescent="0.3">
      <c r="A69" s="1">
        <v>46186</v>
      </c>
      <c r="B69" t="s">
        <v>168</v>
      </c>
      <c r="D69" s="11">
        <v>249</v>
      </c>
      <c r="E69" s="11">
        <v>975</v>
      </c>
      <c r="F69" s="11"/>
      <c r="G69" s="11">
        <f t="shared" si="4"/>
        <v>242775</v>
      </c>
      <c r="H69" s="11"/>
      <c r="I69" s="11">
        <f>(D69*E69)-Table3[[#This Row],[Paid]]</f>
        <v>242775</v>
      </c>
      <c r="L69" s="26">
        <v>46194</v>
      </c>
      <c r="M69" s="14">
        <v>273</v>
      </c>
      <c r="N69" s="14">
        <v>166530</v>
      </c>
      <c r="O69" s="14"/>
      <c r="P69" s="14">
        <v>166530</v>
      </c>
    </row>
    <row r="70" spans="1:16" x14ac:dyDescent="0.3">
      <c r="A70" s="1">
        <v>46186</v>
      </c>
      <c r="B70" t="s">
        <v>168</v>
      </c>
      <c r="D70" s="11">
        <v>280</v>
      </c>
      <c r="E70" s="11">
        <v>610</v>
      </c>
      <c r="F70" s="11"/>
      <c r="G70" s="11">
        <f t="shared" si="4"/>
        <v>170800</v>
      </c>
      <c r="H70" s="11"/>
      <c r="I70" s="11">
        <f>(D70*E70)-Table3[[#This Row],[Paid]]</f>
        <v>170800</v>
      </c>
      <c r="L70" s="42" t="s">
        <v>103</v>
      </c>
      <c r="M70" s="14">
        <v>273</v>
      </c>
      <c r="N70" s="14">
        <v>166530</v>
      </c>
      <c r="O70" s="14"/>
      <c r="P70" s="14">
        <v>166530</v>
      </c>
    </row>
    <row r="71" spans="1:16" x14ac:dyDescent="0.3">
      <c r="A71" s="1">
        <v>46187</v>
      </c>
      <c r="B71" t="s">
        <v>517</v>
      </c>
      <c r="D71" s="11">
        <v>300</v>
      </c>
      <c r="E71" s="11">
        <v>990</v>
      </c>
      <c r="F71" s="11"/>
      <c r="G71" s="11">
        <f t="shared" si="4"/>
        <v>297000</v>
      </c>
      <c r="H71" s="11"/>
      <c r="I71" s="11">
        <f>(D71*E71)-Table3[[#This Row],[Paid]]</f>
        <v>297000</v>
      </c>
      <c r="L71" s="26">
        <v>46195</v>
      </c>
      <c r="M71" s="14">
        <v>273</v>
      </c>
      <c r="N71" s="14">
        <v>270270</v>
      </c>
      <c r="O71" s="14"/>
      <c r="P71" s="14">
        <v>270270</v>
      </c>
    </row>
    <row r="72" spans="1:16" x14ac:dyDescent="0.3">
      <c r="A72" s="1">
        <v>46190</v>
      </c>
      <c r="B72" t="s">
        <v>517</v>
      </c>
      <c r="D72" s="11">
        <v>253</v>
      </c>
      <c r="E72" s="11">
        <v>990</v>
      </c>
      <c r="F72" s="11"/>
      <c r="G72" s="11">
        <f t="shared" si="4"/>
        <v>250470</v>
      </c>
      <c r="H72" s="11"/>
      <c r="I72" s="11">
        <f>(D72*E72)-Table3[[#This Row],[Paid]]</f>
        <v>250470</v>
      </c>
      <c r="L72" s="42" t="s">
        <v>103</v>
      </c>
      <c r="M72" s="14">
        <v>273</v>
      </c>
      <c r="N72" s="14">
        <v>270270</v>
      </c>
      <c r="O72" s="14"/>
      <c r="P72" s="14">
        <v>270270</v>
      </c>
    </row>
    <row r="73" spans="1:16" x14ac:dyDescent="0.3">
      <c r="A73" s="1">
        <v>46190</v>
      </c>
      <c r="B73" t="s">
        <v>168</v>
      </c>
      <c r="D73" s="11">
        <v>242</v>
      </c>
      <c r="E73" s="11">
        <v>975</v>
      </c>
      <c r="F73" s="11"/>
      <c r="G73" s="11">
        <f t="shared" si="4"/>
        <v>235950</v>
      </c>
      <c r="H73" s="11"/>
      <c r="I73" s="11">
        <f>(D73*E73)-Table3[[#This Row],[Paid]]</f>
        <v>235950</v>
      </c>
      <c r="L73" s="26">
        <v>46197</v>
      </c>
      <c r="M73" s="14">
        <v>240</v>
      </c>
      <c r="N73" s="14">
        <v>146400</v>
      </c>
      <c r="O73" s="14"/>
      <c r="P73" s="14">
        <v>146400</v>
      </c>
    </row>
    <row r="74" spans="1:16" x14ac:dyDescent="0.3">
      <c r="A74" s="1"/>
      <c r="D74" s="11"/>
      <c r="E74" s="11"/>
      <c r="F74" s="11"/>
      <c r="G74" s="11">
        <f t="shared" si="4"/>
        <v>0</v>
      </c>
      <c r="H74" s="11"/>
      <c r="I74" s="11">
        <f>(D74*E74)-Table3[[#This Row],[Paid]]</f>
        <v>0</v>
      </c>
      <c r="L74" s="42" t="s">
        <v>103</v>
      </c>
      <c r="M74" s="14">
        <v>240</v>
      </c>
      <c r="N74" s="14">
        <v>146400</v>
      </c>
      <c r="O74" s="14"/>
      <c r="P74" s="14">
        <v>146400</v>
      </c>
    </row>
    <row r="75" spans="1:16" x14ac:dyDescent="0.3">
      <c r="A75" s="1">
        <v>46192</v>
      </c>
      <c r="B75" t="s">
        <v>168</v>
      </c>
      <c r="D75" s="11">
        <v>277</v>
      </c>
      <c r="E75" s="11">
        <v>610</v>
      </c>
      <c r="F75" s="11"/>
      <c r="G75" s="11">
        <f t="shared" si="4"/>
        <v>168970</v>
      </c>
      <c r="H75" s="11"/>
      <c r="I75" s="11">
        <f>(D75*E75)-Table3[[#This Row],[Paid]]</f>
        <v>168970</v>
      </c>
      <c r="L75" s="26">
        <v>46205</v>
      </c>
      <c r="M75" s="14">
        <v>253</v>
      </c>
      <c r="N75" s="14">
        <v>240350</v>
      </c>
      <c r="O75" s="14"/>
      <c r="P75" s="14">
        <v>240350</v>
      </c>
    </row>
    <row r="76" spans="1:16" x14ac:dyDescent="0.3">
      <c r="A76" s="1">
        <v>46192</v>
      </c>
      <c r="B76" t="s">
        <v>517</v>
      </c>
      <c r="D76" s="11">
        <v>260</v>
      </c>
      <c r="E76" s="11">
        <v>990</v>
      </c>
      <c r="F76" s="11"/>
      <c r="G76" s="11">
        <f t="shared" si="4"/>
        <v>257400</v>
      </c>
      <c r="H76" s="11"/>
      <c r="I76" s="11">
        <f>(D76*E76)-Table3[[#This Row],[Paid]]</f>
        <v>257400</v>
      </c>
      <c r="L76" s="42" t="s">
        <v>103</v>
      </c>
      <c r="M76" s="14">
        <v>253</v>
      </c>
      <c r="N76" s="14">
        <v>240350</v>
      </c>
      <c r="O76" s="14"/>
      <c r="P76" s="14">
        <v>240350</v>
      </c>
    </row>
    <row r="77" spans="1:16" x14ac:dyDescent="0.3">
      <c r="A77" s="1">
        <v>46194</v>
      </c>
      <c r="B77" t="s">
        <v>168</v>
      </c>
      <c r="D77" s="11">
        <v>273</v>
      </c>
      <c r="E77" s="11">
        <v>610</v>
      </c>
      <c r="F77" s="11"/>
      <c r="G77" s="11">
        <f t="shared" si="4"/>
        <v>166530</v>
      </c>
      <c r="H77" s="11"/>
      <c r="I77" s="11">
        <f>(D77*E77)-Table3[[#This Row],[Paid]]</f>
        <v>166530</v>
      </c>
      <c r="L77" s="26">
        <v>46207</v>
      </c>
      <c r="M77" s="14">
        <v>257</v>
      </c>
      <c r="N77" s="14">
        <v>233870</v>
      </c>
      <c r="O77" s="14"/>
      <c r="P77" s="14">
        <v>233870</v>
      </c>
    </row>
    <row r="78" spans="1:16" x14ac:dyDescent="0.3">
      <c r="A78" s="1">
        <v>46195</v>
      </c>
      <c r="B78" t="s">
        <v>517</v>
      </c>
      <c r="D78" s="11">
        <v>273</v>
      </c>
      <c r="E78" s="11">
        <v>990</v>
      </c>
      <c r="F78" s="11"/>
      <c r="G78" s="11">
        <f t="shared" si="4"/>
        <v>270270</v>
      </c>
      <c r="H78" s="11"/>
      <c r="I78" s="11">
        <f>(D78*E78)-Table3[[#This Row],[Paid]]</f>
        <v>270270</v>
      </c>
      <c r="L78" s="42" t="s">
        <v>103</v>
      </c>
      <c r="M78" s="14">
        <v>257</v>
      </c>
      <c r="N78" s="14">
        <v>233870</v>
      </c>
      <c r="O78" s="14"/>
      <c r="P78" s="14">
        <v>233870</v>
      </c>
    </row>
    <row r="79" spans="1:16" x14ac:dyDescent="0.3">
      <c r="A79" s="1">
        <v>46197</v>
      </c>
      <c r="B79" t="s">
        <v>168</v>
      </c>
      <c r="D79" s="11">
        <v>240</v>
      </c>
      <c r="E79" s="11">
        <v>610</v>
      </c>
      <c r="F79" s="11"/>
      <c r="G79" s="11">
        <f t="shared" si="4"/>
        <v>146400</v>
      </c>
      <c r="H79" s="11"/>
      <c r="I79" s="11">
        <f>(D79*E79)-Table3[[#This Row],[Paid]]</f>
        <v>146400</v>
      </c>
      <c r="L79" s="26">
        <v>46211</v>
      </c>
      <c r="M79" s="14">
        <v>236</v>
      </c>
      <c r="N79" s="14">
        <v>178610</v>
      </c>
      <c r="O79" s="14"/>
      <c r="P79" s="14">
        <v>178610</v>
      </c>
    </row>
    <row r="80" spans="1:16" x14ac:dyDescent="0.3">
      <c r="A80" s="1">
        <v>46205</v>
      </c>
      <c r="B80" t="s">
        <v>851</v>
      </c>
      <c r="D80" s="11">
        <v>253</v>
      </c>
      <c r="E80" s="11">
        <v>950</v>
      </c>
      <c r="F80" s="11">
        <v>53500</v>
      </c>
      <c r="G80" s="11">
        <f t="shared" si="4"/>
        <v>240350</v>
      </c>
      <c r="H80" s="11"/>
      <c r="I80" s="11">
        <f>(D80*E80)-Table3[[#This Row],[Paid]]</f>
        <v>240350</v>
      </c>
      <c r="L80" s="42" t="s">
        <v>103</v>
      </c>
      <c r="M80" s="14">
        <v>236</v>
      </c>
      <c r="N80" s="14">
        <v>178610</v>
      </c>
      <c r="O80" s="14"/>
      <c r="P80" s="14">
        <v>178610</v>
      </c>
    </row>
    <row r="81" spans="1:16" x14ac:dyDescent="0.3">
      <c r="A81" s="1">
        <v>46207</v>
      </c>
      <c r="B81" t="s">
        <v>168</v>
      </c>
      <c r="D81" s="11">
        <v>257</v>
      </c>
      <c r="E81" s="11">
        <v>910</v>
      </c>
      <c r="F81" s="11"/>
      <c r="G81" s="11">
        <f t="shared" si="4"/>
        <v>233870</v>
      </c>
      <c r="H81" s="11"/>
      <c r="I81" s="11">
        <f>(D81*E81)-Table3[[#This Row],[Paid]]</f>
        <v>233870</v>
      </c>
      <c r="L81" s="26">
        <v>46212</v>
      </c>
      <c r="M81" s="14">
        <v>525</v>
      </c>
      <c r="N81" s="14">
        <v>525000</v>
      </c>
      <c r="O81" s="14"/>
      <c r="P81" s="14">
        <v>525000</v>
      </c>
    </row>
    <row r="82" spans="1:16" x14ac:dyDescent="0.3">
      <c r="A82" s="1">
        <v>46211</v>
      </c>
      <c r="B82" t="s">
        <v>168</v>
      </c>
      <c r="D82" s="11">
        <v>137</v>
      </c>
      <c r="E82" s="11">
        <v>610</v>
      </c>
      <c r="F82" s="11"/>
      <c r="G82" s="11">
        <f t="shared" si="4"/>
        <v>83570</v>
      </c>
      <c r="H82" s="11"/>
      <c r="I82" s="11">
        <f>(D82*E82)-Table3[[#This Row],[Paid]]</f>
        <v>83570</v>
      </c>
      <c r="L82" s="42" t="s">
        <v>103</v>
      </c>
      <c r="M82" s="14">
        <v>525</v>
      </c>
      <c r="N82" s="14">
        <v>525000</v>
      </c>
      <c r="O82" s="14"/>
      <c r="P82" s="14">
        <v>525000</v>
      </c>
    </row>
    <row r="83" spans="1:16" x14ac:dyDescent="0.3">
      <c r="A83" s="1">
        <v>46211</v>
      </c>
      <c r="B83" t="s">
        <v>168</v>
      </c>
      <c r="D83" s="11">
        <v>99</v>
      </c>
      <c r="E83" s="11">
        <v>960</v>
      </c>
      <c r="F83" s="11"/>
      <c r="G83" s="11">
        <f t="shared" si="4"/>
        <v>95040</v>
      </c>
      <c r="H83" s="11"/>
      <c r="I83" s="11">
        <f>(D83*E83)-Table3[[#This Row],[Paid]]</f>
        <v>95040</v>
      </c>
      <c r="L83" s="26">
        <v>46213</v>
      </c>
      <c r="M83" s="14">
        <v>213</v>
      </c>
      <c r="N83" s="14">
        <v>193830</v>
      </c>
      <c r="O83" s="14"/>
      <c r="P83" s="14">
        <v>193830</v>
      </c>
    </row>
    <row r="84" spans="1:16" x14ac:dyDescent="0.3">
      <c r="A84" s="1">
        <v>46212</v>
      </c>
      <c r="B84" t="s">
        <v>222</v>
      </c>
      <c r="D84" s="11">
        <v>256</v>
      </c>
      <c r="E84" s="11">
        <v>1000</v>
      </c>
      <c r="F84" s="11"/>
      <c r="G84" s="11">
        <f t="shared" si="4"/>
        <v>256000</v>
      </c>
      <c r="H84" s="11"/>
      <c r="I84" s="11">
        <f>(D84*E84)-Table3[[#This Row],[Paid]]</f>
        <v>256000</v>
      </c>
      <c r="L84" s="42" t="s">
        <v>103</v>
      </c>
      <c r="M84" s="14">
        <v>213</v>
      </c>
      <c r="N84" s="14">
        <v>193830</v>
      </c>
      <c r="O84" s="14"/>
      <c r="P84" s="14">
        <v>193830</v>
      </c>
    </row>
    <row r="85" spans="1:16" x14ac:dyDescent="0.3">
      <c r="A85" s="1">
        <v>46212</v>
      </c>
      <c r="B85" t="s">
        <v>222</v>
      </c>
      <c r="D85" s="11">
        <v>269</v>
      </c>
      <c r="E85" s="11">
        <v>1000</v>
      </c>
      <c r="F85" s="11"/>
      <c r="G85" s="11">
        <f t="shared" si="4"/>
        <v>269000</v>
      </c>
      <c r="H85" s="11"/>
      <c r="I85" s="11">
        <f>(D85*E85)-Table3[[#This Row],[Paid]]</f>
        <v>269000</v>
      </c>
      <c r="L85" s="26">
        <v>46215</v>
      </c>
      <c r="M85" s="14">
        <v>632</v>
      </c>
      <c r="N85" s="14">
        <v>593370</v>
      </c>
      <c r="O85" s="14"/>
      <c r="P85" s="14">
        <v>593370</v>
      </c>
    </row>
    <row r="86" spans="1:16" x14ac:dyDescent="0.3">
      <c r="A86" s="1">
        <v>46213</v>
      </c>
      <c r="B86" t="s">
        <v>222</v>
      </c>
      <c r="D86" s="11">
        <v>213</v>
      </c>
      <c r="E86" s="11">
        <v>910</v>
      </c>
      <c r="F86" s="11"/>
      <c r="G86" s="11">
        <f t="shared" si="4"/>
        <v>193830</v>
      </c>
      <c r="H86" s="11"/>
      <c r="I86" s="11">
        <f>(D86*E86)-Table3[[#This Row],[Paid]]</f>
        <v>193830</v>
      </c>
      <c r="L86" s="42" t="s">
        <v>103</v>
      </c>
      <c r="M86" s="14">
        <v>632</v>
      </c>
      <c r="N86" s="14">
        <v>593370</v>
      </c>
      <c r="O86" s="14"/>
      <c r="P86" s="14">
        <v>593370</v>
      </c>
    </row>
    <row r="87" spans="1:16" x14ac:dyDescent="0.3">
      <c r="A87" s="1"/>
      <c r="D87" s="11"/>
      <c r="E87" s="11"/>
      <c r="F87" s="11"/>
      <c r="G87" s="11">
        <f t="shared" si="4"/>
        <v>0</v>
      </c>
      <c r="H87" s="11"/>
      <c r="I87" s="11">
        <f>(D87*E87)-Table3[[#This Row],[Paid]]</f>
        <v>0</v>
      </c>
      <c r="L87" s="26">
        <v>46217</v>
      </c>
      <c r="M87" s="14">
        <v>695</v>
      </c>
      <c r="N87" s="14">
        <v>566050</v>
      </c>
      <c r="O87" s="14"/>
      <c r="P87" s="14">
        <v>566050</v>
      </c>
    </row>
    <row r="88" spans="1:16" x14ac:dyDescent="0.3">
      <c r="A88" s="1">
        <v>46215</v>
      </c>
      <c r="B88" t="s">
        <v>168</v>
      </c>
      <c r="D88" s="11">
        <v>267</v>
      </c>
      <c r="E88" s="11">
        <v>910</v>
      </c>
      <c r="F88" s="11"/>
      <c r="G88" s="11">
        <f t="shared" si="4"/>
        <v>242970</v>
      </c>
      <c r="H88" s="11"/>
      <c r="I88" s="11">
        <f>(D88*E88)-Table3[[#This Row],[Paid]]</f>
        <v>242970</v>
      </c>
      <c r="L88" s="42" t="s">
        <v>103</v>
      </c>
      <c r="M88" s="14">
        <v>695</v>
      </c>
      <c r="N88" s="14">
        <v>566050</v>
      </c>
      <c r="O88" s="14"/>
      <c r="P88" s="14">
        <v>566050</v>
      </c>
    </row>
    <row r="89" spans="1:16" x14ac:dyDescent="0.3">
      <c r="A89" s="1">
        <v>46215</v>
      </c>
      <c r="B89" t="s">
        <v>168</v>
      </c>
      <c r="D89" s="11">
        <v>365</v>
      </c>
      <c r="E89" s="11">
        <v>960</v>
      </c>
      <c r="F89" s="11"/>
      <c r="G89" s="11">
        <f t="shared" si="4"/>
        <v>350400</v>
      </c>
      <c r="H89" s="11"/>
      <c r="I89" s="11">
        <f>(D89*E89)-Table3[[#This Row],[Paid]]</f>
        <v>350400</v>
      </c>
      <c r="L89" s="26">
        <v>46219</v>
      </c>
      <c r="M89" s="14">
        <v>399</v>
      </c>
      <c r="N89" s="14">
        <v>383040</v>
      </c>
      <c r="O89" s="14"/>
      <c r="P89" s="14">
        <v>383040</v>
      </c>
    </row>
    <row r="90" spans="1:16" x14ac:dyDescent="0.3">
      <c r="A90" s="1">
        <v>46217</v>
      </c>
      <c r="B90" t="s">
        <v>168</v>
      </c>
      <c r="D90" s="11">
        <v>289</v>
      </c>
      <c r="E90" s="11">
        <v>610</v>
      </c>
      <c r="F90" s="11"/>
      <c r="G90" s="11">
        <f t="shared" si="4"/>
        <v>176290</v>
      </c>
      <c r="H90" s="11"/>
      <c r="I90" s="11">
        <f>(D90*E90)-Table3[[#This Row],[Paid]]</f>
        <v>176290</v>
      </c>
      <c r="L90" s="42" t="s">
        <v>103</v>
      </c>
      <c r="M90" s="14">
        <v>399</v>
      </c>
      <c r="N90" s="14">
        <v>383040</v>
      </c>
      <c r="O90" s="14"/>
      <c r="P90" s="14">
        <v>383040</v>
      </c>
    </row>
    <row r="91" spans="1:16" x14ac:dyDescent="0.3">
      <c r="A91" s="1">
        <v>46217</v>
      </c>
      <c r="B91" t="s">
        <v>168</v>
      </c>
      <c r="D91" s="11">
        <v>406</v>
      </c>
      <c r="E91" s="11">
        <v>960</v>
      </c>
      <c r="F91" s="11"/>
      <c r="G91" s="11">
        <f t="shared" si="4"/>
        <v>389760</v>
      </c>
      <c r="H91" s="11"/>
      <c r="I91" s="11">
        <f>(D91*E91)-Table3[[#This Row],[Paid]]</f>
        <v>389760</v>
      </c>
      <c r="L91" s="26" t="s">
        <v>28</v>
      </c>
      <c r="M91" s="14">
        <v>17530</v>
      </c>
      <c r="N91" s="14">
        <v>16230110</v>
      </c>
      <c r="O91" s="14">
        <v>0</v>
      </c>
      <c r="P91" s="14">
        <v>20242184</v>
      </c>
    </row>
    <row r="92" spans="1:16" x14ac:dyDescent="0.3">
      <c r="A92" s="1">
        <v>46219</v>
      </c>
      <c r="B92" t="s">
        <v>168</v>
      </c>
      <c r="D92" s="11">
        <v>399</v>
      </c>
      <c r="E92" s="11">
        <v>960</v>
      </c>
      <c r="F92" s="11"/>
      <c r="G92" s="11">
        <f t="shared" si="4"/>
        <v>383040</v>
      </c>
      <c r="H92" s="11"/>
      <c r="I92" s="11">
        <f>(D92*E92)-Table3[[#This Row],[Paid]]</f>
        <v>383040</v>
      </c>
    </row>
    <row r="93" spans="1:16" x14ac:dyDescent="0.3">
      <c r="A93" s="1"/>
      <c r="D93" s="11"/>
      <c r="E93" s="11"/>
      <c r="F93" s="11"/>
      <c r="G93" s="11">
        <f t="shared" si="4"/>
        <v>0</v>
      </c>
      <c r="H93" s="11"/>
      <c r="I93" s="11">
        <f>(D93*E93)-Table3[[#This Row],[Paid]]</f>
        <v>0</v>
      </c>
    </row>
    <row r="94" spans="1:16" x14ac:dyDescent="0.3">
      <c r="A94" s="1"/>
      <c r="D94" s="11"/>
      <c r="E94" s="11"/>
      <c r="F94" s="11"/>
      <c r="G94" s="11">
        <f t="shared" si="4"/>
        <v>0</v>
      </c>
      <c r="H94" s="11"/>
      <c r="I94" s="11">
        <f>(D94*E94)-Table3[[#This Row],[Paid]]</f>
        <v>0</v>
      </c>
    </row>
    <row r="95" spans="1:16" x14ac:dyDescent="0.3">
      <c r="A95" s="1"/>
      <c r="D95" s="11"/>
      <c r="E95" s="11"/>
      <c r="F95" s="11"/>
      <c r="G95" s="11">
        <f t="shared" si="4"/>
        <v>0</v>
      </c>
      <c r="H95" s="11"/>
      <c r="I95" s="11">
        <f>(D95*E95)-Table3[[#This Row],[Paid]]</f>
        <v>0</v>
      </c>
    </row>
    <row r="96" spans="1:16" x14ac:dyDescent="0.3">
      <c r="A96" s="1"/>
      <c r="D96" s="11"/>
      <c r="E96" s="11"/>
      <c r="F96" s="11"/>
      <c r="G96" s="11">
        <f>D96*E96</f>
        <v>0</v>
      </c>
      <c r="H96" s="11"/>
      <c r="I96" s="11">
        <f>(D96*E96)-Table3[[#This Row],[Paid]]</f>
        <v>0</v>
      </c>
    </row>
    <row r="97" spans="1:9" x14ac:dyDescent="0.3">
      <c r="A97" s="1"/>
      <c r="D97" s="14"/>
      <c r="E97" s="14"/>
      <c r="F97" s="14"/>
      <c r="G97" s="14">
        <f>SUBTOTAL(109,Table3[Total])</f>
        <v>16230110</v>
      </c>
      <c r="H97" s="14">
        <f>SUBTOTAL(109,Table3[Paid])</f>
        <v>0</v>
      </c>
      <c r="I97" s="14">
        <f>SUBTOTAL(109,Table3[balance])</f>
        <v>20242184</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sheetPr>
    <pageSetUpPr fitToPage="1"/>
  </sheetPr>
  <dimension ref="A1:P1538"/>
  <sheetViews>
    <sheetView tabSelected="1" topLeftCell="A1518" zoomScale="110" zoomScaleNormal="70" workbookViewId="0">
      <selection activeCell="A1534" sqref="A1534"/>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3.21875" bestFit="1" customWidth="1"/>
    <col min="11" max="11" width="12.44140625" bestFit="1" customWidth="1"/>
    <col min="12" max="12" width="11.777343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5">
        <v>46111</v>
      </c>
      <c r="B2" s="80" t="s">
        <v>211</v>
      </c>
      <c r="C2" s="11"/>
      <c r="D2" s="86">
        <v>813211</v>
      </c>
      <c r="E2" s="80" t="s">
        <v>618</v>
      </c>
      <c r="F2" s="87" t="s">
        <v>108</v>
      </c>
    </row>
    <row r="3" spans="1:16" x14ac:dyDescent="0.3">
      <c r="A3" s="85">
        <v>46111</v>
      </c>
      <c r="B3" s="80" t="s">
        <v>210</v>
      </c>
      <c r="C3" s="11"/>
      <c r="D3" s="86">
        <f>[1]Cashbook!$N$5</f>
        <v>287050.22951719165</v>
      </c>
      <c r="E3" s="80"/>
      <c r="F3" s="87" t="s">
        <v>108</v>
      </c>
      <c r="J3" s="47" t="s">
        <v>45</v>
      </c>
      <c r="K3" s="35" t="s">
        <v>46</v>
      </c>
      <c r="M3" s="47" t="s">
        <v>45</v>
      </c>
      <c r="N3" s="50" t="s">
        <v>104</v>
      </c>
      <c r="O3" s="88" t="s">
        <v>105</v>
      </c>
      <c r="P3" t="s">
        <v>106</v>
      </c>
    </row>
    <row r="4" spans="1:16" x14ac:dyDescent="0.3">
      <c r="A4" s="85">
        <v>46111</v>
      </c>
      <c r="B4" s="80" t="s">
        <v>210</v>
      </c>
      <c r="C4" s="11"/>
      <c r="D4" s="86">
        <f>[1]Cashbook!$N$6</f>
        <v>-610916</v>
      </c>
      <c r="E4" s="80"/>
      <c r="F4" s="87" t="s">
        <v>109</v>
      </c>
      <c r="J4" s="45" t="s">
        <v>70</v>
      </c>
      <c r="K4" s="46">
        <f>Table14[[#Totals],[Debit]]</f>
        <v>52662471.68</v>
      </c>
      <c r="M4" s="45" t="s">
        <v>107</v>
      </c>
      <c r="N4" s="51">
        <f>SUMIFS(Table14[Withdrawal],Table14[Party],"Cash",Table14[Mode],"Transfer")</f>
        <v>0</v>
      </c>
    </row>
    <row r="5" spans="1:16" x14ac:dyDescent="0.3">
      <c r="A5" s="85">
        <v>46111</v>
      </c>
      <c r="B5" s="80" t="s">
        <v>219</v>
      </c>
      <c r="C5" s="95">
        <v>249208</v>
      </c>
      <c r="D5" s="11"/>
      <c r="E5" s="80" t="s">
        <v>618</v>
      </c>
      <c r="F5" s="87" t="s">
        <v>108</v>
      </c>
      <c r="J5" s="45" t="s">
        <v>69</v>
      </c>
      <c r="K5" s="46">
        <f>Table14[[#Totals],[Credit]]</f>
        <v>52693165.229517192</v>
      </c>
      <c r="M5" s="45" t="s">
        <v>108</v>
      </c>
      <c r="N5" s="46">
        <f>(SUMIFS(Table14[Credit],Table14[Mode],"Bank")-SUMIFS(Table14[Debit],Table14[Mode],"Bank")-SUMIFS(Table14[Withdrawal],Table14[Mode],"Transfer"))</f>
        <v>1804383.5495171919</v>
      </c>
      <c r="O5">
        <v>360000</v>
      </c>
    </row>
    <row r="6" spans="1:16" x14ac:dyDescent="0.3">
      <c r="A6" s="85">
        <v>46111</v>
      </c>
      <c r="B6" s="80" t="s">
        <v>220</v>
      </c>
      <c r="C6" s="11">
        <v>949282</v>
      </c>
      <c r="D6" s="86"/>
      <c r="E6" s="80" t="s">
        <v>618</v>
      </c>
      <c r="F6" s="87" t="s">
        <v>108</v>
      </c>
      <c r="J6" s="52" t="s">
        <v>43</v>
      </c>
      <c r="K6" s="53">
        <f>(K5-K4)</f>
        <v>30693.549517191947</v>
      </c>
      <c r="M6" s="45" t="s">
        <v>109</v>
      </c>
      <c r="N6" s="46">
        <f>((SUMIFS(Table14[Credit],Table14[Mode],"Cash")-SUMIFS(Table14[Debit],Table14[Mode],"Cash"))+SUMIFS(Table14[Withdrawal],Table14[Party],"Cash",Table14[Mode],"Transfer"))</f>
        <v>-610916</v>
      </c>
      <c r="O6">
        <v>50000</v>
      </c>
    </row>
    <row r="7" spans="1:16" x14ac:dyDescent="0.3">
      <c r="A7" s="111">
        <v>46111</v>
      </c>
      <c r="B7" s="80" t="s">
        <v>211</v>
      </c>
      <c r="C7" s="11"/>
      <c r="D7" s="86">
        <v>100000</v>
      </c>
      <c r="E7" s="80" t="s">
        <v>619</v>
      </c>
      <c r="F7" s="87" t="s">
        <v>108</v>
      </c>
      <c r="M7" s="48" t="s">
        <v>5</v>
      </c>
      <c r="N7" s="49">
        <f>SUM(N5:N6)</f>
        <v>1193467.5495171919</v>
      </c>
      <c r="O7" s="89">
        <f>SUM(O5,O6)</f>
        <v>410000</v>
      </c>
      <c r="P7" s="14">
        <f>Table18[[#Totals],[amount]]-Table18[[#Totals],[Actual]]</f>
        <v>783467.54951719195</v>
      </c>
    </row>
    <row r="8" spans="1:16" x14ac:dyDescent="0.3">
      <c r="A8" s="111">
        <v>46111</v>
      </c>
      <c r="B8" s="80" t="s">
        <v>211</v>
      </c>
      <c r="C8" s="11"/>
      <c r="D8" s="86">
        <v>100000</v>
      </c>
      <c r="E8" s="80" t="s">
        <v>620</v>
      </c>
      <c r="F8" s="87" t="s">
        <v>108</v>
      </c>
    </row>
    <row r="9" spans="1:16" x14ac:dyDescent="0.3">
      <c r="A9" s="111">
        <v>46111</v>
      </c>
      <c r="B9" s="80" t="s">
        <v>290</v>
      </c>
      <c r="C9" s="11">
        <v>100000</v>
      </c>
      <c r="D9" s="86"/>
      <c r="E9" s="80" t="s">
        <v>621</v>
      </c>
      <c r="F9" s="87" t="s">
        <v>108</v>
      </c>
    </row>
    <row r="10" spans="1:16" x14ac:dyDescent="0.3">
      <c r="A10" s="111">
        <v>46111</v>
      </c>
      <c r="B10" s="80" t="s">
        <v>290</v>
      </c>
      <c r="C10" s="11">
        <v>100000</v>
      </c>
      <c r="D10" s="86"/>
      <c r="E10" s="80" t="s">
        <v>622</v>
      </c>
      <c r="F10" s="87" t="s">
        <v>108</v>
      </c>
    </row>
    <row r="11" spans="1:16" x14ac:dyDescent="0.3">
      <c r="A11" s="111">
        <v>46142</v>
      </c>
      <c r="B11" s="80" t="s">
        <v>211</v>
      </c>
      <c r="C11" s="11"/>
      <c r="D11" s="86">
        <v>100000</v>
      </c>
      <c r="E11" s="80" t="s">
        <v>1113</v>
      </c>
      <c r="F11" s="87" t="s">
        <v>108</v>
      </c>
    </row>
    <row r="12" spans="1:16" x14ac:dyDescent="0.3">
      <c r="A12" s="111">
        <v>46172</v>
      </c>
      <c r="B12" s="80" t="s">
        <v>211</v>
      </c>
      <c r="C12" s="11"/>
      <c r="D12" s="86">
        <v>100000</v>
      </c>
      <c r="E12" s="80" t="s">
        <v>1114</v>
      </c>
      <c r="F12" s="87" t="s">
        <v>108</v>
      </c>
    </row>
    <row r="13" spans="1:16" x14ac:dyDescent="0.3">
      <c r="A13" s="111">
        <v>46203</v>
      </c>
      <c r="B13" s="80" t="s">
        <v>211</v>
      </c>
      <c r="C13" s="11"/>
      <c r="D13" s="86">
        <v>100000</v>
      </c>
      <c r="E13" s="80" t="s">
        <v>1115</v>
      </c>
      <c r="F13" s="87" t="s">
        <v>108</v>
      </c>
    </row>
    <row r="14" spans="1:16" x14ac:dyDescent="0.3">
      <c r="A14" s="111">
        <v>46233</v>
      </c>
      <c r="B14" s="80" t="s">
        <v>211</v>
      </c>
      <c r="C14" s="11"/>
      <c r="D14" s="86">
        <v>100000</v>
      </c>
      <c r="E14" s="80" t="s">
        <v>1116</v>
      </c>
      <c r="F14" s="87" t="s">
        <v>108</v>
      </c>
    </row>
    <row r="15" spans="1:16" x14ac:dyDescent="0.3">
      <c r="A15" s="111">
        <v>46142</v>
      </c>
      <c r="B15" s="80" t="s">
        <v>290</v>
      </c>
      <c r="C15" s="11">
        <v>100000</v>
      </c>
      <c r="D15" s="86"/>
      <c r="E15" s="80" t="s">
        <v>1117</v>
      </c>
      <c r="F15" s="87" t="s">
        <v>108</v>
      </c>
    </row>
    <row r="16" spans="1:16" x14ac:dyDescent="0.3">
      <c r="A16" s="111">
        <v>46172</v>
      </c>
      <c r="B16" s="80" t="s">
        <v>290</v>
      </c>
      <c r="C16" s="11">
        <v>100000</v>
      </c>
      <c r="D16" s="86"/>
      <c r="E16" s="80" t="s">
        <v>1118</v>
      </c>
      <c r="F16" s="87" t="s">
        <v>108</v>
      </c>
    </row>
    <row r="17" spans="1:6" x14ac:dyDescent="0.3">
      <c r="A17" s="111">
        <v>46203</v>
      </c>
      <c r="B17" s="80" t="s">
        <v>290</v>
      </c>
      <c r="C17" s="11">
        <v>100000</v>
      </c>
      <c r="D17" s="86"/>
      <c r="E17" s="80" t="s">
        <v>1119</v>
      </c>
      <c r="F17" s="87" t="s">
        <v>108</v>
      </c>
    </row>
    <row r="18" spans="1:6" x14ac:dyDescent="0.3">
      <c r="A18" s="111">
        <v>46233</v>
      </c>
      <c r="B18" s="80" t="s">
        <v>290</v>
      </c>
      <c r="C18" s="11">
        <v>100000</v>
      </c>
      <c r="D18" s="86"/>
      <c r="E18" s="80" t="s">
        <v>1120</v>
      </c>
      <c r="F18" s="87" t="s">
        <v>108</v>
      </c>
    </row>
    <row r="19" spans="1:6" x14ac:dyDescent="0.3">
      <c r="A19" s="111">
        <v>46113</v>
      </c>
      <c r="B19" t="s">
        <v>223</v>
      </c>
      <c r="C19" s="11"/>
      <c r="D19" s="11">
        <v>100000</v>
      </c>
      <c r="E19" t="s">
        <v>292</v>
      </c>
      <c r="F19" s="108" t="s">
        <v>108</v>
      </c>
    </row>
    <row r="20" spans="1:6" x14ac:dyDescent="0.3">
      <c r="A20" s="111">
        <v>46113</v>
      </c>
      <c r="B20" t="s">
        <v>55</v>
      </c>
      <c r="C20" s="95">
        <v>30000</v>
      </c>
      <c r="D20" s="95"/>
      <c r="E20" t="s">
        <v>293</v>
      </c>
      <c r="F20" s="108" t="s">
        <v>108</v>
      </c>
    </row>
    <row r="21" spans="1:6" x14ac:dyDescent="0.3">
      <c r="A21" s="111">
        <v>46113</v>
      </c>
      <c r="B21" t="s">
        <v>269</v>
      </c>
      <c r="C21" s="95">
        <v>40000</v>
      </c>
      <c r="D21" s="95"/>
      <c r="E21" t="s">
        <v>252</v>
      </c>
      <c r="F21" s="108" t="s">
        <v>108</v>
      </c>
    </row>
    <row r="22" spans="1:6" x14ac:dyDescent="0.3">
      <c r="A22" s="111">
        <v>46113</v>
      </c>
      <c r="B22" t="s">
        <v>244</v>
      </c>
      <c r="C22" s="95">
        <v>2000</v>
      </c>
      <c r="D22" s="95"/>
      <c r="E22" t="s">
        <v>294</v>
      </c>
      <c r="F22" s="108" t="s">
        <v>108</v>
      </c>
    </row>
    <row r="23" spans="1:6" x14ac:dyDescent="0.3">
      <c r="A23" s="111">
        <v>46113</v>
      </c>
      <c r="B23" t="s">
        <v>55</v>
      </c>
      <c r="C23" s="95">
        <v>2625</v>
      </c>
      <c r="D23" s="95"/>
      <c r="F23" s="108" t="s">
        <v>108</v>
      </c>
    </row>
    <row r="24" spans="1:6" x14ac:dyDescent="0.3">
      <c r="A24" s="111">
        <v>46113</v>
      </c>
      <c r="B24" t="s">
        <v>94</v>
      </c>
      <c r="C24" s="95">
        <v>150000</v>
      </c>
      <c r="D24" s="11"/>
      <c r="E24" t="s">
        <v>295</v>
      </c>
      <c r="F24" s="108" t="s">
        <v>108</v>
      </c>
    </row>
    <row r="25" spans="1:6" x14ac:dyDescent="0.3">
      <c r="A25" s="38">
        <v>46113</v>
      </c>
      <c r="B25" t="s">
        <v>211</v>
      </c>
      <c r="C25" s="95">
        <v>250000</v>
      </c>
      <c r="D25" s="95"/>
      <c r="E25" t="s">
        <v>296</v>
      </c>
      <c r="F25" s="108" t="s">
        <v>108</v>
      </c>
    </row>
    <row r="26" spans="1:6" x14ac:dyDescent="0.3">
      <c r="A26" s="38">
        <v>46113</v>
      </c>
      <c r="B26" t="s">
        <v>211</v>
      </c>
      <c r="C26" s="95"/>
      <c r="D26" s="95">
        <v>5000</v>
      </c>
      <c r="E26" t="s">
        <v>297</v>
      </c>
      <c r="F26" s="108" t="s">
        <v>108</v>
      </c>
    </row>
    <row r="27" spans="1:6" x14ac:dyDescent="0.3">
      <c r="A27" s="38">
        <v>46113</v>
      </c>
      <c r="B27" t="s">
        <v>298</v>
      </c>
      <c r="C27" s="95">
        <v>5000</v>
      </c>
      <c r="D27" s="95"/>
      <c r="F27" s="108" t="s">
        <v>108</v>
      </c>
    </row>
    <row r="28" spans="1:6" x14ac:dyDescent="0.3">
      <c r="A28" s="38">
        <v>46113</v>
      </c>
      <c r="B28" t="s">
        <v>246</v>
      </c>
      <c r="C28" s="95"/>
      <c r="D28" s="95"/>
      <c r="F28" s="108" t="s">
        <v>108</v>
      </c>
    </row>
    <row r="29" spans="1:6" x14ac:dyDescent="0.3">
      <c r="A29" s="38">
        <v>46113</v>
      </c>
      <c r="B29" t="s">
        <v>253</v>
      </c>
      <c r="C29" s="95"/>
      <c r="D29" s="95"/>
      <c r="E29" t="s">
        <v>299</v>
      </c>
      <c r="F29" s="108" t="s">
        <v>108</v>
      </c>
    </row>
    <row r="30" spans="1:6" x14ac:dyDescent="0.3">
      <c r="A30" s="38">
        <v>46113</v>
      </c>
      <c r="B30" t="s">
        <v>55</v>
      </c>
      <c r="C30" s="95">
        <v>3400</v>
      </c>
      <c r="D30" s="95"/>
      <c r="E30" t="s">
        <v>300</v>
      </c>
      <c r="F30" s="108" t="s">
        <v>108</v>
      </c>
    </row>
    <row r="31" spans="1:6" x14ac:dyDescent="0.3">
      <c r="A31" s="38">
        <v>46114</v>
      </c>
      <c r="B31" t="s">
        <v>211</v>
      </c>
      <c r="C31" s="95">
        <v>100000</v>
      </c>
      <c r="D31" s="95"/>
      <c r="E31" t="s">
        <v>301</v>
      </c>
      <c r="F31" s="108" t="s">
        <v>108</v>
      </c>
    </row>
    <row r="32" spans="1:6" x14ac:dyDescent="0.3">
      <c r="A32" s="38">
        <v>46114</v>
      </c>
      <c r="B32" t="s">
        <v>246</v>
      </c>
      <c r="C32" s="95"/>
      <c r="D32" s="95"/>
      <c r="E32" t="s">
        <v>282</v>
      </c>
      <c r="F32" s="108" t="s">
        <v>108</v>
      </c>
    </row>
    <row r="33" spans="1:6" x14ac:dyDescent="0.3">
      <c r="A33" s="38">
        <v>46114</v>
      </c>
      <c r="B33" t="s">
        <v>223</v>
      </c>
      <c r="C33" s="95"/>
      <c r="D33" s="95">
        <v>60635</v>
      </c>
      <c r="E33" t="s">
        <v>302</v>
      </c>
      <c r="F33" s="108" t="s">
        <v>108</v>
      </c>
    </row>
    <row r="34" spans="1:6" x14ac:dyDescent="0.3">
      <c r="A34" s="38">
        <v>46114</v>
      </c>
      <c r="B34" t="s">
        <v>253</v>
      </c>
      <c r="C34" s="95"/>
      <c r="D34" s="95"/>
      <c r="E34" t="s">
        <v>261</v>
      </c>
      <c r="F34" s="108" t="s">
        <v>108</v>
      </c>
    </row>
    <row r="35" spans="1:6" x14ac:dyDescent="0.3">
      <c r="A35" s="38">
        <v>46114</v>
      </c>
      <c r="B35" t="s">
        <v>9</v>
      </c>
      <c r="C35" s="95"/>
      <c r="D35" s="95">
        <v>100000</v>
      </c>
      <c r="E35" t="s">
        <v>303</v>
      </c>
      <c r="F35" s="108" t="s">
        <v>108</v>
      </c>
    </row>
    <row r="36" spans="1:6" x14ac:dyDescent="0.3">
      <c r="A36" s="38">
        <v>46114</v>
      </c>
      <c r="B36" t="s">
        <v>168</v>
      </c>
      <c r="C36" s="95">
        <v>150100</v>
      </c>
      <c r="D36" s="95"/>
      <c r="E36" t="s">
        <v>304</v>
      </c>
      <c r="F36" s="108" t="s">
        <v>108</v>
      </c>
    </row>
    <row r="37" spans="1:6" x14ac:dyDescent="0.3">
      <c r="A37" s="38">
        <v>46114</v>
      </c>
      <c r="B37" t="s">
        <v>54</v>
      </c>
      <c r="C37" s="95">
        <v>12038</v>
      </c>
      <c r="D37" s="95"/>
      <c r="F37" s="108" t="s">
        <v>108</v>
      </c>
    </row>
    <row r="38" spans="1:6" x14ac:dyDescent="0.3">
      <c r="A38" s="38">
        <v>46114</v>
      </c>
      <c r="B38" t="s">
        <v>211</v>
      </c>
      <c r="C38" s="95">
        <f>620+1470+1470+481+2711+760</f>
        <v>7512</v>
      </c>
      <c r="D38" s="95"/>
      <c r="F38" s="108" t="s">
        <v>108</v>
      </c>
    </row>
    <row r="39" spans="1:6" x14ac:dyDescent="0.3">
      <c r="A39" s="38">
        <v>46114</v>
      </c>
      <c r="B39" t="s">
        <v>220</v>
      </c>
      <c r="C39" s="95">
        <f>9714-5500</f>
        <v>4214</v>
      </c>
      <c r="D39" s="95"/>
      <c r="E39" t="s">
        <v>305</v>
      </c>
      <c r="F39" s="108" t="s">
        <v>108</v>
      </c>
    </row>
    <row r="40" spans="1:6" x14ac:dyDescent="0.3">
      <c r="A40" s="111">
        <v>46115</v>
      </c>
      <c r="B40" t="s">
        <v>220</v>
      </c>
      <c r="C40" s="11">
        <v>5615</v>
      </c>
      <c r="D40" s="11"/>
      <c r="E40" t="s">
        <v>306</v>
      </c>
      <c r="F40" s="108" t="s">
        <v>108</v>
      </c>
    </row>
    <row r="41" spans="1:6" x14ac:dyDescent="0.3">
      <c r="A41" s="38">
        <v>46115</v>
      </c>
      <c r="B41" t="s">
        <v>219</v>
      </c>
      <c r="C41" s="11"/>
      <c r="D41" s="11">
        <f>71000+50000</f>
        <v>121000</v>
      </c>
      <c r="E41" t="s">
        <v>285</v>
      </c>
      <c r="F41" s="108" t="s">
        <v>108</v>
      </c>
    </row>
    <row r="42" spans="1:6" x14ac:dyDescent="0.3">
      <c r="A42" s="38">
        <v>46115</v>
      </c>
      <c r="B42" t="s">
        <v>257</v>
      </c>
      <c r="C42" s="95">
        <v>60214</v>
      </c>
      <c r="D42" s="95"/>
      <c r="E42" t="s">
        <v>307</v>
      </c>
      <c r="F42" s="108" t="s">
        <v>108</v>
      </c>
    </row>
    <row r="43" spans="1:6" x14ac:dyDescent="0.3">
      <c r="A43" s="38">
        <v>46116</v>
      </c>
      <c r="B43" t="s">
        <v>115</v>
      </c>
      <c r="C43" s="95">
        <v>100000</v>
      </c>
      <c r="D43" s="95"/>
      <c r="F43" s="108" t="s">
        <v>108</v>
      </c>
    </row>
    <row r="44" spans="1:6" x14ac:dyDescent="0.3">
      <c r="A44" s="38">
        <v>46116</v>
      </c>
      <c r="B44" t="s">
        <v>219</v>
      </c>
      <c r="C44" s="11"/>
      <c r="D44" s="11">
        <v>100000</v>
      </c>
      <c r="E44" t="s">
        <v>308</v>
      </c>
      <c r="F44" s="108" t="s">
        <v>108</v>
      </c>
    </row>
    <row r="45" spans="1:6" x14ac:dyDescent="0.3">
      <c r="A45" s="38">
        <v>46116</v>
      </c>
      <c r="B45" t="s">
        <v>220</v>
      </c>
      <c r="C45" s="11">
        <v>8000</v>
      </c>
      <c r="D45" s="11"/>
      <c r="E45" t="s">
        <v>309</v>
      </c>
      <c r="F45" s="108" t="s">
        <v>108</v>
      </c>
    </row>
    <row r="46" spans="1:6" x14ac:dyDescent="0.3">
      <c r="A46" s="111">
        <v>46116</v>
      </c>
      <c r="B46" t="s">
        <v>244</v>
      </c>
      <c r="C46" s="11">
        <v>5000</v>
      </c>
      <c r="D46" s="11"/>
      <c r="E46" t="s">
        <v>310</v>
      </c>
      <c r="F46" s="108" t="s">
        <v>108</v>
      </c>
    </row>
    <row r="47" spans="1:6" x14ac:dyDescent="0.3">
      <c r="A47" s="111">
        <v>46116</v>
      </c>
      <c r="B47" t="s">
        <v>253</v>
      </c>
      <c r="C47" s="11"/>
      <c r="D47" s="11"/>
      <c r="E47" t="s">
        <v>299</v>
      </c>
      <c r="F47" s="108" t="s">
        <v>108</v>
      </c>
    </row>
    <row r="48" spans="1:6" x14ac:dyDescent="0.3">
      <c r="A48" s="38">
        <v>46116</v>
      </c>
      <c r="B48" t="s">
        <v>244</v>
      </c>
      <c r="C48" s="11">
        <v>15000</v>
      </c>
      <c r="D48" s="11"/>
      <c r="E48" t="s">
        <v>346</v>
      </c>
      <c r="F48" s="108" t="s">
        <v>108</v>
      </c>
    </row>
    <row r="49" spans="1:6" x14ac:dyDescent="0.3">
      <c r="A49" s="38">
        <v>46116</v>
      </c>
      <c r="B49" t="s">
        <v>298</v>
      </c>
      <c r="C49" s="11">
        <v>6000</v>
      </c>
      <c r="D49" s="11"/>
      <c r="E49" t="s">
        <v>347</v>
      </c>
      <c r="F49" s="108" t="s">
        <v>108</v>
      </c>
    </row>
    <row r="50" spans="1:6" x14ac:dyDescent="0.3">
      <c r="A50" s="111">
        <v>46116</v>
      </c>
      <c r="B50" t="s">
        <v>54</v>
      </c>
      <c r="C50" s="11">
        <v>400</v>
      </c>
      <c r="D50" s="11"/>
      <c r="F50" s="108" t="s">
        <v>108</v>
      </c>
    </row>
    <row r="51" spans="1:6" x14ac:dyDescent="0.3">
      <c r="A51" s="111">
        <v>46116</v>
      </c>
      <c r="B51" t="s">
        <v>246</v>
      </c>
      <c r="C51" s="11">
        <v>17200</v>
      </c>
      <c r="D51" s="11"/>
      <c r="E51" t="s">
        <v>348</v>
      </c>
      <c r="F51" s="108" t="s">
        <v>108</v>
      </c>
    </row>
    <row r="52" spans="1:6" x14ac:dyDescent="0.3">
      <c r="A52" s="111">
        <v>46116</v>
      </c>
      <c r="B52" t="s">
        <v>244</v>
      </c>
      <c r="C52" s="95">
        <f>780+700</f>
        <v>1480</v>
      </c>
      <c r="D52" s="95"/>
      <c r="E52" t="s">
        <v>349</v>
      </c>
      <c r="F52" s="108" t="s">
        <v>108</v>
      </c>
    </row>
    <row r="53" spans="1:6" x14ac:dyDescent="0.3">
      <c r="A53" s="111">
        <v>46116</v>
      </c>
      <c r="B53" t="s">
        <v>244</v>
      </c>
      <c r="C53" s="95">
        <f>1500+10600</f>
        <v>12100</v>
      </c>
      <c r="D53" s="95"/>
      <c r="E53" t="s">
        <v>350</v>
      </c>
      <c r="F53" s="108" t="s">
        <v>108</v>
      </c>
    </row>
    <row r="54" spans="1:6" x14ac:dyDescent="0.3">
      <c r="A54" s="111">
        <v>46118</v>
      </c>
      <c r="B54" s="117" t="s">
        <v>54</v>
      </c>
      <c r="C54" s="11">
        <v>4400</v>
      </c>
      <c r="D54" s="11"/>
      <c r="E54" t="s">
        <v>287</v>
      </c>
      <c r="F54" s="108" t="s">
        <v>108</v>
      </c>
    </row>
    <row r="55" spans="1:6" x14ac:dyDescent="0.3">
      <c r="A55" s="111">
        <v>46118</v>
      </c>
      <c r="B55" t="s">
        <v>243</v>
      </c>
      <c r="C55" s="11"/>
      <c r="D55" s="11">
        <v>100000</v>
      </c>
      <c r="E55" t="s">
        <v>311</v>
      </c>
      <c r="F55" s="108" t="s">
        <v>108</v>
      </c>
    </row>
    <row r="56" spans="1:6" x14ac:dyDescent="0.3">
      <c r="A56" s="111">
        <v>46118</v>
      </c>
      <c r="B56" t="s">
        <v>246</v>
      </c>
      <c r="C56" s="11">
        <v>11340</v>
      </c>
      <c r="D56" s="11"/>
      <c r="E56" t="s">
        <v>312</v>
      </c>
      <c r="F56" s="108" t="s">
        <v>108</v>
      </c>
    </row>
    <row r="57" spans="1:6" x14ac:dyDescent="0.3">
      <c r="A57" s="111">
        <v>46118</v>
      </c>
      <c r="B57" t="s">
        <v>168</v>
      </c>
      <c r="C57" s="11">
        <v>100000</v>
      </c>
      <c r="D57" s="11"/>
      <c r="E57" t="s">
        <v>314</v>
      </c>
      <c r="F57" s="108" t="s">
        <v>108</v>
      </c>
    </row>
    <row r="58" spans="1:6" x14ac:dyDescent="0.3">
      <c r="A58" s="111">
        <v>46118</v>
      </c>
      <c r="B58" t="s">
        <v>253</v>
      </c>
      <c r="C58" s="11"/>
      <c r="D58" s="11"/>
      <c r="E58" t="s">
        <v>286</v>
      </c>
      <c r="F58" s="108" t="s">
        <v>108</v>
      </c>
    </row>
    <row r="59" spans="1:6" x14ac:dyDescent="0.3">
      <c r="A59" s="111">
        <v>46118</v>
      </c>
      <c r="B59" t="s">
        <v>211</v>
      </c>
      <c r="C59" s="11"/>
      <c r="D59" s="11">
        <v>20000</v>
      </c>
      <c r="E59" t="s">
        <v>345</v>
      </c>
      <c r="F59" s="108" t="s">
        <v>108</v>
      </c>
    </row>
    <row r="60" spans="1:6" x14ac:dyDescent="0.3">
      <c r="A60" s="111">
        <v>46118</v>
      </c>
      <c r="B60" t="s">
        <v>211</v>
      </c>
      <c r="C60" s="95"/>
      <c r="D60" s="95">
        <v>2000</v>
      </c>
      <c r="E60" t="s">
        <v>252</v>
      </c>
      <c r="F60" s="108" t="s">
        <v>108</v>
      </c>
    </row>
    <row r="61" spans="1:6" x14ac:dyDescent="0.3">
      <c r="A61" s="111">
        <v>46118</v>
      </c>
      <c r="B61" t="s">
        <v>269</v>
      </c>
      <c r="C61" s="95">
        <v>2000</v>
      </c>
      <c r="D61" s="95"/>
      <c r="E61" t="s">
        <v>252</v>
      </c>
      <c r="F61" s="108" t="s">
        <v>108</v>
      </c>
    </row>
    <row r="62" spans="1:6" x14ac:dyDescent="0.3">
      <c r="A62" s="111">
        <v>46119</v>
      </c>
      <c r="B62" t="s">
        <v>211</v>
      </c>
      <c r="C62" s="11"/>
      <c r="D62" s="11">
        <v>12000</v>
      </c>
      <c r="E62" t="s">
        <v>313</v>
      </c>
      <c r="F62" s="108" t="s">
        <v>108</v>
      </c>
    </row>
    <row r="63" spans="1:6" x14ac:dyDescent="0.3">
      <c r="A63" s="38">
        <v>46119</v>
      </c>
      <c r="B63" t="s">
        <v>315</v>
      </c>
      <c r="C63" s="11">
        <v>312000</v>
      </c>
      <c r="D63" s="11"/>
      <c r="E63" t="s">
        <v>316</v>
      </c>
      <c r="F63" s="108" t="s">
        <v>108</v>
      </c>
    </row>
    <row r="64" spans="1:6" x14ac:dyDescent="0.3">
      <c r="A64" s="38">
        <v>46119</v>
      </c>
      <c r="B64" t="s">
        <v>211</v>
      </c>
      <c r="C64" s="11"/>
      <c r="D64" s="11">
        <v>12000</v>
      </c>
      <c r="E64" t="s">
        <v>343</v>
      </c>
      <c r="F64" s="108" t="s">
        <v>108</v>
      </c>
    </row>
    <row r="65" spans="1:6" x14ac:dyDescent="0.3">
      <c r="A65" s="38">
        <v>46119</v>
      </c>
      <c r="B65" t="s">
        <v>219</v>
      </c>
      <c r="C65" s="11"/>
      <c r="D65" s="11">
        <v>300000</v>
      </c>
      <c r="E65" t="s">
        <v>317</v>
      </c>
      <c r="F65" s="108" t="s">
        <v>108</v>
      </c>
    </row>
    <row r="66" spans="1:6" x14ac:dyDescent="0.3">
      <c r="A66" s="38">
        <v>46119</v>
      </c>
      <c r="B66" t="s">
        <v>219</v>
      </c>
      <c r="C66" s="95"/>
      <c r="D66" s="95">
        <v>20000</v>
      </c>
      <c r="E66" t="s">
        <v>318</v>
      </c>
      <c r="F66" s="108" t="s">
        <v>108</v>
      </c>
    </row>
    <row r="67" spans="1:6" x14ac:dyDescent="0.3">
      <c r="A67" s="38">
        <v>46119</v>
      </c>
      <c r="B67" t="s">
        <v>253</v>
      </c>
      <c r="C67" s="95"/>
      <c r="D67" s="95"/>
      <c r="E67" t="s">
        <v>288</v>
      </c>
      <c r="F67" s="108" t="s">
        <v>108</v>
      </c>
    </row>
    <row r="68" spans="1:6" x14ac:dyDescent="0.3">
      <c r="A68" s="38">
        <v>46119</v>
      </c>
      <c r="B68" t="s">
        <v>253</v>
      </c>
      <c r="C68" s="95"/>
      <c r="D68" s="95"/>
      <c r="E68" t="s">
        <v>278</v>
      </c>
      <c r="F68" s="108" t="s">
        <v>108</v>
      </c>
    </row>
    <row r="69" spans="1:6" x14ac:dyDescent="0.3">
      <c r="A69" s="38">
        <v>46120</v>
      </c>
      <c r="B69" t="s">
        <v>219</v>
      </c>
      <c r="C69" s="95"/>
      <c r="D69" s="95">
        <v>150000</v>
      </c>
      <c r="E69" t="s">
        <v>319</v>
      </c>
      <c r="F69" s="108" t="s">
        <v>108</v>
      </c>
    </row>
    <row r="70" spans="1:6" x14ac:dyDescent="0.3">
      <c r="A70" s="38">
        <v>46120</v>
      </c>
      <c r="B70" t="s">
        <v>221</v>
      </c>
      <c r="C70" s="95">
        <v>150000</v>
      </c>
      <c r="D70" s="95"/>
      <c r="E70" t="s">
        <v>319</v>
      </c>
      <c r="F70" s="108" t="s">
        <v>108</v>
      </c>
    </row>
    <row r="71" spans="1:6" x14ac:dyDescent="0.3">
      <c r="A71" s="38">
        <v>46120</v>
      </c>
      <c r="B71" t="s">
        <v>219</v>
      </c>
      <c r="C71" s="95"/>
      <c r="D71" s="95">
        <v>30000</v>
      </c>
      <c r="E71" t="s">
        <v>320</v>
      </c>
      <c r="F71" s="108" t="s">
        <v>108</v>
      </c>
    </row>
    <row r="72" spans="1:6" x14ac:dyDescent="0.3">
      <c r="A72" s="38">
        <v>46120</v>
      </c>
      <c r="B72" t="s">
        <v>55</v>
      </c>
      <c r="C72" s="95">
        <v>1600</v>
      </c>
      <c r="D72" s="95"/>
      <c r="F72" s="108" t="s">
        <v>108</v>
      </c>
    </row>
    <row r="73" spans="1:6" x14ac:dyDescent="0.3">
      <c r="A73" s="38">
        <v>46120</v>
      </c>
      <c r="B73" t="s">
        <v>54</v>
      </c>
      <c r="C73" s="95">
        <v>5305</v>
      </c>
      <c r="D73" s="95"/>
      <c r="E73" t="s">
        <v>321</v>
      </c>
      <c r="F73" s="108" t="s">
        <v>108</v>
      </c>
    </row>
    <row r="74" spans="1:6" x14ac:dyDescent="0.3">
      <c r="A74" s="38">
        <v>46120</v>
      </c>
      <c r="B74" t="s">
        <v>55</v>
      </c>
      <c r="C74" s="95">
        <v>15673</v>
      </c>
      <c r="D74" s="95"/>
      <c r="E74" t="s">
        <v>322</v>
      </c>
      <c r="F74" s="108" t="s">
        <v>108</v>
      </c>
    </row>
    <row r="75" spans="1:6" x14ac:dyDescent="0.3">
      <c r="A75" s="38">
        <v>46120</v>
      </c>
      <c r="B75" t="s">
        <v>55</v>
      </c>
      <c r="C75" s="95">
        <v>400</v>
      </c>
      <c r="D75" s="95"/>
      <c r="F75" s="108" t="s">
        <v>108</v>
      </c>
    </row>
    <row r="76" spans="1:6" x14ac:dyDescent="0.3">
      <c r="A76" s="38">
        <v>46120</v>
      </c>
      <c r="B76" t="s">
        <v>219</v>
      </c>
      <c r="C76" s="95"/>
      <c r="D76" s="95">
        <v>74380</v>
      </c>
      <c r="E76" t="s">
        <v>175</v>
      </c>
      <c r="F76" s="108" t="s">
        <v>108</v>
      </c>
    </row>
    <row r="77" spans="1:6" x14ac:dyDescent="0.3">
      <c r="A77" s="38">
        <v>46120</v>
      </c>
      <c r="B77" t="s">
        <v>175</v>
      </c>
      <c r="C77" s="11">
        <v>74380</v>
      </c>
      <c r="D77" s="11"/>
      <c r="E77" t="s">
        <v>256</v>
      </c>
      <c r="F77" s="108" t="s">
        <v>108</v>
      </c>
    </row>
    <row r="78" spans="1:6" x14ac:dyDescent="0.3">
      <c r="A78" s="38">
        <v>46120</v>
      </c>
      <c r="B78" t="s">
        <v>54</v>
      </c>
      <c r="C78" s="11">
        <v>2800</v>
      </c>
      <c r="D78" s="11"/>
      <c r="E78" t="s">
        <v>323</v>
      </c>
      <c r="F78" s="108" t="s">
        <v>108</v>
      </c>
    </row>
    <row r="79" spans="1:6" x14ac:dyDescent="0.3">
      <c r="A79" s="38">
        <v>46120</v>
      </c>
      <c r="B79" t="s">
        <v>55</v>
      </c>
      <c r="C79" s="11">
        <v>6800</v>
      </c>
      <c r="D79" s="11"/>
      <c r="E79" t="s">
        <v>325</v>
      </c>
      <c r="F79" s="108" t="s">
        <v>108</v>
      </c>
    </row>
    <row r="80" spans="1:6" x14ac:dyDescent="0.3">
      <c r="A80" s="38">
        <v>46120</v>
      </c>
      <c r="B80" t="s">
        <v>246</v>
      </c>
      <c r="C80" s="11">
        <v>15000</v>
      </c>
      <c r="D80" s="11"/>
      <c r="E80" t="s">
        <v>326</v>
      </c>
      <c r="F80" s="108" t="s">
        <v>108</v>
      </c>
    </row>
    <row r="81" spans="1:6" x14ac:dyDescent="0.3">
      <c r="A81" s="38">
        <v>46120</v>
      </c>
      <c r="B81" t="s">
        <v>221</v>
      </c>
      <c r="C81" s="11">
        <v>50000</v>
      </c>
      <c r="D81" s="11"/>
      <c r="E81" t="s">
        <v>328</v>
      </c>
      <c r="F81" s="108" t="s">
        <v>108</v>
      </c>
    </row>
    <row r="82" spans="1:6" x14ac:dyDescent="0.3">
      <c r="A82" s="38">
        <v>46120</v>
      </c>
      <c r="B82" t="s">
        <v>219</v>
      </c>
      <c r="C82" s="11"/>
      <c r="D82" s="11">
        <v>50000</v>
      </c>
      <c r="E82" t="s">
        <v>328</v>
      </c>
      <c r="F82" s="108" t="s">
        <v>108</v>
      </c>
    </row>
    <row r="83" spans="1:6" x14ac:dyDescent="0.3">
      <c r="A83" s="38">
        <v>46121</v>
      </c>
      <c r="B83" t="s">
        <v>55</v>
      </c>
      <c r="C83" s="11">
        <v>1300</v>
      </c>
      <c r="D83" s="11"/>
      <c r="F83" s="108" t="s">
        <v>108</v>
      </c>
    </row>
    <row r="84" spans="1:6" x14ac:dyDescent="0.3">
      <c r="A84" s="38">
        <v>46121</v>
      </c>
      <c r="B84" t="s">
        <v>251</v>
      </c>
      <c r="C84" s="11">
        <v>34336</v>
      </c>
      <c r="D84" s="11"/>
      <c r="E84" t="s">
        <v>324</v>
      </c>
      <c r="F84" s="108" t="s">
        <v>108</v>
      </c>
    </row>
    <row r="85" spans="1:6" x14ac:dyDescent="0.3">
      <c r="A85" s="111">
        <v>46121</v>
      </c>
      <c r="B85" t="s">
        <v>244</v>
      </c>
      <c r="C85" s="11">
        <v>3500</v>
      </c>
      <c r="D85" s="11"/>
      <c r="F85" s="108" t="s">
        <v>108</v>
      </c>
    </row>
    <row r="86" spans="1:6" x14ac:dyDescent="0.3">
      <c r="A86" s="111">
        <v>46121</v>
      </c>
      <c r="B86" t="s">
        <v>211</v>
      </c>
      <c r="C86" s="11"/>
      <c r="D86" s="11">
        <v>34336</v>
      </c>
      <c r="E86" t="s">
        <v>251</v>
      </c>
      <c r="F86" s="108" t="s">
        <v>108</v>
      </c>
    </row>
    <row r="87" spans="1:6" x14ac:dyDescent="0.3">
      <c r="A87" s="111">
        <v>46121</v>
      </c>
      <c r="B87" t="s">
        <v>175</v>
      </c>
      <c r="C87" s="11">
        <v>27000</v>
      </c>
      <c r="D87" s="11"/>
      <c r="E87" t="s">
        <v>327</v>
      </c>
      <c r="F87" s="108" t="s">
        <v>108</v>
      </c>
    </row>
    <row r="88" spans="1:6" x14ac:dyDescent="0.3">
      <c r="A88" s="111">
        <v>46121</v>
      </c>
      <c r="B88" t="s">
        <v>219</v>
      </c>
      <c r="C88" s="11"/>
      <c r="D88" s="11">
        <v>27000</v>
      </c>
      <c r="E88" t="s">
        <v>175</v>
      </c>
      <c r="F88" s="108" t="s">
        <v>108</v>
      </c>
    </row>
    <row r="89" spans="1:6" x14ac:dyDescent="0.3">
      <c r="A89" s="111">
        <v>46121</v>
      </c>
      <c r="B89" t="s">
        <v>219</v>
      </c>
      <c r="C89" s="11"/>
      <c r="D89" s="11">
        <v>1000000</v>
      </c>
      <c r="E89" t="s">
        <v>271</v>
      </c>
      <c r="F89" s="108" t="s">
        <v>108</v>
      </c>
    </row>
    <row r="90" spans="1:6" x14ac:dyDescent="0.3">
      <c r="A90" s="111">
        <v>46121</v>
      </c>
      <c r="B90" t="s">
        <v>219</v>
      </c>
      <c r="C90" s="11"/>
      <c r="D90" s="11">
        <v>45000</v>
      </c>
      <c r="E90" t="s">
        <v>271</v>
      </c>
      <c r="F90" s="108" t="s">
        <v>108</v>
      </c>
    </row>
    <row r="91" spans="1:6" x14ac:dyDescent="0.3">
      <c r="A91" s="111">
        <v>46121</v>
      </c>
      <c r="B91" t="s">
        <v>253</v>
      </c>
      <c r="C91" s="11"/>
      <c r="D91" s="11"/>
      <c r="E91" t="s">
        <v>353</v>
      </c>
      <c r="F91" s="108" t="s">
        <v>108</v>
      </c>
    </row>
    <row r="92" spans="1:6" x14ac:dyDescent="0.3">
      <c r="A92" s="111">
        <v>46121</v>
      </c>
      <c r="B92" t="s">
        <v>253</v>
      </c>
      <c r="C92" s="11"/>
      <c r="D92" s="11"/>
      <c r="E92" t="s">
        <v>262</v>
      </c>
      <c r="F92" s="108" t="s">
        <v>108</v>
      </c>
    </row>
    <row r="93" spans="1:6" x14ac:dyDescent="0.3">
      <c r="A93" s="111">
        <v>46121</v>
      </c>
      <c r="B93" t="s">
        <v>253</v>
      </c>
      <c r="C93" s="11"/>
      <c r="D93" s="11"/>
      <c r="E93" t="s">
        <v>288</v>
      </c>
      <c r="F93" s="108" t="s">
        <v>108</v>
      </c>
    </row>
    <row r="94" spans="1:6" x14ac:dyDescent="0.3">
      <c r="A94" s="111">
        <v>46122</v>
      </c>
      <c r="B94" t="s">
        <v>219</v>
      </c>
      <c r="C94" s="11"/>
      <c r="D94" s="11">
        <v>62000</v>
      </c>
      <c r="E94" t="s">
        <v>329</v>
      </c>
      <c r="F94" s="108" t="s">
        <v>108</v>
      </c>
    </row>
    <row r="95" spans="1:6" x14ac:dyDescent="0.3">
      <c r="A95" s="111">
        <v>46122</v>
      </c>
      <c r="B95" t="s">
        <v>55</v>
      </c>
      <c r="C95" s="11">
        <v>2200</v>
      </c>
      <c r="D95" s="11"/>
      <c r="F95" s="108" t="s">
        <v>108</v>
      </c>
    </row>
    <row r="96" spans="1:6" x14ac:dyDescent="0.3">
      <c r="A96" s="111">
        <v>46122</v>
      </c>
      <c r="B96" t="s">
        <v>55</v>
      </c>
      <c r="C96" s="11">
        <v>30000</v>
      </c>
      <c r="D96" s="11"/>
      <c r="E96" t="s">
        <v>330</v>
      </c>
      <c r="F96" s="108" t="s">
        <v>108</v>
      </c>
    </row>
    <row r="97" spans="1:13" x14ac:dyDescent="0.3">
      <c r="A97" s="111">
        <v>46122</v>
      </c>
      <c r="B97" t="s">
        <v>331</v>
      </c>
      <c r="C97" s="11">
        <v>50000</v>
      </c>
      <c r="D97" s="11"/>
      <c r="E97" t="s">
        <v>332</v>
      </c>
      <c r="F97" s="108" t="s">
        <v>108</v>
      </c>
    </row>
    <row r="98" spans="1:13" x14ac:dyDescent="0.3">
      <c r="A98" s="111">
        <v>46122</v>
      </c>
      <c r="B98" t="s">
        <v>219</v>
      </c>
      <c r="C98" s="11"/>
      <c r="D98" s="11">
        <v>77000</v>
      </c>
      <c r="E98" t="s">
        <v>320</v>
      </c>
      <c r="F98" s="108" t="s">
        <v>108</v>
      </c>
    </row>
    <row r="99" spans="1:13" x14ac:dyDescent="0.3">
      <c r="A99" s="111">
        <v>46122</v>
      </c>
      <c r="B99" t="s">
        <v>54</v>
      </c>
      <c r="C99" s="11">
        <v>3044</v>
      </c>
      <c r="D99" s="11"/>
      <c r="E99" t="s">
        <v>333</v>
      </c>
      <c r="F99" s="108" t="s">
        <v>108</v>
      </c>
    </row>
    <row r="100" spans="1:13" x14ac:dyDescent="0.3">
      <c r="A100" s="111">
        <v>46122</v>
      </c>
      <c r="B100" t="s">
        <v>253</v>
      </c>
      <c r="C100" s="11"/>
      <c r="D100" s="11"/>
      <c r="E100" t="s">
        <v>334</v>
      </c>
      <c r="F100" s="108" t="s">
        <v>108</v>
      </c>
    </row>
    <row r="101" spans="1:13" x14ac:dyDescent="0.3">
      <c r="A101" s="111">
        <v>46122</v>
      </c>
      <c r="B101" t="s">
        <v>55</v>
      </c>
      <c r="C101" s="11">
        <v>1200</v>
      </c>
      <c r="D101" s="11"/>
      <c r="F101" s="108" t="s">
        <v>108</v>
      </c>
    </row>
    <row r="102" spans="1:13" x14ac:dyDescent="0.3">
      <c r="A102" s="111">
        <v>46122</v>
      </c>
      <c r="B102" t="s">
        <v>244</v>
      </c>
      <c r="C102" s="11">
        <v>600</v>
      </c>
      <c r="D102" s="11"/>
      <c r="F102" s="108" t="s">
        <v>108</v>
      </c>
    </row>
    <row r="103" spans="1:13" x14ac:dyDescent="0.3">
      <c r="A103" s="111">
        <v>46122</v>
      </c>
      <c r="B103" t="s">
        <v>54</v>
      </c>
      <c r="C103" s="95">
        <v>7636.4</v>
      </c>
      <c r="D103" s="95"/>
      <c r="E103" t="s">
        <v>254</v>
      </c>
      <c r="F103" s="108" t="s">
        <v>108</v>
      </c>
    </row>
    <row r="104" spans="1:13" x14ac:dyDescent="0.3">
      <c r="A104" s="111">
        <v>46122</v>
      </c>
      <c r="B104" t="s">
        <v>219</v>
      </c>
      <c r="C104" s="95"/>
      <c r="D104" s="95">
        <v>50000</v>
      </c>
      <c r="E104" t="s">
        <v>285</v>
      </c>
      <c r="F104" s="108" t="s">
        <v>108</v>
      </c>
    </row>
    <row r="105" spans="1:13" x14ac:dyDescent="0.3">
      <c r="A105" s="111">
        <v>46122</v>
      </c>
      <c r="B105" t="s">
        <v>253</v>
      </c>
      <c r="C105" s="95"/>
      <c r="D105" s="95"/>
      <c r="E105" t="s">
        <v>270</v>
      </c>
      <c r="F105" s="108" t="s">
        <v>108</v>
      </c>
      <c r="I105">
        <v>15400</v>
      </c>
      <c r="K105">
        <v>4300</v>
      </c>
      <c r="L105">
        <v>4300</v>
      </c>
      <c r="M105">
        <v>4300</v>
      </c>
    </row>
    <row r="106" spans="1:13" x14ac:dyDescent="0.3">
      <c r="A106" s="111">
        <v>46122</v>
      </c>
      <c r="B106" t="s">
        <v>253</v>
      </c>
      <c r="C106" s="95"/>
      <c r="D106" s="95"/>
      <c r="E106" t="s">
        <v>351</v>
      </c>
      <c r="F106" s="108" t="s">
        <v>108</v>
      </c>
      <c r="I106">
        <v>4300</v>
      </c>
      <c r="K106">
        <v>1200</v>
      </c>
      <c r="L106">
        <v>1200</v>
      </c>
      <c r="M106">
        <v>1200</v>
      </c>
    </row>
    <row r="107" spans="1:13" x14ac:dyDescent="0.3">
      <c r="A107" s="111">
        <v>46123</v>
      </c>
      <c r="B107" t="s">
        <v>367</v>
      </c>
      <c r="C107" s="95"/>
      <c r="D107" s="95">
        <v>5965</v>
      </c>
      <c r="E107" t="s">
        <v>54</v>
      </c>
      <c r="F107" s="108" t="s">
        <v>108</v>
      </c>
      <c r="I107">
        <v>13400</v>
      </c>
      <c r="K107">
        <v>22700</v>
      </c>
      <c r="L107">
        <v>22700</v>
      </c>
      <c r="M107">
        <v>22700</v>
      </c>
    </row>
    <row r="108" spans="1:13" x14ac:dyDescent="0.3">
      <c r="A108" s="111">
        <v>46123</v>
      </c>
      <c r="B108" t="s">
        <v>54</v>
      </c>
      <c r="C108" s="95">
        <v>5965</v>
      </c>
      <c r="D108" s="95"/>
      <c r="E108" t="s">
        <v>174</v>
      </c>
      <c r="F108" s="108" t="s">
        <v>108</v>
      </c>
      <c r="I108">
        <v>14900</v>
      </c>
      <c r="K108">
        <v>15000</v>
      </c>
      <c r="L108">
        <v>15000</v>
      </c>
      <c r="M108">
        <v>15000</v>
      </c>
    </row>
    <row r="109" spans="1:13" x14ac:dyDescent="0.3">
      <c r="A109" s="111">
        <v>46123</v>
      </c>
      <c r="B109" t="s">
        <v>220</v>
      </c>
      <c r="C109" s="11">
        <v>4471</v>
      </c>
      <c r="D109" s="11"/>
      <c r="E109" t="s">
        <v>283</v>
      </c>
      <c r="F109" s="108" t="s">
        <v>108</v>
      </c>
      <c r="I109">
        <v>15000</v>
      </c>
      <c r="K109">
        <v>15150</v>
      </c>
      <c r="L109">
        <v>15150</v>
      </c>
      <c r="M109">
        <v>15150</v>
      </c>
    </row>
    <row r="110" spans="1:13" x14ac:dyDescent="0.3">
      <c r="A110" s="111">
        <v>46123</v>
      </c>
      <c r="B110" t="s">
        <v>54</v>
      </c>
      <c r="C110" s="11">
        <v>1500</v>
      </c>
      <c r="D110" s="11"/>
      <c r="E110" t="s">
        <v>323</v>
      </c>
      <c r="F110" s="108" t="s">
        <v>108</v>
      </c>
      <c r="I110">
        <v>11650</v>
      </c>
      <c r="K110">
        <v>22400</v>
      </c>
      <c r="L110">
        <v>22400</v>
      </c>
      <c r="M110">
        <v>22400</v>
      </c>
    </row>
    <row r="111" spans="1:13" x14ac:dyDescent="0.3">
      <c r="A111" s="111">
        <v>46123</v>
      </c>
      <c r="B111" t="s">
        <v>35</v>
      </c>
      <c r="C111" s="11"/>
      <c r="D111" s="11">
        <v>400000</v>
      </c>
      <c r="E111" t="s">
        <v>335</v>
      </c>
      <c r="F111" s="108" t="s">
        <v>108</v>
      </c>
      <c r="I111">
        <v>22700</v>
      </c>
      <c r="K111">
        <v>25000</v>
      </c>
      <c r="L111">
        <v>25000</v>
      </c>
      <c r="M111">
        <v>25000</v>
      </c>
    </row>
    <row r="112" spans="1:13" x14ac:dyDescent="0.3">
      <c r="A112" s="111">
        <v>46123</v>
      </c>
      <c r="B112" t="s">
        <v>168</v>
      </c>
      <c r="C112" s="11">
        <v>200200</v>
      </c>
      <c r="D112" s="11"/>
      <c r="E112" t="s">
        <v>336</v>
      </c>
      <c r="F112" s="108" t="s">
        <v>108</v>
      </c>
      <c r="I112">
        <v>17000</v>
      </c>
      <c r="K112">
        <v>20880</v>
      </c>
      <c r="L112">
        <v>20880</v>
      </c>
      <c r="M112">
        <v>20880</v>
      </c>
    </row>
    <row r="113" spans="1:13" x14ac:dyDescent="0.3">
      <c r="A113" s="38">
        <v>46123</v>
      </c>
      <c r="B113" t="s">
        <v>253</v>
      </c>
      <c r="C113" s="11"/>
      <c r="D113" s="11"/>
      <c r="E113" t="s">
        <v>252</v>
      </c>
      <c r="F113" s="108" t="s">
        <v>108</v>
      </c>
      <c r="I113">
        <v>15000</v>
      </c>
      <c r="K113">
        <v>20000</v>
      </c>
      <c r="L113">
        <v>20000</v>
      </c>
      <c r="M113">
        <v>20000</v>
      </c>
    </row>
    <row r="114" spans="1:13" x14ac:dyDescent="0.3">
      <c r="A114" s="38">
        <v>46123</v>
      </c>
      <c r="B114" t="s">
        <v>54</v>
      </c>
      <c r="C114" s="11">
        <v>6000</v>
      </c>
      <c r="D114" s="11"/>
      <c r="E114" t="s">
        <v>337</v>
      </c>
      <c r="F114" s="108" t="s">
        <v>108</v>
      </c>
      <c r="I114">
        <v>1200</v>
      </c>
      <c r="K114">
        <v>150000</v>
      </c>
      <c r="L114">
        <v>150000</v>
      </c>
      <c r="M114">
        <v>150000</v>
      </c>
    </row>
    <row r="115" spans="1:13" x14ac:dyDescent="0.3">
      <c r="A115" s="111">
        <v>46123</v>
      </c>
      <c r="B115" t="s">
        <v>211</v>
      </c>
      <c r="C115" s="11">
        <v>1490</v>
      </c>
      <c r="D115" s="11"/>
      <c r="F115" s="108" t="s">
        <v>108</v>
      </c>
      <c r="I115">
        <v>25600</v>
      </c>
      <c r="K115">
        <v>45200</v>
      </c>
      <c r="L115">
        <v>45200</v>
      </c>
      <c r="M115">
        <v>45200</v>
      </c>
    </row>
    <row r="116" spans="1:13" x14ac:dyDescent="0.3">
      <c r="A116" s="111">
        <v>46124</v>
      </c>
      <c r="B116" t="s">
        <v>55</v>
      </c>
      <c r="C116" s="11">
        <v>4500</v>
      </c>
      <c r="D116" s="11"/>
      <c r="F116" s="108" t="s">
        <v>108</v>
      </c>
      <c r="I116">
        <v>15300</v>
      </c>
      <c r="K116">
        <v>44800</v>
      </c>
      <c r="L116">
        <v>44800</v>
      </c>
      <c r="M116">
        <v>44800</v>
      </c>
    </row>
    <row r="117" spans="1:13" x14ac:dyDescent="0.3">
      <c r="A117" s="111">
        <v>46124</v>
      </c>
      <c r="B117" t="s">
        <v>331</v>
      </c>
      <c r="C117" s="11">
        <v>100000</v>
      </c>
      <c r="D117" s="11"/>
      <c r="E117" t="s">
        <v>338</v>
      </c>
      <c r="F117" s="108" t="s">
        <v>108</v>
      </c>
      <c r="I117">
        <v>16650</v>
      </c>
      <c r="K117">
        <v>5200</v>
      </c>
      <c r="L117">
        <v>5200</v>
      </c>
      <c r="M117">
        <v>5200</v>
      </c>
    </row>
    <row r="118" spans="1:13" x14ac:dyDescent="0.3">
      <c r="A118" s="111">
        <v>46124</v>
      </c>
      <c r="B118" t="s">
        <v>219</v>
      </c>
      <c r="C118" s="11"/>
      <c r="D118" s="11">
        <v>40000</v>
      </c>
      <c r="E118" t="s">
        <v>339</v>
      </c>
      <c r="F118" s="108" t="s">
        <v>108</v>
      </c>
      <c r="I118">
        <v>20000</v>
      </c>
      <c r="K118">
        <v>39400</v>
      </c>
      <c r="L118">
        <v>39400</v>
      </c>
      <c r="M118">
        <v>39400</v>
      </c>
    </row>
    <row r="119" spans="1:13" x14ac:dyDescent="0.3">
      <c r="A119" s="111">
        <v>46124</v>
      </c>
      <c r="B119" t="s">
        <v>221</v>
      </c>
      <c r="C119" s="11">
        <v>100000</v>
      </c>
      <c r="D119" s="11"/>
      <c r="E119" t="s">
        <v>340</v>
      </c>
      <c r="F119" s="108" t="s">
        <v>108</v>
      </c>
      <c r="I119">
        <v>5200</v>
      </c>
      <c r="K119">
        <v>21600</v>
      </c>
      <c r="L119">
        <v>21600</v>
      </c>
      <c r="M119">
        <v>21600</v>
      </c>
    </row>
    <row r="120" spans="1:13" x14ac:dyDescent="0.3">
      <c r="A120" s="38">
        <v>46124</v>
      </c>
      <c r="B120" t="s">
        <v>55</v>
      </c>
      <c r="C120" s="11">
        <v>1600</v>
      </c>
      <c r="D120" s="11"/>
      <c r="F120" s="108" t="s">
        <v>108</v>
      </c>
      <c r="I120">
        <v>46400</v>
      </c>
      <c r="K120">
        <v>46400</v>
      </c>
      <c r="L120">
        <v>46400</v>
      </c>
      <c r="M120">
        <v>46400</v>
      </c>
    </row>
    <row r="121" spans="1:13" x14ac:dyDescent="0.3">
      <c r="A121" s="38">
        <v>46124</v>
      </c>
      <c r="B121" t="s">
        <v>55</v>
      </c>
      <c r="C121" s="11">
        <v>5040</v>
      </c>
      <c r="D121" s="11"/>
      <c r="F121" s="108" t="s">
        <v>108</v>
      </c>
      <c r="I121">
        <v>16300</v>
      </c>
      <c r="K121">
        <v>8400</v>
      </c>
      <c r="L121">
        <v>8400</v>
      </c>
      <c r="M121">
        <v>8400</v>
      </c>
    </row>
    <row r="122" spans="1:13" x14ac:dyDescent="0.3">
      <c r="A122" s="38">
        <v>46124</v>
      </c>
      <c r="B122" t="s">
        <v>211</v>
      </c>
      <c r="C122" s="11"/>
      <c r="D122" s="11">
        <v>5040</v>
      </c>
      <c r="E122" t="s">
        <v>344</v>
      </c>
      <c r="F122" s="108" t="s">
        <v>108</v>
      </c>
      <c r="I122">
        <v>21700</v>
      </c>
      <c r="K122">
        <v>35000</v>
      </c>
      <c r="L122">
        <v>35000</v>
      </c>
      <c r="M122">
        <v>35000</v>
      </c>
    </row>
    <row r="123" spans="1:13" x14ac:dyDescent="0.3">
      <c r="A123" s="38">
        <v>46124</v>
      </c>
      <c r="B123" t="s">
        <v>219</v>
      </c>
      <c r="C123" s="11"/>
      <c r="D123" s="11">
        <v>10000</v>
      </c>
      <c r="E123" t="s">
        <v>341</v>
      </c>
      <c r="F123" s="108" t="s">
        <v>108</v>
      </c>
      <c r="I123">
        <v>6000</v>
      </c>
      <c r="K123">
        <v>80000</v>
      </c>
      <c r="L123">
        <v>80000</v>
      </c>
      <c r="M123">
        <v>80000</v>
      </c>
    </row>
    <row r="124" spans="1:13" x14ac:dyDescent="0.3">
      <c r="A124" s="38">
        <v>46124</v>
      </c>
      <c r="B124" t="s">
        <v>54</v>
      </c>
      <c r="C124" s="11">
        <v>7392</v>
      </c>
      <c r="D124" s="11"/>
      <c r="E124" t="s">
        <v>342</v>
      </c>
      <c r="F124" s="108" t="s">
        <v>108</v>
      </c>
      <c r="I124">
        <v>45000</v>
      </c>
      <c r="K124">
        <v>9500</v>
      </c>
      <c r="L124">
        <v>9500</v>
      </c>
      <c r="M124">
        <v>9500</v>
      </c>
    </row>
    <row r="125" spans="1:13" x14ac:dyDescent="0.3">
      <c r="A125" s="38">
        <v>46125</v>
      </c>
      <c r="B125" t="s">
        <v>9</v>
      </c>
      <c r="C125" s="11"/>
      <c r="D125" s="11">
        <v>100000</v>
      </c>
      <c r="E125" t="s">
        <v>356</v>
      </c>
      <c r="F125" s="108" t="s">
        <v>108</v>
      </c>
      <c r="I125">
        <v>21600</v>
      </c>
      <c r="K125">
        <v>34000</v>
      </c>
      <c r="L125">
        <v>34000</v>
      </c>
      <c r="M125">
        <v>34000</v>
      </c>
    </row>
    <row r="126" spans="1:13" x14ac:dyDescent="0.3">
      <c r="A126" s="38">
        <v>46125</v>
      </c>
      <c r="B126" t="s">
        <v>55</v>
      </c>
      <c r="C126" s="11">
        <v>1000</v>
      </c>
      <c r="D126" s="11"/>
      <c r="F126" s="108" t="s">
        <v>108</v>
      </c>
      <c r="I126">
        <v>39400</v>
      </c>
      <c r="K126">
        <v>21700</v>
      </c>
      <c r="L126">
        <v>21700</v>
      </c>
      <c r="M126">
        <v>21700</v>
      </c>
    </row>
    <row r="127" spans="1:13" x14ac:dyDescent="0.3">
      <c r="A127" s="38">
        <v>46125</v>
      </c>
      <c r="B127" t="s">
        <v>357</v>
      </c>
      <c r="C127" s="95">
        <v>65310</v>
      </c>
      <c r="D127" s="95"/>
      <c r="E127" t="s">
        <v>358</v>
      </c>
      <c r="F127" s="108" t="s">
        <v>108</v>
      </c>
      <c r="I127">
        <v>8400</v>
      </c>
      <c r="K127">
        <v>17000</v>
      </c>
      <c r="L127">
        <v>17000</v>
      </c>
      <c r="M127">
        <v>17000</v>
      </c>
    </row>
    <row r="128" spans="1:13" x14ac:dyDescent="0.3">
      <c r="A128" s="38">
        <v>46125</v>
      </c>
      <c r="B128" t="s">
        <v>211</v>
      </c>
      <c r="C128" s="95"/>
      <c r="D128" s="95">
        <v>70000</v>
      </c>
      <c r="E128" t="s">
        <v>359</v>
      </c>
      <c r="F128" s="108" t="s">
        <v>108</v>
      </c>
      <c r="I128">
        <v>45200</v>
      </c>
      <c r="K128">
        <v>25600</v>
      </c>
      <c r="L128">
        <v>25600</v>
      </c>
      <c r="M128">
        <v>25600</v>
      </c>
    </row>
    <row r="129" spans="1:13" x14ac:dyDescent="0.3">
      <c r="A129" s="111">
        <v>46125</v>
      </c>
      <c r="B129" t="s">
        <v>221</v>
      </c>
      <c r="C129" s="95">
        <v>100000</v>
      </c>
      <c r="D129" s="95"/>
      <c r="E129" t="s">
        <v>360</v>
      </c>
      <c r="F129" s="108" t="s">
        <v>108</v>
      </c>
      <c r="I129">
        <v>34000</v>
      </c>
      <c r="K129">
        <v>14900</v>
      </c>
      <c r="L129">
        <v>14900</v>
      </c>
      <c r="M129">
        <v>14900</v>
      </c>
    </row>
    <row r="130" spans="1:13" x14ac:dyDescent="0.3">
      <c r="A130" s="111">
        <v>46125</v>
      </c>
      <c r="B130" t="s">
        <v>54</v>
      </c>
      <c r="C130" s="95">
        <v>3920</v>
      </c>
      <c r="D130" s="95"/>
      <c r="F130" s="108" t="s">
        <v>108</v>
      </c>
      <c r="I130">
        <v>22400</v>
      </c>
      <c r="K130">
        <v>11650</v>
      </c>
      <c r="L130">
        <v>11650</v>
      </c>
      <c r="M130">
        <v>11650</v>
      </c>
    </row>
    <row r="131" spans="1:13" x14ac:dyDescent="0.3">
      <c r="A131" s="111">
        <v>46125</v>
      </c>
      <c r="B131" t="s">
        <v>168</v>
      </c>
      <c r="C131" s="95">
        <v>1000</v>
      </c>
      <c r="D131" s="95"/>
      <c r="E131" t="s">
        <v>265</v>
      </c>
      <c r="F131" s="108" t="s">
        <v>108</v>
      </c>
      <c r="I131">
        <v>5700</v>
      </c>
      <c r="K131">
        <v>15300</v>
      </c>
      <c r="L131">
        <v>15400</v>
      </c>
      <c r="M131">
        <v>15400</v>
      </c>
    </row>
    <row r="132" spans="1:13" x14ac:dyDescent="0.3">
      <c r="A132" s="111">
        <v>46125</v>
      </c>
      <c r="B132" t="s">
        <v>168</v>
      </c>
      <c r="C132" s="95">
        <v>10000</v>
      </c>
      <c r="D132" s="95"/>
      <c r="E132" t="s">
        <v>361</v>
      </c>
      <c r="F132" s="108" t="s">
        <v>108</v>
      </c>
      <c r="I132">
        <v>80000</v>
      </c>
      <c r="K132">
        <v>15000</v>
      </c>
      <c r="L132">
        <v>16300</v>
      </c>
      <c r="M132">
        <v>16300</v>
      </c>
    </row>
    <row r="133" spans="1:13" x14ac:dyDescent="0.3">
      <c r="A133" s="111">
        <v>46125</v>
      </c>
      <c r="B133" t="s">
        <v>191</v>
      </c>
      <c r="C133" s="95"/>
      <c r="D133" s="95">
        <v>28000</v>
      </c>
      <c r="E133" t="s">
        <v>380</v>
      </c>
      <c r="F133" s="108" t="s">
        <v>108</v>
      </c>
      <c r="I133">
        <v>2500</v>
      </c>
      <c r="K133">
        <v>6000</v>
      </c>
      <c r="L133">
        <v>15300</v>
      </c>
      <c r="M133">
        <v>15300</v>
      </c>
    </row>
    <row r="134" spans="1:13" x14ac:dyDescent="0.3">
      <c r="A134" s="111">
        <v>46125</v>
      </c>
      <c r="B134" t="s">
        <v>54</v>
      </c>
      <c r="C134" s="95">
        <v>1700</v>
      </c>
      <c r="D134" s="95"/>
      <c r="E134" t="s">
        <v>362</v>
      </c>
      <c r="F134" s="108" t="s">
        <v>108</v>
      </c>
      <c r="I134">
        <v>9500</v>
      </c>
      <c r="K134">
        <v>16550</v>
      </c>
      <c r="L134">
        <v>15000</v>
      </c>
      <c r="M134">
        <v>15000</v>
      </c>
    </row>
    <row r="135" spans="1:13" x14ac:dyDescent="0.3">
      <c r="A135" s="111">
        <v>46125</v>
      </c>
      <c r="B135" t="s">
        <v>175</v>
      </c>
      <c r="C135" s="95">
        <v>98950</v>
      </c>
      <c r="D135" s="95"/>
      <c r="E135" t="s">
        <v>363</v>
      </c>
      <c r="F135" s="108" t="s">
        <v>108</v>
      </c>
      <c r="I135">
        <v>20880</v>
      </c>
      <c r="K135">
        <v>13400</v>
      </c>
      <c r="L135">
        <v>6000</v>
      </c>
      <c r="M135">
        <v>6000</v>
      </c>
    </row>
    <row r="136" spans="1:13" x14ac:dyDescent="0.3">
      <c r="A136" s="111">
        <v>46125</v>
      </c>
      <c r="B136" t="s">
        <v>219</v>
      </c>
      <c r="C136" s="95"/>
      <c r="D136" s="95">
        <v>100000</v>
      </c>
      <c r="E136" t="s">
        <v>175</v>
      </c>
      <c r="F136" s="108" t="s">
        <v>108</v>
      </c>
      <c r="I136">
        <v>150000</v>
      </c>
      <c r="K136">
        <v>11650</v>
      </c>
      <c r="L136">
        <v>16550</v>
      </c>
      <c r="M136">
        <v>16550</v>
      </c>
    </row>
    <row r="137" spans="1:13" x14ac:dyDescent="0.3">
      <c r="A137" s="111">
        <v>46126</v>
      </c>
      <c r="B137" t="s">
        <v>55</v>
      </c>
      <c r="C137" s="11">
        <v>2600</v>
      </c>
      <c r="D137" s="11"/>
      <c r="F137" s="108" t="s">
        <v>108</v>
      </c>
      <c r="K137">
        <v>2500</v>
      </c>
      <c r="L137">
        <v>13400</v>
      </c>
      <c r="M137">
        <v>13400</v>
      </c>
    </row>
    <row r="138" spans="1:13" x14ac:dyDescent="0.3">
      <c r="A138" s="38">
        <v>46126</v>
      </c>
      <c r="B138" t="s">
        <v>244</v>
      </c>
      <c r="C138" s="11">
        <v>500</v>
      </c>
      <c r="D138" s="11"/>
      <c r="F138" s="108"/>
      <c r="K138">
        <v>5700</v>
      </c>
      <c r="L138">
        <v>11650</v>
      </c>
      <c r="M138">
        <v>11650</v>
      </c>
    </row>
    <row r="139" spans="1:13" x14ac:dyDescent="0.3">
      <c r="A139" s="111">
        <v>46126</v>
      </c>
      <c r="B139" t="s">
        <v>35</v>
      </c>
      <c r="C139" s="95"/>
      <c r="D139" s="95">
        <v>200000</v>
      </c>
      <c r="E139" t="s">
        <v>355</v>
      </c>
      <c r="F139" s="108" t="s">
        <v>108</v>
      </c>
      <c r="L139">
        <v>2500</v>
      </c>
      <c r="M139">
        <v>2500</v>
      </c>
    </row>
    <row r="140" spans="1:13" x14ac:dyDescent="0.3">
      <c r="A140" s="38">
        <v>46126</v>
      </c>
      <c r="B140" t="s">
        <v>221</v>
      </c>
      <c r="C140" s="95">
        <v>85000</v>
      </c>
      <c r="D140" s="95"/>
      <c r="E140" t="s">
        <v>364</v>
      </c>
      <c r="F140" s="108" t="s">
        <v>108</v>
      </c>
      <c r="L140">
        <v>5700</v>
      </c>
      <c r="M140">
        <v>5700</v>
      </c>
    </row>
    <row r="141" spans="1:13" x14ac:dyDescent="0.3">
      <c r="A141" s="38">
        <v>46126</v>
      </c>
      <c r="B141" t="s">
        <v>219</v>
      </c>
      <c r="C141" s="95"/>
      <c r="D141" s="95">
        <v>85000</v>
      </c>
      <c r="E141" t="s">
        <v>365</v>
      </c>
      <c r="F141" s="108" t="s">
        <v>108</v>
      </c>
      <c r="L141">
        <v>5000</v>
      </c>
      <c r="M141">
        <v>5000</v>
      </c>
    </row>
    <row r="142" spans="1:13" x14ac:dyDescent="0.3">
      <c r="A142" s="38">
        <v>46126</v>
      </c>
      <c r="B142" t="s">
        <v>244</v>
      </c>
      <c r="C142" s="95">
        <v>2020</v>
      </c>
      <c r="D142" s="95"/>
      <c r="E142" t="s">
        <v>366</v>
      </c>
      <c r="F142" s="108" t="s">
        <v>108</v>
      </c>
    </row>
    <row r="143" spans="1:13" x14ac:dyDescent="0.3">
      <c r="A143" s="38">
        <v>46126</v>
      </c>
      <c r="B143" t="s">
        <v>367</v>
      </c>
      <c r="C143" s="95"/>
      <c r="D143" s="95">
        <v>500000</v>
      </c>
      <c r="E143" t="s">
        <v>368</v>
      </c>
      <c r="F143" s="108" t="s">
        <v>108</v>
      </c>
    </row>
    <row r="144" spans="1:13" x14ac:dyDescent="0.3">
      <c r="A144" s="111">
        <v>46126</v>
      </c>
      <c r="B144" t="s">
        <v>219</v>
      </c>
      <c r="C144" s="95">
        <v>200000</v>
      </c>
      <c r="D144" s="95"/>
      <c r="E144" t="s">
        <v>369</v>
      </c>
      <c r="F144" s="108" t="s">
        <v>108</v>
      </c>
    </row>
    <row r="145" spans="1:6" x14ac:dyDescent="0.3">
      <c r="A145" s="38">
        <v>46126</v>
      </c>
      <c r="B145" t="s">
        <v>372</v>
      </c>
      <c r="C145" s="95">
        <v>4000</v>
      </c>
      <c r="D145" s="95"/>
      <c r="E145" t="s">
        <v>289</v>
      </c>
      <c r="F145" s="108" t="s">
        <v>108</v>
      </c>
    </row>
    <row r="146" spans="1:6" x14ac:dyDescent="0.3">
      <c r="A146" s="111">
        <v>46126</v>
      </c>
      <c r="B146" t="s">
        <v>246</v>
      </c>
      <c r="C146" s="95">
        <v>3900</v>
      </c>
      <c r="D146" s="95"/>
      <c r="F146" s="108" t="s">
        <v>108</v>
      </c>
    </row>
    <row r="147" spans="1:6" x14ac:dyDescent="0.3">
      <c r="A147" s="38">
        <v>46126</v>
      </c>
      <c r="B147" t="s">
        <v>253</v>
      </c>
      <c r="C147" s="95"/>
      <c r="D147" s="95"/>
      <c r="E147" t="s">
        <v>379</v>
      </c>
      <c r="F147" s="108" t="s">
        <v>108</v>
      </c>
    </row>
    <row r="148" spans="1:6" x14ac:dyDescent="0.3">
      <c r="A148" s="38">
        <v>46127</v>
      </c>
      <c r="B148" t="s">
        <v>279</v>
      </c>
      <c r="C148" s="95"/>
      <c r="D148" s="95">
        <v>164000</v>
      </c>
      <c r="F148" s="108" t="s">
        <v>108</v>
      </c>
    </row>
    <row r="149" spans="1:6" x14ac:dyDescent="0.3">
      <c r="A149" s="38">
        <v>46127</v>
      </c>
      <c r="B149" t="s">
        <v>219</v>
      </c>
      <c r="C149" s="95">
        <v>164000</v>
      </c>
      <c r="D149" s="95"/>
      <c r="E149" t="s">
        <v>378</v>
      </c>
      <c r="F149" s="108" t="s">
        <v>108</v>
      </c>
    </row>
    <row r="150" spans="1:6" x14ac:dyDescent="0.3">
      <c r="A150" s="38">
        <v>46127</v>
      </c>
      <c r="B150" t="s">
        <v>227</v>
      </c>
      <c r="C150" s="95">
        <v>400000</v>
      </c>
      <c r="D150" s="95"/>
      <c r="E150" t="s">
        <v>370</v>
      </c>
      <c r="F150" s="108" t="s">
        <v>108</v>
      </c>
    </row>
    <row r="151" spans="1:6" x14ac:dyDescent="0.3">
      <c r="A151" s="38">
        <v>46127</v>
      </c>
      <c r="B151" t="s">
        <v>55</v>
      </c>
      <c r="C151" s="11">
        <v>3210</v>
      </c>
      <c r="D151" s="11"/>
      <c r="E151" t="s">
        <v>373</v>
      </c>
      <c r="F151" s="108" t="s">
        <v>108</v>
      </c>
    </row>
    <row r="152" spans="1:6" x14ac:dyDescent="0.3">
      <c r="A152" s="38">
        <v>46127</v>
      </c>
      <c r="B152" t="s">
        <v>221</v>
      </c>
      <c r="C152" s="11">
        <v>50000</v>
      </c>
      <c r="D152" s="11"/>
      <c r="E152" t="s">
        <v>374</v>
      </c>
      <c r="F152" s="108" t="s">
        <v>108</v>
      </c>
    </row>
    <row r="153" spans="1:6" x14ac:dyDescent="0.3">
      <c r="A153" s="38">
        <v>46127</v>
      </c>
      <c r="B153" t="s">
        <v>211</v>
      </c>
      <c r="C153" s="11">
        <v>2490</v>
      </c>
      <c r="D153" s="11"/>
      <c r="F153" s="108" t="s">
        <v>108</v>
      </c>
    </row>
    <row r="154" spans="1:6" x14ac:dyDescent="0.3">
      <c r="A154" s="38">
        <v>46127</v>
      </c>
      <c r="B154" t="s">
        <v>226</v>
      </c>
      <c r="C154" s="95"/>
      <c r="D154" s="95">
        <v>676071</v>
      </c>
      <c r="E154" t="s">
        <v>445</v>
      </c>
      <c r="F154" s="108" t="s">
        <v>108</v>
      </c>
    </row>
    <row r="155" spans="1:6" x14ac:dyDescent="0.3">
      <c r="A155" s="38">
        <v>46127</v>
      </c>
      <c r="B155" t="s">
        <v>219</v>
      </c>
      <c r="C155" s="95">
        <v>676071</v>
      </c>
      <c r="D155" s="95"/>
      <c r="E155" t="s">
        <v>446</v>
      </c>
      <c r="F155" s="108" t="s">
        <v>108</v>
      </c>
    </row>
    <row r="156" spans="1:6" x14ac:dyDescent="0.3">
      <c r="A156" s="38">
        <v>46128</v>
      </c>
      <c r="B156" t="s">
        <v>55</v>
      </c>
      <c r="C156" s="11">
        <v>27000</v>
      </c>
      <c r="D156" s="11"/>
      <c r="F156" s="108" t="s">
        <v>108</v>
      </c>
    </row>
    <row r="157" spans="1:6" x14ac:dyDescent="0.3">
      <c r="A157" s="38">
        <v>46128</v>
      </c>
      <c r="B157" t="s">
        <v>219</v>
      </c>
      <c r="C157" s="11"/>
      <c r="D157" s="11">
        <v>27000</v>
      </c>
      <c r="E157" t="s">
        <v>55</v>
      </c>
      <c r="F157" s="108" t="s">
        <v>108</v>
      </c>
    </row>
    <row r="158" spans="1:6" x14ac:dyDescent="0.3">
      <c r="A158" s="38">
        <v>46128</v>
      </c>
      <c r="B158" t="s">
        <v>55</v>
      </c>
      <c r="C158" s="95">
        <v>600</v>
      </c>
      <c r="D158" s="95"/>
      <c r="F158" s="108" t="s">
        <v>108</v>
      </c>
    </row>
    <row r="159" spans="1:6" x14ac:dyDescent="0.3">
      <c r="A159" s="111">
        <v>46128</v>
      </c>
      <c r="B159" t="s">
        <v>219</v>
      </c>
      <c r="C159" s="95"/>
      <c r="D159" s="95">
        <v>600</v>
      </c>
      <c r="F159" s="108" t="s">
        <v>108</v>
      </c>
    </row>
    <row r="160" spans="1:6" x14ac:dyDescent="0.3">
      <c r="A160" s="111">
        <v>46128</v>
      </c>
      <c r="B160" t="s">
        <v>55</v>
      </c>
      <c r="C160" s="95">
        <v>3800</v>
      </c>
      <c r="D160" s="95"/>
      <c r="F160" s="108" t="s">
        <v>108</v>
      </c>
    </row>
    <row r="161" spans="1:15" x14ac:dyDescent="0.3">
      <c r="A161" s="111">
        <v>46128</v>
      </c>
      <c r="B161" t="s">
        <v>219</v>
      </c>
      <c r="C161" s="95"/>
      <c r="D161" s="95">
        <v>3800</v>
      </c>
      <c r="F161" s="108" t="s">
        <v>108</v>
      </c>
    </row>
    <row r="162" spans="1:15" x14ac:dyDescent="0.3">
      <c r="A162" s="111">
        <v>46128</v>
      </c>
      <c r="B162" t="s">
        <v>55</v>
      </c>
      <c r="C162" s="95">
        <v>2635</v>
      </c>
      <c r="D162" s="95"/>
      <c r="F162" s="108" t="s">
        <v>108</v>
      </c>
    </row>
    <row r="163" spans="1:15" x14ac:dyDescent="0.3">
      <c r="A163" s="111">
        <v>46128</v>
      </c>
      <c r="B163" t="s">
        <v>367</v>
      </c>
      <c r="C163" s="95"/>
      <c r="D163" s="95">
        <v>400000</v>
      </c>
      <c r="E163" t="s">
        <v>375</v>
      </c>
      <c r="F163" s="108" t="s">
        <v>108</v>
      </c>
      <c r="J163" s="3" t="s">
        <v>6</v>
      </c>
      <c r="K163" t="s">
        <v>117</v>
      </c>
      <c r="L163" t="s">
        <v>118</v>
      </c>
      <c r="N163">
        <v>32600</v>
      </c>
      <c r="O163">
        <v>32600</v>
      </c>
    </row>
    <row r="164" spans="1:15" x14ac:dyDescent="0.3">
      <c r="A164" s="38">
        <v>46128</v>
      </c>
      <c r="B164" t="s">
        <v>221</v>
      </c>
      <c r="C164" s="95">
        <v>200125</v>
      </c>
      <c r="D164" s="95"/>
      <c r="E164" t="s">
        <v>376</v>
      </c>
      <c r="F164" s="108" t="s">
        <v>108</v>
      </c>
      <c r="J164" s="4" t="s">
        <v>732</v>
      </c>
      <c r="K164" s="14"/>
      <c r="L164" s="14"/>
      <c r="N164">
        <v>45600</v>
      </c>
      <c r="O164">
        <v>9200</v>
      </c>
    </row>
    <row r="165" spans="1:15" x14ac:dyDescent="0.3">
      <c r="A165" s="38">
        <v>46128</v>
      </c>
      <c r="B165" t="s">
        <v>168</v>
      </c>
      <c r="C165" s="95">
        <v>203000</v>
      </c>
      <c r="D165" s="95"/>
      <c r="E165" t="s">
        <v>377</v>
      </c>
      <c r="F165" s="108" t="s">
        <v>108</v>
      </c>
      <c r="J165" s="4" t="s">
        <v>733</v>
      </c>
      <c r="K165" s="14">
        <v>689345.22951719165</v>
      </c>
      <c r="L165" s="14">
        <v>1398490</v>
      </c>
      <c r="N165">
        <v>49400</v>
      </c>
      <c r="O165">
        <v>45600</v>
      </c>
    </row>
    <row r="166" spans="1:15" x14ac:dyDescent="0.3">
      <c r="A166" s="38">
        <v>46128</v>
      </c>
      <c r="B166" t="s">
        <v>9</v>
      </c>
      <c r="C166" s="95"/>
      <c r="D166" s="95">
        <v>100000</v>
      </c>
      <c r="E166" t="s">
        <v>109</v>
      </c>
      <c r="F166" s="108" t="s">
        <v>108</v>
      </c>
      <c r="J166" s="4" t="s">
        <v>734</v>
      </c>
      <c r="K166" s="14">
        <v>11732958</v>
      </c>
      <c r="L166" s="14">
        <v>10310580.4</v>
      </c>
      <c r="N166">
        <v>37200</v>
      </c>
      <c r="O166">
        <v>30000</v>
      </c>
    </row>
    <row r="167" spans="1:15" x14ac:dyDescent="0.3">
      <c r="A167" s="38">
        <v>46128</v>
      </c>
      <c r="B167" t="s">
        <v>115</v>
      </c>
      <c r="C167" s="11">
        <v>90000</v>
      </c>
      <c r="D167" s="11"/>
      <c r="F167" s="108" t="s">
        <v>108</v>
      </c>
      <c r="J167" s="4" t="s">
        <v>735</v>
      </c>
      <c r="K167" s="14">
        <v>11790240</v>
      </c>
      <c r="L167" s="14">
        <v>12470645.279999999</v>
      </c>
      <c r="N167">
        <v>9200</v>
      </c>
      <c r="O167">
        <v>37200</v>
      </c>
    </row>
    <row r="168" spans="1:15" x14ac:dyDescent="0.3">
      <c r="A168" s="38">
        <v>46128</v>
      </c>
      <c r="B168" t="s">
        <v>219</v>
      </c>
      <c r="C168" s="11">
        <v>10000</v>
      </c>
      <c r="D168" s="11"/>
      <c r="E168" t="s">
        <v>381</v>
      </c>
      <c r="F168" s="108" t="s">
        <v>108</v>
      </c>
      <c r="J168" s="4" t="s">
        <v>736</v>
      </c>
      <c r="K168" s="14">
        <v>11017194</v>
      </c>
      <c r="L168" s="14">
        <v>10969669</v>
      </c>
      <c r="N168">
        <v>50000</v>
      </c>
      <c r="O168">
        <v>49400</v>
      </c>
    </row>
    <row r="169" spans="1:15" x14ac:dyDescent="0.3">
      <c r="A169" s="38">
        <v>46128</v>
      </c>
      <c r="B169" t="s">
        <v>54</v>
      </c>
      <c r="C169" s="95">
        <v>7763</v>
      </c>
      <c r="D169" s="95"/>
      <c r="E169" t="s">
        <v>254</v>
      </c>
      <c r="F169" s="108" t="s">
        <v>108</v>
      </c>
      <c r="J169" s="42" t="s">
        <v>737</v>
      </c>
      <c r="K169" s="14">
        <v>80000</v>
      </c>
      <c r="L169" s="14">
        <v>89850</v>
      </c>
      <c r="N169">
        <v>60400</v>
      </c>
      <c r="O169">
        <v>60400</v>
      </c>
    </row>
    <row r="170" spans="1:15" x14ac:dyDescent="0.3">
      <c r="A170" s="38">
        <v>46128</v>
      </c>
      <c r="B170" t="s">
        <v>116</v>
      </c>
      <c r="C170" s="11">
        <v>38800</v>
      </c>
      <c r="D170" s="11"/>
      <c r="E170" t="s">
        <v>382</v>
      </c>
      <c r="F170" s="108" t="s">
        <v>108</v>
      </c>
      <c r="J170" s="42" t="s">
        <v>738</v>
      </c>
      <c r="K170" s="14">
        <v>200000</v>
      </c>
      <c r="L170" s="14">
        <v>218060</v>
      </c>
      <c r="N170">
        <v>30000</v>
      </c>
      <c r="O170">
        <v>50000</v>
      </c>
    </row>
    <row r="171" spans="1:15" x14ac:dyDescent="0.3">
      <c r="A171" s="38">
        <v>46128</v>
      </c>
      <c r="B171" t="s">
        <v>35</v>
      </c>
      <c r="C171" s="11"/>
      <c r="D171" s="11">
        <v>200000</v>
      </c>
      <c r="E171" t="s">
        <v>383</v>
      </c>
      <c r="F171" s="108" t="s">
        <v>108</v>
      </c>
      <c r="J171" s="42" t="s">
        <v>739</v>
      </c>
      <c r="K171" s="14">
        <v>70000</v>
      </c>
      <c r="L171" s="14">
        <v>60000</v>
      </c>
      <c r="N171">
        <v>13670</v>
      </c>
      <c r="O171">
        <v>1000</v>
      </c>
    </row>
    <row r="172" spans="1:15" x14ac:dyDescent="0.3">
      <c r="A172" s="38">
        <v>46128</v>
      </c>
      <c r="B172" t="s">
        <v>253</v>
      </c>
      <c r="C172" s="11"/>
      <c r="D172" s="11"/>
      <c r="E172" t="s">
        <v>262</v>
      </c>
      <c r="F172" s="108" t="s">
        <v>108</v>
      </c>
      <c r="G172" s="122"/>
      <c r="J172" s="42" t="s">
        <v>740</v>
      </c>
      <c r="K172" s="14">
        <v>100000</v>
      </c>
      <c r="L172" s="14">
        <v>103500</v>
      </c>
      <c r="N172">
        <v>18120</v>
      </c>
      <c r="O172">
        <v>35000</v>
      </c>
    </row>
    <row r="173" spans="1:15" x14ac:dyDescent="0.3">
      <c r="A173" s="38">
        <v>46128</v>
      </c>
      <c r="B173" t="s">
        <v>54</v>
      </c>
      <c r="C173" s="11">
        <v>3943</v>
      </c>
      <c r="D173" s="11"/>
      <c r="E173" t="s">
        <v>384</v>
      </c>
      <c r="F173" s="108" t="s">
        <v>108</v>
      </c>
      <c r="G173" s="122"/>
      <c r="J173" s="42" t="s">
        <v>741</v>
      </c>
      <c r="K173" s="14">
        <v>330760</v>
      </c>
      <c r="L173" s="14">
        <v>324370</v>
      </c>
      <c r="N173">
        <v>7650</v>
      </c>
      <c r="O173">
        <v>29600</v>
      </c>
    </row>
    <row r="174" spans="1:15" x14ac:dyDescent="0.3">
      <c r="A174" s="38">
        <v>46128</v>
      </c>
      <c r="B174" t="s">
        <v>54</v>
      </c>
      <c r="C174" s="11">
        <v>1500</v>
      </c>
      <c r="D174" s="11"/>
      <c r="E174" t="s">
        <v>385</v>
      </c>
      <c r="F174" s="108" t="s">
        <v>108</v>
      </c>
      <c r="G174" s="122"/>
      <c r="J174" s="42" t="s">
        <v>742</v>
      </c>
      <c r="K174" s="14">
        <v>753600</v>
      </c>
      <c r="L174" s="14">
        <v>749025</v>
      </c>
      <c r="N174">
        <v>25000</v>
      </c>
      <c r="O174">
        <v>20000</v>
      </c>
    </row>
    <row r="175" spans="1:15" x14ac:dyDescent="0.3">
      <c r="A175" s="38">
        <v>46129</v>
      </c>
      <c r="B175" t="s">
        <v>386</v>
      </c>
      <c r="C175" s="11">
        <v>1437</v>
      </c>
      <c r="D175" s="11"/>
      <c r="E175" t="s">
        <v>387</v>
      </c>
      <c r="F175" s="108" t="s">
        <v>108</v>
      </c>
      <c r="J175" s="42" t="s">
        <v>743</v>
      </c>
      <c r="K175" s="14">
        <v>154000</v>
      </c>
      <c r="L175" s="14">
        <v>159430</v>
      </c>
      <c r="N175">
        <v>12000</v>
      </c>
      <c r="O175">
        <v>20800</v>
      </c>
    </row>
    <row r="176" spans="1:15" x14ac:dyDescent="0.3">
      <c r="A176" s="38">
        <v>46129</v>
      </c>
      <c r="B176" t="s">
        <v>211</v>
      </c>
      <c r="C176" s="11">
        <v>2880</v>
      </c>
      <c r="D176" s="11"/>
      <c r="F176" s="108" t="s">
        <v>108</v>
      </c>
      <c r="J176" s="42" t="s">
        <v>744</v>
      </c>
      <c r="K176" s="14">
        <v>753900</v>
      </c>
      <c r="L176" s="14">
        <v>762216</v>
      </c>
      <c r="N176">
        <v>22650</v>
      </c>
      <c r="O176">
        <v>19200</v>
      </c>
    </row>
    <row r="177" spans="1:15" x14ac:dyDescent="0.3">
      <c r="A177" s="111">
        <v>46129</v>
      </c>
      <c r="B177" t="s">
        <v>55</v>
      </c>
      <c r="C177" s="11">
        <v>6000</v>
      </c>
      <c r="D177" s="11"/>
      <c r="E177" t="s">
        <v>388</v>
      </c>
      <c r="F177" s="108" t="s">
        <v>108</v>
      </c>
      <c r="J177" s="42" t="s">
        <v>745</v>
      </c>
      <c r="K177" s="14">
        <v>167000</v>
      </c>
      <c r="L177" s="14">
        <v>169150</v>
      </c>
      <c r="N177">
        <v>22650</v>
      </c>
    </row>
    <row r="178" spans="1:15" x14ac:dyDescent="0.3">
      <c r="A178" s="38">
        <v>46129</v>
      </c>
      <c r="B178" t="s">
        <v>221</v>
      </c>
      <c r="C178" s="11">
        <v>50000</v>
      </c>
      <c r="D178" s="11"/>
      <c r="E178" t="s">
        <v>389</v>
      </c>
      <c r="F178" s="108" t="s">
        <v>108</v>
      </c>
      <c r="J178" s="42" t="s">
        <v>746</v>
      </c>
      <c r="K178" s="14">
        <v>188650</v>
      </c>
      <c r="L178" s="14">
        <v>178290</v>
      </c>
      <c r="N178">
        <v>24400</v>
      </c>
    </row>
    <row r="179" spans="1:15" x14ac:dyDescent="0.3">
      <c r="A179" s="38">
        <v>46129</v>
      </c>
      <c r="B179" t="s">
        <v>54</v>
      </c>
      <c r="C179" s="11">
        <v>2010</v>
      </c>
      <c r="D179" s="11"/>
      <c r="E179" t="s">
        <v>390</v>
      </c>
      <c r="F179" s="108" t="s">
        <v>108</v>
      </c>
      <c r="J179" s="42" t="s">
        <v>747</v>
      </c>
      <c r="K179" s="14">
        <v>600000</v>
      </c>
      <c r="L179" s="14">
        <v>143682</v>
      </c>
      <c r="N179">
        <v>15000</v>
      </c>
      <c r="O179">
        <v>20850</v>
      </c>
    </row>
    <row r="180" spans="1:15" x14ac:dyDescent="0.3">
      <c r="A180" s="38">
        <v>46129</v>
      </c>
      <c r="B180" t="s">
        <v>55</v>
      </c>
      <c r="C180" s="11">
        <v>1320</v>
      </c>
      <c r="D180" s="11"/>
      <c r="F180" s="108" t="s">
        <v>108</v>
      </c>
      <c r="J180" s="42" t="s">
        <v>889</v>
      </c>
      <c r="K180" s="14">
        <v>5434</v>
      </c>
      <c r="L180" s="14">
        <v>5434</v>
      </c>
      <c r="N180">
        <v>22650</v>
      </c>
      <c r="O180">
        <v>16630</v>
      </c>
    </row>
    <row r="181" spans="1:15" x14ac:dyDescent="0.3">
      <c r="A181" s="38">
        <v>46129</v>
      </c>
      <c r="B181" t="s">
        <v>54</v>
      </c>
      <c r="C181" s="11">
        <v>1000</v>
      </c>
      <c r="D181" s="11"/>
      <c r="F181" s="108" t="s">
        <v>108</v>
      </c>
      <c r="J181" s="42" t="s">
        <v>748</v>
      </c>
      <c r="K181" s="14">
        <v>203520</v>
      </c>
      <c r="L181" s="14">
        <v>391020</v>
      </c>
      <c r="N181">
        <v>25000</v>
      </c>
      <c r="O181">
        <v>16630</v>
      </c>
    </row>
    <row r="182" spans="1:15" x14ac:dyDescent="0.3">
      <c r="A182" s="38">
        <v>46130</v>
      </c>
      <c r="B182" t="s">
        <v>55</v>
      </c>
      <c r="C182" s="11">
        <v>1370</v>
      </c>
      <c r="D182" s="11"/>
      <c r="E182" t="s">
        <v>284</v>
      </c>
      <c r="F182" s="108" t="s">
        <v>108</v>
      </c>
      <c r="J182" s="42" t="s">
        <v>749</v>
      </c>
      <c r="K182" s="14"/>
      <c r="L182" s="14">
        <v>43290</v>
      </c>
      <c r="N182">
        <v>20000</v>
      </c>
      <c r="O182">
        <v>7650</v>
      </c>
    </row>
    <row r="183" spans="1:15" x14ac:dyDescent="0.3">
      <c r="A183" s="111">
        <v>46130</v>
      </c>
      <c r="B183" t="s">
        <v>219</v>
      </c>
      <c r="C183" s="11"/>
      <c r="D183" s="11">
        <v>1370</v>
      </c>
      <c r="E183" t="s">
        <v>284</v>
      </c>
      <c r="F183" s="108" t="s">
        <v>108</v>
      </c>
      <c r="J183" s="42" t="s">
        <v>750</v>
      </c>
      <c r="K183" s="14">
        <v>1323328</v>
      </c>
      <c r="L183" s="14">
        <v>1552352</v>
      </c>
      <c r="N183">
        <v>16650</v>
      </c>
      <c r="O183">
        <v>17000</v>
      </c>
    </row>
    <row r="184" spans="1:15" x14ac:dyDescent="0.3">
      <c r="A184" s="38">
        <v>46130</v>
      </c>
      <c r="B184" t="s">
        <v>269</v>
      </c>
      <c r="C184" s="11">
        <v>5000</v>
      </c>
      <c r="D184" s="11"/>
      <c r="E184" t="s">
        <v>391</v>
      </c>
      <c r="F184" s="108" t="s">
        <v>108</v>
      </c>
      <c r="J184" s="42" t="s">
        <v>751</v>
      </c>
      <c r="K184" s="14">
        <v>1204000</v>
      </c>
      <c r="L184" s="14">
        <v>123100</v>
      </c>
      <c r="N184">
        <v>29600</v>
      </c>
      <c r="O184">
        <v>16650</v>
      </c>
    </row>
    <row r="185" spans="1:15" x14ac:dyDescent="0.3">
      <c r="A185" s="38">
        <v>46130</v>
      </c>
      <c r="B185" t="s">
        <v>357</v>
      </c>
      <c r="C185" s="11">
        <v>10000</v>
      </c>
      <c r="D185" s="11"/>
      <c r="E185" t="s">
        <v>326</v>
      </c>
      <c r="F185" s="108" t="s">
        <v>108</v>
      </c>
      <c r="J185" s="42" t="s">
        <v>752</v>
      </c>
      <c r="K185" s="14">
        <v>250740</v>
      </c>
      <c r="L185" s="14">
        <v>1311448</v>
      </c>
      <c r="N185">
        <v>16630</v>
      </c>
      <c r="O185">
        <v>24400</v>
      </c>
    </row>
    <row r="186" spans="1:15" x14ac:dyDescent="0.3">
      <c r="A186" s="38">
        <v>46130</v>
      </c>
      <c r="B186" t="s">
        <v>9</v>
      </c>
      <c r="C186" s="11"/>
      <c r="D186" s="11">
        <v>100000</v>
      </c>
      <c r="E186" t="s">
        <v>109</v>
      </c>
      <c r="F186" s="108" t="s">
        <v>108</v>
      </c>
      <c r="J186" s="42" t="s">
        <v>783</v>
      </c>
      <c r="K186" s="14">
        <v>729150</v>
      </c>
      <c r="L186" s="14">
        <v>748550</v>
      </c>
      <c r="N186">
        <v>16650</v>
      </c>
      <c r="O186">
        <v>15000</v>
      </c>
    </row>
    <row r="187" spans="1:15" x14ac:dyDescent="0.3">
      <c r="A187" s="38">
        <v>46130</v>
      </c>
      <c r="B187" t="s">
        <v>115</v>
      </c>
      <c r="C187" s="11">
        <v>100000</v>
      </c>
      <c r="D187" s="11"/>
      <c r="E187" t="s">
        <v>109</v>
      </c>
      <c r="F187" s="108" t="s">
        <v>108</v>
      </c>
      <c r="J187" s="42" t="s">
        <v>784</v>
      </c>
      <c r="K187" s="14">
        <v>265000</v>
      </c>
      <c r="L187" s="14">
        <v>257950</v>
      </c>
      <c r="N187">
        <v>160000</v>
      </c>
      <c r="O187">
        <v>16650</v>
      </c>
    </row>
    <row r="188" spans="1:15" x14ac:dyDescent="0.3">
      <c r="A188" s="38">
        <v>46130</v>
      </c>
      <c r="B188" t="s">
        <v>55</v>
      </c>
      <c r="C188" s="11">
        <v>1100</v>
      </c>
      <c r="D188" s="11"/>
      <c r="F188" s="108" t="s">
        <v>108</v>
      </c>
      <c r="J188" s="42" t="s">
        <v>785</v>
      </c>
      <c r="K188" s="14">
        <v>24396</v>
      </c>
      <c r="L188" s="14">
        <v>13289</v>
      </c>
      <c r="N188">
        <v>17000</v>
      </c>
      <c r="O188">
        <v>13650</v>
      </c>
    </row>
    <row r="189" spans="1:15" x14ac:dyDescent="0.3">
      <c r="A189" s="38">
        <v>46130</v>
      </c>
      <c r="B189" t="s">
        <v>357</v>
      </c>
      <c r="C189" s="11">
        <v>30000</v>
      </c>
      <c r="D189" s="11"/>
      <c r="E189" t="s">
        <v>392</v>
      </c>
      <c r="F189" s="108" t="s">
        <v>108</v>
      </c>
      <c r="J189" s="42" t="s">
        <v>786</v>
      </c>
      <c r="K189" s="14">
        <v>2172410</v>
      </c>
      <c r="L189" s="14">
        <v>2169256</v>
      </c>
      <c r="N189">
        <v>19200</v>
      </c>
      <c r="O189">
        <v>12000</v>
      </c>
    </row>
    <row r="190" spans="1:15" x14ac:dyDescent="0.3">
      <c r="A190" s="38">
        <v>46130</v>
      </c>
      <c r="B190" t="s">
        <v>55</v>
      </c>
      <c r="C190" s="11">
        <v>1800</v>
      </c>
      <c r="D190" s="11"/>
      <c r="F190" s="108" t="s">
        <v>108</v>
      </c>
      <c r="J190" s="42" t="s">
        <v>853</v>
      </c>
      <c r="K190" s="14">
        <v>253306</v>
      </c>
      <c r="L190" s="14">
        <v>272546</v>
      </c>
      <c r="N190">
        <v>20000</v>
      </c>
      <c r="O190">
        <v>14000</v>
      </c>
    </row>
    <row r="191" spans="1:15" x14ac:dyDescent="0.3">
      <c r="A191" s="38">
        <v>46130</v>
      </c>
      <c r="B191" t="s">
        <v>55</v>
      </c>
      <c r="C191" s="11">
        <v>550</v>
      </c>
      <c r="D191" s="11"/>
      <c r="F191" s="108" t="s">
        <v>108</v>
      </c>
      <c r="J191" s="42" t="s">
        <v>854</v>
      </c>
      <c r="K191" s="14">
        <v>343000</v>
      </c>
      <c r="L191" s="14">
        <v>308470</v>
      </c>
      <c r="N191">
        <v>20850</v>
      </c>
      <c r="O191">
        <v>25000</v>
      </c>
    </row>
    <row r="192" spans="1:15" x14ac:dyDescent="0.3">
      <c r="A192" s="38">
        <v>46130</v>
      </c>
      <c r="B192" t="s">
        <v>54</v>
      </c>
      <c r="C192" s="11">
        <v>950</v>
      </c>
      <c r="D192" s="11"/>
      <c r="F192" s="108" t="s">
        <v>108</v>
      </c>
      <c r="J192" s="42" t="s">
        <v>855</v>
      </c>
      <c r="K192" s="14">
        <v>50000</v>
      </c>
      <c r="L192" s="14">
        <v>86461</v>
      </c>
      <c r="N192">
        <v>16650</v>
      </c>
      <c r="O192">
        <v>20000</v>
      </c>
    </row>
    <row r="193" spans="1:15" x14ac:dyDescent="0.3">
      <c r="A193" s="38">
        <v>46130</v>
      </c>
      <c r="B193" t="s">
        <v>221</v>
      </c>
      <c r="C193" s="11">
        <v>48800</v>
      </c>
      <c r="D193" s="11"/>
      <c r="E193" t="s">
        <v>393</v>
      </c>
      <c r="F193" s="108" t="s">
        <v>108</v>
      </c>
      <c r="J193" s="42" t="s">
        <v>856</v>
      </c>
      <c r="K193" s="14">
        <v>10000</v>
      </c>
      <c r="L193" s="14">
        <v>11800</v>
      </c>
      <c r="N193">
        <v>14000</v>
      </c>
      <c r="O193">
        <v>25000</v>
      </c>
    </row>
    <row r="194" spans="1:15" x14ac:dyDescent="0.3">
      <c r="A194" s="38">
        <v>46130</v>
      </c>
      <c r="B194" t="s">
        <v>35</v>
      </c>
      <c r="C194" s="11"/>
      <c r="D194" s="11">
        <v>123800</v>
      </c>
      <c r="F194" s="108" t="s">
        <v>108</v>
      </c>
      <c r="J194" s="42" t="s">
        <v>857</v>
      </c>
      <c r="K194" s="14">
        <v>10000</v>
      </c>
      <c r="L194" s="14">
        <v>10110</v>
      </c>
      <c r="N194">
        <v>3900</v>
      </c>
      <c r="O194">
        <v>3900</v>
      </c>
    </row>
    <row r="195" spans="1:15" x14ac:dyDescent="0.3">
      <c r="A195" s="38">
        <v>46130</v>
      </c>
      <c r="B195" t="s">
        <v>219</v>
      </c>
      <c r="C195" s="11"/>
      <c r="D195" s="11">
        <v>48800</v>
      </c>
      <c r="E195" t="s">
        <v>394</v>
      </c>
      <c r="F195" s="108" t="s">
        <v>108</v>
      </c>
      <c r="J195" s="42" t="s">
        <v>858</v>
      </c>
      <c r="K195" s="14">
        <v>770000</v>
      </c>
      <c r="L195" s="14">
        <v>665420</v>
      </c>
      <c r="N195">
        <v>35000</v>
      </c>
      <c r="O195">
        <v>18120</v>
      </c>
    </row>
    <row r="196" spans="1:15" x14ac:dyDescent="0.3">
      <c r="A196" s="38">
        <v>46130</v>
      </c>
      <c r="B196" t="s">
        <v>219</v>
      </c>
      <c r="C196" s="11">
        <v>123800</v>
      </c>
      <c r="D196" s="11"/>
      <c r="E196" t="s">
        <v>395</v>
      </c>
      <c r="F196" s="108" t="s">
        <v>108</v>
      </c>
      <c r="J196" s="42" t="s">
        <v>859</v>
      </c>
      <c r="K196" s="14">
        <v>5000</v>
      </c>
      <c r="L196" s="14">
        <v>41600</v>
      </c>
      <c r="O196">
        <v>22650</v>
      </c>
    </row>
    <row r="197" spans="1:15" x14ac:dyDescent="0.3">
      <c r="A197" s="38">
        <v>46131</v>
      </c>
      <c r="B197" t="s">
        <v>269</v>
      </c>
      <c r="C197" s="11">
        <v>75000</v>
      </c>
      <c r="D197" s="11"/>
      <c r="E197" t="s">
        <v>396</v>
      </c>
      <c r="F197" s="108" t="s">
        <v>108</v>
      </c>
      <c r="J197" s="4" t="s">
        <v>860</v>
      </c>
      <c r="K197" s="14">
        <v>10964161</v>
      </c>
      <c r="L197" s="14">
        <v>10789008</v>
      </c>
      <c r="O197">
        <v>22650</v>
      </c>
    </row>
    <row r="198" spans="1:15" x14ac:dyDescent="0.3">
      <c r="A198" s="38">
        <v>46131</v>
      </c>
      <c r="B198" t="s">
        <v>219</v>
      </c>
      <c r="C198" s="11"/>
      <c r="D198" s="11">
        <v>75000</v>
      </c>
      <c r="E198" t="s">
        <v>397</v>
      </c>
      <c r="F198" s="108" t="s">
        <v>108</v>
      </c>
      <c r="J198" s="4" t="s">
        <v>1067</v>
      </c>
      <c r="K198" s="14">
        <v>1221864</v>
      </c>
      <c r="L198" s="14">
        <v>1215866</v>
      </c>
      <c r="O198">
        <v>160000</v>
      </c>
    </row>
    <row r="199" spans="1:15" x14ac:dyDescent="0.3">
      <c r="A199" s="38">
        <v>46131</v>
      </c>
      <c r="B199" t="s">
        <v>116</v>
      </c>
      <c r="C199" s="11">
        <v>31000</v>
      </c>
      <c r="D199" s="11"/>
      <c r="E199" t="s">
        <v>61</v>
      </c>
      <c r="F199" s="108" t="s">
        <v>108</v>
      </c>
      <c r="J199" s="4" t="s">
        <v>28</v>
      </c>
      <c r="K199" s="14">
        <v>47415762.229517192</v>
      </c>
      <c r="L199" s="14">
        <v>47154258.68</v>
      </c>
    </row>
    <row r="200" spans="1:15" x14ac:dyDescent="0.3">
      <c r="A200" s="38">
        <v>46131</v>
      </c>
      <c r="B200" t="s">
        <v>219</v>
      </c>
      <c r="C200" s="11"/>
      <c r="D200" s="11">
        <v>31000</v>
      </c>
      <c r="E200" t="s">
        <v>316</v>
      </c>
      <c r="F200" s="108" t="s">
        <v>108</v>
      </c>
    </row>
    <row r="201" spans="1:15" x14ac:dyDescent="0.3">
      <c r="A201" s="38">
        <v>46131</v>
      </c>
      <c r="B201" t="s">
        <v>219</v>
      </c>
      <c r="C201" s="11"/>
      <c r="D201" s="11">
        <v>48500</v>
      </c>
      <c r="E201" t="s">
        <v>398</v>
      </c>
      <c r="F201" s="108" t="s">
        <v>108</v>
      </c>
    </row>
    <row r="202" spans="1:15" x14ac:dyDescent="0.3">
      <c r="A202" s="38">
        <v>46131</v>
      </c>
      <c r="B202" t="s">
        <v>222</v>
      </c>
      <c r="C202" s="11">
        <v>48500</v>
      </c>
      <c r="D202" s="11"/>
      <c r="E202" t="s">
        <v>240</v>
      </c>
      <c r="F202" s="108" t="s">
        <v>108</v>
      </c>
    </row>
    <row r="203" spans="1:15" x14ac:dyDescent="0.3">
      <c r="A203" s="38">
        <v>46131</v>
      </c>
      <c r="B203" t="s">
        <v>386</v>
      </c>
      <c r="C203" s="11">
        <v>3000</v>
      </c>
      <c r="D203" s="11"/>
      <c r="E203" t="s">
        <v>266</v>
      </c>
      <c r="F203" s="108" t="s">
        <v>108</v>
      </c>
    </row>
    <row r="204" spans="1:15" x14ac:dyDescent="0.3">
      <c r="A204" s="38">
        <v>46131</v>
      </c>
      <c r="B204" t="s">
        <v>425</v>
      </c>
      <c r="C204" s="11">
        <v>25000</v>
      </c>
      <c r="D204" s="11"/>
      <c r="E204" t="s">
        <v>240</v>
      </c>
      <c r="F204" s="108" t="s">
        <v>108</v>
      </c>
    </row>
    <row r="205" spans="1:15" x14ac:dyDescent="0.3">
      <c r="A205" s="38">
        <v>46131</v>
      </c>
      <c r="B205" t="s">
        <v>244</v>
      </c>
      <c r="C205" s="11">
        <v>480</v>
      </c>
      <c r="D205" s="11"/>
      <c r="E205" t="s">
        <v>399</v>
      </c>
      <c r="F205" s="108" t="s">
        <v>108</v>
      </c>
    </row>
    <row r="206" spans="1:15" x14ac:dyDescent="0.3">
      <c r="A206" s="38">
        <v>46131</v>
      </c>
      <c r="B206" t="s">
        <v>386</v>
      </c>
      <c r="C206" s="11">
        <v>4000</v>
      </c>
      <c r="D206" s="11" t="s">
        <v>400</v>
      </c>
      <c r="E206" t="s">
        <v>401</v>
      </c>
      <c r="F206" s="108" t="s">
        <v>108</v>
      </c>
    </row>
    <row r="207" spans="1:15" x14ac:dyDescent="0.3">
      <c r="A207" s="38">
        <v>46131</v>
      </c>
      <c r="B207" t="s">
        <v>55</v>
      </c>
      <c r="C207" s="11">
        <v>5400</v>
      </c>
      <c r="D207" s="11"/>
      <c r="E207" t="s">
        <v>402</v>
      </c>
      <c r="F207" s="108" t="s">
        <v>108</v>
      </c>
    </row>
    <row r="208" spans="1:15" x14ac:dyDescent="0.3">
      <c r="A208" s="38">
        <v>46132</v>
      </c>
      <c r="B208" t="s">
        <v>54</v>
      </c>
      <c r="C208" s="11">
        <v>7014</v>
      </c>
      <c r="D208" s="11"/>
      <c r="E208" t="s">
        <v>254</v>
      </c>
      <c r="F208" s="108"/>
    </row>
    <row r="209" spans="1:6" x14ac:dyDescent="0.3">
      <c r="A209" s="38">
        <v>46132</v>
      </c>
      <c r="B209" t="s">
        <v>219</v>
      </c>
      <c r="C209" s="11"/>
      <c r="D209" s="11">
        <v>15000</v>
      </c>
      <c r="E209" t="s">
        <v>403</v>
      </c>
      <c r="F209" s="108" t="s">
        <v>108</v>
      </c>
    </row>
    <row r="210" spans="1:6" x14ac:dyDescent="0.3">
      <c r="A210" s="38">
        <v>46132</v>
      </c>
      <c r="B210" t="s">
        <v>211</v>
      </c>
      <c r="C210" s="11"/>
      <c r="D210" s="11">
        <v>8800</v>
      </c>
      <c r="E210" t="s">
        <v>404</v>
      </c>
      <c r="F210" s="108" t="s">
        <v>108</v>
      </c>
    </row>
    <row r="211" spans="1:6" x14ac:dyDescent="0.3">
      <c r="A211" s="38">
        <v>46132</v>
      </c>
      <c r="B211" t="s">
        <v>386</v>
      </c>
      <c r="C211" s="11">
        <v>8800</v>
      </c>
      <c r="D211" s="11"/>
      <c r="E211" t="s">
        <v>404</v>
      </c>
      <c r="F211" s="108" t="s">
        <v>108</v>
      </c>
    </row>
    <row r="212" spans="1:6" x14ac:dyDescent="0.3">
      <c r="A212" s="38">
        <v>46132</v>
      </c>
      <c r="B212" t="s">
        <v>219</v>
      </c>
      <c r="C212" s="11"/>
      <c r="D212" s="11">
        <v>50000</v>
      </c>
      <c r="E212" t="s">
        <v>405</v>
      </c>
      <c r="F212" s="108" t="s">
        <v>108</v>
      </c>
    </row>
    <row r="213" spans="1:6" x14ac:dyDescent="0.3">
      <c r="A213" s="38">
        <v>46132</v>
      </c>
      <c r="B213" t="s">
        <v>269</v>
      </c>
      <c r="C213" s="11">
        <v>50000</v>
      </c>
      <c r="D213" s="11"/>
      <c r="E213" t="s">
        <v>406</v>
      </c>
      <c r="F213" s="108" t="s">
        <v>108</v>
      </c>
    </row>
    <row r="214" spans="1:6" x14ac:dyDescent="0.3">
      <c r="A214" s="38">
        <v>46132</v>
      </c>
      <c r="B214" t="s">
        <v>55</v>
      </c>
      <c r="C214" s="11">
        <v>4000</v>
      </c>
      <c r="D214" s="11"/>
      <c r="F214" s="108" t="s">
        <v>108</v>
      </c>
    </row>
    <row r="215" spans="1:6" x14ac:dyDescent="0.3">
      <c r="A215" s="38">
        <v>46132</v>
      </c>
      <c r="B215" t="s">
        <v>219</v>
      </c>
      <c r="C215" s="11"/>
      <c r="D215" s="11">
        <v>50000</v>
      </c>
      <c r="E215" t="s">
        <v>407</v>
      </c>
      <c r="F215" s="108" t="s">
        <v>108</v>
      </c>
    </row>
    <row r="216" spans="1:6" x14ac:dyDescent="0.3">
      <c r="A216" s="111">
        <v>46132</v>
      </c>
      <c r="B216" t="s">
        <v>116</v>
      </c>
      <c r="C216" s="11">
        <v>31200</v>
      </c>
      <c r="D216" s="11"/>
      <c r="E216" t="s">
        <v>61</v>
      </c>
      <c r="F216" s="108" t="s">
        <v>108</v>
      </c>
    </row>
    <row r="217" spans="1:6" x14ac:dyDescent="0.3">
      <c r="A217" s="38">
        <v>46132</v>
      </c>
      <c r="B217" t="s">
        <v>357</v>
      </c>
      <c r="C217" s="11">
        <v>19685</v>
      </c>
      <c r="D217" s="11"/>
      <c r="F217" s="108" t="s">
        <v>108</v>
      </c>
    </row>
    <row r="218" spans="1:6" x14ac:dyDescent="0.3">
      <c r="A218" s="38">
        <v>46132</v>
      </c>
      <c r="B218" t="s">
        <v>54</v>
      </c>
      <c r="C218" s="95">
        <v>600</v>
      </c>
      <c r="D218" s="95"/>
      <c r="E218" t="s">
        <v>289</v>
      </c>
      <c r="F218" s="108" t="s">
        <v>108</v>
      </c>
    </row>
    <row r="219" spans="1:6" x14ac:dyDescent="0.3">
      <c r="A219" s="38">
        <v>46132</v>
      </c>
      <c r="B219" t="s">
        <v>219</v>
      </c>
      <c r="C219" s="11"/>
      <c r="D219" s="11">
        <v>280000</v>
      </c>
      <c r="E219" t="s">
        <v>408</v>
      </c>
      <c r="F219" s="108" t="s">
        <v>108</v>
      </c>
    </row>
    <row r="220" spans="1:6" x14ac:dyDescent="0.3">
      <c r="A220" s="38">
        <v>46132</v>
      </c>
      <c r="B220" t="s">
        <v>168</v>
      </c>
      <c r="C220" s="11">
        <v>150000</v>
      </c>
      <c r="D220" s="11"/>
      <c r="E220" t="s">
        <v>409</v>
      </c>
      <c r="F220" s="108" t="s">
        <v>108</v>
      </c>
    </row>
    <row r="221" spans="1:6" x14ac:dyDescent="0.3">
      <c r="A221" s="38">
        <v>46132</v>
      </c>
      <c r="B221" t="s">
        <v>257</v>
      </c>
      <c r="C221" s="95">
        <v>100000</v>
      </c>
      <c r="D221" s="95"/>
      <c r="E221" t="s">
        <v>410</v>
      </c>
      <c r="F221" s="108" t="s">
        <v>108</v>
      </c>
    </row>
    <row r="222" spans="1:6" x14ac:dyDescent="0.3">
      <c r="A222" s="38">
        <v>46132</v>
      </c>
      <c r="B222" t="s">
        <v>386</v>
      </c>
      <c r="C222" s="95">
        <v>20000</v>
      </c>
      <c r="D222" s="95"/>
      <c r="E222" t="s">
        <v>411</v>
      </c>
      <c r="F222" s="108" t="s">
        <v>108</v>
      </c>
    </row>
    <row r="223" spans="1:6" x14ac:dyDescent="0.3">
      <c r="A223" s="38">
        <v>46132</v>
      </c>
      <c r="B223" t="s">
        <v>269</v>
      </c>
      <c r="C223" s="95">
        <v>10000</v>
      </c>
      <c r="D223" s="95"/>
      <c r="E223" t="s">
        <v>252</v>
      </c>
      <c r="F223" s="108" t="s">
        <v>108</v>
      </c>
    </row>
    <row r="224" spans="1:6" x14ac:dyDescent="0.3">
      <c r="A224" s="111">
        <v>46132</v>
      </c>
      <c r="B224" t="s">
        <v>54</v>
      </c>
      <c r="C224" s="95">
        <v>4226</v>
      </c>
      <c r="D224" s="95"/>
      <c r="E224" t="s">
        <v>174</v>
      </c>
      <c r="F224" s="108" t="s">
        <v>108</v>
      </c>
    </row>
    <row r="225" spans="1:7" x14ac:dyDescent="0.3">
      <c r="A225" s="111">
        <v>46132</v>
      </c>
      <c r="B225" t="s">
        <v>367</v>
      </c>
      <c r="C225" s="11"/>
      <c r="D225" s="11">
        <v>4226</v>
      </c>
      <c r="E225" t="s">
        <v>54</v>
      </c>
      <c r="F225" s="108" t="s">
        <v>108</v>
      </c>
    </row>
    <row r="226" spans="1:7" x14ac:dyDescent="0.3">
      <c r="A226" s="38">
        <v>46133</v>
      </c>
      <c r="B226" t="s">
        <v>367</v>
      </c>
      <c r="C226" s="11"/>
      <c r="D226" s="11">
        <v>1000000</v>
      </c>
      <c r="E226" t="s">
        <v>413</v>
      </c>
      <c r="F226" s="108" t="s">
        <v>108</v>
      </c>
    </row>
    <row r="227" spans="1:7" x14ac:dyDescent="0.3">
      <c r="A227" s="111">
        <v>46133</v>
      </c>
      <c r="B227" t="s">
        <v>55</v>
      </c>
      <c r="C227" s="11">
        <v>4000</v>
      </c>
      <c r="D227" s="11"/>
      <c r="F227" s="108" t="s">
        <v>108</v>
      </c>
    </row>
    <row r="228" spans="1:7" x14ac:dyDescent="0.3">
      <c r="A228" s="111">
        <v>46133</v>
      </c>
      <c r="B228" t="s">
        <v>51</v>
      </c>
      <c r="C228" s="11">
        <v>923841</v>
      </c>
      <c r="D228" s="11"/>
      <c r="E228" t="s">
        <v>414</v>
      </c>
      <c r="F228" s="108" t="s">
        <v>108</v>
      </c>
    </row>
    <row r="229" spans="1:7" x14ac:dyDescent="0.3">
      <c r="A229" s="111">
        <v>46133</v>
      </c>
      <c r="B229" t="s">
        <v>55</v>
      </c>
      <c r="C229" s="11">
        <v>1560</v>
      </c>
      <c r="D229" s="11"/>
      <c r="E229" t="s">
        <v>281</v>
      </c>
      <c r="F229" s="108" t="s">
        <v>108</v>
      </c>
    </row>
    <row r="230" spans="1:7" x14ac:dyDescent="0.3">
      <c r="A230" s="111">
        <v>46133</v>
      </c>
      <c r="B230" t="s">
        <v>55</v>
      </c>
      <c r="C230" s="11">
        <v>3700</v>
      </c>
      <c r="D230" s="11"/>
      <c r="E230" t="s">
        <v>281</v>
      </c>
      <c r="F230" s="108" t="s">
        <v>108</v>
      </c>
    </row>
    <row r="231" spans="1:7" x14ac:dyDescent="0.3">
      <c r="A231" s="111">
        <v>46133</v>
      </c>
      <c r="B231" t="s">
        <v>55</v>
      </c>
      <c r="C231" s="11">
        <v>2350</v>
      </c>
      <c r="D231" s="11"/>
      <c r="E231" t="s">
        <v>415</v>
      </c>
      <c r="F231" s="108" t="s">
        <v>108</v>
      </c>
    </row>
    <row r="232" spans="1:7" x14ac:dyDescent="0.3">
      <c r="A232" s="111">
        <v>46133</v>
      </c>
      <c r="B232" t="s">
        <v>372</v>
      </c>
      <c r="C232" s="11">
        <v>50000</v>
      </c>
      <c r="D232" s="11"/>
      <c r="E232" t="s">
        <v>416</v>
      </c>
      <c r="F232" s="108" t="s">
        <v>108</v>
      </c>
    </row>
    <row r="233" spans="1:7" x14ac:dyDescent="0.3">
      <c r="A233" s="111">
        <v>46133</v>
      </c>
      <c r="B233" t="s">
        <v>219</v>
      </c>
      <c r="C233" s="11"/>
      <c r="D233" s="11">
        <v>50000</v>
      </c>
      <c r="E233" t="s">
        <v>224</v>
      </c>
      <c r="F233" s="108" t="s">
        <v>108</v>
      </c>
    </row>
    <row r="234" spans="1:7" x14ac:dyDescent="0.3">
      <c r="A234" s="111">
        <v>46133</v>
      </c>
      <c r="B234" t="s">
        <v>269</v>
      </c>
      <c r="C234" s="11">
        <v>25000</v>
      </c>
      <c r="D234" s="11"/>
      <c r="E234" s="130" t="s">
        <v>288</v>
      </c>
      <c r="F234" s="108" t="s">
        <v>108</v>
      </c>
    </row>
    <row r="235" spans="1:7" x14ac:dyDescent="0.3">
      <c r="A235" s="111">
        <v>46133</v>
      </c>
      <c r="B235" t="s">
        <v>219</v>
      </c>
      <c r="C235" s="95"/>
      <c r="D235" s="95">
        <v>800000</v>
      </c>
      <c r="E235" t="s">
        <v>109</v>
      </c>
      <c r="F235" s="108" t="s">
        <v>108</v>
      </c>
    </row>
    <row r="236" spans="1:7" x14ac:dyDescent="0.3">
      <c r="A236" s="111">
        <v>46133</v>
      </c>
      <c r="B236" t="s">
        <v>243</v>
      </c>
      <c r="C236" s="95"/>
      <c r="D236" s="95">
        <v>100000</v>
      </c>
      <c r="E236" t="s">
        <v>109</v>
      </c>
      <c r="F236" s="108" t="s">
        <v>108</v>
      </c>
    </row>
    <row r="237" spans="1:7" x14ac:dyDescent="0.3">
      <c r="A237" s="111">
        <v>46133</v>
      </c>
      <c r="B237" t="s">
        <v>273</v>
      </c>
      <c r="C237" s="11"/>
      <c r="D237" s="11">
        <v>287000</v>
      </c>
      <c r="E237" t="s">
        <v>109</v>
      </c>
      <c r="F237" s="108" t="s">
        <v>108</v>
      </c>
    </row>
    <row r="238" spans="1:7" x14ac:dyDescent="0.3">
      <c r="A238" s="111">
        <v>46133</v>
      </c>
      <c r="B238" t="s">
        <v>219</v>
      </c>
      <c r="C238" s="11">
        <v>387000</v>
      </c>
      <c r="D238" s="11"/>
      <c r="E238" t="s">
        <v>431</v>
      </c>
      <c r="F238" s="108" t="s">
        <v>108</v>
      </c>
    </row>
    <row r="239" spans="1:7" x14ac:dyDescent="0.3">
      <c r="A239" s="138">
        <v>46133</v>
      </c>
      <c r="B239" s="122" t="s">
        <v>253</v>
      </c>
      <c r="C239" s="134">
        <v>495910</v>
      </c>
      <c r="D239" s="134"/>
      <c r="E239" s="122" t="s">
        <v>268</v>
      </c>
      <c r="F239" s="123" t="s">
        <v>108</v>
      </c>
      <c r="G239" s="122"/>
    </row>
    <row r="240" spans="1:7" x14ac:dyDescent="0.3">
      <c r="A240" s="38">
        <v>46133</v>
      </c>
      <c r="B240" t="s">
        <v>253</v>
      </c>
      <c r="C240" s="11">
        <v>45000</v>
      </c>
      <c r="D240" s="11"/>
      <c r="E240" t="s">
        <v>391</v>
      </c>
      <c r="F240" s="108" t="s">
        <v>108</v>
      </c>
    </row>
    <row r="241" spans="1:6" x14ac:dyDescent="0.3">
      <c r="A241" s="38">
        <v>46134</v>
      </c>
      <c r="B241" t="s">
        <v>219</v>
      </c>
      <c r="C241" s="11"/>
      <c r="D241" s="11">
        <v>100000</v>
      </c>
      <c r="E241" t="s">
        <v>417</v>
      </c>
      <c r="F241" s="108" t="s">
        <v>108</v>
      </c>
    </row>
    <row r="242" spans="1:6" x14ac:dyDescent="0.3">
      <c r="A242" s="38">
        <v>46134</v>
      </c>
      <c r="B242" t="s">
        <v>175</v>
      </c>
      <c r="C242" s="11">
        <v>136375</v>
      </c>
      <c r="D242" s="11"/>
      <c r="E242" s="117">
        <v>46123</v>
      </c>
      <c r="F242" s="108" t="s">
        <v>108</v>
      </c>
    </row>
    <row r="243" spans="1:6" x14ac:dyDescent="0.3">
      <c r="A243" s="38">
        <v>46134</v>
      </c>
      <c r="B243" t="s">
        <v>219</v>
      </c>
      <c r="C243" s="11"/>
      <c r="D243" s="11">
        <v>300000</v>
      </c>
      <c r="E243" t="s">
        <v>419</v>
      </c>
      <c r="F243" s="108" t="s">
        <v>108</v>
      </c>
    </row>
    <row r="244" spans="1:6" x14ac:dyDescent="0.3">
      <c r="A244" s="38">
        <v>46134</v>
      </c>
      <c r="B244" t="s">
        <v>222</v>
      </c>
      <c r="C244" s="11">
        <v>200000</v>
      </c>
      <c r="D244" s="11"/>
      <c r="E244" t="s">
        <v>420</v>
      </c>
      <c r="F244" s="108" t="s">
        <v>108</v>
      </c>
    </row>
    <row r="245" spans="1:6" x14ac:dyDescent="0.3">
      <c r="A245" s="38">
        <v>46134</v>
      </c>
      <c r="B245" t="s">
        <v>257</v>
      </c>
      <c r="C245" s="11">
        <v>100000</v>
      </c>
      <c r="D245" s="11"/>
      <c r="E245" t="s">
        <v>421</v>
      </c>
      <c r="F245" s="108" t="s">
        <v>108</v>
      </c>
    </row>
    <row r="246" spans="1:6" x14ac:dyDescent="0.3">
      <c r="A246" s="38">
        <v>46134</v>
      </c>
      <c r="B246" t="s">
        <v>219</v>
      </c>
      <c r="C246" s="95"/>
      <c r="D246" s="95">
        <v>17000</v>
      </c>
      <c r="E246" t="s">
        <v>422</v>
      </c>
      <c r="F246" s="108" t="s">
        <v>108</v>
      </c>
    </row>
    <row r="247" spans="1:6" x14ac:dyDescent="0.3">
      <c r="A247" s="38">
        <v>46134</v>
      </c>
      <c r="B247" t="s">
        <v>253</v>
      </c>
      <c r="C247" s="95">
        <v>16000</v>
      </c>
      <c r="D247" s="95"/>
      <c r="E247" t="s">
        <v>423</v>
      </c>
      <c r="F247" s="108" t="s">
        <v>108</v>
      </c>
    </row>
    <row r="248" spans="1:6" x14ac:dyDescent="0.3">
      <c r="A248" s="38">
        <v>46134</v>
      </c>
      <c r="B248" t="s">
        <v>64</v>
      </c>
      <c r="C248" s="95">
        <v>60000</v>
      </c>
      <c r="D248" s="95"/>
      <c r="E248" t="s">
        <v>424</v>
      </c>
      <c r="F248" s="108" t="s">
        <v>108</v>
      </c>
    </row>
    <row r="249" spans="1:6" x14ac:dyDescent="0.3">
      <c r="A249" s="38">
        <v>46134</v>
      </c>
      <c r="B249" t="s">
        <v>219</v>
      </c>
      <c r="C249" s="95"/>
      <c r="D249" s="95">
        <v>60000</v>
      </c>
      <c r="E249" t="s">
        <v>424</v>
      </c>
      <c r="F249" s="108" t="s">
        <v>108</v>
      </c>
    </row>
    <row r="250" spans="1:6" x14ac:dyDescent="0.3">
      <c r="A250" s="38">
        <v>46134</v>
      </c>
      <c r="B250" t="s">
        <v>55</v>
      </c>
      <c r="C250" s="95">
        <v>2400</v>
      </c>
      <c r="D250" s="95"/>
      <c r="E250" t="s">
        <v>432</v>
      </c>
      <c r="F250" s="108" t="s">
        <v>108</v>
      </c>
    </row>
    <row r="251" spans="1:6" x14ac:dyDescent="0.3">
      <c r="A251" s="38">
        <v>46134</v>
      </c>
      <c r="B251" t="s">
        <v>54</v>
      </c>
      <c r="C251" s="11">
        <v>10000</v>
      </c>
      <c r="D251" s="11"/>
      <c r="E251" t="s">
        <v>433</v>
      </c>
      <c r="F251" s="108" t="s">
        <v>108</v>
      </c>
    </row>
    <row r="252" spans="1:6" x14ac:dyDescent="0.3">
      <c r="A252" s="38">
        <v>46134</v>
      </c>
      <c r="B252" t="s">
        <v>244</v>
      </c>
      <c r="C252" s="11">
        <v>400</v>
      </c>
      <c r="D252" s="11"/>
      <c r="E252" t="s">
        <v>434</v>
      </c>
      <c r="F252" s="108" t="s">
        <v>108</v>
      </c>
    </row>
    <row r="253" spans="1:6" x14ac:dyDescent="0.3">
      <c r="A253" s="38">
        <v>46134</v>
      </c>
      <c r="B253" t="s">
        <v>244</v>
      </c>
      <c r="C253" s="11">
        <v>1050</v>
      </c>
      <c r="D253" s="11"/>
      <c r="E253" t="s">
        <v>435</v>
      </c>
      <c r="F253" s="108" t="s">
        <v>108</v>
      </c>
    </row>
    <row r="254" spans="1:6" x14ac:dyDescent="0.3">
      <c r="A254" s="38">
        <v>46134</v>
      </c>
      <c r="B254" t="s">
        <v>221</v>
      </c>
      <c r="C254" s="11">
        <v>6000</v>
      </c>
      <c r="D254" s="11"/>
      <c r="E254" t="s">
        <v>265</v>
      </c>
      <c r="F254" s="108" t="s">
        <v>108</v>
      </c>
    </row>
    <row r="255" spans="1:6" x14ac:dyDescent="0.3">
      <c r="A255" s="111">
        <v>46134</v>
      </c>
      <c r="B255" t="s">
        <v>168</v>
      </c>
      <c r="C255" s="11">
        <v>2000</v>
      </c>
      <c r="D255" s="11"/>
      <c r="E255" t="s">
        <v>265</v>
      </c>
      <c r="F255" s="108" t="s">
        <v>108</v>
      </c>
    </row>
    <row r="256" spans="1:6" x14ac:dyDescent="0.3">
      <c r="A256" s="111">
        <v>46134</v>
      </c>
      <c r="B256" t="s">
        <v>257</v>
      </c>
      <c r="C256" s="11">
        <v>2000</v>
      </c>
      <c r="D256" s="11"/>
      <c r="E256" t="s">
        <v>265</v>
      </c>
      <c r="F256" s="108" t="s">
        <v>108</v>
      </c>
    </row>
    <row r="257" spans="1:6" x14ac:dyDescent="0.3">
      <c r="A257" s="111">
        <v>46134</v>
      </c>
      <c r="B257" t="s">
        <v>222</v>
      </c>
      <c r="C257" s="95">
        <v>1000</v>
      </c>
      <c r="D257" s="95"/>
      <c r="E257" t="s">
        <v>265</v>
      </c>
      <c r="F257" s="108" t="s">
        <v>108</v>
      </c>
    </row>
    <row r="258" spans="1:6" x14ac:dyDescent="0.3">
      <c r="A258" s="111">
        <v>46134</v>
      </c>
      <c r="B258" t="s">
        <v>425</v>
      </c>
      <c r="C258" s="95">
        <v>1000</v>
      </c>
      <c r="D258" s="95"/>
      <c r="E258" t="s">
        <v>265</v>
      </c>
      <c r="F258" s="108" t="s">
        <v>108</v>
      </c>
    </row>
    <row r="259" spans="1:6" x14ac:dyDescent="0.3">
      <c r="A259" s="111">
        <v>46135</v>
      </c>
      <c r="B259" t="s">
        <v>219</v>
      </c>
      <c r="C259" s="95"/>
      <c r="D259" s="95">
        <v>30000</v>
      </c>
      <c r="E259" t="s">
        <v>425</v>
      </c>
      <c r="F259" s="108" t="s">
        <v>108</v>
      </c>
    </row>
    <row r="260" spans="1:6" x14ac:dyDescent="0.3">
      <c r="A260" s="111">
        <v>46135</v>
      </c>
      <c r="B260" t="s">
        <v>425</v>
      </c>
      <c r="C260" s="95">
        <v>30000</v>
      </c>
      <c r="D260" s="95"/>
      <c r="E260" t="s">
        <v>240</v>
      </c>
      <c r="F260" s="108" t="s">
        <v>108</v>
      </c>
    </row>
    <row r="261" spans="1:6" x14ac:dyDescent="0.3">
      <c r="A261" s="111">
        <v>46135</v>
      </c>
      <c r="B261" t="s">
        <v>55</v>
      </c>
      <c r="C261" s="95">
        <v>2100</v>
      </c>
      <c r="D261" s="95"/>
      <c r="E261" t="s">
        <v>426</v>
      </c>
      <c r="F261" s="108" t="s">
        <v>108</v>
      </c>
    </row>
    <row r="262" spans="1:6" x14ac:dyDescent="0.3">
      <c r="A262" s="111">
        <v>46135</v>
      </c>
      <c r="B262" t="s">
        <v>55</v>
      </c>
      <c r="C262" s="95">
        <v>2600</v>
      </c>
      <c r="D262" s="95"/>
      <c r="E262" t="s">
        <v>427</v>
      </c>
      <c r="F262" s="108" t="s">
        <v>108</v>
      </c>
    </row>
    <row r="263" spans="1:6" x14ac:dyDescent="0.3">
      <c r="A263" s="111">
        <v>46135</v>
      </c>
      <c r="B263" t="s">
        <v>55</v>
      </c>
      <c r="C263" s="95">
        <v>550</v>
      </c>
      <c r="D263" s="95"/>
      <c r="E263" t="s">
        <v>428</v>
      </c>
      <c r="F263" s="108" t="s">
        <v>108</v>
      </c>
    </row>
    <row r="264" spans="1:6" x14ac:dyDescent="0.3">
      <c r="A264" s="111">
        <v>46135</v>
      </c>
      <c r="B264" t="s">
        <v>175</v>
      </c>
      <c r="C264" s="95">
        <v>30000</v>
      </c>
      <c r="D264" s="95"/>
      <c r="E264" t="s">
        <v>125</v>
      </c>
      <c r="F264" s="108" t="s">
        <v>108</v>
      </c>
    </row>
    <row r="265" spans="1:6" x14ac:dyDescent="0.3">
      <c r="A265" s="111">
        <v>46135</v>
      </c>
      <c r="B265" t="s">
        <v>219</v>
      </c>
      <c r="C265" s="95"/>
      <c r="D265" s="95">
        <v>142000</v>
      </c>
      <c r="E265" t="s">
        <v>429</v>
      </c>
      <c r="F265" s="108" t="s">
        <v>108</v>
      </c>
    </row>
    <row r="266" spans="1:6" x14ac:dyDescent="0.3">
      <c r="A266" s="38">
        <v>46135</v>
      </c>
      <c r="B266" t="s">
        <v>257</v>
      </c>
      <c r="C266" s="95">
        <v>100000</v>
      </c>
      <c r="D266" s="95"/>
      <c r="E266" t="s">
        <v>430</v>
      </c>
      <c r="F266" s="108" t="s">
        <v>108</v>
      </c>
    </row>
    <row r="267" spans="1:6" x14ac:dyDescent="0.3">
      <c r="A267" s="38">
        <v>46135</v>
      </c>
      <c r="B267" t="s">
        <v>253</v>
      </c>
      <c r="C267" s="95">
        <v>43000</v>
      </c>
      <c r="D267" s="95"/>
      <c r="E267" t="s">
        <v>262</v>
      </c>
      <c r="F267" s="108" t="s">
        <v>108</v>
      </c>
    </row>
    <row r="268" spans="1:6" x14ac:dyDescent="0.3">
      <c r="A268" s="38">
        <v>46135</v>
      </c>
      <c r="B268" t="s">
        <v>211</v>
      </c>
      <c r="C268" s="95">
        <f>1133+1490+300</f>
        <v>2923</v>
      </c>
      <c r="D268" s="95"/>
      <c r="F268" s="108" t="s">
        <v>108</v>
      </c>
    </row>
    <row r="269" spans="1:6" x14ac:dyDescent="0.3">
      <c r="A269" s="38">
        <v>46135</v>
      </c>
      <c r="B269" t="s">
        <v>55</v>
      </c>
      <c r="C269" s="95">
        <f>10656*2</f>
        <v>21312</v>
      </c>
      <c r="D269" s="95"/>
      <c r="E269" t="s">
        <v>436</v>
      </c>
      <c r="F269" s="108" t="s">
        <v>108</v>
      </c>
    </row>
    <row r="270" spans="1:6" x14ac:dyDescent="0.3">
      <c r="A270" s="38">
        <v>46135</v>
      </c>
      <c r="B270" t="s">
        <v>222</v>
      </c>
      <c r="C270" s="95">
        <v>70000</v>
      </c>
      <c r="D270" s="95"/>
      <c r="E270" t="s">
        <v>240</v>
      </c>
      <c r="F270" s="108" t="s">
        <v>108</v>
      </c>
    </row>
    <row r="271" spans="1:6" x14ac:dyDescent="0.3">
      <c r="A271" s="38">
        <v>46135</v>
      </c>
      <c r="B271" t="s">
        <v>269</v>
      </c>
      <c r="C271" s="95">
        <v>50000</v>
      </c>
      <c r="D271" s="95"/>
      <c r="E271" s="131" t="s">
        <v>437</v>
      </c>
      <c r="F271" s="108" t="s">
        <v>108</v>
      </c>
    </row>
    <row r="272" spans="1:6" x14ac:dyDescent="0.3">
      <c r="A272" s="38">
        <v>46135</v>
      </c>
      <c r="B272" t="s">
        <v>269</v>
      </c>
      <c r="C272" s="95">
        <v>20000</v>
      </c>
      <c r="D272" s="95"/>
      <c r="E272" s="131" t="s">
        <v>288</v>
      </c>
      <c r="F272" s="108" t="s">
        <v>108</v>
      </c>
    </row>
    <row r="273" spans="1:6" x14ac:dyDescent="0.3">
      <c r="A273" s="38">
        <v>46135</v>
      </c>
      <c r="B273" t="s">
        <v>54</v>
      </c>
      <c r="C273" s="95">
        <v>5000</v>
      </c>
      <c r="D273" s="95"/>
      <c r="E273" t="s">
        <v>438</v>
      </c>
      <c r="F273" s="108" t="s">
        <v>108</v>
      </c>
    </row>
    <row r="274" spans="1:6" x14ac:dyDescent="0.3">
      <c r="A274" s="38">
        <v>46135</v>
      </c>
      <c r="B274" t="s">
        <v>55</v>
      </c>
      <c r="C274" s="95">
        <v>5500</v>
      </c>
      <c r="D274" s="95"/>
      <c r="E274" t="s">
        <v>439</v>
      </c>
      <c r="F274" s="108" t="s">
        <v>108</v>
      </c>
    </row>
    <row r="275" spans="1:6" x14ac:dyDescent="0.3">
      <c r="A275" s="38">
        <v>46135</v>
      </c>
      <c r="B275" t="s">
        <v>386</v>
      </c>
      <c r="C275" s="95">
        <f>280+365</f>
        <v>645</v>
      </c>
      <c r="D275" s="95"/>
      <c r="E275" t="s">
        <v>440</v>
      </c>
      <c r="F275" s="108" t="s">
        <v>108</v>
      </c>
    </row>
    <row r="276" spans="1:6" x14ac:dyDescent="0.3">
      <c r="A276" s="38">
        <v>46135</v>
      </c>
      <c r="B276" t="s">
        <v>367</v>
      </c>
      <c r="C276" s="11"/>
      <c r="D276" s="11">
        <v>4414</v>
      </c>
      <c r="E276" t="s">
        <v>54</v>
      </c>
      <c r="F276" s="108" t="s">
        <v>108</v>
      </c>
    </row>
    <row r="277" spans="1:6" x14ac:dyDescent="0.3">
      <c r="A277" s="111">
        <v>46135</v>
      </c>
      <c r="B277" t="s">
        <v>54</v>
      </c>
      <c r="C277" s="95">
        <v>4414</v>
      </c>
      <c r="D277" s="95"/>
      <c r="E277" t="s">
        <v>250</v>
      </c>
      <c r="F277" s="108" t="s">
        <v>108</v>
      </c>
    </row>
    <row r="278" spans="1:6" x14ac:dyDescent="0.3">
      <c r="A278" s="38">
        <v>46136</v>
      </c>
      <c r="B278" t="s">
        <v>211</v>
      </c>
      <c r="C278" s="11">
        <v>1133</v>
      </c>
      <c r="D278" s="11"/>
      <c r="F278" s="108" t="s">
        <v>108</v>
      </c>
    </row>
    <row r="279" spans="1:6" x14ac:dyDescent="0.3">
      <c r="A279" s="111">
        <v>46136</v>
      </c>
      <c r="B279" t="s">
        <v>219</v>
      </c>
      <c r="C279" s="11"/>
      <c r="D279" s="11">
        <v>47400</v>
      </c>
      <c r="E279" t="s">
        <v>316</v>
      </c>
      <c r="F279" s="108" t="s">
        <v>108</v>
      </c>
    </row>
    <row r="280" spans="1:6" x14ac:dyDescent="0.3">
      <c r="A280" s="111">
        <v>46136</v>
      </c>
      <c r="B280" t="s">
        <v>116</v>
      </c>
      <c r="C280" s="11">
        <v>47400</v>
      </c>
      <c r="D280" s="11"/>
      <c r="E280" t="s">
        <v>316</v>
      </c>
      <c r="F280" s="108" t="s">
        <v>108</v>
      </c>
    </row>
    <row r="281" spans="1:6" x14ac:dyDescent="0.3">
      <c r="A281" s="111">
        <v>46136</v>
      </c>
      <c r="B281" t="s">
        <v>55</v>
      </c>
      <c r="C281" s="11">
        <v>32000</v>
      </c>
      <c r="D281" s="11"/>
      <c r="E281" t="s">
        <v>330</v>
      </c>
      <c r="F281" s="108" t="s">
        <v>108</v>
      </c>
    </row>
    <row r="282" spans="1:6" x14ac:dyDescent="0.3">
      <c r="A282" s="111">
        <v>46136</v>
      </c>
      <c r="B282" t="s">
        <v>219</v>
      </c>
      <c r="C282" s="11"/>
      <c r="D282" s="11">
        <v>32000</v>
      </c>
      <c r="E282" t="s">
        <v>330</v>
      </c>
      <c r="F282" s="108" t="s">
        <v>108</v>
      </c>
    </row>
    <row r="283" spans="1:6" x14ac:dyDescent="0.3">
      <c r="A283" s="111">
        <v>46136</v>
      </c>
      <c r="B283" t="s">
        <v>55</v>
      </c>
      <c r="C283" s="11">
        <v>10656</v>
      </c>
      <c r="D283" s="11"/>
      <c r="E283" t="s">
        <v>259</v>
      </c>
      <c r="F283" s="108" t="s">
        <v>108</v>
      </c>
    </row>
    <row r="284" spans="1:6" x14ac:dyDescent="0.3">
      <c r="A284" s="111">
        <v>46137</v>
      </c>
      <c r="B284" t="s">
        <v>244</v>
      </c>
      <c r="C284" s="11">
        <v>400</v>
      </c>
      <c r="D284" s="11"/>
      <c r="E284" t="s">
        <v>449</v>
      </c>
      <c r="F284" s="108" t="s">
        <v>108</v>
      </c>
    </row>
    <row r="285" spans="1:6" x14ac:dyDescent="0.3">
      <c r="A285" s="111">
        <v>46137</v>
      </c>
      <c r="B285" t="s">
        <v>55</v>
      </c>
      <c r="C285" s="11">
        <v>690</v>
      </c>
      <c r="D285" s="11"/>
      <c r="E285" t="s">
        <v>448</v>
      </c>
      <c r="F285" s="108" t="s">
        <v>108</v>
      </c>
    </row>
    <row r="286" spans="1:6" x14ac:dyDescent="0.3">
      <c r="A286" s="111">
        <v>46137</v>
      </c>
      <c r="B286" t="s">
        <v>211</v>
      </c>
      <c r="C286" s="11"/>
      <c r="D286" s="11">
        <v>600</v>
      </c>
      <c r="F286" s="108" t="s">
        <v>108</v>
      </c>
    </row>
    <row r="287" spans="1:6" x14ac:dyDescent="0.3">
      <c r="A287" s="111">
        <v>46137</v>
      </c>
      <c r="B287" t="s">
        <v>269</v>
      </c>
      <c r="C287" s="11">
        <v>3000</v>
      </c>
      <c r="D287" s="11"/>
      <c r="E287" s="131" t="s">
        <v>252</v>
      </c>
      <c r="F287" s="108" t="s">
        <v>108</v>
      </c>
    </row>
    <row r="288" spans="1:6" x14ac:dyDescent="0.3">
      <c r="A288" s="111">
        <v>46137</v>
      </c>
      <c r="B288" t="s">
        <v>219</v>
      </c>
      <c r="C288" s="11"/>
      <c r="D288" s="11">
        <v>8000</v>
      </c>
      <c r="E288" t="s">
        <v>318</v>
      </c>
      <c r="F288" s="108" t="s">
        <v>108</v>
      </c>
    </row>
    <row r="289" spans="1:9" x14ac:dyDescent="0.3">
      <c r="A289" s="111">
        <v>46137</v>
      </c>
      <c r="B289" t="s">
        <v>219</v>
      </c>
      <c r="C289" s="11"/>
      <c r="D289" s="11">
        <v>147000</v>
      </c>
      <c r="E289" t="s">
        <v>450</v>
      </c>
      <c r="F289" s="108" t="s">
        <v>108</v>
      </c>
    </row>
    <row r="290" spans="1:9" x14ac:dyDescent="0.3">
      <c r="A290" s="111">
        <v>46137</v>
      </c>
      <c r="B290" t="s">
        <v>116</v>
      </c>
      <c r="C290" s="11">
        <v>55000</v>
      </c>
      <c r="D290" s="11"/>
      <c r="E290" t="s">
        <v>61</v>
      </c>
      <c r="F290" s="108" t="s">
        <v>108</v>
      </c>
    </row>
    <row r="291" spans="1:9" x14ac:dyDescent="0.3">
      <c r="A291" s="111">
        <v>46137</v>
      </c>
      <c r="B291" t="s">
        <v>257</v>
      </c>
      <c r="C291" s="11">
        <v>100000</v>
      </c>
      <c r="D291" s="11"/>
      <c r="E291" t="s">
        <v>451</v>
      </c>
      <c r="F291" s="108" t="s">
        <v>108</v>
      </c>
    </row>
    <row r="292" spans="1:9" x14ac:dyDescent="0.3">
      <c r="A292" s="111">
        <v>46137</v>
      </c>
      <c r="B292" t="s">
        <v>386</v>
      </c>
      <c r="C292" s="11">
        <v>8000</v>
      </c>
      <c r="D292" s="11"/>
      <c r="E292" t="s">
        <v>452</v>
      </c>
      <c r="F292" s="108" t="s">
        <v>108</v>
      </c>
    </row>
    <row r="293" spans="1:9" x14ac:dyDescent="0.3">
      <c r="A293" s="111">
        <v>46137</v>
      </c>
      <c r="B293" t="s">
        <v>219</v>
      </c>
      <c r="C293" s="11"/>
      <c r="D293" s="11">
        <v>10000</v>
      </c>
      <c r="E293" t="s">
        <v>453</v>
      </c>
      <c r="F293" s="108" t="s">
        <v>108</v>
      </c>
    </row>
    <row r="294" spans="1:9" x14ac:dyDescent="0.3">
      <c r="A294" s="111">
        <v>46137</v>
      </c>
      <c r="B294" t="s">
        <v>9</v>
      </c>
      <c r="C294" s="11"/>
      <c r="D294" s="11">
        <v>98000</v>
      </c>
      <c r="E294" t="s">
        <v>454</v>
      </c>
      <c r="F294" s="108" t="s">
        <v>108</v>
      </c>
    </row>
    <row r="295" spans="1:9" x14ac:dyDescent="0.3">
      <c r="A295" s="111">
        <v>46137</v>
      </c>
      <c r="B295" t="s">
        <v>269</v>
      </c>
      <c r="C295" s="11">
        <v>10000</v>
      </c>
      <c r="D295" s="11"/>
      <c r="E295" s="131" t="s">
        <v>288</v>
      </c>
      <c r="F295" s="108" t="s">
        <v>108</v>
      </c>
    </row>
    <row r="296" spans="1:9" x14ac:dyDescent="0.3">
      <c r="A296" s="111">
        <v>46137</v>
      </c>
      <c r="B296" t="s">
        <v>55</v>
      </c>
      <c r="C296" s="11">
        <v>10656</v>
      </c>
      <c r="D296" s="11"/>
      <c r="E296" t="s">
        <v>259</v>
      </c>
      <c r="F296" s="108" t="s">
        <v>108</v>
      </c>
    </row>
    <row r="297" spans="1:9" x14ac:dyDescent="0.3">
      <c r="A297" s="111">
        <v>46137</v>
      </c>
      <c r="B297" t="s">
        <v>222</v>
      </c>
      <c r="C297" s="11">
        <v>75000</v>
      </c>
      <c r="D297" s="11"/>
      <c r="E297" t="s">
        <v>455</v>
      </c>
      <c r="F297" s="108" t="s">
        <v>108</v>
      </c>
    </row>
    <row r="298" spans="1:9" x14ac:dyDescent="0.3">
      <c r="A298" s="111">
        <v>46137</v>
      </c>
      <c r="B298" t="s">
        <v>175</v>
      </c>
      <c r="C298" s="11">
        <v>18000</v>
      </c>
      <c r="D298" s="11"/>
      <c r="E298" t="s">
        <v>564</v>
      </c>
      <c r="F298" s="108" t="s">
        <v>108</v>
      </c>
      <c r="I298">
        <v>80000</v>
      </c>
    </row>
    <row r="299" spans="1:9" x14ac:dyDescent="0.3">
      <c r="A299" s="111">
        <v>46137</v>
      </c>
      <c r="B299" t="s">
        <v>219</v>
      </c>
      <c r="C299" s="11"/>
      <c r="D299" s="11">
        <v>18000</v>
      </c>
      <c r="E299" t="s">
        <v>564</v>
      </c>
      <c r="F299" s="108" t="s">
        <v>108</v>
      </c>
      <c r="I299">
        <v>50000</v>
      </c>
    </row>
    <row r="300" spans="1:9" x14ac:dyDescent="0.3">
      <c r="A300" s="111">
        <v>46138</v>
      </c>
      <c r="B300" t="s">
        <v>55</v>
      </c>
      <c r="C300" s="11">
        <v>11456</v>
      </c>
      <c r="D300" s="11"/>
      <c r="E300" t="s">
        <v>457</v>
      </c>
      <c r="F300" s="108" t="s">
        <v>108</v>
      </c>
      <c r="I300">
        <v>6000</v>
      </c>
    </row>
    <row r="301" spans="1:9" x14ac:dyDescent="0.3">
      <c r="A301" s="111">
        <v>46139</v>
      </c>
      <c r="B301" t="s">
        <v>115</v>
      </c>
      <c r="C301" s="11">
        <v>200000</v>
      </c>
      <c r="D301" s="11"/>
      <c r="E301" t="s">
        <v>458</v>
      </c>
      <c r="F301" s="108" t="s">
        <v>108</v>
      </c>
      <c r="I301">
        <v>1000</v>
      </c>
    </row>
    <row r="302" spans="1:9" x14ac:dyDescent="0.3">
      <c r="A302" s="111">
        <v>46139</v>
      </c>
      <c r="B302" t="s">
        <v>219</v>
      </c>
      <c r="C302" s="11"/>
      <c r="D302" s="11">
        <v>200000</v>
      </c>
      <c r="E302" t="s">
        <v>115</v>
      </c>
      <c r="F302" s="108" t="s">
        <v>108</v>
      </c>
      <c r="I302">
        <v>42000</v>
      </c>
    </row>
    <row r="303" spans="1:9" x14ac:dyDescent="0.3">
      <c r="A303" s="111">
        <v>46139</v>
      </c>
      <c r="B303" t="s">
        <v>243</v>
      </c>
      <c r="C303" s="11"/>
      <c r="D303" s="11">
        <v>86594</v>
      </c>
      <c r="E303" t="s">
        <v>459</v>
      </c>
      <c r="F303" s="108" t="s">
        <v>108</v>
      </c>
      <c r="I303">
        <v>22800</v>
      </c>
    </row>
    <row r="304" spans="1:9" x14ac:dyDescent="0.3">
      <c r="A304" s="111">
        <v>46139</v>
      </c>
      <c r="B304" t="s">
        <v>219</v>
      </c>
      <c r="C304" s="11">
        <v>86594</v>
      </c>
      <c r="D304" s="11"/>
      <c r="E304" t="s">
        <v>243</v>
      </c>
      <c r="F304" s="108" t="s">
        <v>108</v>
      </c>
      <c r="I304">
        <v>11600</v>
      </c>
    </row>
    <row r="305" spans="1:9" x14ac:dyDescent="0.3">
      <c r="A305" s="111">
        <v>46139</v>
      </c>
      <c r="B305" t="s">
        <v>55</v>
      </c>
      <c r="C305" s="11">
        <v>6200</v>
      </c>
      <c r="D305" s="11"/>
      <c r="E305" t="s">
        <v>460</v>
      </c>
      <c r="F305" s="108" t="s">
        <v>108</v>
      </c>
      <c r="I305">
        <v>20800</v>
      </c>
    </row>
    <row r="306" spans="1:9" x14ac:dyDescent="0.3">
      <c r="A306" s="111">
        <v>46139</v>
      </c>
      <c r="B306" t="s">
        <v>219</v>
      </c>
      <c r="C306" s="95"/>
      <c r="D306" s="95">
        <v>6200</v>
      </c>
      <c r="E306" t="s">
        <v>460</v>
      </c>
      <c r="F306" s="108" t="s">
        <v>108</v>
      </c>
      <c r="I306">
        <v>37000</v>
      </c>
    </row>
    <row r="307" spans="1:9" x14ac:dyDescent="0.3">
      <c r="A307" s="111">
        <v>46139</v>
      </c>
      <c r="B307" t="s">
        <v>54</v>
      </c>
      <c r="C307" s="11">
        <v>1500</v>
      </c>
      <c r="D307" s="11"/>
      <c r="F307" s="108" t="s">
        <v>108</v>
      </c>
      <c r="I307">
        <v>25200</v>
      </c>
    </row>
    <row r="308" spans="1:9" x14ac:dyDescent="0.3">
      <c r="A308" s="111">
        <v>46139</v>
      </c>
      <c r="B308" t="s">
        <v>55</v>
      </c>
      <c r="C308" s="95">
        <v>1460</v>
      </c>
      <c r="D308" s="95"/>
      <c r="E308" t="s">
        <v>461</v>
      </c>
      <c r="F308" s="108" t="s">
        <v>108</v>
      </c>
      <c r="I308">
        <v>30000</v>
      </c>
    </row>
    <row r="309" spans="1:9" x14ac:dyDescent="0.3">
      <c r="A309" s="111">
        <v>46139</v>
      </c>
      <c r="B309" t="s">
        <v>219</v>
      </c>
      <c r="C309" s="95"/>
      <c r="D309" s="95">
        <v>7000</v>
      </c>
      <c r="E309" t="s">
        <v>422</v>
      </c>
      <c r="F309" s="108" t="s">
        <v>108</v>
      </c>
      <c r="I309">
        <v>33600</v>
      </c>
    </row>
    <row r="310" spans="1:9" x14ac:dyDescent="0.3">
      <c r="A310" s="111">
        <v>46139</v>
      </c>
      <c r="B310" t="s">
        <v>54</v>
      </c>
      <c r="C310" s="95">
        <v>2500</v>
      </c>
      <c r="D310" s="95"/>
      <c r="E310" t="s">
        <v>462</v>
      </c>
      <c r="F310" s="108" t="s">
        <v>108</v>
      </c>
      <c r="I310">
        <v>13000</v>
      </c>
    </row>
    <row r="311" spans="1:9" x14ac:dyDescent="0.3">
      <c r="A311" s="111">
        <v>46139</v>
      </c>
      <c r="B311" t="s">
        <v>54</v>
      </c>
      <c r="C311" s="95">
        <v>4500</v>
      </c>
      <c r="D311" s="95"/>
      <c r="E311" t="s">
        <v>463</v>
      </c>
      <c r="F311" s="108" t="s">
        <v>108</v>
      </c>
      <c r="I311">
        <v>13650</v>
      </c>
    </row>
    <row r="312" spans="1:9" x14ac:dyDescent="0.3">
      <c r="A312" s="111">
        <v>46139</v>
      </c>
      <c r="B312" t="s">
        <v>54</v>
      </c>
      <c r="C312" s="95">
        <v>5000</v>
      </c>
      <c r="D312" s="95"/>
      <c r="E312" t="s">
        <v>254</v>
      </c>
      <c r="F312" s="108" t="s">
        <v>108</v>
      </c>
      <c r="I312">
        <v>20800</v>
      </c>
    </row>
    <row r="313" spans="1:9" x14ac:dyDescent="0.3">
      <c r="A313" s="38">
        <v>46139</v>
      </c>
      <c r="B313" t="s">
        <v>211</v>
      </c>
      <c r="C313" s="95">
        <v>1350</v>
      </c>
      <c r="D313" s="95"/>
      <c r="F313" s="108" t="s">
        <v>108</v>
      </c>
      <c r="I313">
        <v>20000</v>
      </c>
    </row>
    <row r="314" spans="1:9" x14ac:dyDescent="0.3">
      <c r="A314" s="38">
        <v>46139</v>
      </c>
      <c r="B314" t="s">
        <v>367</v>
      </c>
      <c r="C314" s="95"/>
      <c r="D314" s="95">
        <v>3927</v>
      </c>
      <c r="E314" t="s">
        <v>54</v>
      </c>
      <c r="F314" s="108" t="s">
        <v>108</v>
      </c>
      <c r="I314">
        <v>13300</v>
      </c>
    </row>
    <row r="315" spans="1:9" x14ac:dyDescent="0.3">
      <c r="A315" s="111">
        <v>46139</v>
      </c>
      <c r="B315" t="s">
        <v>54</v>
      </c>
      <c r="C315" s="95">
        <v>3927</v>
      </c>
      <c r="D315" s="95"/>
      <c r="F315" s="108" t="s">
        <v>108</v>
      </c>
      <c r="I315">
        <v>13650</v>
      </c>
    </row>
    <row r="316" spans="1:9" x14ac:dyDescent="0.3">
      <c r="A316" s="111">
        <v>46140</v>
      </c>
      <c r="B316" t="s">
        <v>219</v>
      </c>
      <c r="C316" s="11"/>
      <c r="D316" s="11">
        <v>50000</v>
      </c>
      <c r="E316" t="s">
        <v>464</v>
      </c>
      <c r="F316" s="108" t="s">
        <v>108</v>
      </c>
      <c r="I316">
        <v>12000</v>
      </c>
    </row>
    <row r="317" spans="1:9" x14ac:dyDescent="0.3">
      <c r="A317" s="111">
        <v>46140</v>
      </c>
      <c r="B317" t="s">
        <v>116</v>
      </c>
      <c r="C317" s="11">
        <v>39000</v>
      </c>
      <c r="D317" s="11"/>
      <c r="E317" t="s">
        <v>316</v>
      </c>
      <c r="F317" s="108" t="s">
        <v>108</v>
      </c>
      <c r="I317">
        <v>11650</v>
      </c>
    </row>
    <row r="318" spans="1:9" x14ac:dyDescent="0.3">
      <c r="A318" s="111">
        <v>46140</v>
      </c>
      <c r="B318" t="s">
        <v>54</v>
      </c>
      <c r="C318" s="11">
        <v>600</v>
      </c>
      <c r="D318" s="11"/>
      <c r="E318" t="s">
        <v>465</v>
      </c>
      <c r="F318" s="108" t="s">
        <v>108</v>
      </c>
      <c r="I318">
        <v>20200</v>
      </c>
    </row>
    <row r="319" spans="1:9" x14ac:dyDescent="0.3">
      <c r="A319" s="111">
        <v>46140</v>
      </c>
      <c r="B319" t="s">
        <v>55</v>
      </c>
      <c r="C319" s="11">
        <v>190</v>
      </c>
      <c r="D319" s="11"/>
      <c r="F319" s="108" t="s">
        <v>108</v>
      </c>
      <c r="I319">
        <v>22650</v>
      </c>
    </row>
    <row r="320" spans="1:9" x14ac:dyDescent="0.3">
      <c r="A320" s="111">
        <v>46140</v>
      </c>
      <c r="B320" t="s">
        <v>55</v>
      </c>
      <c r="C320" s="11">
        <v>950</v>
      </c>
      <c r="D320" s="11"/>
      <c r="E320" t="s">
        <v>466</v>
      </c>
      <c r="F320" s="108" t="s">
        <v>108</v>
      </c>
      <c r="I320">
        <v>14650</v>
      </c>
    </row>
    <row r="321" spans="1:9" x14ac:dyDescent="0.3">
      <c r="A321" s="111">
        <v>46140</v>
      </c>
      <c r="B321" t="s">
        <v>219</v>
      </c>
      <c r="C321" s="11"/>
      <c r="D321" s="11">
        <v>60000</v>
      </c>
      <c r="E321" t="s">
        <v>467</v>
      </c>
      <c r="F321" s="108" t="s">
        <v>108</v>
      </c>
      <c r="I321">
        <v>24800</v>
      </c>
    </row>
    <row r="322" spans="1:9" x14ac:dyDescent="0.3">
      <c r="A322" s="111">
        <v>46140</v>
      </c>
      <c r="B322" t="s">
        <v>55</v>
      </c>
      <c r="C322" s="11">
        <v>500</v>
      </c>
      <c r="D322" s="11"/>
      <c r="F322" s="108" t="s">
        <v>108</v>
      </c>
      <c r="I322">
        <v>10650</v>
      </c>
    </row>
    <row r="323" spans="1:9" x14ac:dyDescent="0.3">
      <c r="A323" s="38">
        <v>46140</v>
      </c>
      <c r="B323" t="s">
        <v>269</v>
      </c>
      <c r="C323" s="11">
        <v>60000</v>
      </c>
      <c r="D323" s="11"/>
      <c r="E323" s="131" t="s">
        <v>406</v>
      </c>
      <c r="F323" s="108" t="s">
        <v>108</v>
      </c>
      <c r="I323">
        <v>14400</v>
      </c>
    </row>
    <row r="324" spans="1:9" x14ac:dyDescent="0.3">
      <c r="A324" s="38">
        <v>46140</v>
      </c>
      <c r="B324" t="s">
        <v>269</v>
      </c>
      <c r="C324" s="95">
        <v>5000</v>
      </c>
      <c r="D324" s="95"/>
      <c r="E324" t="s">
        <v>391</v>
      </c>
      <c r="F324" s="108" t="s">
        <v>108</v>
      </c>
      <c r="I324">
        <v>14800</v>
      </c>
    </row>
    <row r="325" spans="1:9" x14ac:dyDescent="0.3">
      <c r="A325" s="111">
        <v>46141</v>
      </c>
      <c r="B325" t="s">
        <v>244</v>
      </c>
      <c r="C325" s="95">
        <v>800</v>
      </c>
      <c r="D325" s="95"/>
      <c r="F325" s="108" t="s">
        <v>108</v>
      </c>
      <c r="I325">
        <v>12800</v>
      </c>
    </row>
    <row r="326" spans="1:9" x14ac:dyDescent="0.3">
      <c r="A326" s="38">
        <v>46141</v>
      </c>
      <c r="B326" t="s">
        <v>55</v>
      </c>
      <c r="C326" s="11">
        <v>34369</v>
      </c>
      <c r="D326" s="11"/>
      <c r="E326" t="s">
        <v>468</v>
      </c>
      <c r="F326" s="108" t="s">
        <v>108</v>
      </c>
      <c r="I326">
        <v>18000</v>
      </c>
    </row>
    <row r="327" spans="1:9" x14ac:dyDescent="0.3">
      <c r="A327" s="111">
        <v>46141</v>
      </c>
      <c r="B327" t="s">
        <v>219</v>
      </c>
      <c r="C327" s="11"/>
      <c r="D327" s="11">
        <v>40000</v>
      </c>
      <c r="E327" t="s">
        <v>469</v>
      </c>
      <c r="F327" s="108" t="s">
        <v>108</v>
      </c>
      <c r="I327">
        <v>14000</v>
      </c>
    </row>
    <row r="328" spans="1:9" x14ac:dyDescent="0.3">
      <c r="A328" s="38">
        <v>46141</v>
      </c>
      <c r="B328" t="s">
        <v>219</v>
      </c>
      <c r="C328" s="11"/>
      <c r="D328" s="11">
        <v>200000</v>
      </c>
      <c r="E328" t="s">
        <v>470</v>
      </c>
      <c r="F328" s="108" t="s">
        <v>108</v>
      </c>
      <c r="I328">
        <v>14000</v>
      </c>
    </row>
    <row r="329" spans="1:9" x14ac:dyDescent="0.3">
      <c r="A329" s="111">
        <v>46141</v>
      </c>
      <c r="B329" t="s">
        <v>222</v>
      </c>
      <c r="C329" s="11">
        <v>200500</v>
      </c>
      <c r="D329" s="11"/>
      <c r="E329" t="s">
        <v>471</v>
      </c>
      <c r="F329" s="108" t="s">
        <v>108</v>
      </c>
      <c r="I329">
        <v>55000</v>
      </c>
    </row>
    <row r="330" spans="1:9" x14ac:dyDescent="0.3">
      <c r="A330" s="38">
        <v>46141</v>
      </c>
      <c r="B330" t="s">
        <v>219</v>
      </c>
      <c r="C330" s="11"/>
      <c r="D330" s="11">
        <v>300000</v>
      </c>
      <c r="E330" t="s">
        <v>472</v>
      </c>
      <c r="F330" s="108" t="s">
        <v>108</v>
      </c>
      <c r="I330">
        <v>35000</v>
      </c>
    </row>
    <row r="331" spans="1:9" x14ac:dyDescent="0.3">
      <c r="A331" s="111">
        <v>46141</v>
      </c>
      <c r="B331" t="s">
        <v>257</v>
      </c>
      <c r="C331" s="11">
        <v>150000</v>
      </c>
      <c r="D331" s="11"/>
      <c r="E331" t="s">
        <v>473</v>
      </c>
      <c r="F331" s="108" t="s">
        <v>108</v>
      </c>
      <c r="I331">
        <v>14650</v>
      </c>
    </row>
    <row r="332" spans="1:9" x14ac:dyDescent="0.3">
      <c r="A332" s="38">
        <v>46141</v>
      </c>
      <c r="B332" t="s">
        <v>221</v>
      </c>
      <c r="C332" s="11">
        <v>150000</v>
      </c>
      <c r="D332" s="11"/>
      <c r="E332" t="s">
        <v>474</v>
      </c>
      <c r="F332" s="108" t="s">
        <v>108</v>
      </c>
      <c r="I332">
        <v>23000</v>
      </c>
    </row>
    <row r="333" spans="1:9" x14ac:dyDescent="0.3">
      <c r="A333" s="111">
        <v>46141</v>
      </c>
      <c r="B333" t="s">
        <v>456</v>
      </c>
      <c r="C333" s="11">
        <v>3000</v>
      </c>
      <c r="D333" s="11"/>
      <c r="E333" t="s">
        <v>488</v>
      </c>
      <c r="F333" s="108" t="s">
        <v>108</v>
      </c>
      <c r="I333">
        <v>2650</v>
      </c>
    </row>
    <row r="334" spans="1:9" x14ac:dyDescent="0.3">
      <c r="A334" s="38">
        <v>46141</v>
      </c>
      <c r="B334" t="s">
        <v>357</v>
      </c>
      <c r="C334" s="11">
        <v>5000</v>
      </c>
      <c r="D334" s="11"/>
      <c r="F334" s="108" t="s">
        <v>108</v>
      </c>
      <c r="I334">
        <v>17060</v>
      </c>
    </row>
    <row r="335" spans="1:9" x14ac:dyDescent="0.3">
      <c r="A335" s="111">
        <v>46141</v>
      </c>
      <c r="B335" t="s">
        <v>55</v>
      </c>
      <c r="C335" s="11">
        <v>600</v>
      </c>
      <c r="D335" s="11"/>
      <c r="F335" s="108" t="s">
        <v>108</v>
      </c>
      <c r="I335">
        <v>10000</v>
      </c>
    </row>
    <row r="336" spans="1:9" x14ac:dyDescent="0.3">
      <c r="A336" s="38">
        <v>46141</v>
      </c>
      <c r="B336" t="s">
        <v>219</v>
      </c>
      <c r="C336" s="11"/>
      <c r="D336" s="11">
        <v>176000</v>
      </c>
      <c r="E336" t="s">
        <v>475</v>
      </c>
      <c r="F336" s="108" t="s">
        <v>108</v>
      </c>
      <c r="I336">
        <v>154000</v>
      </c>
    </row>
    <row r="337" spans="1:6" x14ac:dyDescent="0.3">
      <c r="A337" s="111">
        <v>46141</v>
      </c>
      <c r="B337" t="s">
        <v>476</v>
      </c>
      <c r="C337" s="11">
        <v>26000</v>
      </c>
      <c r="D337" s="11"/>
      <c r="E337" t="s">
        <v>240</v>
      </c>
      <c r="F337" s="108" t="s">
        <v>108</v>
      </c>
    </row>
    <row r="338" spans="1:6" x14ac:dyDescent="0.3">
      <c r="A338" s="38">
        <v>46141</v>
      </c>
      <c r="B338" t="s">
        <v>168</v>
      </c>
      <c r="C338" s="11">
        <v>150000</v>
      </c>
      <c r="D338" s="11"/>
      <c r="E338" t="s">
        <v>477</v>
      </c>
      <c r="F338" s="108" t="s">
        <v>108</v>
      </c>
    </row>
    <row r="339" spans="1:6" x14ac:dyDescent="0.3">
      <c r="A339" s="111">
        <v>46141</v>
      </c>
      <c r="B339" t="s">
        <v>219</v>
      </c>
      <c r="C339" s="11"/>
      <c r="D339" s="11">
        <v>20000</v>
      </c>
      <c r="E339" t="s">
        <v>479</v>
      </c>
      <c r="F339" s="108" t="s">
        <v>108</v>
      </c>
    </row>
    <row r="340" spans="1:6" x14ac:dyDescent="0.3">
      <c r="A340" s="38">
        <v>46141</v>
      </c>
      <c r="B340" t="s">
        <v>253</v>
      </c>
      <c r="C340" s="11">
        <v>10000</v>
      </c>
      <c r="D340" s="11"/>
      <c r="E340" t="s">
        <v>478</v>
      </c>
      <c r="F340" s="108" t="s">
        <v>108</v>
      </c>
    </row>
    <row r="341" spans="1:6" x14ac:dyDescent="0.3">
      <c r="A341" s="38">
        <v>46142</v>
      </c>
      <c r="B341" t="s">
        <v>55</v>
      </c>
      <c r="C341" s="11">
        <v>590</v>
      </c>
      <c r="D341" s="11"/>
      <c r="F341" s="108" t="s">
        <v>108</v>
      </c>
    </row>
    <row r="342" spans="1:6" x14ac:dyDescent="0.3">
      <c r="A342" s="38">
        <v>46142</v>
      </c>
      <c r="B342" t="s">
        <v>219</v>
      </c>
      <c r="C342" s="11"/>
      <c r="D342" s="11">
        <v>12500</v>
      </c>
      <c r="E342" t="s">
        <v>391</v>
      </c>
      <c r="F342" s="108" t="s">
        <v>108</v>
      </c>
    </row>
    <row r="343" spans="1:6" x14ac:dyDescent="0.3">
      <c r="A343" s="38">
        <v>46142</v>
      </c>
      <c r="B343" t="s">
        <v>244</v>
      </c>
      <c r="C343" s="11">
        <v>12500</v>
      </c>
      <c r="D343" s="11"/>
      <c r="E343" t="s">
        <v>391</v>
      </c>
      <c r="F343" s="108" t="s">
        <v>108</v>
      </c>
    </row>
    <row r="344" spans="1:6" x14ac:dyDescent="0.3">
      <c r="A344" s="38">
        <v>46142</v>
      </c>
      <c r="B344" t="s">
        <v>386</v>
      </c>
      <c r="C344" s="11">
        <v>12000</v>
      </c>
      <c r="D344" s="11"/>
      <c r="E344" t="s">
        <v>480</v>
      </c>
      <c r="F344" s="108" t="s">
        <v>108</v>
      </c>
    </row>
    <row r="345" spans="1:6" x14ac:dyDescent="0.3">
      <c r="A345" s="38">
        <v>46142</v>
      </c>
      <c r="B345" t="s">
        <v>493</v>
      </c>
      <c r="C345" s="11"/>
      <c r="D345" s="11">
        <v>100000</v>
      </c>
      <c r="E345" t="s">
        <v>271</v>
      </c>
      <c r="F345" s="108" t="s">
        <v>108</v>
      </c>
    </row>
    <row r="346" spans="1:6" x14ac:dyDescent="0.3">
      <c r="A346" s="38">
        <v>46142</v>
      </c>
      <c r="B346" t="s">
        <v>222</v>
      </c>
      <c r="C346" s="11">
        <v>82600</v>
      </c>
      <c r="D346" s="11"/>
      <c r="E346" t="s">
        <v>240</v>
      </c>
      <c r="F346" s="108" t="s">
        <v>108</v>
      </c>
    </row>
    <row r="347" spans="1:6" x14ac:dyDescent="0.3">
      <c r="A347" s="38">
        <v>46142</v>
      </c>
      <c r="B347" t="s">
        <v>219</v>
      </c>
      <c r="C347" s="95"/>
      <c r="D347" s="95">
        <v>715000</v>
      </c>
      <c r="E347" t="s">
        <v>109</v>
      </c>
      <c r="F347" s="108" t="s">
        <v>108</v>
      </c>
    </row>
    <row r="348" spans="1:6" x14ac:dyDescent="0.3">
      <c r="A348" s="38">
        <v>46142</v>
      </c>
      <c r="B348" t="s">
        <v>253</v>
      </c>
      <c r="C348" s="11">
        <v>16000</v>
      </c>
      <c r="D348" s="11"/>
      <c r="E348" t="s">
        <v>423</v>
      </c>
      <c r="F348" s="108" t="s">
        <v>108</v>
      </c>
    </row>
    <row r="349" spans="1:6" x14ac:dyDescent="0.3">
      <c r="A349" s="38">
        <v>46143</v>
      </c>
      <c r="B349" t="s">
        <v>54</v>
      </c>
      <c r="C349" s="95">
        <v>1500</v>
      </c>
      <c r="D349" s="95"/>
      <c r="F349" s="108" t="s">
        <v>108</v>
      </c>
    </row>
    <row r="350" spans="1:6" x14ac:dyDescent="0.3">
      <c r="A350" s="38">
        <v>46143</v>
      </c>
      <c r="B350" t="s">
        <v>54</v>
      </c>
      <c r="C350" s="95">
        <v>14000</v>
      </c>
      <c r="D350" s="95"/>
      <c r="E350" t="s">
        <v>254</v>
      </c>
      <c r="F350" s="108" t="s">
        <v>108</v>
      </c>
    </row>
    <row r="351" spans="1:6" x14ac:dyDescent="0.3">
      <c r="A351" s="38">
        <v>46143</v>
      </c>
      <c r="B351" t="s">
        <v>244</v>
      </c>
      <c r="C351" s="95">
        <v>2000</v>
      </c>
      <c r="D351" s="95"/>
      <c r="E351" t="s">
        <v>481</v>
      </c>
      <c r="F351" s="108" t="s">
        <v>108</v>
      </c>
    </row>
    <row r="352" spans="1:6" x14ac:dyDescent="0.3">
      <c r="A352" s="38">
        <v>46143</v>
      </c>
      <c r="B352" t="s">
        <v>219</v>
      </c>
      <c r="C352" s="95"/>
      <c r="D352" s="95">
        <v>42000</v>
      </c>
      <c r="E352" t="s">
        <v>320</v>
      </c>
      <c r="F352" s="108" t="s">
        <v>108</v>
      </c>
    </row>
    <row r="353" spans="1:6" x14ac:dyDescent="0.3">
      <c r="A353" s="38">
        <v>46143</v>
      </c>
      <c r="B353" t="s">
        <v>386</v>
      </c>
      <c r="C353" s="95">
        <v>43000</v>
      </c>
      <c r="D353" s="95"/>
      <c r="E353" t="s">
        <v>482</v>
      </c>
      <c r="F353" s="108" t="s">
        <v>108</v>
      </c>
    </row>
    <row r="354" spans="1:6" x14ac:dyDescent="0.3">
      <c r="A354" s="38">
        <v>46143</v>
      </c>
      <c r="B354" t="s">
        <v>253</v>
      </c>
      <c r="C354" s="95">
        <v>15000</v>
      </c>
      <c r="D354" s="95"/>
      <c r="E354" t="s">
        <v>483</v>
      </c>
      <c r="F354" s="108" t="s">
        <v>108</v>
      </c>
    </row>
    <row r="355" spans="1:6" x14ac:dyDescent="0.3">
      <c r="A355" s="38">
        <v>46143</v>
      </c>
      <c r="B355" t="s">
        <v>219</v>
      </c>
      <c r="C355" s="95"/>
      <c r="D355" s="95">
        <v>30000</v>
      </c>
      <c r="E355" t="s">
        <v>484</v>
      </c>
      <c r="F355" s="108" t="s">
        <v>108</v>
      </c>
    </row>
    <row r="356" spans="1:6" x14ac:dyDescent="0.3">
      <c r="A356" s="111">
        <v>46143</v>
      </c>
      <c r="B356" t="s">
        <v>116</v>
      </c>
      <c r="C356" s="95">
        <v>39000</v>
      </c>
      <c r="D356" s="95"/>
      <c r="E356" t="s">
        <v>61</v>
      </c>
      <c r="F356" s="108" t="s">
        <v>108</v>
      </c>
    </row>
    <row r="357" spans="1:6" x14ac:dyDescent="0.3">
      <c r="A357" s="111">
        <v>46143</v>
      </c>
      <c r="B357" t="s">
        <v>54</v>
      </c>
      <c r="C357" s="11">
        <v>600</v>
      </c>
      <c r="D357" s="11"/>
      <c r="F357" s="108" t="s">
        <v>108</v>
      </c>
    </row>
    <row r="358" spans="1:6" x14ac:dyDescent="0.3">
      <c r="A358" s="111">
        <v>46143</v>
      </c>
      <c r="B358" t="s">
        <v>493</v>
      </c>
      <c r="C358" s="11"/>
      <c r="D358" s="11">
        <v>100000</v>
      </c>
      <c r="E358" t="s">
        <v>494</v>
      </c>
      <c r="F358" s="108" t="s">
        <v>108</v>
      </c>
    </row>
    <row r="359" spans="1:6" x14ac:dyDescent="0.3">
      <c r="A359" s="111">
        <v>46143</v>
      </c>
      <c r="B359" t="s">
        <v>222</v>
      </c>
      <c r="C359" s="11">
        <v>60900</v>
      </c>
      <c r="D359" s="11"/>
      <c r="E359" t="s">
        <v>240</v>
      </c>
      <c r="F359" s="108" t="s">
        <v>108</v>
      </c>
    </row>
    <row r="360" spans="1:6" x14ac:dyDescent="0.3">
      <c r="A360" s="111">
        <v>46144</v>
      </c>
      <c r="B360" t="s">
        <v>367</v>
      </c>
      <c r="C360" s="11"/>
      <c r="D360" s="11">
        <v>800000</v>
      </c>
      <c r="E360" t="s">
        <v>485</v>
      </c>
      <c r="F360" s="108" t="s">
        <v>108</v>
      </c>
    </row>
    <row r="361" spans="1:6" x14ac:dyDescent="0.3">
      <c r="A361" s="111">
        <v>46144</v>
      </c>
      <c r="B361" t="s">
        <v>55</v>
      </c>
      <c r="C361" s="11">
        <v>4500</v>
      </c>
      <c r="D361" s="11"/>
      <c r="E361" t="s">
        <v>426</v>
      </c>
      <c r="F361" s="108" t="s">
        <v>108</v>
      </c>
    </row>
    <row r="362" spans="1:6" x14ac:dyDescent="0.3">
      <c r="A362" s="111">
        <v>46144</v>
      </c>
      <c r="B362" t="s">
        <v>175</v>
      </c>
      <c r="C362" s="11">
        <v>56000</v>
      </c>
      <c r="D362" s="11"/>
      <c r="E362" t="s">
        <v>486</v>
      </c>
      <c r="F362" s="108" t="s">
        <v>108</v>
      </c>
    </row>
    <row r="363" spans="1:6" x14ac:dyDescent="0.3">
      <c r="A363" s="38">
        <v>46144</v>
      </c>
      <c r="B363" t="s">
        <v>116</v>
      </c>
      <c r="C363" s="11">
        <f>104000-56000</f>
        <v>48000</v>
      </c>
      <c r="D363" s="11"/>
      <c r="E363" t="s">
        <v>487</v>
      </c>
      <c r="F363" s="108" t="s">
        <v>108</v>
      </c>
    </row>
    <row r="364" spans="1:6" x14ac:dyDescent="0.3">
      <c r="A364" s="38">
        <v>46144</v>
      </c>
      <c r="B364" t="s">
        <v>116</v>
      </c>
      <c r="C364" s="95">
        <v>4400</v>
      </c>
      <c r="D364" s="95"/>
      <c r="E364" t="s">
        <v>489</v>
      </c>
      <c r="F364" s="108" t="s">
        <v>108</v>
      </c>
    </row>
    <row r="365" spans="1:6" x14ac:dyDescent="0.3">
      <c r="A365" s="38">
        <v>46144</v>
      </c>
      <c r="B365" t="s">
        <v>55</v>
      </c>
      <c r="C365" s="95">
        <v>10620</v>
      </c>
      <c r="D365" s="95"/>
      <c r="E365" t="s">
        <v>490</v>
      </c>
      <c r="F365" s="108" t="s">
        <v>108</v>
      </c>
    </row>
    <row r="366" spans="1:6" x14ac:dyDescent="0.3">
      <c r="A366" s="111">
        <v>46144</v>
      </c>
      <c r="B366" t="s">
        <v>222</v>
      </c>
      <c r="C366" s="95">
        <v>200500</v>
      </c>
      <c r="D366" s="95"/>
      <c r="E366" t="s">
        <v>491</v>
      </c>
      <c r="F366" s="108" t="s">
        <v>108</v>
      </c>
    </row>
    <row r="367" spans="1:6" x14ac:dyDescent="0.3">
      <c r="A367" s="111">
        <v>46144</v>
      </c>
      <c r="B367" t="s">
        <v>222</v>
      </c>
      <c r="C367" s="95">
        <v>4000</v>
      </c>
      <c r="D367" s="95"/>
      <c r="E367" t="s">
        <v>265</v>
      </c>
      <c r="F367" s="108" t="s">
        <v>108</v>
      </c>
    </row>
    <row r="368" spans="1:6" x14ac:dyDescent="0.3">
      <c r="A368" s="111">
        <v>46144</v>
      </c>
      <c r="B368" t="s">
        <v>476</v>
      </c>
      <c r="C368" s="95">
        <v>1000</v>
      </c>
      <c r="D368" s="95"/>
      <c r="E368" t="s">
        <v>265</v>
      </c>
      <c r="F368" s="108" t="s">
        <v>108</v>
      </c>
    </row>
    <row r="369" spans="1:6" x14ac:dyDescent="0.3">
      <c r="A369" s="111">
        <v>46144</v>
      </c>
      <c r="B369" t="s">
        <v>425</v>
      </c>
      <c r="C369" s="95">
        <v>1000</v>
      </c>
      <c r="D369" s="95"/>
      <c r="E369" t="s">
        <v>265</v>
      </c>
      <c r="F369" s="108" t="s">
        <v>108</v>
      </c>
    </row>
    <row r="370" spans="1:6" x14ac:dyDescent="0.3">
      <c r="A370" s="111">
        <v>46144</v>
      </c>
      <c r="B370" t="s">
        <v>257</v>
      </c>
      <c r="C370" s="95">
        <v>2000</v>
      </c>
      <c r="D370" s="95"/>
      <c r="E370" t="s">
        <v>265</v>
      </c>
      <c r="F370" s="108" t="s">
        <v>108</v>
      </c>
    </row>
    <row r="371" spans="1:6" x14ac:dyDescent="0.3">
      <c r="A371" s="111">
        <v>46144</v>
      </c>
      <c r="B371" t="s">
        <v>253</v>
      </c>
      <c r="C371" s="95">
        <v>27600</v>
      </c>
      <c r="D371" s="95"/>
      <c r="E371" t="s">
        <v>288</v>
      </c>
      <c r="F371" s="108" t="s">
        <v>108</v>
      </c>
    </row>
    <row r="372" spans="1:6" x14ac:dyDescent="0.3">
      <c r="A372" s="38">
        <v>46144</v>
      </c>
      <c r="B372" t="s">
        <v>253</v>
      </c>
      <c r="C372" s="95">
        <v>1019630</v>
      </c>
      <c r="D372" s="95"/>
      <c r="E372" t="s">
        <v>268</v>
      </c>
      <c r="F372" s="108" t="s">
        <v>108</v>
      </c>
    </row>
    <row r="373" spans="1:6" x14ac:dyDescent="0.3">
      <c r="A373" s="38">
        <v>46144</v>
      </c>
      <c r="B373" t="s">
        <v>219</v>
      </c>
      <c r="C373" s="95">
        <v>500000</v>
      </c>
      <c r="D373" s="95"/>
      <c r="E373" t="s">
        <v>492</v>
      </c>
      <c r="F373" s="108" t="s">
        <v>108</v>
      </c>
    </row>
    <row r="374" spans="1:6" x14ac:dyDescent="0.3">
      <c r="A374" s="38">
        <v>46144</v>
      </c>
      <c r="B374" t="s">
        <v>219</v>
      </c>
      <c r="C374" s="95"/>
      <c r="D374" s="95">
        <v>400000</v>
      </c>
      <c r="E374" t="s">
        <v>109</v>
      </c>
      <c r="F374" s="108" t="s">
        <v>108</v>
      </c>
    </row>
    <row r="375" spans="1:6" x14ac:dyDescent="0.3">
      <c r="A375" s="38">
        <v>46145</v>
      </c>
      <c r="B375" t="s">
        <v>55</v>
      </c>
      <c r="C375" s="95">
        <v>1160</v>
      </c>
      <c r="D375" s="95"/>
      <c r="E375" t="s">
        <v>272</v>
      </c>
      <c r="F375" s="108" t="s">
        <v>108</v>
      </c>
    </row>
    <row r="376" spans="1:6" x14ac:dyDescent="0.3">
      <c r="A376" s="38">
        <v>46145</v>
      </c>
      <c r="B376" t="s">
        <v>55</v>
      </c>
      <c r="C376" s="95">
        <v>10200</v>
      </c>
      <c r="D376" s="95"/>
      <c r="E376" t="s">
        <v>426</v>
      </c>
      <c r="F376" s="108" t="s">
        <v>108</v>
      </c>
    </row>
    <row r="377" spans="1:6" x14ac:dyDescent="0.3">
      <c r="A377" s="38">
        <v>46145</v>
      </c>
      <c r="B377" t="s">
        <v>219</v>
      </c>
      <c r="C377" s="95"/>
      <c r="D377" s="95">
        <v>10200</v>
      </c>
      <c r="E377" t="s">
        <v>426</v>
      </c>
      <c r="F377" s="108" t="s">
        <v>108</v>
      </c>
    </row>
    <row r="378" spans="1:6" x14ac:dyDescent="0.3">
      <c r="A378" s="38">
        <v>46145</v>
      </c>
      <c r="B378" t="s">
        <v>55</v>
      </c>
      <c r="C378" s="95">
        <v>10000</v>
      </c>
      <c r="D378" s="95"/>
      <c r="E378" t="s">
        <v>259</v>
      </c>
      <c r="F378" s="108" t="s">
        <v>108</v>
      </c>
    </row>
    <row r="379" spans="1:6" x14ac:dyDescent="0.3">
      <c r="A379" s="38">
        <v>46145</v>
      </c>
      <c r="B379" t="s">
        <v>219</v>
      </c>
      <c r="C379" s="95"/>
      <c r="D379" s="95">
        <v>10000</v>
      </c>
      <c r="E379" t="s">
        <v>259</v>
      </c>
      <c r="F379" s="108" t="s">
        <v>108</v>
      </c>
    </row>
    <row r="380" spans="1:6" x14ac:dyDescent="0.3">
      <c r="A380" s="38">
        <v>46145</v>
      </c>
      <c r="B380" t="s">
        <v>211</v>
      </c>
      <c r="C380" s="95">
        <f>1970+780+780+1300+780</f>
        <v>5610</v>
      </c>
      <c r="D380" s="95"/>
      <c r="F380" s="108" t="s">
        <v>108</v>
      </c>
    </row>
    <row r="381" spans="1:6" x14ac:dyDescent="0.3">
      <c r="A381" s="111">
        <v>46146</v>
      </c>
      <c r="B381" t="s">
        <v>211</v>
      </c>
      <c r="C381" s="95">
        <f>750+1860+760</f>
        <v>3370</v>
      </c>
      <c r="D381" s="95"/>
      <c r="F381" s="108" t="s">
        <v>108</v>
      </c>
    </row>
    <row r="382" spans="1:6" x14ac:dyDescent="0.3">
      <c r="A382" s="38">
        <v>46146</v>
      </c>
      <c r="B382" t="s">
        <v>298</v>
      </c>
      <c r="C382" s="11">
        <v>5000</v>
      </c>
      <c r="D382" s="11"/>
      <c r="E382" t="s">
        <v>347</v>
      </c>
      <c r="F382" s="108" t="s">
        <v>108</v>
      </c>
    </row>
    <row r="383" spans="1:6" x14ac:dyDescent="0.3">
      <c r="A383" s="111">
        <v>46146</v>
      </c>
      <c r="B383" t="s">
        <v>55</v>
      </c>
      <c r="C383" s="11">
        <v>52160</v>
      </c>
      <c r="D383" s="11"/>
      <c r="E383" t="s">
        <v>259</v>
      </c>
      <c r="F383" s="108" t="s">
        <v>108</v>
      </c>
    </row>
    <row r="384" spans="1:6" x14ac:dyDescent="0.3">
      <c r="A384" s="38">
        <v>46146</v>
      </c>
      <c r="B384" t="s">
        <v>54</v>
      </c>
      <c r="C384" s="11">
        <v>2000</v>
      </c>
      <c r="D384" s="11"/>
      <c r="E384" t="s">
        <v>495</v>
      </c>
      <c r="F384" s="108" t="s">
        <v>108</v>
      </c>
    </row>
    <row r="385" spans="1:6" x14ac:dyDescent="0.3">
      <c r="A385" s="111">
        <v>46146</v>
      </c>
      <c r="B385" t="s">
        <v>54</v>
      </c>
      <c r="C385" s="11">
        <v>3000</v>
      </c>
      <c r="D385" s="11"/>
      <c r="E385" t="s">
        <v>496</v>
      </c>
      <c r="F385" s="108" t="s">
        <v>108</v>
      </c>
    </row>
    <row r="386" spans="1:6" x14ac:dyDescent="0.3">
      <c r="A386" s="38">
        <v>46146</v>
      </c>
      <c r="B386" t="s">
        <v>54</v>
      </c>
      <c r="C386" s="11">
        <v>5000</v>
      </c>
      <c r="D386" s="11"/>
      <c r="E386" t="s">
        <v>463</v>
      </c>
      <c r="F386" s="108" t="s">
        <v>108</v>
      </c>
    </row>
    <row r="387" spans="1:6" x14ac:dyDescent="0.3">
      <c r="A387" s="111">
        <v>46146</v>
      </c>
      <c r="B387" t="s">
        <v>55</v>
      </c>
      <c r="C387" s="11">
        <v>10000</v>
      </c>
      <c r="D387" s="11"/>
      <c r="E387" t="s">
        <v>497</v>
      </c>
      <c r="F387" s="108" t="s">
        <v>108</v>
      </c>
    </row>
    <row r="388" spans="1:6" x14ac:dyDescent="0.3">
      <c r="A388" s="38">
        <v>46146</v>
      </c>
      <c r="B388" t="s">
        <v>35</v>
      </c>
      <c r="C388" s="11"/>
      <c r="D388" s="11">
        <v>178000</v>
      </c>
      <c r="E388" t="s">
        <v>109</v>
      </c>
      <c r="F388" s="108" t="s">
        <v>108</v>
      </c>
    </row>
    <row r="389" spans="1:6" x14ac:dyDescent="0.3">
      <c r="A389" s="111">
        <v>46146</v>
      </c>
      <c r="B389" t="s">
        <v>9</v>
      </c>
      <c r="C389" s="11"/>
      <c r="D389" s="11">
        <v>100000</v>
      </c>
      <c r="E389" t="s">
        <v>498</v>
      </c>
      <c r="F389" s="108" t="s">
        <v>108</v>
      </c>
    </row>
    <row r="390" spans="1:6" x14ac:dyDescent="0.3">
      <c r="A390" s="38">
        <v>46146</v>
      </c>
      <c r="B390" t="s">
        <v>386</v>
      </c>
      <c r="C390" s="11">
        <v>9000</v>
      </c>
      <c r="D390" s="11"/>
      <c r="E390" t="s">
        <v>480</v>
      </c>
      <c r="F390" s="108" t="s">
        <v>108</v>
      </c>
    </row>
    <row r="391" spans="1:6" x14ac:dyDescent="0.3">
      <c r="A391" s="111">
        <v>46146</v>
      </c>
      <c r="B391" t="s">
        <v>257</v>
      </c>
      <c r="C391" s="11">
        <v>150000</v>
      </c>
      <c r="D391" s="11"/>
      <c r="E391" t="s">
        <v>499</v>
      </c>
      <c r="F391" s="108" t="s">
        <v>108</v>
      </c>
    </row>
    <row r="392" spans="1:6" x14ac:dyDescent="0.3">
      <c r="A392" s="38">
        <v>46146</v>
      </c>
      <c r="B392" t="s">
        <v>357</v>
      </c>
      <c r="C392" s="11">
        <v>18000</v>
      </c>
      <c r="D392" s="11"/>
      <c r="E392" t="s">
        <v>113</v>
      </c>
      <c r="F392" s="108" t="s">
        <v>108</v>
      </c>
    </row>
    <row r="393" spans="1:6" x14ac:dyDescent="0.3">
      <c r="A393" s="111">
        <v>46146</v>
      </c>
      <c r="B393" t="s">
        <v>116</v>
      </c>
      <c r="C393" s="11">
        <v>39000</v>
      </c>
      <c r="D393" s="11"/>
      <c r="E393" t="s">
        <v>316</v>
      </c>
      <c r="F393" s="108" t="s">
        <v>108</v>
      </c>
    </row>
    <row r="394" spans="1:6" x14ac:dyDescent="0.3">
      <c r="A394" s="38">
        <v>46146</v>
      </c>
      <c r="B394" t="s">
        <v>54</v>
      </c>
      <c r="C394" s="95">
        <v>700</v>
      </c>
      <c r="D394" s="95"/>
      <c r="E394" t="s">
        <v>289</v>
      </c>
      <c r="F394" s="108" t="s">
        <v>108</v>
      </c>
    </row>
    <row r="395" spans="1:6" x14ac:dyDescent="0.3">
      <c r="A395" s="111">
        <v>46146</v>
      </c>
      <c r="B395" t="s">
        <v>191</v>
      </c>
      <c r="C395" s="11"/>
      <c r="D395" s="11">
        <v>100000</v>
      </c>
      <c r="E395" t="s">
        <v>271</v>
      </c>
      <c r="F395" s="108" t="s">
        <v>108</v>
      </c>
    </row>
    <row r="396" spans="1:6" x14ac:dyDescent="0.3">
      <c r="A396" s="111">
        <v>46146</v>
      </c>
      <c r="B396" t="s">
        <v>55</v>
      </c>
      <c r="C396" s="11">
        <v>24080</v>
      </c>
      <c r="D396" s="11"/>
      <c r="E396" t="s">
        <v>259</v>
      </c>
      <c r="F396" s="108" t="s">
        <v>108</v>
      </c>
    </row>
    <row r="397" spans="1:6" x14ac:dyDescent="0.3">
      <c r="A397" s="38">
        <v>46146</v>
      </c>
      <c r="B397" t="s">
        <v>517</v>
      </c>
      <c r="C397" s="11">
        <v>25000</v>
      </c>
      <c r="D397" s="11"/>
      <c r="E397" t="s">
        <v>240</v>
      </c>
      <c r="F397" s="108" t="s">
        <v>108</v>
      </c>
    </row>
    <row r="398" spans="1:6" x14ac:dyDescent="0.3">
      <c r="A398" s="111">
        <v>46146</v>
      </c>
      <c r="B398" t="s">
        <v>517</v>
      </c>
      <c r="C398" s="11">
        <v>24000</v>
      </c>
      <c r="D398" s="11"/>
      <c r="E398" t="s">
        <v>240</v>
      </c>
      <c r="F398" s="108" t="s">
        <v>108</v>
      </c>
    </row>
    <row r="399" spans="1:6" x14ac:dyDescent="0.3">
      <c r="A399" s="111">
        <v>46147</v>
      </c>
      <c r="B399" t="s">
        <v>222</v>
      </c>
      <c r="C399" s="11">
        <v>105000</v>
      </c>
      <c r="D399" s="11"/>
      <c r="E399" t="s">
        <v>240</v>
      </c>
      <c r="F399" s="108" t="s">
        <v>108</v>
      </c>
    </row>
    <row r="400" spans="1:6" x14ac:dyDescent="0.3">
      <c r="A400" s="111">
        <v>46147</v>
      </c>
      <c r="B400" t="s">
        <v>456</v>
      </c>
      <c r="C400" s="11">
        <v>32000</v>
      </c>
      <c r="D400" s="11"/>
      <c r="F400" s="108" t="s">
        <v>108</v>
      </c>
    </row>
    <row r="401" spans="1:15" x14ac:dyDescent="0.3">
      <c r="A401" s="111">
        <v>46147</v>
      </c>
      <c r="B401" t="s">
        <v>191</v>
      </c>
      <c r="C401" s="11"/>
      <c r="D401" s="11">
        <v>50000</v>
      </c>
      <c r="F401" s="108" t="s">
        <v>108</v>
      </c>
    </row>
    <row r="402" spans="1:15" x14ac:dyDescent="0.3">
      <c r="A402" s="38">
        <v>46147</v>
      </c>
      <c r="B402" t="s">
        <v>244</v>
      </c>
      <c r="C402" s="11">
        <v>3000</v>
      </c>
      <c r="D402" s="11"/>
      <c r="F402" s="108" t="s">
        <v>108</v>
      </c>
    </row>
    <row r="403" spans="1:15" x14ac:dyDescent="0.3">
      <c r="A403" s="38">
        <v>46147</v>
      </c>
      <c r="B403" t="s">
        <v>55</v>
      </c>
      <c r="C403" s="95">
        <v>300</v>
      </c>
      <c r="D403" s="95"/>
      <c r="E403" t="s">
        <v>518</v>
      </c>
      <c r="F403" s="108" t="s">
        <v>108</v>
      </c>
    </row>
    <row r="404" spans="1:15" x14ac:dyDescent="0.3">
      <c r="A404" s="38">
        <v>46147</v>
      </c>
      <c r="B404" t="s">
        <v>54</v>
      </c>
      <c r="C404" s="95">
        <v>1606</v>
      </c>
      <c r="D404" s="95"/>
      <c r="F404" s="108" t="s">
        <v>108</v>
      </c>
    </row>
    <row r="405" spans="1:15" x14ac:dyDescent="0.3">
      <c r="A405" s="38">
        <v>46147</v>
      </c>
      <c r="B405" t="s">
        <v>493</v>
      </c>
      <c r="C405" s="95"/>
      <c r="D405" s="95">
        <v>65000</v>
      </c>
      <c r="F405" s="108" t="s">
        <v>108</v>
      </c>
    </row>
    <row r="406" spans="1:15" x14ac:dyDescent="0.3">
      <c r="A406" s="38">
        <v>46147</v>
      </c>
      <c r="B406" t="s">
        <v>55</v>
      </c>
      <c r="C406" s="95">
        <v>1180</v>
      </c>
      <c r="D406" s="95"/>
      <c r="F406" s="108" t="s">
        <v>108</v>
      </c>
    </row>
    <row r="407" spans="1:15" x14ac:dyDescent="0.3">
      <c r="A407" s="38">
        <v>46147</v>
      </c>
      <c r="B407" t="s">
        <v>244</v>
      </c>
      <c r="C407" s="95">
        <v>15000</v>
      </c>
      <c r="D407" s="95"/>
      <c r="E407" t="s">
        <v>519</v>
      </c>
      <c r="F407" s="108" t="s">
        <v>108</v>
      </c>
    </row>
    <row r="408" spans="1:15" x14ac:dyDescent="0.3">
      <c r="A408" s="38">
        <v>46147</v>
      </c>
      <c r="B408" t="s">
        <v>525</v>
      </c>
      <c r="C408" s="95">
        <v>3600</v>
      </c>
      <c r="D408" s="95"/>
      <c r="F408" s="108" t="s">
        <v>108</v>
      </c>
    </row>
    <row r="409" spans="1:15" x14ac:dyDescent="0.3">
      <c r="A409" s="38">
        <v>46147</v>
      </c>
      <c r="B409" t="s">
        <v>54</v>
      </c>
      <c r="C409" s="95">
        <v>600</v>
      </c>
      <c r="D409" s="95"/>
      <c r="F409" s="108" t="s">
        <v>108</v>
      </c>
    </row>
    <row r="410" spans="1:15" x14ac:dyDescent="0.3">
      <c r="A410" s="38">
        <v>46147</v>
      </c>
      <c r="B410" t="s">
        <v>244</v>
      </c>
      <c r="C410" s="95">
        <f>11000-3600-600</f>
        <v>6800</v>
      </c>
      <c r="D410" s="95"/>
      <c r="E410" t="s">
        <v>526</v>
      </c>
      <c r="F410" s="108" t="s">
        <v>108</v>
      </c>
    </row>
    <row r="411" spans="1:15" x14ac:dyDescent="0.3">
      <c r="A411" s="38">
        <v>46148</v>
      </c>
      <c r="B411" t="s">
        <v>35</v>
      </c>
      <c r="C411" s="95"/>
      <c r="D411" s="95">
        <v>100000</v>
      </c>
      <c r="F411" s="108" t="s">
        <v>108</v>
      </c>
    </row>
    <row r="412" spans="1:15" x14ac:dyDescent="0.3">
      <c r="A412" s="38">
        <v>46148</v>
      </c>
      <c r="B412" t="s">
        <v>116</v>
      </c>
      <c r="C412" s="95">
        <v>58500</v>
      </c>
      <c r="D412" s="95"/>
      <c r="E412" t="s">
        <v>520</v>
      </c>
      <c r="F412" s="108" t="s">
        <v>108</v>
      </c>
    </row>
    <row r="413" spans="1:15" x14ac:dyDescent="0.3">
      <c r="A413" s="38">
        <v>46148</v>
      </c>
      <c r="B413" t="s">
        <v>55</v>
      </c>
      <c r="C413" s="95">
        <v>1200</v>
      </c>
      <c r="D413" s="95"/>
      <c r="F413" s="108" t="s">
        <v>108</v>
      </c>
    </row>
    <row r="414" spans="1:15" x14ac:dyDescent="0.3">
      <c r="A414" s="38">
        <v>46148</v>
      </c>
      <c r="B414" t="s">
        <v>55</v>
      </c>
      <c r="C414" s="95">
        <v>4280</v>
      </c>
      <c r="D414" s="95"/>
      <c r="F414" s="108" t="s">
        <v>108</v>
      </c>
    </row>
    <row r="415" spans="1:15" x14ac:dyDescent="0.3">
      <c r="A415" s="38">
        <v>46148</v>
      </c>
      <c r="B415" t="s">
        <v>244</v>
      </c>
      <c r="C415" s="95">
        <v>550</v>
      </c>
      <c r="D415" s="95"/>
      <c r="E415" t="s">
        <v>366</v>
      </c>
      <c r="F415" s="108" t="s">
        <v>108</v>
      </c>
      <c r="J415">
        <v>30000</v>
      </c>
      <c r="L415">
        <v>10000</v>
      </c>
      <c r="M415">
        <v>16300</v>
      </c>
      <c r="O415">
        <v>5100</v>
      </c>
    </row>
    <row r="416" spans="1:15" x14ac:dyDescent="0.3">
      <c r="A416" s="38">
        <v>46148</v>
      </c>
      <c r="B416" t="s">
        <v>493</v>
      </c>
      <c r="C416" s="95"/>
      <c r="D416" s="95">
        <v>70000</v>
      </c>
      <c r="E416" t="s">
        <v>109</v>
      </c>
      <c r="F416" s="108" t="s">
        <v>108</v>
      </c>
      <c r="J416">
        <v>119760</v>
      </c>
      <c r="L416">
        <v>3200</v>
      </c>
      <c r="M416">
        <v>12800</v>
      </c>
      <c r="O416">
        <v>12300</v>
      </c>
    </row>
    <row r="417" spans="1:15" x14ac:dyDescent="0.3">
      <c r="A417" s="38">
        <v>46148</v>
      </c>
      <c r="B417" t="s">
        <v>55</v>
      </c>
      <c r="C417" s="95">
        <v>2550</v>
      </c>
      <c r="D417" s="95"/>
      <c r="E417" t="s">
        <v>521</v>
      </c>
      <c r="F417" s="108" t="s">
        <v>108</v>
      </c>
      <c r="J417">
        <v>35000</v>
      </c>
      <c r="L417">
        <v>22800</v>
      </c>
      <c r="M417">
        <v>22650</v>
      </c>
      <c r="O417">
        <v>10810</v>
      </c>
    </row>
    <row r="418" spans="1:15" x14ac:dyDescent="0.3">
      <c r="A418" s="38">
        <v>46148</v>
      </c>
      <c r="B418" t="s">
        <v>244</v>
      </c>
      <c r="C418" s="95">
        <v>2600</v>
      </c>
      <c r="D418" s="95"/>
      <c r="E418" t="s">
        <v>522</v>
      </c>
      <c r="F418" s="108" t="s">
        <v>108</v>
      </c>
      <c r="J418">
        <v>29600</v>
      </c>
      <c r="L418">
        <v>29600</v>
      </c>
      <c r="M418">
        <v>22800</v>
      </c>
      <c r="O418">
        <v>12000</v>
      </c>
    </row>
    <row r="419" spans="1:15" x14ac:dyDescent="0.3">
      <c r="A419" s="38">
        <v>46148</v>
      </c>
      <c r="B419" t="s">
        <v>476</v>
      </c>
      <c r="C419" s="95">
        <v>29500</v>
      </c>
      <c r="D419" s="95"/>
      <c r="E419" t="s">
        <v>240</v>
      </c>
      <c r="F419" s="108" t="s">
        <v>108</v>
      </c>
      <c r="J419">
        <v>46600</v>
      </c>
      <c r="L419">
        <v>46600</v>
      </c>
      <c r="M419">
        <v>15000</v>
      </c>
      <c r="O419">
        <v>11650</v>
      </c>
    </row>
    <row r="420" spans="1:15" x14ac:dyDescent="0.3">
      <c r="A420" s="38">
        <v>46148</v>
      </c>
      <c r="B420" t="s">
        <v>517</v>
      </c>
      <c r="C420" s="95">
        <v>28000</v>
      </c>
      <c r="D420" s="95"/>
      <c r="E420" t="s">
        <v>240</v>
      </c>
      <c r="F420" s="108" t="s">
        <v>108</v>
      </c>
      <c r="J420">
        <v>22800</v>
      </c>
      <c r="L420">
        <v>20800</v>
      </c>
      <c r="M420">
        <v>18450</v>
      </c>
      <c r="O420">
        <v>16300</v>
      </c>
    </row>
    <row r="421" spans="1:15" x14ac:dyDescent="0.3">
      <c r="A421" s="38">
        <v>46148</v>
      </c>
      <c r="B421" t="s">
        <v>219</v>
      </c>
      <c r="C421" s="95"/>
      <c r="D421" s="95">
        <v>56632</v>
      </c>
      <c r="E421" t="s">
        <v>285</v>
      </c>
      <c r="F421" s="108" t="s">
        <v>108</v>
      </c>
      <c r="J421">
        <v>3200</v>
      </c>
      <c r="L421">
        <v>20000</v>
      </c>
      <c r="M421">
        <v>24600</v>
      </c>
      <c r="O421">
        <v>17300</v>
      </c>
    </row>
    <row r="422" spans="1:15" x14ac:dyDescent="0.3">
      <c r="A422" s="38">
        <v>46148</v>
      </c>
      <c r="B422" t="s">
        <v>219</v>
      </c>
      <c r="C422" s="95"/>
      <c r="D422" s="95">
        <v>100000</v>
      </c>
      <c r="E422" t="s">
        <v>523</v>
      </c>
      <c r="F422" s="108" t="s">
        <v>108</v>
      </c>
      <c r="J422">
        <v>11640</v>
      </c>
      <c r="L422">
        <v>80000</v>
      </c>
      <c r="M422">
        <v>15000</v>
      </c>
      <c r="O422">
        <v>17460</v>
      </c>
    </row>
    <row r="423" spans="1:15" x14ac:dyDescent="0.3">
      <c r="A423" s="38">
        <v>46148</v>
      </c>
      <c r="B423" t="s">
        <v>517</v>
      </c>
      <c r="C423" s="95">
        <v>150000</v>
      </c>
      <c r="D423" s="95"/>
      <c r="E423" t="s">
        <v>524</v>
      </c>
      <c r="F423" s="108" t="s">
        <v>108</v>
      </c>
      <c r="J423">
        <v>17500</v>
      </c>
      <c r="L423">
        <v>30000</v>
      </c>
      <c r="M423">
        <v>12000</v>
      </c>
      <c r="O423">
        <v>18450</v>
      </c>
    </row>
    <row r="424" spans="1:15" x14ac:dyDescent="0.3">
      <c r="A424" s="38">
        <v>46148</v>
      </c>
      <c r="B424" t="s">
        <v>269</v>
      </c>
      <c r="C424" s="95">
        <v>5000</v>
      </c>
      <c r="D424" s="95"/>
      <c r="E424" t="s">
        <v>252</v>
      </c>
      <c r="F424" s="108" t="s">
        <v>108</v>
      </c>
      <c r="J424">
        <v>20800</v>
      </c>
      <c r="L424">
        <v>15600</v>
      </c>
      <c r="M424">
        <v>18300</v>
      </c>
      <c r="O424">
        <v>12800</v>
      </c>
    </row>
    <row r="425" spans="1:15" x14ac:dyDescent="0.3">
      <c r="A425" s="38">
        <v>46148</v>
      </c>
      <c r="B425" t="s">
        <v>493</v>
      </c>
      <c r="C425" s="95"/>
      <c r="D425" s="95">
        <v>30000</v>
      </c>
      <c r="F425" s="108" t="s">
        <v>108</v>
      </c>
      <c r="J425">
        <v>15600</v>
      </c>
      <c r="L425">
        <v>15000</v>
      </c>
      <c r="M425">
        <v>20000</v>
      </c>
      <c r="O425">
        <v>24600</v>
      </c>
    </row>
    <row r="426" spans="1:15" x14ac:dyDescent="0.3">
      <c r="A426" s="38">
        <v>46148</v>
      </c>
      <c r="B426" t="s">
        <v>219</v>
      </c>
      <c r="C426" s="95">
        <v>30000</v>
      </c>
      <c r="D426" s="95"/>
      <c r="E426" t="s">
        <v>529</v>
      </c>
      <c r="F426" s="108" t="s">
        <v>108</v>
      </c>
      <c r="J426">
        <v>11000</v>
      </c>
      <c r="L426">
        <v>14300</v>
      </c>
      <c r="M426">
        <v>20000</v>
      </c>
      <c r="O426">
        <v>22800</v>
      </c>
    </row>
    <row r="427" spans="1:15" x14ac:dyDescent="0.3">
      <c r="A427" s="38">
        <v>46149</v>
      </c>
      <c r="B427" t="s">
        <v>219</v>
      </c>
      <c r="C427" s="95"/>
      <c r="D427" s="95">
        <v>55000</v>
      </c>
      <c r="F427" s="108" t="s">
        <v>108</v>
      </c>
      <c r="J427">
        <v>17000</v>
      </c>
      <c r="L427">
        <v>16500</v>
      </c>
      <c r="M427">
        <v>38400</v>
      </c>
      <c r="O427">
        <v>20000</v>
      </c>
    </row>
    <row r="428" spans="1:15" x14ac:dyDescent="0.3">
      <c r="A428" s="38">
        <v>46149</v>
      </c>
      <c r="B428" t="s">
        <v>527</v>
      </c>
      <c r="C428" s="95">
        <v>55000</v>
      </c>
      <c r="D428" s="95"/>
      <c r="E428" t="s">
        <v>215</v>
      </c>
      <c r="F428" s="108" t="s">
        <v>108</v>
      </c>
      <c r="J428">
        <v>10000</v>
      </c>
      <c r="L428">
        <v>17500</v>
      </c>
      <c r="M428">
        <v>12300</v>
      </c>
      <c r="O428">
        <v>18300</v>
      </c>
    </row>
    <row r="429" spans="1:15" x14ac:dyDescent="0.3">
      <c r="A429" s="38">
        <v>46149</v>
      </c>
      <c r="B429" t="s">
        <v>386</v>
      </c>
      <c r="C429" s="95">
        <v>9000</v>
      </c>
      <c r="D429" s="95"/>
      <c r="E429" t="s">
        <v>528</v>
      </c>
      <c r="F429" s="108" t="s">
        <v>108</v>
      </c>
      <c r="J429">
        <v>80000</v>
      </c>
      <c r="L429">
        <v>17500</v>
      </c>
      <c r="M429">
        <v>17300</v>
      </c>
      <c r="O429">
        <v>15000</v>
      </c>
    </row>
    <row r="430" spans="1:15" x14ac:dyDescent="0.3">
      <c r="A430" s="111">
        <v>46149</v>
      </c>
      <c r="B430" t="s">
        <v>219</v>
      </c>
      <c r="C430" s="95"/>
      <c r="D430" s="95">
        <v>50000</v>
      </c>
      <c r="E430" t="s">
        <v>532</v>
      </c>
      <c r="F430" s="108" t="s">
        <v>108</v>
      </c>
      <c r="J430">
        <v>20000</v>
      </c>
      <c r="L430">
        <v>17500</v>
      </c>
      <c r="M430">
        <v>5100</v>
      </c>
      <c r="O430">
        <v>11000</v>
      </c>
    </row>
    <row r="431" spans="1:15" x14ac:dyDescent="0.3">
      <c r="A431" s="111">
        <v>46149</v>
      </c>
      <c r="B431" t="s">
        <v>517</v>
      </c>
      <c r="C431" s="11">
        <v>24500</v>
      </c>
      <c r="D431" s="11"/>
      <c r="E431" t="s">
        <v>240</v>
      </c>
      <c r="F431" s="108" t="s">
        <v>108</v>
      </c>
      <c r="L431">
        <v>3300</v>
      </c>
      <c r="M431">
        <v>8350</v>
      </c>
      <c r="O431">
        <v>35000</v>
      </c>
    </row>
    <row r="432" spans="1:15" x14ac:dyDescent="0.3">
      <c r="A432" s="111">
        <v>46149</v>
      </c>
      <c r="B432" t="s">
        <v>517</v>
      </c>
      <c r="C432" s="11">
        <v>25000</v>
      </c>
      <c r="D432" s="11"/>
      <c r="E432" t="s">
        <v>240</v>
      </c>
      <c r="F432" s="108" t="s">
        <v>108</v>
      </c>
      <c r="L432">
        <v>5830</v>
      </c>
      <c r="M432">
        <v>9850</v>
      </c>
      <c r="O432">
        <v>7000</v>
      </c>
    </row>
    <row r="433" spans="1:15" x14ac:dyDescent="0.3">
      <c r="A433" s="111">
        <v>46149</v>
      </c>
      <c r="B433" t="s">
        <v>211</v>
      </c>
      <c r="C433" s="11">
        <v>500</v>
      </c>
      <c r="D433" s="11"/>
      <c r="F433" s="108" t="s">
        <v>108</v>
      </c>
      <c r="L433">
        <v>7000</v>
      </c>
      <c r="M433">
        <v>20000</v>
      </c>
      <c r="O433">
        <v>5850</v>
      </c>
    </row>
    <row r="434" spans="1:15" x14ac:dyDescent="0.3">
      <c r="A434" s="111">
        <v>46149</v>
      </c>
      <c r="B434" t="s">
        <v>219</v>
      </c>
      <c r="C434" s="11"/>
      <c r="D434" s="11">
        <v>20000</v>
      </c>
      <c r="E434" t="s">
        <v>263</v>
      </c>
      <c r="F434" s="108" t="s">
        <v>108</v>
      </c>
      <c r="L434">
        <v>5332</v>
      </c>
      <c r="O434">
        <v>3300</v>
      </c>
    </row>
    <row r="435" spans="1:15" x14ac:dyDescent="0.3">
      <c r="A435" s="111">
        <v>46149</v>
      </c>
      <c r="B435" t="s">
        <v>269</v>
      </c>
      <c r="C435" s="11">
        <v>25000</v>
      </c>
      <c r="D435" s="11"/>
      <c r="E435" t="s">
        <v>406</v>
      </c>
      <c r="F435" s="108" t="s">
        <v>108</v>
      </c>
      <c r="L435">
        <v>35000</v>
      </c>
      <c r="O435">
        <v>17500</v>
      </c>
    </row>
    <row r="436" spans="1:15" x14ac:dyDescent="0.3">
      <c r="A436" s="38">
        <v>46149</v>
      </c>
      <c r="B436" t="s">
        <v>357</v>
      </c>
      <c r="C436" s="95">
        <v>2200</v>
      </c>
      <c r="D436" s="95"/>
      <c r="F436" s="108" t="s">
        <v>108</v>
      </c>
      <c r="L436">
        <v>11000</v>
      </c>
      <c r="M436">
        <v>17000</v>
      </c>
      <c r="O436">
        <v>17500</v>
      </c>
    </row>
    <row r="437" spans="1:15" x14ac:dyDescent="0.3">
      <c r="A437" s="38">
        <v>46150</v>
      </c>
      <c r="B437" t="s">
        <v>55</v>
      </c>
      <c r="C437" s="11">
        <v>1600</v>
      </c>
      <c r="D437" s="11"/>
      <c r="F437" s="108" t="s">
        <v>108</v>
      </c>
      <c r="L437">
        <v>17460</v>
      </c>
      <c r="M437">
        <v>22000</v>
      </c>
      <c r="O437">
        <v>17500</v>
      </c>
    </row>
    <row r="438" spans="1:15" x14ac:dyDescent="0.3">
      <c r="A438" s="38">
        <v>46150</v>
      </c>
      <c r="B438" t="s">
        <v>219</v>
      </c>
      <c r="C438" s="95"/>
      <c r="D438" s="95">
        <v>60000</v>
      </c>
      <c r="E438" t="s">
        <v>533</v>
      </c>
      <c r="F438" s="108" t="s">
        <v>108</v>
      </c>
      <c r="L438">
        <v>11640</v>
      </c>
      <c r="O438">
        <v>16500</v>
      </c>
    </row>
    <row r="439" spans="1:15" x14ac:dyDescent="0.3">
      <c r="A439" s="38">
        <v>46150</v>
      </c>
      <c r="B439" t="s">
        <v>55</v>
      </c>
      <c r="C439" s="95">
        <v>2520</v>
      </c>
      <c r="D439" s="95"/>
      <c r="E439" t="s">
        <v>448</v>
      </c>
      <c r="F439" s="108" t="s">
        <v>108</v>
      </c>
      <c r="L439">
        <v>10800</v>
      </c>
      <c r="O439">
        <v>14300</v>
      </c>
    </row>
    <row r="440" spans="1:15" x14ac:dyDescent="0.3">
      <c r="A440" s="38">
        <v>46150</v>
      </c>
      <c r="B440" t="s">
        <v>116</v>
      </c>
      <c r="C440" s="95">
        <v>46800</v>
      </c>
      <c r="D440" s="95"/>
      <c r="E440" t="s">
        <v>534</v>
      </c>
      <c r="F440" s="108" t="s">
        <v>108</v>
      </c>
      <c r="L440">
        <v>17000</v>
      </c>
      <c r="O440">
        <v>15000</v>
      </c>
    </row>
    <row r="441" spans="1:15" x14ac:dyDescent="0.3">
      <c r="A441" s="38">
        <v>46150</v>
      </c>
      <c r="B441" t="s">
        <v>54</v>
      </c>
      <c r="C441" s="95">
        <v>700</v>
      </c>
      <c r="D441" s="95"/>
      <c r="E441" t="s">
        <v>289</v>
      </c>
      <c r="F441" s="108" t="s">
        <v>108</v>
      </c>
      <c r="O441">
        <v>22650</v>
      </c>
    </row>
    <row r="442" spans="1:15" x14ac:dyDescent="0.3">
      <c r="A442" s="38">
        <v>46150</v>
      </c>
      <c r="B442" t="s">
        <v>357</v>
      </c>
      <c r="C442" s="95">
        <v>2200</v>
      </c>
      <c r="D442" s="95"/>
      <c r="E442" t="s">
        <v>535</v>
      </c>
      <c r="F442" s="108" t="s">
        <v>108</v>
      </c>
      <c r="O442">
        <v>20000</v>
      </c>
    </row>
    <row r="443" spans="1:15" x14ac:dyDescent="0.3">
      <c r="A443" s="38">
        <v>46150</v>
      </c>
      <c r="B443" t="s">
        <v>219</v>
      </c>
      <c r="C443" s="95"/>
      <c r="D443" s="95">
        <v>250000</v>
      </c>
      <c r="E443" t="s">
        <v>536</v>
      </c>
      <c r="F443" s="108" t="s">
        <v>108</v>
      </c>
      <c r="O443">
        <v>15600</v>
      </c>
    </row>
    <row r="444" spans="1:15" x14ac:dyDescent="0.3">
      <c r="A444" s="38">
        <v>46150</v>
      </c>
      <c r="B444" t="s">
        <v>493</v>
      </c>
      <c r="C444" s="95"/>
      <c r="D444" s="95">
        <v>100000</v>
      </c>
      <c r="E444" t="s">
        <v>109</v>
      </c>
      <c r="F444" s="108" t="s">
        <v>108</v>
      </c>
      <c r="O444">
        <v>15000</v>
      </c>
    </row>
    <row r="445" spans="1:15" x14ac:dyDescent="0.3">
      <c r="A445" s="38">
        <v>46150</v>
      </c>
      <c r="B445" t="s">
        <v>219</v>
      </c>
      <c r="C445" s="95">
        <v>100000</v>
      </c>
      <c r="D445" s="95"/>
      <c r="E445" t="s">
        <v>529</v>
      </c>
      <c r="F445" s="108" t="s">
        <v>108</v>
      </c>
      <c r="O445">
        <v>400</v>
      </c>
    </row>
    <row r="446" spans="1:15" x14ac:dyDescent="0.3">
      <c r="A446" s="38">
        <v>46150</v>
      </c>
      <c r="B446" t="s">
        <v>257</v>
      </c>
      <c r="C446" s="95">
        <v>100000</v>
      </c>
      <c r="D446" s="95"/>
      <c r="E446" t="s">
        <v>537</v>
      </c>
      <c r="F446" s="108" t="s">
        <v>108</v>
      </c>
      <c r="O446">
        <v>20000</v>
      </c>
    </row>
    <row r="447" spans="1:15" x14ac:dyDescent="0.3">
      <c r="A447" s="38">
        <v>46150</v>
      </c>
      <c r="B447" t="s">
        <v>221</v>
      </c>
      <c r="C447" s="95">
        <v>100000</v>
      </c>
      <c r="D447" s="95"/>
      <c r="E447" t="s">
        <v>537</v>
      </c>
      <c r="F447" s="108" t="s">
        <v>108</v>
      </c>
      <c r="O447">
        <v>30000</v>
      </c>
    </row>
    <row r="448" spans="1:15" x14ac:dyDescent="0.3">
      <c r="A448" s="38">
        <v>46150</v>
      </c>
      <c r="B448" t="s">
        <v>253</v>
      </c>
      <c r="C448" s="95">
        <v>45000</v>
      </c>
      <c r="D448" s="95"/>
      <c r="E448" t="s">
        <v>538</v>
      </c>
      <c r="F448" s="108" t="s">
        <v>108</v>
      </c>
      <c r="O448">
        <v>8350</v>
      </c>
    </row>
    <row r="449" spans="1:16" x14ac:dyDescent="0.3">
      <c r="A449" s="38">
        <v>46150</v>
      </c>
      <c r="B449" t="s">
        <v>211</v>
      </c>
      <c r="C449" s="95">
        <v>790</v>
      </c>
      <c r="D449" s="95"/>
      <c r="E449" t="s">
        <v>255</v>
      </c>
      <c r="F449" s="108" t="s">
        <v>108</v>
      </c>
      <c r="O449">
        <v>9850</v>
      </c>
      <c r="P449">
        <v>17000</v>
      </c>
    </row>
    <row r="450" spans="1:16" x14ac:dyDescent="0.3">
      <c r="A450" s="38">
        <v>46150</v>
      </c>
      <c r="B450" t="s">
        <v>175</v>
      </c>
      <c r="C450" s="11">
        <v>36000</v>
      </c>
      <c r="D450" s="11"/>
      <c r="E450" t="s">
        <v>564</v>
      </c>
      <c r="F450" s="108" t="s">
        <v>108</v>
      </c>
      <c r="O450">
        <v>80000</v>
      </c>
    </row>
    <row r="451" spans="1:16" x14ac:dyDescent="0.3">
      <c r="A451" s="38">
        <v>46150</v>
      </c>
      <c r="B451" t="s">
        <v>219</v>
      </c>
      <c r="C451" s="11"/>
      <c r="D451" s="11">
        <v>36000</v>
      </c>
      <c r="E451" t="s">
        <v>564</v>
      </c>
      <c r="F451" s="108" t="s">
        <v>108</v>
      </c>
      <c r="O451">
        <v>20000</v>
      </c>
    </row>
    <row r="452" spans="1:16" x14ac:dyDescent="0.3">
      <c r="A452" s="38">
        <v>46151</v>
      </c>
      <c r="B452" t="s">
        <v>539</v>
      </c>
      <c r="C452" s="95"/>
      <c r="D452" s="95">
        <v>500000</v>
      </c>
      <c r="E452" t="s">
        <v>540</v>
      </c>
      <c r="F452" s="108" t="s">
        <v>108</v>
      </c>
      <c r="O452">
        <v>20800</v>
      </c>
    </row>
    <row r="453" spans="1:16" x14ac:dyDescent="0.3">
      <c r="A453" s="38">
        <v>46151</v>
      </c>
      <c r="B453" t="s">
        <v>175</v>
      </c>
      <c r="C453" s="95">
        <v>55000</v>
      </c>
      <c r="D453" s="95"/>
      <c r="E453" t="s">
        <v>486</v>
      </c>
      <c r="F453" s="108" t="s">
        <v>108</v>
      </c>
      <c r="O453">
        <v>46600</v>
      </c>
    </row>
    <row r="454" spans="1:16" x14ac:dyDescent="0.3">
      <c r="A454" s="38">
        <v>46151</v>
      </c>
      <c r="B454" t="s">
        <v>54</v>
      </c>
      <c r="C454" s="95">
        <v>2000</v>
      </c>
      <c r="D454" s="95"/>
      <c r="E454" t="s">
        <v>541</v>
      </c>
      <c r="F454" s="108" t="s">
        <v>108</v>
      </c>
      <c r="L454" s="19">
        <v>48600</v>
      </c>
      <c r="N454" s="19">
        <v>27400</v>
      </c>
      <c r="O454">
        <v>29600</v>
      </c>
    </row>
    <row r="455" spans="1:16" x14ac:dyDescent="0.3">
      <c r="A455" s="38">
        <v>46151</v>
      </c>
      <c r="B455" t="s">
        <v>222</v>
      </c>
      <c r="C455" s="95">
        <v>100000</v>
      </c>
      <c r="D455" s="95"/>
      <c r="E455" t="s">
        <v>240</v>
      </c>
      <c r="F455" s="108" t="s">
        <v>108</v>
      </c>
      <c r="L455">
        <v>49200</v>
      </c>
      <c r="N455">
        <v>3400</v>
      </c>
      <c r="O455">
        <v>22800</v>
      </c>
    </row>
    <row r="456" spans="1:16" x14ac:dyDescent="0.3">
      <c r="A456" s="38">
        <v>46151</v>
      </c>
      <c r="B456" t="s">
        <v>357</v>
      </c>
      <c r="C456" s="95">
        <v>30000</v>
      </c>
      <c r="D456" s="95"/>
      <c r="E456" t="s">
        <v>542</v>
      </c>
      <c r="F456" s="108" t="s">
        <v>108</v>
      </c>
      <c r="L456">
        <v>52000</v>
      </c>
      <c r="N456" s="19">
        <v>6200</v>
      </c>
      <c r="O456">
        <v>3200</v>
      </c>
    </row>
    <row r="457" spans="1:16" x14ac:dyDescent="0.3">
      <c r="A457" s="38">
        <v>46151</v>
      </c>
      <c r="B457" t="s">
        <v>476</v>
      </c>
      <c r="C457" s="95">
        <v>198400</v>
      </c>
      <c r="D457" s="95"/>
      <c r="E457" t="s">
        <v>543</v>
      </c>
      <c r="F457" s="108" t="s">
        <v>108</v>
      </c>
      <c r="L457">
        <v>42800</v>
      </c>
      <c r="N457">
        <v>3400</v>
      </c>
      <c r="O457">
        <v>48400</v>
      </c>
    </row>
    <row r="458" spans="1:16" x14ac:dyDescent="0.3">
      <c r="A458" s="38">
        <v>46151</v>
      </c>
      <c r="B458" t="s">
        <v>168</v>
      </c>
      <c r="C458" s="95">
        <v>100000</v>
      </c>
      <c r="D458" s="95"/>
      <c r="E458" t="s">
        <v>544</v>
      </c>
      <c r="F458" s="108" t="s">
        <v>108</v>
      </c>
      <c r="L458">
        <v>25200</v>
      </c>
      <c r="N458" s="19">
        <v>25200</v>
      </c>
      <c r="O458">
        <v>5330</v>
      </c>
    </row>
    <row r="459" spans="1:16" x14ac:dyDescent="0.3">
      <c r="A459" s="38">
        <v>46151</v>
      </c>
      <c r="B459" t="s">
        <v>55</v>
      </c>
      <c r="C459" s="95">
        <v>2800</v>
      </c>
      <c r="D459" s="95"/>
      <c r="E459" t="s">
        <v>427</v>
      </c>
      <c r="F459" s="108" t="s">
        <v>108</v>
      </c>
      <c r="L459">
        <v>37600</v>
      </c>
      <c r="N459" s="19">
        <v>19500</v>
      </c>
      <c r="O459">
        <v>17000</v>
      </c>
    </row>
    <row r="460" spans="1:16" x14ac:dyDescent="0.3">
      <c r="A460" s="38">
        <v>46151</v>
      </c>
      <c r="B460" t="s">
        <v>269</v>
      </c>
      <c r="C460" s="95">
        <v>10000</v>
      </c>
      <c r="D460" s="95"/>
      <c r="E460" t="s">
        <v>478</v>
      </c>
      <c r="F460" s="108" t="s">
        <v>108</v>
      </c>
      <c r="L460">
        <v>23000</v>
      </c>
      <c r="N460" s="19">
        <v>20300</v>
      </c>
    </row>
    <row r="461" spans="1:16" x14ac:dyDescent="0.3">
      <c r="A461" s="38">
        <v>46151</v>
      </c>
      <c r="B461" t="s">
        <v>269</v>
      </c>
      <c r="C461" s="95">
        <v>10000</v>
      </c>
      <c r="D461" s="95"/>
      <c r="E461" t="s">
        <v>288</v>
      </c>
      <c r="F461" s="108" t="s">
        <v>108</v>
      </c>
      <c r="L461">
        <v>6200</v>
      </c>
      <c r="N461" s="19">
        <v>21000</v>
      </c>
    </row>
    <row r="462" spans="1:16" x14ac:dyDescent="0.3">
      <c r="A462" s="38">
        <v>46151</v>
      </c>
      <c r="B462" t="s">
        <v>211</v>
      </c>
      <c r="C462" s="95">
        <v>2260</v>
      </c>
      <c r="D462" s="95"/>
      <c r="F462" s="108" t="s">
        <v>108</v>
      </c>
      <c r="L462">
        <v>3400</v>
      </c>
      <c r="N462" s="19">
        <v>40000</v>
      </c>
    </row>
    <row r="463" spans="1:16" x14ac:dyDescent="0.3">
      <c r="A463" s="38">
        <v>46151</v>
      </c>
      <c r="B463" t="s">
        <v>493</v>
      </c>
      <c r="C463" s="95"/>
      <c r="D463" s="95">
        <v>100000</v>
      </c>
      <c r="E463" t="s">
        <v>109</v>
      </c>
      <c r="F463" s="108" t="s">
        <v>108</v>
      </c>
      <c r="L463">
        <v>19800</v>
      </c>
      <c r="N463" s="19">
        <v>3000</v>
      </c>
    </row>
    <row r="464" spans="1:16" x14ac:dyDescent="0.3">
      <c r="A464" s="38">
        <v>46151</v>
      </c>
      <c r="B464" t="s">
        <v>219</v>
      </c>
      <c r="C464" s="95">
        <v>100000</v>
      </c>
      <c r="D464" s="95"/>
      <c r="E464" t="s">
        <v>529</v>
      </c>
      <c r="F464" s="108" t="s">
        <v>108</v>
      </c>
      <c r="L464">
        <v>3400</v>
      </c>
      <c r="N464" s="19">
        <v>20600</v>
      </c>
    </row>
    <row r="465" spans="1:14" x14ac:dyDescent="0.3">
      <c r="A465" s="38">
        <v>46152</v>
      </c>
      <c r="B465" t="s">
        <v>219</v>
      </c>
      <c r="C465" s="95"/>
      <c r="D465" s="95">
        <v>18000</v>
      </c>
      <c r="F465" s="108" t="s">
        <v>108</v>
      </c>
      <c r="L465">
        <v>31150</v>
      </c>
      <c r="N465" s="19">
        <v>12750</v>
      </c>
    </row>
    <row r="466" spans="1:14" x14ac:dyDescent="0.3">
      <c r="A466" s="38">
        <v>46152</v>
      </c>
      <c r="B466" t="s">
        <v>386</v>
      </c>
      <c r="C466" s="95">
        <v>4500</v>
      </c>
      <c r="D466" s="95"/>
      <c r="E466" t="s">
        <v>283</v>
      </c>
      <c r="F466" s="108" t="s">
        <v>108</v>
      </c>
      <c r="L466">
        <v>12750</v>
      </c>
      <c r="N466" s="19">
        <v>14400</v>
      </c>
    </row>
    <row r="467" spans="1:14" x14ac:dyDescent="0.3">
      <c r="A467" s="38">
        <v>46152</v>
      </c>
      <c r="B467" t="s">
        <v>211</v>
      </c>
      <c r="C467" s="95">
        <v>780</v>
      </c>
      <c r="D467" s="95"/>
      <c r="F467" s="108" t="s">
        <v>108</v>
      </c>
      <c r="L467">
        <v>27400</v>
      </c>
      <c r="N467" s="19">
        <v>9000</v>
      </c>
    </row>
    <row r="468" spans="1:14" x14ac:dyDescent="0.3">
      <c r="A468" s="38">
        <v>46152</v>
      </c>
      <c r="B468" t="s">
        <v>55</v>
      </c>
      <c r="C468" s="95">
        <v>1560</v>
      </c>
      <c r="D468" s="95"/>
      <c r="F468" s="108" t="s">
        <v>108</v>
      </c>
      <c r="L468">
        <v>15700</v>
      </c>
      <c r="N468" s="19">
        <v>17400</v>
      </c>
    </row>
    <row r="469" spans="1:14" x14ac:dyDescent="0.3">
      <c r="A469" s="38">
        <v>46152</v>
      </c>
      <c r="B469" t="s">
        <v>55</v>
      </c>
      <c r="C469" s="95">
        <v>2500</v>
      </c>
      <c r="D469" s="95"/>
      <c r="F469" s="108" t="s">
        <v>108</v>
      </c>
      <c r="L469">
        <v>12550</v>
      </c>
      <c r="N469" s="19">
        <v>19782</v>
      </c>
    </row>
    <row r="470" spans="1:14" x14ac:dyDescent="0.3">
      <c r="A470" s="38">
        <v>46152</v>
      </c>
      <c r="B470" t="s">
        <v>55</v>
      </c>
      <c r="C470" s="95">
        <v>550</v>
      </c>
      <c r="D470" s="95"/>
      <c r="F470" s="108" t="s">
        <v>108</v>
      </c>
      <c r="L470">
        <v>14800</v>
      </c>
      <c r="N470" s="19">
        <v>23000</v>
      </c>
    </row>
    <row r="471" spans="1:14" x14ac:dyDescent="0.3">
      <c r="A471" s="38">
        <v>46152</v>
      </c>
      <c r="B471" t="s">
        <v>55</v>
      </c>
      <c r="C471" s="95">
        <v>1000</v>
      </c>
      <c r="D471" s="95"/>
      <c r="F471" s="108" t="s">
        <v>108</v>
      </c>
      <c r="L471">
        <v>14350</v>
      </c>
      <c r="N471" s="19">
        <v>15700</v>
      </c>
    </row>
    <row r="472" spans="1:14" x14ac:dyDescent="0.3">
      <c r="A472" s="38">
        <v>46152</v>
      </c>
      <c r="B472" t="s">
        <v>211</v>
      </c>
      <c r="C472" s="95"/>
      <c r="D472" s="95">
        <v>1000</v>
      </c>
      <c r="F472" s="108" t="s">
        <v>108</v>
      </c>
      <c r="L472">
        <v>40000</v>
      </c>
      <c r="N472" s="19">
        <v>14800</v>
      </c>
    </row>
    <row r="473" spans="1:14" x14ac:dyDescent="0.3">
      <c r="A473" s="38">
        <v>46153</v>
      </c>
      <c r="B473" t="s">
        <v>191</v>
      </c>
      <c r="C473" s="95"/>
      <c r="D473" s="95">
        <v>60000</v>
      </c>
      <c r="F473" s="108" t="s">
        <v>108</v>
      </c>
      <c r="L473">
        <v>17400</v>
      </c>
      <c r="N473" s="19">
        <v>12550</v>
      </c>
    </row>
    <row r="474" spans="1:14" x14ac:dyDescent="0.3">
      <c r="A474" s="38">
        <v>46153</v>
      </c>
      <c r="B474" t="s">
        <v>219</v>
      </c>
      <c r="C474" s="95">
        <v>60000</v>
      </c>
      <c r="D474" s="95"/>
      <c r="E474" t="s">
        <v>191</v>
      </c>
      <c r="F474" s="108" t="s">
        <v>108</v>
      </c>
      <c r="L474">
        <v>19500</v>
      </c>
      <c r="N474" s="19">
        <v>31150</v>
      </c>
    </row>
    <row r="475" spans="1:14" x14ac:dyDescent="0.3">
      <c r="A475" s="38">
        <v>46153</v>
      </c>
      <c r="B475" t="s">
        <v>55</v>
      </c>
      <c r="C475" s="95">
        <v>3500</v>
      </c>
      <c r="D475" s="95"/>
      <c r="E475" t="s">
        <v>546</v>
      </c>
      <c r="F475" s="108" t="s">
        <v>108</v>
      </c>
      <c r="L475">
        <v>3000</v>
      </c>
      <c r="N475" s="19">
        <v>27500</v>
      </c>
    </row>
    <row r="476" spans="1:14" x14ac:dyDescent="0.3">
      <c r="A476" s="38">
        <v>46153</v>
      </c>
      <c r="B476" t="s">
        <v>55</v>
      </c>
      <c r="C476" s="95">
        <v>1560</v>
      </c>
      <c r="D476" s="95"/>
      <c r="E476" t="s">
        <v>546</v>
      </c>
      <c r="F476" s="108" t="s">
        <v>108</v>
      </c>
      <c r="L476">
        <v>1000</v>
      </c>
      <c r="N476" s="19">
        <v>20000</v>
      </c>
    </row>
    <row r="477" spans="1:14" x14ac:dyDescent="0.3">
      <c r="A477" s="38">
        <v>46153</v>
      </c>
      <c r="B477" t="s">
        <v>219</v>
      </c>
      <c r="C477" s="95"/>
      <c r="D477" s="95">
        <v>3500</v>
      </c>
      <c r="F477" s="108" t="s">
        <v>108</v>
      </c>
      <c r="L477">
        <v>9000</v>
      </c>
      <c r="N477" s="19">
        <v>52000</v>
      </c>
    </row>
    <row r="478" spans="1:14" x14ac:dyDescent="0.3">
      <c r="A478" s="38">
        <v>46153</v>
      </c>
      <c r="B478" t="s">
        <v>55</v>
      </c>
      <c r="C478" s="95">
        <v>2500</v>
      </c>
      <c r="D478" s="95"/>
      <c r="E478" t="s">
        <v>291</v>
      </c>
      <c r="F478" s="108" t="s">
        <v>108</v>
      </c>
      <c r="L478">
        <v>21000</v>
      </c>
      <c r="N478" s="19">
        <v>49200</v>
      </c>
    </row>
    <row r="479" spans="1:14" x14ac:dyDescent="0.3">
      <c r="A479" s="38">
        <v>46153</v>
      </c>
      <c r="B479" t="s">
        <v>55</v>
      </c>
      <c r="C479" s="95">
        <v>550</v>
      </c>
      <c r="D479" s="95"/>
      <c r="F479" s="108" t="s">
        <v>108</v>
      </c>
      <c r="L479">
        <v>20300</v>
      </c>
      <c r="N479" s="19">
        <v>37600</v>
      </c>
    </row>
    <row r="480" spans="1:14" x14ac:dyDescent="0.3">
      <c r="A480" s="38">
        <v>46153</v>
      </c>
      <c r="B480" t="s">
        <v>115</v>
      </c>
      <c r="C480" s="95">
        <v>100000</v>
      </c>
      <c r="D480" s="95"/>
      <c r="E480" t="s">
        <v>547</v>
      </c>
      <c r="F480" s="108" t="s">
        <v>108</v>
      </c>
      <c r="L480">
        <v>27500</v>
      </c>
      <c r="N480" s="19">
        <v>48600</v>
      </c>
    </row>
    <row r="481" spans="1:14" x14ac:dyDescent="0.3">
      <c r="A481" s="38">
        <v>46153</v>
      </c>
      <c r="B481" t="s">
        <v>219</v>
      </c>
      <c r="C481" s="95"/>
      <c r="D481" s="95">
        <v>100000</v>
      </c>
      <c r="E481" t="s">
        <v>548</v>
      </c>
      <c r="F481" s="108" t="s">
        <v>108</v>
      </c>
      <c r="L481">
        <v>20000</v>
      </c>
      <c r="N481" s="19">
        <v>42800</v>
      </c>
    </row>
    <row r="482" spans="1:14" x14ac:dyDescent="0.3">
      <c r="A482" s="38">
        <v>46153</v>
      </c>
      <c r="B482" t="s">
        <v>9</v>
      </c>
      <c r="C482" s="95"/>
      <c r="D482" s="95">
        <v>37085</v>
      </c>
      <c r="E482" t="s">
        <v>215</v>
      </c>
      <c r="F482" s="108" t="s">
        <v>108</v>
      </c>
      <c r="L482">
        <v>20600</v>
      </c>
    </row>
    <row r="483" spans="1:14" x14ac:dyDescent="0.3">
      <c r="A483" s="38">
        <v>46153</v>
      </c>
      <c r="B483" t="s">
        <v>55</v>
      </c>
      <c r="C483" s="95">
        <v>28500</v>
      </c>
      <c r="D483" s="95"/>
      <c r="E483" t="s">
        <v>549</v>
      </c>
      <c r="F483" s="108" t="s">
        <v>108</v>
      </c>
      <c r="L483">
        <v>3400</v>
      </c>
    </row>
    <row r="484" spans="1:14" x14ac:dyDescent="0.3">
      <c r="A484" s="38">
        <v>46153</v>
      </c>
      <c r="B484" t="s">
        <v>219</v>
      </c>
      <c r="C484" s="95"/>
      <c r="D484" s="95">
        <v>250000</v>
      </c>
      <c r="E484" t="s">
        <v>550</v>
      </c>
      <c r="F484" s="108" t="s">
        <v>108</v>
      </c>
    </row>
    <row r="485" spans="1:14" x14ac:dyDescent="0.3">
      <c r="A485" s="38">
        <v>46153</v>
      </c>
      <c r="B485" t="s">
        <v>219</v>
      </c>
      <c r="C485" s="95"/>
      <c r="D485" s="95">
        <v>134000</v>
      </c>
      <c r="E485" t="s">
        <v>551</v>
      </c>
      <c r="F485" s="108" t="s">
        <v>108</v>
      </c>
    </row>
    <row r="486" spans="1:14" x14ac:dyDescent="0.3">
      <c r="A486" s="38">
        <v>46153</v>
      </c>
      <c r="B486" t="s">
        <v>517</v>
      </c>
      <c r="C486" s="95">
        <v>300000</v>
      </c>
      <c r="D486" s="95"/>
      <c r="E486" t="s">
        <v>552</v>
      </c>
      <c r="F486" s="108" t="s">
        <v>108</v>
      </c>
    </row>
    <row r="487" spans="1:14" x14ac:dyDescent="0.3">
      <c r="A487" s="38">
        <v>46153</v>
      </c>
      <c r="B487" t="s">
        <v>54</v>
      </c>
      <c r="C487" s="95">
        <v>3500</v>
      </c>
      <c r="D487" s="95"/>
      <c r="E487" t="s">
        <v>553</v>
      </c>
      <c r="F487" s="108" t="s">
        <v>108</v>
      </c>
    </row>
    <row r="488" spans="1:14" x14ac:dyDescent="0.3">
      <c r="A488" s="38">
        <v>46153</v>
      </c>
      <c r="B488" t="s">
        <v>269</v>
      </c>
      <c r="C488" s="95">
        <v>5000</v>
      </c>
      <c r="D488" s="95"/>
      <c r="E488" t="s">
        <v>554</v>
      </c>
      <c r="F488" s="108" t="s">
        <v>108</v>
      </c>
    </row>
    <row r="489" spans="1:14" x14ac:dyDescent="0.3">
      <c r="A489" s="38">
        <v>46153</v>
      </c>
      <c r="B489" t="s">
        <v>211</v>
      </c>
      <c r="C489" s="95">
        <v>200</v>
      </c>
      <c r="D489" s="95"/>
      <c r="F489" s="108" t="s">
        <v>108</v>
      </c>
    </row>
    <row r="490" spans="1:14" x14ac:dyDescent="0.3">
      <c r="A490" s="38">
        <v>46153</v>
      </c>
      <c r="B490" t="s">
        <v>55</v>
      </c>
      <c r="C490" s="95">
        <v>12491</v>
      </c>
      <c r="D490" s="95"/>
      <c r="E490" t="s">
        <v>259</v>
      </c>
      <c r="F490" s="108" t="s">
        <v>108</v>
      </c>
    </row>
    <row r="491" spans="1:14" x14ac:dyDescent="0.3">
      <c r="A491" s="38">
        <v>46154</v>
      </c>
      <c r="B491" t="s">
        <v>493</v>
      </c>
      <c r="C491" s="95"/>
      <c r="D491" s="95">
        <v>50000</v>
      </c>
      <c r="E491" t="s">
        <v>109</v>
      </c>
      <c r="F491" s="108" t="s">
        <v>108</v>
      </c>
    </row>
    <row r="492" spans="1:14" x14ac:dyDescent="0.3">
      <c r="A492" s="38">
        <v>46154</v>
      </c>
      <c r="B492" t="s">
        <v>219</v>
      </c>
      <c r="C492" s="95">
        <v>50000</v>
      </c>
      <c r="D492" s="95"/>
      <c r="E492" t="s">
        <v>545</v>
      </c>
      <c r="F492" s="108" t="s">
        <v>108</v>
      </c>
    </row>
    <row r="493" spans="1:14" x14ac:dyDescent="0.3">
      <c r="A493" s="38">
        <v>46154</v>
      </c>
      <c r="B493" t="s">
        <v>55</v>
      </c>
      <c r="C493" s="95">
        <v>400</v>
      </c>
      <c r="D493" s="95"/>
      <c r="F493" s="108" t="s">
        <v>108</v>
      </c>
    </row>
    <row r="494" spans="1:14" x14ac:dyDescent="0.3">
      <c r="A494" s="38">
        <v>46154</v>
      </c>
      <c r="B494" t="s">
        <v>54</v>
      </c>
      <c r="C494" s="95">
        <v>17000</v>
      </c>
      <c r="D494" s="95"/>
      <c r="E494" t="s">
        <v>555</v>
      </c>
      <c r="F494" s="108" t="s">
        <v>108</v>
      </c>
    </row>
    <row r="495" spans="1:14" x14ac:dyDescent="0.3">
      <c r="A495" s="38">
        <v>46154</v>
      </c>
      <c r="B495" t="s">
        <v>55</v>
      </c>
      <c r="C495" s="11">
        <v>350</v>
      </c>
      <c r="D495" s="11"/>
      <c r="E495" t="s">
        <v>556</v>
      </c>
      <c r="F495" s="108" t="s">
        <v>108</v>
      </c>
    </row>
    <row r="496" spans="1:14" x14ac:dyDescent="0.3">
      <c r="A496" s="38">
        <v>46154</v>
      </c>
      <c r="B496" t="s">
        <v>357</v>
      </c>
      <c r="C496" s="11">
        <v>1800</v>
      </c>
      <c r="D496" s="11"/>
      <c r="F496" s="108" t="s">
        <v>108</v>
      </c>
    </row>
    <row r="497" spans="1:10" x14ac:dyDescent="0.3">
      <c r="A497" s="38">
        <v>46154</v>
      </c>
      <c r="B497" t="s">
        <v>222</v>
      </c>
      <c r="C497" s="11">
        <v>39000</v>
      </c>
      <c r="D497" s="11"/>
      <c r="E497" t="s">
        <v>240</v>
      </c>
      <c r="F497" s="108" t="s">
        <v>108</v>
      </c>
    </row>
    <row r="498" spans="1:10" x14ac:dyDescent="0.3">
      <c r="A498" s="38">
        <v>46154</v>
      </c>
      <c r="B498" t="s">
        <v>386</v>
      </c>
      <c r="C498" s="11">
        <v>6000</v>
      </c>
      <c r="D498" s="11"/>
      <c r="E498" t="s">
        <v>557</v>
      </c>
      <c r="F498" s="108" t="s">
        <v>108</v>
      </c>
    </row>
    <row r="499" spans="1:10" x14ac:dyDescent="0.3">
      <c r="A499" s="38">
        <v>46154</v>
      </c>
      <c r="B499" t="s">
        <v>219</v>
      </c>
      <c r="C499" s="11"/>
      <c r="D499" s="11">
        <v>60000</v>
      </c>
      <c r="E499" t="s">
        <v>558</v>
      </c>
      <c r="F499" s="108" t="s">
        <v>108</v>
      </c>
    </row>
    <row r="500" spans="1:10" x14ac:dyDescent="0.3">
      <c r="A500" s="38">
        <v>46154</v>
      </c>
      <c r="B500" t="s">
        <v>222</v>
      </c>
      <c r="C500" s="11">
        <v>100000</v>
      </c>
      <c r="D500" s="11"/>
      <c r="E500" t="s">
        <v>559</v>
      </c>
      <c r="F500" s="108" t="s">
        <v>108</v>
      </c>
      <c r="I500">
        <v>150000</v>
      </c>
      <c r="J500">
        <v>32800</v>
      </c>
    </row>
    <row r="501" spans="1:10" x14ac:dyDescent="0.3">
      <c r="A501" s="111">
        <v>46154</v>
      </c>
      <c r="B501" t="s">
        <v>219</v>
      </c>
      <c r="C501" s="11"/>
      <c r="D501" s="11">
        <v>135000</v>
      </c>
      <c r="E501" t="s">
        <v>560</v>
      </c>
      <c r="F501" s="108" t="s">
        <v>108</v>
      </c>
      <c r="I501">
        <v>17334</v>
      </c>
      <c r="J501">
        <v>22400</v>
      </c>
    </row>
    <row r="502" spans="1:10" x14ac:dyDescent="0.3">
      <c r="A502" s="111">
        <v>46154</v>
      </c>
      <c r="B502" t="s">
        <v>55</v>
      </c>
      <c r="C502" s="11">
        <v>3700</v>
      </c>
      <c r="D502" s="11"/>
      <c r="E502" t="s">
        <v>561</v>
      </c>
      <c r="F502" s="108" t="s">
        <v>108</v>
      </c>
      <c r="I502">
        <v>40000</v>
      </c>
      <c r="J502">
        <v>26800</v>
      </c>
    </row>
    <row r="503" spans="1:10" x14ac:dyDescent="0.3">
      <c r="A503" s="111">
        <v>46154</v>
      </c>
      <c r="B503" t="s">
        <v>219</v>
      </c>
      <c r="C503" s="11"/>
      <c r="D503" s="11">
        <v>195000</v>
      </c>
      <c r="E503" t="s">
        <v>540</v>
      </c>
      <c r="F503" s="108" t="s">
        <v>108</v>
      </c>
      <c r="I503">
        <v>55000</v>
      </c>
      <c r="J503">
        <v>24800</v>
      </c>
    </row>
    <row r="504" spans="1:10" x14ac:dyDescent="0.3">
      <c r="A504" s="111">
        <v>46154</v>
      </c>
      <c r="B504" t="s">
        <v>219</v>
      </c>
      <c r="C504" s="11"/>
      <c r="D504" s="11">
        <v>18000</v>
      </c>
      <c r="E504" t="s">
        <v>562</v>
      </c>
      <c r="F504" s="108" t="s">
        <v>108</v>
      </c>
      <c r="I504">
        <v>20000</v>
      </c>
      <c r="J504">
        <v>23600</v>
      </c>
    </row>
    <row r="505" spans="1:10" x14ac:dyDescent="0.3">
      <c r="A505" s="111">
        <v>46154</v>
      </c>
      <c r="B505" t="s">
        <v>222</v>
      </c>
      <c r="C505" s="11">
        <v>350000</v>
      </c>
      <c r="D505" s="11"/>
      <c r="E505" t="s">
        <v>563</v>
      </c>
      <c r="F505" s="108" t="s">
        <v>108</v>
      </c>
      <c r="I505">
        <v>22650</v>
      </c>
      <c r="J505">
        <v>12400</v>
      </c>
    </row>
    <row r="506" spans="1:10" x14ac:dyDescent="0.3">
      <c r="A506" s="111">
        <v>46154</v>
      </c>
      <c r="B506" t="s">
        <v>211</v>
      </c>
      <c r="C506" s="11">
        <v>500</v>
      </c>
      <c r="D506" s="11"/>
      <c r="F506" s="108" t="s">
        <v>108</v>
      </c>
      <c r="I506">
        <v>20550</v>
      </c>
      <c r="J506">
        <v>21600</v>
      </c>
    </row>
    <row r="507" spans="1:10" x14ac:dyDescent="0.3">
      <c r="A507" s="111">
        <v>46155</v>
      </c>
      <c r="B507" t="s">
        <v>219</v>
      </c>
      <c r="C507" s="11"/>
      <c r="D507" s="11">
        <v>18000</v>
      </c>
      <c r="E507" t="s">
        <v>564</v>
      </c>
      <c r="F507" s="108" t="s">
        <v>108</v>
      </c>
      <c r="I507">
        <v>4000</v>
      </c>
      <c r="J507">
        <v>80000</v>
      </c>
    </row>
    <row r="508" spans="1:10" x14ac:dyDescent="0.3">
      <c r="A508" s="111">
        <v>46155</v>
      </c>
      <c r="B508" t="s">
        <v>116</v>
      </c>
      <c r="C508" s="11">
        <v>18000</v>
      </c>
      <c r="D508" s="11"/>
      <c r="E508" t="s">
        <v>564</v>
      </c>
      <c r="F508" s="108" t="s">
        <v>108</v>
      </c>
      <c r="I508">
        <v>14000</v>
      </c>
      <c r="J508">
        <v>50000</v>
      </c>
    </row>
    <row r="509" spans="1:10" x14ac:dyDescent="0.3">
      <c r="A509" s="111">
        <v>46155</v>
      </c>
      <c r="B509" t="s">
        <v>269</v>
      </c>
      <c r="C509" s="11">
        <v>5000</v>
      </c>
      <c r="D509" s="11"/>
      <c r="E509" t="s">
        <v>406</v>
      </c>
      <c r="F509" s="108" t="s">
        <v>108</v>
      </c>
      <c r="I509">
        <v>12220</v>
      </c>
      <c r="J509">
        <v>60000</v>
      </c>
    </row>
    <row r="510" spans="1:10" x14ac:dyDescent="0.3">
      <c r="A510" s="111">
        <v>46155</v>
      </c>
      <c r="B510" t="s">
        <v>386</v>
      </c>
      <c r="C510" s="11">
        <v>3240</v>
      </c>
      <c r="D510" s="11"/>
      <c r="E510" t="s">
        <v>565</v>
      </c>
      <c r="F510" s="108" t="s">
        <v>108</v>
      </c>
      <c r="I510">
        <v>14213</v>
      </c>
      <c r="J510">
        <v>35000</v>
      </c>
    </row>
    <row r="511" spans="1:10" x14ac:dyDescent="0.3">
      <c r="A511" s="111">
        <v>46155</v>
      </c>
      <c r="B511" t="s">
        <v>191</v>
      </c>
      <c r="C511" s="11"/>
      <c r="D511" s="11">
        <v>68900</v>
      </c>
      <c r="E511" t="s">
        <v>566</v>
      </c>
      <c r="F511" s="108" t="s">
        <v>108</v>
      </c>
      <c r="I511">
        <v>17500</v>
      </c>
      <c r="J511">
        <v>19600</v>
      </c>
    </row>
    <row r="512" spans="1:10" x14ac:dyDescent="0.3">
      <c r="A512" s="111">
        <v>46155</v>
      </c>
      <c r="B512" t="s">
        <v>55</v>
      </c>
      <c r="C512" s="11">
        <v>51466</v>
      </c>
      <c r="D512" s="11"/>
      <c r="E512" t="s">
        <v>259</v>
      </c>
      <c r="F512" s="108" t="s">
        <v>108</v>
      </c>
      <c r="I512">
        <v>20800</v>
      </c>
      <c r="J512">
        <v>15600</v>
      </c>
    </row>
    <row r="513" spans="1:10" x14ac:dyDescent="0.3">
      <c r="A513" s="111">
        <v>46155</v>
      </c>
      <c r="B513" t="s">
        <v>219</v>
      </c>
      <c r="C513" s="11"/>
      <c r="D513" s="11">
        <v>45000</v>
      </c>
      <c r="E513" t="s">
        <v>320</v>
      </c>
      <c r="F513" s="108" t="s">
        <v>108</v>
      </c>
      <c r="I513">
        <v>15600</v>
      </c>
      <c r="J513">
        <v>20800</v>
      </c>
    </row>
    <row r="514" spans="1:10" x14ac:dyDescent="0.3">
      <c r="A514" s="111">
        <v>46155</v>
      </c>
      <c r="B514" t="s">
        <v>253</v>
      </c>
      <c r="C514" s="11">
        <v>50000</v>
      </c>
      <c r="D514" s="11"/>
      <c r="E514" t="s">
        <v>437</v>
      </c>
      <c r="F514" s="108" t="s">
        <v>108</v>
      </c>
      <c r="I514">
        <v>19600</v>
      </c>
      <c r="J514">
        <v>17500</v>
      </c>
    </row>
    <row r="515" spans="1:10" x14ac:dyDescent="0.3">
      <c r="A515" s="111">
        <v>46155</v>
      </c>
      <c r="B515" t="s">
        <v>211</v>
      </c>
      <c r="C515" s="11">
        <f>226+780</f>
        <v>1006</v>
      </c>
      <c r="D515" s="11"/>
      <c r="F515" s="108" t="s">
        <v>108</v>
      </c>
      <c r="I515">
        <v>35000</v>
      </c>
      <c r="J515">
        <v>14220</v>
      </c>
    </row>
    <row r="516" spans="1:10" x14ac:dyDescent="0.3">
      <c r="A516" s="111">
        <v>46155</v>
      </c>
      <c r="B516" t="s">
        <v>493</v>
      </c>
      <c r="C516" s="11"/>
      <c r="D516" s="11">
        <v>50000</v>
      </c>
      <c r="E516" t="s">
        <v>271</v>
      </c>
      <c r="F516" s="108" t="s">
        <v>108</v>
      </c>
      <c r="I516">
        <v>60000</v>
      </c>
      <c r="J516">
        <v>12220</v>
      </c>
    </row>
    <row r="517" spans="1:10" x14ac:dyDescent="0.3">
      <c r="A517" s="111">
        <v>46155</v>
      </c>
      <c r="B517" t="s">
        <v>219</v>
      </c>
      <c r="C517" s="11">
        <v>50000</v>
      </c>
      <c r="D517" s="11"/>
      <c r="E517" t="s">
        <v>529</v>
      </c>
      <c r="F517" s="108" t="s">
        <v>108</v>
      </c>
      <c r="I517">
        <v>50000</v>
      </c>
      <c r="J517">
        <v>14000</v>
      </c>
    </row>
    <row r="518" spans="1:10" x14ac:dyDescent="0.3">
      <c r="A518" s="111">
        <v>46156</v>
      </c>
      <c r="B518" t="s">
        <v>55</v>
      </c>
      <c r="C518" s="11">
        <v>1600</v>
      </c>
      <c r="D518" s="11"/>
      <c r="E518" t="s">
        <v>466</v>
      </c>
      <c r="F518" s="108" t="s">
        <v>108</v>
      </c>
      <c r="I518">
        <v>80000</v>
      </c>
      <c r="J518">
        <v>150000</v>
      </c>
    </row>
    <row r="519" spans="1:10" x14ac:dyDescent="0.3">
      <c r="A519" s="111">
        <v>46156</v>
      </c>
      <c r="B519" t="s">
        <v>269</v>
      </c>
      <c r="C519" s="11">
        <v>5000</v>
      </c>
      <c r="D519" s="11"/>
      <c r="E519" t="s">
        <v>252</v>
      </c>
      <c r="F519" s="108" t="s">
        <v>108</v>
      </c>
      <c r="I519">
        <v>21600</v>
      </c>
      <c r="J519">
        <v>17350</v>
      </c>
    </row>
    <row r="520" spans="1:10" x14ac:dyDescent="0.3">
      <c r="A520" s="111">
        <v>46156</v>
      </c>
      <c r="B520" t="s">
        <v>244</v>
      </c>
      <c r="C520" s="11">
        <v>2600</v>
      </c>
      <c r="D520" s="11"/>
      <c r="E520" t="s">
        <v>567</v>
      </c>
      <c r="F520" s="108" t="s">
        <v>108</v>
      </c>
      <c r="I520">
        <v>12400</v>
      </c>
      <c r="J520">
        <v>40000</v>
      </c>
    </row>
    <row r="521" spans="1:10" x14ac:dyDescent="0.3">
      <c r="A521" s="111">
        <v>46156</v>
      </c>
      <c r="B521" t="s">
        <v>219</v>
      </c>
      <c r="C521" s="11"/>
      <c r="D521" s="11">
        <v>150000</v>
      </c>
      <c r="E521" t="s">
        <v>285</v>
      </c>
      <c r="F521" s="108" t="s">
        <v>108</v>
      </c>
      <c r="I521">
        <v>23600</v>
      </c>
      <c r="J521">
        <v>55000</v>
      </c>
    </row>
    <row r="522" spans="1:10" x14ac:dyDescent="0.3">
      <c r="A522" s="111">
        <v>46156</v>
      </c>
      <c r="B522" t="s">
        <v>219</v>
      </c>
      <c r="C522" s="11"/>
      <c r="D522" s="11">
        <v>74125</v>
      </c>
      <c r="E522" t="s">
        <v>568</v>
      </c>
      <c r="F522" s="108" t="s">
        <v>108</v>
      </c>
      <c r="I522">
        <v>24800</v>
      </c>
      <c r="J522">
        <v>20000</v>
      </c>
    </row>
    <row r="523" spans="1:10" x14ac:dyDescent="0.3">
      <c r="A523" s="111">
        <v>46156</v>
      </c>
      <c r="B523" t="s">
        <v>175</v>
      </c>
      <c r="C523" s="11">
        <v>74125</v>
      </c>
      <c r="D523" s="11"/>
      <c r="E523" t="s">
        <v>569</v>
      </c>
      <c r="F523" s="108" t="s">
        <v>108</v>
      </c>
      <c r="I523">
        <v>26800</v>
      </c>
      <c r="J523">
        <v>22650</v>
      </c>
    </row>
    <row r="524" spans="1:10" x14ac:dyDescent="0.3">
      <c r="A524" s="111">
        <v>46157</v>
      </c>
      <c r="B524" t="s">
        <v>211</v>
      </c>
      <c r="C524" s="11">
        <f>1500+300+200+2000</f>
        <v>4000</v>
      </c>
      <c r="D524" s="11"/>
      <c r="F524" s="108" t="s">
        <v>108</v>
      </c>
      <c r="I524">
        <v>22400</v>
      </c>
      <c r="J524">
        <v>20550</v>
      </c>
    </row>
    <row r="525" spans="1:10" x14ac:dyDescent="0.3">
      <c r="A525" s="111">
        <v>46157</v>
      </c>
      <c r="B525" t="s">
        <v>269</v>
      </c>
      <c r="C525" s="11">
        <v>35000</v>
      </c>
      <c r="D525" s="11"/>
      <c r="E525" t="s">
        <v>260</v>
      </c>
      <c r="F525" s="108" t="s">
        <v>108</v>
      </c>
      <c r="I525">
        <v>32800</v>
      </c>
      <c r="J525">
        <v>4000</v>
      </c>
    </row>
    <row r="526" spans="1:10" x14ac:dyDescent="0.3">
      <c r="A526" s="111">
        <v>46157</v>
      </c>
      <c r="B526" t="s">
        <v>253</v>
      </c>
      <c r="C526" s="11">
        <v>80000</v>
      </c>
      <c r="D526" s="11"/>
      <c r="E526" t="s">
        <v>570</v>
      </c>
      <c r="F526" s="108" t="s">
        <v>108</v>
      </c>
      <c r="I526">
        <v>8400</v>
      </c>
      <c r="J526">
        <v>8400</v>
      </c>
    </row>
    <row r="527" spans="1:10" x14ac:dyDescent="0.3">
      <c r="A527" s="38">
        <v>46157</v>
      </c>
      <c r="B527" t="s">
        <v>386</v>
      </c>
      <c r="C527" s="11">
        <v>2100</v>
      </c>
      <c r="D527" s="11"/>
      <c r="E527" t="s">
        <v>571</v>
      </c>
      <c r="F527" s="108" t="s">
        <v>108</v>
      </c>
    </row>
    <row r="528" spans="1:10" x14ac:dyDescent="0.3">
      <c r="A528" s="38">
        <v>46157</v>
      </c>
      <c r="B528" t="s">
        <v>367</v>
      </c>
      <c r="C528" s="11"/>
      <c r="D528" s="11">
        <v>800000</v>
      </c>
      <c r="E528" t="s">
        <v>572</v>
      </c>
      <c r="F528" s="108" t="s">
        <v>108</v>
      </c>
    </row>
    <row r="529" spans="1:6" x14ac:dyDescent="0.3">
      <c r="A529" s="38">
        <v>46157</v>
      </c>
      <c r="B529" t="s">
        <v>219</v>
      </c>
      <c r="C529" s="11">
        <v>500000</v>
      </c>
      <c r="D529" s="11"/>
      <c r="E529" t="s">
        <v>573</v>
      </c>
      <c r="F529" s="108" t="s">
        <v>108</v>
      </c>
    </row>
    <row r="530" spans="1:6" x14ac:dyDescent="0.3">
      <c r="A530" s="38">
        <v>46157</v>
      </c>
      <c r="B530" t="s">
        <v>367</v>
      </c>
      <c r="C530" s="95"/>
      <c r="D530" s="95">
        <v>6768</v>
      </c>
      <c r="E530" t="s">
        <v>585</v>
      </c>
      <c r="F530" s="108" t="s">
        <v>108</v>
      </c>
    </row>
    <row r="531" spans="1:6" x14ac:dyDescent="0.3">
      <c r="A531" s="38">
        <v>46157</v>
      </c>
      <c r="B531" t="s">
        <v>54</v>
      </c>
      <c r="C531" s="95">
        <v>6768</v>
      </c>
      <c r="D531" s="95"/>
      <c r="F531" s="108" t="s">
        <v>108</v>
      </c>
    </row>
    <row r="532" spans="1:6" x14ac:dyDescent="0.3">
      <c r="A532" s="38">
        <v>46158</v>
      </c>
      <c r="B532" t="s">
        <v>219</v>
      </c>
      <c r="C532" s="95">
        <v>290000</v>
      </c>
      <c r="D532" s="95"/>
      <c r="E532" t="s">
        <v>575</v>
      </c>
      <c r="F532" s="108" t="s">
        <v>108</v>
      </c>
    </row>
    <row r="533" spans="1:6" x14ac:dyDescent="0.3">
      <c r="A533" s="38">
        <v>46158</v>
      </c>
      <c r="B533" t="s">
        <v>367</v>
      </c>
      <c r="C533" s="95"/>
      <c r="D533" s="95">
        <v>450000</v>
      </c>
      <c r="E533" t="s">
        <v>576</v>
      </c>
      <c r="F533" s="108" t="s">
        <v>108</v>
      </c>
    </row>
    <row r="534" spans="1:6" x14ac:dyDescent="0.3">
      <c r="A534" s="38">
        <v>46158</v>
      </c>
      <c r="B534" t="s">
        <v>219</v>
      </c>
      <c r="C534" s="95">
        <v>110000</v>
      </c>
      <c r="D534" s="95"/>
      <c r="E534" t="s">
        <v>577</v>
      </c>
      <c r="F534" s="108" t="s">
        <v>108</v>
      </c>
    </row>
    <row r="535" spans="1:6" x14ac:dyDescent="0.3">
      <c r="A535" s="38">
        <v>46158</v>
      </c>
      <c r="B535" t="s">
        <v>219</v>
      </c>
      <c r="C535" s="95"/>
      <c r="D535" s="95">
        <v>60000</v>
      </c>
      <c r="E535" t="s">
        <v>578</v>
      </c>
      <c r="F535" s="108" t="s">
        <v>108</v>
      </c>
    </row>
    <row r="536" spans="1:6" x14ac:dyDescent="0.3">
      <c r="A536" s="38">
        <v>46158</v>
      </c>
      <c r="B536" t="s">
        <v>116</v>
      </c>
      <c r="C536" s="95">
        <v>18000</v>
      </c>
      <c r="D536" s="95"/>
      <c r="E536" t="s">
        <v>163</v>
      </c>
      <c r="F536" s="108" t="s">
        <v>108</v>
      </c>
    </row>
    <row r="537" spans="1:6" x14ac:dyDescent="0.3">
      <c r="A537" s="38">
        <v>46158</v>
      </c>
      <c r="B537" t="s">
        <v>219</v>
      </c>
      <c r="C537" s="95"/>
      <c r="D537" s="95">
        <v>56000</v>
      </c>
      <c r="E537" t="s">
        <v>579</v>
      </c>
      <c r="F537" s="108" t="s">
        <v>108</v>
      </c>
    </row>
    <row r="538" spans="1:6" x14ac:dyDescent="0.3">
      <c r="A538" s="38">
        <v>46158</v>
      </c>
      <c r="B538" t="s">
        <v>298</v>
      </c>
      <c r="C538" s="95">
        <v>23000</v>
      </c>
      <c r="D538" s="95"/>
      <c r="F538" s="108" t="s">
        <v>108</v>
      </c>
    </row>
    <row r="539" spans="1:6" x14ac:dyDescent="0.3">
      <c r="A539" s="38">
        <v>46158</v>
      </c>
      <c r="B539" t="s">
        <v>493</v>
      </c>
      <c r="C539" s="95"/>
      <c r="D539" s="95">
        <v>50000</v>
      </c>
      <c r="E539" t="s">
        <v>271</v>
      </c>
      <c r="F539" s="108" t="s">
        <v>108</v>
      </c>
    </row>
    <row r="540" spans="1:6" x14ac:dyDescent="0.3">
      <c r="A540" s="38">
        <v>46158</v>
      </c>
      <c r="B540" t="s">
        <v>269</v>
      </c>
      <c r="C540" s="95">
        <v>5000</v>
      </c>
      <c r="D540" s="95"/>
      <c r="E540" t="s">
        <v>580</v>
      </c>
      <c r="F540" s="108" t="s">
        <v>108</v>
      </c>
    </row>
    <row r="541" spans="1:6" x14ac:dyDescent="0.3">
      <c r="A541" s="38">
        <v>46158</v>
      </c>
      <c r="B541" t="s">
        <v>54</v>
      </c>
      <c r="C541" s="95">
        <v>3000</v>
      </c>
      <c r="D541" s="95"/>
      <c r="E541" t="s">
        <v>463</v>
      </c>
      <c r="F541" s="108" t="s">
        <v>108</v>
      </c>
    </row>
    <row r="542" spans="1:6" x14ac:dyDescent="0.3">
      <c r="A542" s="38">
        <v>46158</v>
      </c>
      <c r="B542" t="s">
        <v>219</v>
      </c>
      <c r="C542" s="95"/>
      <c r="D542" s="95">
        <v>194000</v>
      </c>
      <c r="E542" t="s">
        <v>581</v>
      </c>
      <c r="F542" s="108" t="s">
        <v>108</v>
      </c>
    </row>
    <row r="543" spans="1:6" x14ac:dyDescent="0.3">
      <c r="A543" s="38">
        <v>46158</v>
      </c>
      <c r="B543" t="s">
        <v>219</v>
      </c>
      <c r="C543" s="95"/>
      <c r="D543" s="95">
        <v>70000</v>
      </c>
      <c r="E543" t="s">
        <v>581</v>
      </c>
      <c r="F543" s="108" t="s">
        <v>108</v>
      </c>
    </row>
    <row r="544" spans="1:6" x14ac:dyDescent="0.3">
      <c r="A544" s="38">
        <v>46158</v>
      </c>
      <c r="B544" t="s">
        <v>253</v>
      </c>
      <c r="C544" s="95">
        <v>698250</v>
      </c>
      <c r="D544" s="95"/>
      <c r="E544" t="s">
        <v>268</v>
      </c>
      <c r="F544" s="108" t="s">
        <v>108</v>
      </c>
    </row>
    <row r="545" spans="1:6" x14ac:dyDescent="0.3">
      <c r="A545" s="38">
        <v>46158</v>
      </c>
      <c r="B545" t="s">
        <v>253</v>
      </c>
      <c r="C545" s="95">
        <v>20000</v>
      </c>
      <c r="D545" s="95"/>
      <c r="E545" t="s">
        <v>288</v>
      </c>
      <c r="F545" s="108" t="s">
        <v>108</v>
      </c>
    </row>
    <row r="546" spans="1:6" x14ac:dyDescent="0.3">
      <c r="A546" s="38">
        <v>46158</v>
      </c>
      <c r="B546" t="s">
        <v>219</v>
      </c>
      <c r="C546" s="95"/>
      <c r="D546" s="95">
        <v>16000</v>
      </c>
      <c r="E546" t="s">
        <v>582</v>
      </c>
      <c r="F546" s="108" t="s">
        <v>108</v>
      </c>
    </row>
    <row r="547" spans="1:6" x14ac:dyDescent="0.3">
      <c r="A547" s="38">
        <v>46158</v>
      </c>
      <c r="B547" t="s">
        <v>253</v>
      </c>
      <c r="C547" s="95">
        <v>16000</v>
      </c>
      <c r="D547" s="95"/>
      <c r="E547" t="s">
        <v>423</v>
      </c>
      <c r="F547" s="108" t="s">
        <v>108</v>
      </c>
    </row>
    <row r="548" spans="1:6" x14ac:dyDescent="0.3">
      <c r="A548" s="111">
        <v>46158</v>
      </c>
      <c r="B548" t="s">
        <v>269</v>
      </c>
      <c r="C548" s="95">
        <v>500</v>
      </c>
      <c r="D548" s="95"/>
      <c r="E548" t="s">
        <v>586</v>
      </c>
      <c r="F548" s="108" t="s">
        <v>108</v>
      </c>
    </row>
    <row r="549" spans="1:6" x14ac:dyDescent="0.3">
      <c r="A549" s="111">
        <v>46159</v>
      </c>
      <c r="B549" t="s">
        <v>219</v>
      </c>
      <c r="C549" s="95"/>
      <c r="D549" s="95">
        <v>19500</v>
      </c>
      <c r="E549" t="s">
        <v>583</v>
      </c>
      <c r="F549" s="108" t="s">
        <v>108</v>
      </c>
    </row>
    <row r="550" spans="1:6" x14ac:dyDescent="0.3">
      <c r="A550" s="111">
        <v>46159</v>
      </c>
      <c r="B550" t="s">
        <v>116</v>
      </c>
      <c r="C550" s="95">
        <v>19500</v>
      </c>
      <c r="D550" s="95"/>
      <c r="E550" t="s">
        <v>584</v>
      </c>
      <c r="F550" s="108" t="s">
        <v>108</v>
      </c>
    </row>
    <row r="551" spans="1:6" x14ac:dyDescent="0.3">
      <c r="A551" s="111">
        <v>46160</v>
      </c>
      <c r="B551" t="s">
        <v>357</v>
      </c>
      <c r="C551" s="95">
        <v>1880</v>
      </c>
      <c r="D551" s="95"/>
      <c r="F551" s="108" t="s">
        <v>108</v>
      </c>
    </row>
    <row r="552" spans="1:6" x14ac:dyDescent="0.3">
      <c r="A552" s="38">
        <v>46160</v>
      </c>
      <c r="B552" t="s">
        <v>244</v>
      </c>
      <c r="C552" s="11">
        <v>2800</v>
      </c>
      <c r="D552" s="11"/>
      <c r="E552" t="s">
        <v>588</v>
      </c>
      <c r="F552" s="108" t="s">
        <v>108</v>
      </c>
    </row>
    <row r="553" spans="1:6" x14ac:dyDescent="0.3">
      <c r="A553" s="111">
        <v>46160</v>
      </c>
      <c r="B553" t="s">
        <v>269</v>
      </c>
      <c r="C553" s="11">
        <v>5000</v>
      </c>
      <c r="D553" s="11"/>
      <c r="E553" t="s">
        <v>580</v>
      </c>
      <c r="F553" s="108" t="s">
        <v>108</v>
      </c>
    </row>
    <row r="554" spans="1:6" x14ac:dyDescent="0.3">
      <c r="A554" s="111">
        <v>46160</v>
      </c>
      <c r="B554" t="s">
        <v>55</v>
      </c>
      <c r="C554" s="11">
        <v>1800</v>
      </c>
      <c r="D554" s="11"/>
      <c r="F554" s="108" t="s">
        <v>108</v>
      </c>
    </row>
    <row r="555" spans="1:6" x14ac:dyDescent="0.3">
      <c r="A555" s="111">
        <v>46160</v>
      </c>
      <c r="B555" t="s">
        <v>219</v>
      </c>
      <c r="C555" s="11"/>
      <c r="D555" s="11">
        <v>10000</v>
      </c>
      <c r="E555" t="s">
        <v>263</v>
      </c>
      <c r="F555" s="108" t="s">
        <v>108</v>
      </c>
    </row>
    <row r="556" spans="1:6" x14ac:dyDescent="0.3">
      <c r="A556" s="111">
        <v>46160</v>
      </c>
      <c r="B556" t="s">
        <v>219</v>
      </c>
      <c r="C556" s="11"/>
      <c r="D556" s="11">
        <v>250000</v>
      </c>
      <c r="E556" t="s">
        <v>589</v>
      </c>
      <c r="F556" s="108" t="s">
        <v>108</v>
      </c>
    </row>
    <row r="557" spans="1:6" x14ac:dyDescent="0.3">
      <c r="A557" s="111">
        <v>46160</v>
      </c>
      <c r="B557" t="s">
        <v>219</v>
      </c>
      <c r="C557" s="11"/>
      <c r="D557" s="11">
        <v>47000</v>
      </c>
      <c r="E557" t="s">
        <v>288</v>
      </c>
      <c r="F557" s="108" t="s">
        <v>108</v>
      </c>
    </row>
    <row r="558" spans="1:6" x14ac:dyDescent="0.3">
      <c r="A558" s="111">
        <v>46160</v>
      </c>
      <c r="B558" t="s">
        <v>253</v>
      </c>
      <c r="C558" s="11">
        <v>47000</v>
      </c>
      <c r="D558" s="11"/>
      <c r="E558" t="s">
        <v>288</v>
      </c>
      <c r="F558" s="108" t="s">
        <v>108</v>
      </c>
    </row>
    <row r="559" spans="1:6" x14ac:dyDescent="0.3">
      <c r="A559" s="111">
        <v>46160</v>
      </c>
      <c r="B559" t="s">
        <v>493</v>
      </c>
      <c r="C559" s="11"/>
      <c r="D559" s="11">
        <v>50000</v>
      </c>
      <c r="E559" t="s">
        <v>109</v>
      </c>
      <c r="F559" s="108" t="s">
        <v>108</v>
      </c>
    </row>
    <row r="560" spans="1:6" x14ac:dyDescent="0.3">
      <c r="A560" s="111">
        <v>46160</v>
      </c>
      <c r="B560" t="s">
        <v>539</v>
      </c>
      <c r="C560" s="11"/>
      <c r="D560" s="11">
        <v>300000</v>
      </c>
      <c r="F560" s="108" t="s">
        <v>108</v>
      </c>
    </row>
    <row r="561" spans="1:6" x14ac:dyDescent="0.3">
      <c r="A561" s="111">
        <v>46160</v>
      </c>
      <c r="B561" t="s">
        <v>219</v>
      </c>
      <c r="C561" s="11">
        <v>350000</v>
      </c>
      <c r="D561" s="11"/>
      <c r="E561" t="s">
        <v>590</v>
      </c>
      <c r="F561" s="108" t="s">
        <v>108</v>
      </c>
    </row>
    <row r="562" spans="1:6" x14ac:dyDescent="0.3">
      <c r="A562" s="111">
        <v>46160</v>
      </c>
      <c r="B562" t="s">
        <v>412</v>
      </c>
      <c r="C562" s="11">
        <v>150000</v>
      </c>
      <c r="D562" s="11"/>
      <c r="E562" t="s">
        <v>591</v>
      </c>
      <c r="F562" s="108" t="s">
        <v>108</v>
      </c>
    </row>
    <row r="563" spans="1:6" x14ac:dyDescent="0.3">
      <c r="A563" s="111">
        <v>46160</v>
      </c>
      <c r="B563" t="s">
        <v>257</v>
      </c>
      <c r="C563" s="11">
        <v>100000</v>
      </c>
      <c r="D563" s="11"/>
      <c r="E563" t="s">
        <v>592</v>
      </c>
      <c r="F563" s="108" t="s">
        <v>108</v>
      </c>
    </row>
    <row r="564" spans="1:6" x14ac:dyDescent="0.3">
      <c r="A564" s="111">
        <v>46160</v>
      </c>
      <c r="B564" t="s">
        <v>219</v>
      </c>
      <c r="C564" s="11"/>
      <c r="D564" s="11">
        <v>115000</v>
      </c>
      <c r="E564" t="s">
        <v>593</v>
      </c>
      <c r="F564" s="108" t="s">
        <v>108</v>
      </c>
    </row>
    <row r="565" spans="1:6" x14ac:dyDescent="0.3">
      <c r="A565" s="111">
        <v>46160</v>
      </c>
      <c r="B565" t="s">
        <v>221</v>
      </c>
      <c r="C565" s="11">
        <v>115000</v>
      </c>
      <c r="D565" s="11"/>
      <c r="E565" t="s">
        <v>594</v>
      </c>
      <c r="F565" s="108" t="s">
        <v>108</v>
      </c>
    </row>
    <row r="566" spans="1:6" x14ac:dyDescent="0.3">
      <c r="A566" s="111">
        <v>46160</v>
      </c>
      <c r="B566" t="s">
        <v>211</v>
      </c>
      <c r="C566" s="95">
        <v>780</v>
      </c>
      <c r="D566" s="95"/>
      <c r="F566" s="108" t="s">
        <v>108</v>
      </c>
    </row>
    <row r="567" spans="1:6" x14ac:dyDescent="0.3">
      <c r="A567" s="111">
        <v>46161</v>
      </c>
      <c r="B567" t="s">
        <v>493</v>
      </c>
      <c r="C567" s="11"/>
      <c r="D567" s="11">
        <v>50000</v>
      </c>
      <c r="E567" t="s">
        <v>271</v>
      </c>
      <c r="F567" s="108" t="s">
        <v>108</v>
      </c>
    </row>
    <row r="568" spans="1:6" x14ac:dyDescent="0.3">
      <c r="A568" s="111">
        <v>46161</v>
      </c>
      <c r="B568" t="s">
        <v>219</v>
      </c>
      <c r="C568" s="11">
        <v>50000</v>
      </c>
      <c r="D568" s="11"/>
      <c r="E568" t="s">
        <v>628</v>
      </c>
      <c r="F568" s="108" t="s">
        <v>108</v>
      </c>
    </row>
    <row r="569" spans="1:6" x14ac:dyDescent="0.3">
      <c r="A569" s="111">
        <v>46161</v>
      </c>
      <c r="B569" t="s">
        <v>55</v>
      </c>
      <c r="C569" s="11">
        <v>7020</v>
      </c>
      <c r="D569" s="11"/>
      <c r="E569" t="s">
        <v>595</v>
      </c>
      <c r="F569" s="108" t="s">
        <v>108</v>
      </c>
    </row>
    <row r="570" spans="1:6" x14ac:dyDescent="0.3">
      <c r="A570" s="38">
        <v>46161</v>
      </c>
      <c r="B570" t="s">
        <v>219</v>
      </c>
      <c r="C570" s="95"/>
      <c r="D570" s="95">
        <v>7020</v>
      </c>
      <c r="E570" t="s">
        <v>595</v>
      </c>
      <c r="F570" s="108" t="s">
        <v>108</v>
      </c>
    </row>
    <row r="571" spans="1:6" x14ac:dyDescent="0.3">
      <c r="A571" s="38">
        <v>46161</v>
      </c>
      <c r="B571" t="s">
        <v>219</v>
      </c>
      <c r="C571" s="95"/>
      <c r="D571" s="95">
        <v>10000</v>
      </c>
      <c r="E571" t="s">
        <v>318</v>
      </c>
      <c r="F571" s="108" t="s">
        <v>108</v>
      </c>
    </row>
    <row r="572" spans="1:6" x14ac:dyDescent="0.3">
      <c r="A572" s="38">
        <v>46161</v>
      </c>
      <c r="B572" t="s">
        <v>55</v>
      </c>
      <c r="C572" s="95">
        <v>1500</v>
      </c>
      <c r="D572" s="95"/>
      <c r="F572" s="108" t="s">
        <v>108</v>
      </c>
    </row>
    <row r="573" spans="1:6" x14ac:dyDescent="0.3">
      <c r="A573" s="38">
        <v>46161</v>
      </c>
      <c r="B573" t="s">
        <v>55</v>
      </c>
      <c r="C573" s="95">
        <v>600</v>
      </c>
      <c r="D573" s="95"/>
      <c r="F573" s="108" t="s">
        <v>108</v>
      </c>
    </row>
    <row r="574" spans="1:6" x14ac:dyDescent="0.3">
      <c r="A574" s="38">
        <v>46161</v>
      </c>
      <c r="B574" t="s">
        <v>386</v>
      </c>
      <c r="C574" s="95">
        <v>1650</v>
      </c>
      <c r="D574" s="95"/>
      <c r="E574" t="s">
        <v>596</v>
      </c>
      <c r="F574" s="108" t="s">
        <v>108</v>
      </c>
    </row>
    <row r="575" spans="1:6" x14ac:dyDescent="0.3">
      <c r="A575" s="38">
        <v>46161</v>
      </c>
      <c r="B575" t="s">
        <v>219</v>
      </c>
      <c r="C575" s="95"/>
      <c r="D575" s="95">
        <v>120000</v>
      </c>
      <c r="E575" t="s">
        <v>597</v>
      </c>
      <c r="F575" s="108" t="s">
        <v>108</v>
      </c>
    </row>
    <row r="576" spans="1:6" x14ac:dyDescent="0.3">
      <c r="A576" s="38">
        <v>46161</v>
      </c>
      <c r="B576" t="s">
        <v>253</v>
      </c>
      <c r="C576" s="95">
        <v>115000</v>
      </c>
      <c r="D576" s="95"/>
      <c r="E576" t="s">
        <v>262</v>
      </c>
      <c r="F576" s="108" t="s">
        <v>108</v>
      </c>
    </row>
    <row r="577" spans="1:6" x14ac:dyDescent="0.3">
      <c r="A577" s="38">
        <v>46161</v>
      </c>
      <c r="B577" t="s">
        <v>253</v>
      </c>
      <c r="C577" s="95">
        <v>25000</v>
      </c>
      <c r="D577" s="95"/>
      <c r="E577" t="s">
        <v>598</v>
      </c>
      <c r="F577" s="108" t="s">
        <v>108</v>
      </c>
    </row>
    <row r="578" spans="1:6" x14ac:dyDescent="0.3">
      <c r="A578" s="38">
        <v>46161</v>
      </c>
      <c r="B578" t="s">
        <v>211</v>
      </c>
      <c r="C578" s="95"/>
      <c r="D578" s="95">
        <v>25000</v>
      </c>
      <c r="E578" t="s">
        <v>599</v>
      </c>
      <c r="F578" s="108" t="s">
        <v>108</v>
      </c>
    </row>
    <row r="579" spans="1:6" x14ac:dyDescent="0.3">
      <c r="A579" s="38">
        <v>46161</v>
      </c>
      <c r="B579" t="s">
        <v>219</v>
      </c>
      <c r="C579" s="95"/>
      <c r="D579" s="95">
        <v>35000</v>
      </c>
      <c r="E579" t="s">
        <v>600</v>
      </c>
      <c r="F579" s="108" t="s">
        <v>108</v>
      </c>
    </row>
    <row r="580" spans="1:6" x14ac:dyDescent="0.3">
      <c r="A580" s="38">
        <v>46161</v>
      </c>
      <c r="B580" t="s">
        <v>253</v>
      </c>
      <c r="C580" s="95">
        <v>35000</v>
      </c>
      <c r="D580" s="95"/>
      <c r="E580" t="s">
        <v>252</v>
      </c>
      <c r="F580" s="108" t="s">
        <v>108</v>
      </c>
    </row>
    <row r="581" spans="1:6" x14ac:dyDescent="0.3">
      <c r="A581" s="38">
        <v>46161</v>
      </c>
      <c r="B581" t="s">
        <v>219</v>
      </c>
      <c r="C581" s="95"/>
      <c r="D581" s="95"/>
      <c r="E581" t="s">
        <v>601</v>
      </c>
      <c r="F581" s="108" t="s">
        <v>108</v>
      </c>
    </row>
    <row r="582" spans="1:6" x14ac:dyDescent="0.3">
      <c r="A582" s="38">
        <v>46161</v>
      </c>
      <c r="B582" t="s">
        <v>253</v>
      </c>
      <c r="C582" s="95"/>
      <c r="D582" s="95"/>
      <c r="E582" t="s">
        <v>602</v>
      </c>
      <c r="F582" s="108" t="s">
        <v>108</v>
      </c>
    </row>
    <row r="583" spans="1:6" x14ac:dyDescent="0.3">
      <c r="A583" s="38">
        <v>46161</v>
      </c>
      <c r="B583" t="s">
        <v>269</v>
      </c>
      <c r="C583" s="95"/>
      <c r="D583" s="95"/>
      <c r="E583" t="s">
        <v>603</v>
      </c>
      <c r="F583" s="108" t="s">
        <v>108</v>
      </c>
    </row>
    <row r="584" spans="1:6" x14ac:dyDescent="0.3">
      <c r="A584" s="38">
        <v>46161</v>
      </c>
      <c r="B584" t="s">
        <v>211</v>
      </c>
      <c r="C584" s="95">
        <v>780</v>
      </c>
      <c r="D584" s="95"/>
      <c r="F584" s="108" t="s">
        <v>108</v>
      </c>
    </row>
    <row r="585" spans="1:6" x14ac:dyDescent="0.3">
      <c r="A585" s="38">
        <v>46162</v>
      </c>
      <c r="B585" t="s">
        <v>211</v>
      </c>
      <c r="C585" s="95">
        <v>400</v>
      </c>
      <c r="D585" s="95"/>
      <c r="F585" s="108" t="s">
        <v>108</v>
      </c>
    </row>
    <row r="586" spans="1:6" x14ac:dyDescent="0.3">
      <c r="A586" s="38">
        <v>46162</v>
      </c>
      <c r="B586" t="s">
        <v>219</v>
      </c>
      <c r="C586" s="95"/>
      <c r="D586" s="95">
        <v>20000</v>
      </c>
      <c r="E586" t="s">
        <v>320</v>
      </c>
      <c r="F586" s="108" t="s">
        <v>108</v>
      </c>
    </row>
    <row r="587" spans="1:6" x14ac:dyDescent="0.3">
      <c r="A587" s="38">
        <v>46162</v>
      </c>
      <c r="B587" t="s">
        <v>116</v>
      </c>
      <c r="C587" s="95">
        <v>16000</v>
      </c>
      <c r="D587" s="95"/>
      <c r="E587" t="s">
        <v>604</v>
      </c>
      <c r="F587" s="108" t="s">
        <v>108</v>
      </c>
    </row>
    <row r="588" spans="1:6" x14ac:dyDescent="0.3">
      <c r="A588" s="38">
        <v>46162</v>
      </c>
      <c r="B588" t="s">
        <v>269</v>
      </c>
      <c r="C588" s="95">
        <v>10000</v>
      </c>
      <c r="D588" s="95"/>
      <c r="E588" t="s">
        <v>580</v>
      </c>
      <c r="F588" s="108" t="s">
        <v>108</v>
      </c>
    </row>
    <row r="589" spans="1:6" x14ac:dyDescent="0.3">
      <c r="A589" s="38">
        <v>46162</v>
      </c>
      <c r="B589" t="s">
        <v>211</v>
      </c>
      <c r="C589" s="95"/>
      <c r="D589" s="95"/>
      <c r="F589" s="108" t="s">
        <v>108</v>
      </c>
    </row>
    <row r="590" spans="1:6" x14ac:dyDescent="0.3">
      <c r="A590" s="38">
        <v>46162</v>
      </c>
      <c r="B590" t="s">
        <v>357</v>
      </c>
      <c r="C590" s="95">
        <v>4800</v>
      </c>
      <c r="D590" s="95"/>
      <c r="F590" s="108" t="s">
        <v>108</v>
      </c>
    </row>
    <row r="591" spans="1:6" x14ac:dyDescent="0.3">
      <c r="A591" s="38">
        <v>46162</v>
      </c>
      <c r="B591" t="s">
        <v>219</v>
      </c>
      <c r="C591" s="95"/>
      <c r="D591" s="95">
        <v>260000</v>
      </c>
      <c r="E591" t="s">
        <v>605</v>
      </c>
      <c r="F591" s="108" t="s">
        <v>108</v>
      </c>
    </row>
    <row r="592" spans="1:6" x14ac:dyDescent="0.3">
      <c r="A592" s="38">
        <v>46163</v>
      </c>
      <c r="B592" t="s">
        <v>219</v>
      </c>
      <c r="C592" s="95"/>
      <c r="D592" s="95">
        <v>625000</v>
      </c>
      <c r="E592" t="s">
        <v>540</v>
      </c>
      <c r="F592" s="108" t="s">
        <v>108</v>
      </c>
    </row>
    <row r="593" spans="1:6" x14ac:dyDescent="0.3">
      <c r="A593" s="38">
        <v>46163</v>
      </c>
      <c r="B593" t="s">
        <v>219</v>
      </c>
      <c r="C593" s="95"/>
      <c r="D593" s="95">
        <v>190000</v>
      </c>
      <c r="E593" t="s">
        <v>540</v>
      </c>
      <c r="F593" s="108" t="s">
        <v>108</v>
      </c>
    </row>
    <row r="594" spans="1:6" x14ac:dyDescent="0.3">
      <c r="A594" s="38">
        <v>46163</v>
      </c>
      <c r="B594" t="s">
        <v>219</v>
      </c>
      <c r="C594" s="95"/>
      <c r="D594" s="95">
        <v>100000</v>
      </c>
      <c r="E594" t="s">
        <v>616</v>
      </c>
      <c r="F594" s="108" t="s">
        <v>108</v>
      </c>
    </row>
    <row r="595" spans="1:6" x14ac:dyDescent="0.3">
      <c r="A595" s="38">
        <v>46163</v>
      </c>
      <c r="B595" t="s">
        <v>219</v>
      </c>
      <c r="C595" s="95"/>
      <c r="D595" s="95">
        <v>300000</v>
      </c>
      <c r="F595" s="108" t="s">
        <v>108</v>
      </c>
    </row>
    <row r="596" spans="1:6" x14ac:dyDescent="0.3">
      <c r="A596" s="38">
        <v>46163</v>
      </c>
      <c r="B596" t="s">
        <v>623</v>
      </c>
      <c r="C596" s="95">
        <v>1467298</v>
      </c>
      <c r="D596" s="95"/>
      <c r="E596" t="s">
        <v>624</v>
      </c>
      <c r="F596" s="108" t="s">
        <v>108</v>
      </c>
    </row>
    <row r="597" spans="1:6" x14ac:dyDescent="0.3">
      <c r="A597" s="38">
        <v>46163</v>
      </c>
      <c r="B597" t="s">
        <v>175</v>
      </c>
      <c r="C597" s="95">
        <v>35500</v>
      </c>
      <c r="D597" s="95"/>
      <c r="E597" t="s">
        <v>617</v>
      </c>
      <c r="F597" s="108" t="s">
        <v>108</v>
      </c>
    </row>
    <row r="598" spans="1:6" x14ac:dyDescent="0.3">
      <c r="A598" s="38">
        <v>46163</v>
      </c>
      <c r="B598" t="s">
        <v>219</v>
      </c>
      <c r="C598" s="95"/>
      <c r="D598" s="95">
        <v>35500</v>
      </c>
      <c r="E598" t="s">
        <v>568</v>
      </c>
      <c r="F598" s="108" t="s">
        <v>108</v>
      </c>
    </row>
    <row r="599" spans="1:6" x14ac:dyDescent="0.3">
      <c r="A599" s="38">
        <v>46163</v>
      </c>
      <c r="B599" t="s">
        <v>539</v>
      </c>
      <c r="C599" s="95"/>
      <c r="D599" s="95">
        <v>200000</v>
      </c>
      <c r="E599" t="s">
        <v>21</v>
      </c>
      <c r="F599" s="108" t="s">
        <v>108</v>
      </c>
    </row>
    <row r="600" spans="1:6" x14ac:dyDescent="0.3">
      <c r="A600" s="38">
        <v>46163</v>
      </c>
      <c r="B600" t="s">
        <v>219</v>
      </c>
      <c r="C600" s="11">
        <v>200000</v>
      </c>
      <c r="D600" s="11"/>
      <c r="E600" t="s">
        <v>627</v>
      </c>
      <c r="F600" s="108" t="s">
        <v>108</v>
      </c>
    </row>
    <row r="601" spans="1:6" x14ac:dyDescent="0.3">
      <c r="A601" s="111">
        <v>46163</v>
      </c>
      <c r="B601" t="s">
        <v>211</v>
      </c>
      <c r="C601" s="95">
        <v>1800</v>
      </c>
      <c r="D601" s="95"/>
      <c r="F601" s="108" t="s">
        <v>108</v>
      </c>
    </row>
    <row r="602" spans="1:6" x14ac:dyDescent="0.3">
      <c r="A602" s="38">
        <v>46164</v>
      </c>
      <c r="B602" t="s">
        <v>219</v>
      </c>
      <c r="C602" s="11"/>
      <c r="D602" s="11">
        <v>10000</v>
      </c>
      <c r="E602" t="s">
        <v>629</v>
      </c>
      <c r="F602" s="108" t="s">
        <v>108</v>
      </c>
    </row>
    <row r="603" spans="1:6" x14ac:dyDescent="0.3">
      <c r="A603" s="111">
        <v>46164</v>
      </c>
      <c r="B603" t="s">
        <v>269</v>
      </c>
      <c r="C603" s="11">
        <v>10000</v>
      </c>
      <c r="D603" s="11"/>
      <c r="E603" t="s">
        <v>252</v>
      </c>
      <c r="F603" s="108" t="s">
        <v>108</v>
      </c>
    </row>
    <row r="604" spans="1:6" x14ac:dyDescent="0.3">
      <c r="A604" s="111">
        <v>46164</v>
      </c>
      <c r="B604" t="s">
        <v>55</v>
      </c>
      <c r="C604" s="11">
        <v>1200</v>
      </c>
      <c r="D604" s="11"/>
      <c r="F604" s="108" t="s">
        <v>108</v>
      </c>
    </row>
    <row r="605" spans="1:6" x14ac:dyDescent="0.3">
      <c r="A605" s="111">
        <v>46165</v>
      </c>
      <c r="B605" t="s">
        <v>116</v>
      </c>
      <c r="C605" s="95">
        <v>37000</v>
      </c>
      <c r="D605" s="95"/>
      <c r="E605" t="s">
        <v>564</v>
      </c>
      <c r="F605" s="108" t="s">
        <v>108</v>
      </c>
    </row>
    <row r="606" spans="1:6" x14ac:dyDescent="0.3">
      <c r="A606" s="38">
        <v>46165</v>
      </c>
      <c r="B606" t="s">
        <v>219</v>
      </c>
      <c r="C606" s="95"/>
      <c r="D606" s="95">
        <v>37000</v>
      </c>
      <c r="E606" t="s">
        <v>163</v>
      </c>
      <c r="F606" s="108" t="s">
        <v>108</v>
      </c>
    </row>
    <row r="607" spans="1:6" x14ac:dyDescent="0.3">
      <c r="A607" s="38">
        <v>46165</v>
      </c>
      <c r="B607" t="s">
        <v>55</v>
      </c>
      <c r="C607" s="95">
        <v>30000</v>
      </c>
      <c r="D607" s="95"/>
      <c r="E607" t="s">
        <v>630</v>
      </c>
      <c r="F607" s="108" t="s">
        <v>108</v>
      </c>
    </row>
    <row r="608" spans="1:6" x14ac:dyDescent="0.3">
      <c r="A608" s="38">
        <v>46165</v>
      </c>
      <c r="B608" t="s">
        <v>219</v>
      </c>
      <c r="C608" s="95"/>
      <c r="D608" s="95">
        <v>30000</v>
      </c>
      <c r="E608" t="s">
        <v>631</v>
      </c>
      <c r="F608" s="108" t="s">
        <v>108</v>
      </c>
    </row>
    <row r="609" spans="1:6" x14ac:dyDescent="0.3">
      <c r="A609" s="38">
        <v>46165</v>
      </c>
      <c r="B609" t="s">
        <v>253</v>
      </c>
      <c r="C609" s="95">
        <v>100000</v>
      </c>
      <c r="D609" s="95"/>
      <c r="E609" t="s">
        <v>262</v>
      </c>
      <c r="F609" s="108" t="s">
        <v>108</v>
      </c>
    </row>
    <row r="610" spans="1:6" x14ac:dyDescent="0.3">
      <c r="A610" s="38">
        <v>46165</v>
      </c>
      <c r="B610" t="s">
        <v>219</v>
      </c>
      <c r="C610" s="95"/>
      <c r="D610" s="95">
        <v>100000</v>
      </c>
      <c r="E610" t="s">
        <v>632</v>
      </c>
      <c r="F610" s="108" t="s">
        <v>108</v>
      </c>
    </row>
    <row r="611" spans="1:6" x14ac:dyDescent="0.3">
      <c r="A611" s="38">
        <v>46165</v>
      </c>
      <c r="B611" t="s">
        <v>115</v>
      </c>
      <c r="C611" s="95">
        <v>200000</v>
      </c>
      <c r="D611" s="95"/>
      <c r="E611" t="s">
        <v>633</v>
      </c>
      <c r="F611" s="108" t="s">
        <v>108</v>
      </c>
    </row>
    <row r="612" spans="1:6" x14ac:dyDescent="0.3">
      <c r="A612" s="38">
        <v>46165</v>
      </c>
      <c r="B612" t="s">
        <v>219</v>
      </c>
      <c r="C612" s="95"/>
      <c r="D612" s="95">
        <v>200000</v>
      </c>
      <c r="E612" t="s">
        <v>308</v>
      </c>
      <c r="F612" s="108" t="s">
        <v>108</v>
      </c>
    </row>
    <row r="613" spans="1:6" x14ac:dyDescent="0.3">
      <c r="A613" s="38">
        <v>46165</v>
      </c>
      <c r="B613" t="s">
        <v>219</v>
      </c>
      <c r="C613" s="95"/>
      <c r="D613" s="95">
        <v>30000</v>
      </c>
      <c r="E613" t="s">
        <v>634</v>
      </c>
      <c r="F613" s="108" t="s">
        <v>108</v>
      </c>
    </row>
    <row r="614" spans="1:6" x14ac:dyDescent="0.3">
      <c r="A614" s="38">
        <v>46165</v>
      </c>
      <c r="B614" t="s">
        <v>55</v>
      </c>
      <c r="C614" s="95">
        <v>27400</v>
      </c>
      <c r="D614" s="95"/>
      <c r="E614" t="s">
        <v>259</v>
      </c>
      <c r="F614" s="108" t="s">
        <v>108</v>
      </c>
    </row>
    <row r="615" spans="1:6" x14ac:dyDescent="0.3">
      <c r="A615" s="38">
        <v>46166</v>
      </c>
      <c r="B615" t="s">
        <v>219</v>
      </c>
      <c r="C615" s="95"/>
      <c r="D615" s="95">
        <v>1560</v>
      </c>
      <c r="E615" t="s">
        <v>113</v>
      </c>
      <c r="F615" s="108" t="s">
        <v>108</v>
      </c>
    </row>
    <row r="616" spans="1:6" x14ac:dyDescent="0.3">
      <c r="A616" s="38">
        <v>46166</v>
      </c>
      <c r="B616" t="s">
        <v>357</v>
      </c>
      <c r="C616" s="95">
        <v>1560</v>
      </c>
      <c r="D616" s="95"/>
      <c r="F616" s="108" t="s">
        <v>108</v>
      </c>
    </row>
    <row r="617" spans="1:6" x14ac:dyDescent="0.3">
      <c r="A617" s="38">
        <v>46166</v>
      </c>
      <c r="B617" t="s">
        <v>253</v>
      </c>
      <c r="C617" s="95">
        <v>25000</v>
      </c>
      <c r="D617" s="95"/>
      <c r="E617" t="s">
        <v>580</v>
      </c>
      <c r="F617" s="108" t="s">
        <v>108</v>
      </c>
    </row>
    <row r="618" spans="1:6" x14ac:dyDescent="0.3">
      <c r="A618" s="38">
        <v>46166</v>
      </c>
      <c r="B618" t="s">
        <v>219</v>
      </c>
      <c r="C618" s="95"/>
      <c r="D618" s="95">
        <v>25000</v>
      </c>
      <c r="E618" t="s">
        <v>580</v>
      </c>
      <c r="F618" s="108" t="s">
        <v>108</v>
      </c>
    </row>
    <row r="619" spans="1:6" x14ac:dyDescent="0.3">
      <c r="A619" s="38">
        <v>46166</v>
      </c>
      <c r="B619" t="s">
        <v>55</v>
      </c>
      <c r="C619" s="95">
        <v>1000</v>
      </c>
      <c r="D619" s="95"/>
      <c r="F619" s="108" t="s">
        <v>108</v>
      </c>
    </row>
    <row r="620" spans="1:6" x14ac:dyDescent="0.3">
      <c r="A620" s="38">
        <v>46166</v>
      </c>
      <c r="B620" t="s">
        <v>55</v>
      </c>
      <c r="C620" s="95">
        <v>450</v>
      </c>
      <c r="D620" s="95"/>
      <c r="F620" s="108" t="s">
        <v>108</v>
      </c>
    </row>
    <row r="621" spans="1:6" x14ac:dyDescent="0.3">
      <c r="A621" s="38">
        <v>46166</v>
      </c>
      <c r="B621" t="s">
        <v>219</v>
      </c>
      <c r="C621" s="95"/>
      <c r="D621" s="95">
        <v>1450</v>
      </c>
      <c r="F621" s="108" t="s">
        <v>108</v>
      </c>
    </row>
    <row r="622" spans="1:6" x14ac:dyDescent="0.3">
      <c r="A622" s="38">
        <v>46166</v>
      </c>
      <c r="B622" t="s">
        <v>116</v>
      </c>
      <c r="C622" s="95">
        <v>39000</v>
      </c>
      <c r="D622" s="95"/>
      <c r="E622" t="s">
        <v>61</v>
      </c>
      <c r="F622" s="108" t="s">
        <v>108</v>
      </c>
    </row>
    <row r="623" spans="1:6" x14ac:dyDescent="0.3">
      <c r="A623" s="38">
        <v>46166</v>
      </c>
      <c r="B623" t="s">
        <v>219</v>
      </c>
      <c r="C623" s="95"/>
      <c r="D623" s="95">
        <v>39000</v>
      </c>
      <c r="E623" t="s">
        <v>61</v>
      </c>
      <c r="F623" s="108" t="s">
        <v>108</v>
      </c>
    </row>
    <row r="624" spans="1:6" x14ac:dyDescent="0.3">
      <c r="A624" s="38">
        <v>46167</v>
      </c>
      <c r="B624" t="s">
        <v>55</v>
      </c>
      <c r="C624" s="95">
        <v>170</v>
      </c>
      <c r="D624" s="95"/>
      <c r="F624" s="108" t="s">
        <v>108</v>
      </c>
    </row>
    <row r="625" spans="1:6" x14ac:dyDescent="0.3">
      <c r="A625" s="38">
        <v>46167</v>
      </c>
      <c r="B625" t="s">
        <v>211</v>
      </c>
      <c r="C625" s="95">
        <v>1300</v>
      </c>
      <c r="D625" s="95"/>
      <c r="F625" s="108" t="s">
        <v>108</v>
      </c>
    </row>
    <row r="626" spans="1:6" x14ac:dyDescent="0.3">
      <c r="A626" s="38">
        <v>46167</v>
      </c>
      <c r="B626" t="s">
        <v>55</v>
      </c>
      <c r="C626" s="95">
        <v>400</v>
      </c>
      <c r="D626" s="95"/>
      <c r="F626" s="108" t="s">
        <v>108</v>
      </c>
    </row>
    <row r="627" spans="1:6" x14ac:dyDescent="0.3">
      <c r="A627" s="38">
        <v>46167</v>
      </c>
      <c r="B627" t="s">
        <v>55</v>
      </c>
      <c r="C627" s="95">
        <v>600</v>
      </c>
      <c r="D627" s="95"/>
      <c r="F627" s="108" t="s">
        <v>108</v>
      </c>
    </row>
    <row r="628" spans="1:6" x14ac:dyDescent="0.3">
      <c r="A628" s="38">
        <v>46167</v>
      </c>
      <c r="B628" t="s">
        <v>211</v>
      </c>
      <c r="C628" s="95">
        <v>450</v>
      </c>
      <c r="D628" s="95"/>
      <c r="F628" s="108" t="s">
        <v>108</v>
      </c>
    </row>
    <row r="629" spans="1:6" x14ac:dyDescent="0.3">
      <c r="A629" s="111">
        <v>46167</v>
      </c>
      <c r="B629" t="s">
        <v>493</v>
      </c>
      <c r="C629" s="95"/>
      <c r="D629" s="95">
        <v>75000</v>
      </c>
      <c r="F629" s="108" t="s">
        <v>108</v>
      </c>
    </row>
    <row r="630" spans="1:6" x14ac:dyDescent="0.3">
      <c r="A630" s="111">
        <v>46167</v>
      </c>
      <c r="B630" t="s">
        <v>219</v>
      </c>
      <c r="C630" s="95">
        <v>75000</v>
      </c>
      <c r="D630" s="95"/>
      <c r="F630" s="108" t="s">
        <v>108</v>
      </c>
    </row>
    <row r="631" spans="1:6" x14ac:dyDescent="0.3">
      <c r="A631" s="38">
        <v>46167</v>
      </c>
      <c r="B631" t="s">
        <v>357</v>
      </c>
      <c r="C631" s="95">
        <v>6550</v>
      </c>
      <c r="D631" s="95"/>
      <c r="F631" s="108" t="s">
        <v>108</v>
      </c>
    </row>
    <row r="632" spans="1:6" x14ac:dyDescent="0.3">
      <c r="A632" s="38">
        <v>46167</v>
      </c>
      <c r="B632" t="s">
        <v>253</v>
      </c>
      <c r="C632" s="95">
        <v>16000</v>
      </c>
      <c r="D632" s="95"/>
      <c r="E632" t="s">
        <v>423</v>
      </c>
      <c r="F632" s="108" t="s">
        <v>108</v>
      </c>
    </row>
    <row r="633" spans="1:6" x14ac:dyDescent="0.3">
      <c r="A633" s="38">
        <v>46167</v>
      </c>
      <c r="B633" t="s">
        <v>269</v>
      </c>
      <c r="C633" s="95">
        <v>15000</v>
      </c>
      <c r="D633" s="95"/>
      <c r="E633" t="s">
        <v>635</v>
      </c>
      <c r="F633" s="108" t="s">
        <v>108</v>
      </c>
    </row>
    <row r="634" spans="1:6" x14ac:dyDescent="0.3">
      <c r="A634" s="38">
        <v>46167</v>
      </c>
      <c r="B634" t="s">
        <v>219</v>
      </c>
      <c r="C634" s="95"/>
      <c r="D634" s="95">
        <v>15000</v>
      </c>
      <c r="E634" t="s">
        <v>635</v>
      </c>
      <c r="F634" s="108" t="s">
        <v>108</v>
      </c>
    </row>
    <row r="635" spans="1:6" x14ac:dyDescent="0.3">
      <c r="A635" s="38">
        <v>46167</v>
      </c>
      <c r="B635" t="s">
        <v>636</v>
      </c>
      <c r="C635" s="95"/>
      <c r="D635" s="95">
        <v>500000</v>
      </c>
      <c r="E635" t="s">
        <v>637</v>
      </c>
      <c r="F635" s="108" t="s">
        <v>108</v>
      </c>
    </row>
    <row r="636" spans="1:6" x14ac:dyDescent="0.3">
      <c r="A636" s="38">
        <v>46167</v>
      </c>
      <c r="B636" t="s">
        <v>257</v>
      </c>
      <c r="C636" s="95">
        <v>2000</v>
      </c>
      <c r="D636" s="95"/>
      <c r="E636" t="s">
        <v>265</v>
      </c>
      <c r="F636" s="108" t="s">
        <v>108</v>
      </c>
    </row>
    <row r="637" spans="1:6" x14ac:dyDescent="0.3">
      <c r="A637" s="111">
        <v>46167</v>
      </c>
      <c r="B637" t="s">
        <v>517</v>
      </c>
      <c r="C637" s="95">
        <v>8000</v>
      </c>
      <c r="D637" s="95"/>
      <c r="E637" t="s">
        <v>265</v>
      </c>
      <c r="F637" s="108" t="s">
        <v>108</v>
      </c>
    </row>
    <row r="638" spans="1:6" x14ac:dyDescent="0.3">
      <c r="A638" s="111">
        <v>46167</v>
      </c>
      <c r="B638" t="s">
        <v>222</v>
      </c>
      <c r="C638" s="95">
        <v>6000</v>
      </c>
      <c r="D638" s="95"/>
      <c r="E638" t="s">
        <v>265</v>
      </c>
      <c r="F638" s="108" t="s">
        <v>108</v>
      </c>
    </row>
    <row r="639" spans="1:6" x14ac:dyDescent="0.3">
      <c r="A639" s="111">
        <v>46167</v>
      </c>
      <c r="B639" s="141" t="s">
        <v>476</v>
      </c>
      <c r="C639" s="142">
        <v>1000</v>
      </c>
      <c r="D639" s="142"/>
      <c r="E639" t="s">
        <v>265</v>
      </c>
      <c r="F639" s="108" t="s">
        <v>108</v>
      </c>
    </row>
    <row r="640" spans="1:6" x14ac:dyDescent="0.3">
      <c r="A640" s="38">
        <v>46167</v>
      </c>
      <c r="B640" t="s">
        <v>257</v>
      </c>
      <c r="C640" s="95">
        <v>50000</v>
      </c>
      <c r="D640" s="95"/>
      <c r="E640" t="s">
        <v>638</v>
      </c>
      <c r="F640" s="108" t="s">
        <v>108</v>
      </c>
    </row>
    <row r="641" spans="1:6" x14ac:dyDescent="0.3">
      <c r="A641" s="38">
        <v>46167</v>
      </c>
      <c r="B641" t="s">
        <v>654</v>
      </c>
      <c r="C641" s="95"/>
      <c r="D641" s="95">
        <v>100000</v>
      </c>
      <c r="E641" t="s">
        <v>109</v>
      </c>
      <c r="F641" s="108" t="s">
        <v>108</v>
      </c>
    </row>
    <row r="642" spans="1:6" x14ac:dyDescent="0.3">
      <c r="A642" s="38">
        <v>46167</v>
      </c>
      <c r="B642" t="s">
        <v>253</v>
      </c>
      <c r="C642" s="11">
        <v>80000</v>
      </c>
      <c r="D642" s="11"/>
      <c r="E642" t="s">
        <v>288</v>
      </c>
      <c r="F642" s="108" t="s">
        <v>108</v>
      </c>
    </row>
    <row r="643" spans="1:6" x14ac:dyDescent="0.3">
      <c r="A643" s="38">
        <v>46167</v>
      </c>
      <c r="B643" t="s">
        <v>298</v>
      </c>
      <c r="C643" s="11">
        <v>20000</v>
      </c>
      <c r="D643" s="11"/>
      <c r="F643" s="108" t="s">
        <v>108</v>
      </c>
    </row>
    <row r="644" spans="1:6" x14ac:dyDescent="0.3">
      <c r="A644" s="38">
        <v>46167</v>
      </c>
      <c r="B644" t="s">
        <v>219</v>
      </c>
      <c r="C644" s="11"/>
      <c r="D644" s="11">
        <v>1184000</v>
      </c>
      <c r="E644" t="s">
        <v>651</v>
      </c>
      <c r="F644" s="108" t="s">
        <v>108</v>
      </c>
    </row>
    <row r="645" spans="1:6" x14ac:dyDescent="0.3">
      <c r="A645" s="38">
        <v>46167</v>
      </c>
      <c r="B645" t="s">
        <v>253</v>
      </c>
      <c r="C645" s="95">
        <v>5000</v>
      </c>
      <c r="D645" s="95"/>
      <c r="E645" t="s">
        <v>652</v>
      </c>
      <c r="F645" s="108" t="s">
        <v>108</v>
      </c>
    </row>
    <row r="646" spans="1:6" x14ac:dyDescent="0.3">
      <c r="A646" s="38">
        <v>46167</v>
      </c>
      <c r="B646" t="s">
        <v>269</v>
      </c>
      <c r="C646" s="95">
        <v>20000</v>
      </c>
      <c r="D646" s="95"/>
      <c r="E646" t="s">
        <v>653</v>
      </c>
      <c r="F646" s="108" t="s">
        <v>108</v>
      </c>
    </row>
    <row r="647" spans="1:6" x14ac:dyDescent="0.3">
      <c r="A647" s="38">
        <v>46167</v>
      </c>
      <c r="B647" t="s">
        <v>253</v>
      </c>
      <c r="C647" s="95">
        <v>1154260</v>
      </c>
      <c r="D647" s="95"/>
      <c r="F647" s="108"/>
    </row>
    <row r="648" spans="1:6" x14ac:dyDescent="0.3">
      <c r="A648" s="38">
        <v>46168</v>
      </c>
      <c r="B648" t="s">
        <v>253</v>
      </c>
      <c r="C648" s="95">
        <v>35000</v>
      </c>
      <c r="D648" s="95"/>
      <c r="E648" t="s">
        <v>288</v>
      </c>
      <c r="F648" s="108" t="s">
        <v>108</v>
      </c>
    </row>
    <row r="649" spans="1:6" x14ac:dyDescent="0.3">
      <c r="A649" s="38">
        <v>46168</v>
      </c>
      <c r="B649" t="s">
        <v>269</v>
      </c>
      <c r="C649" s="95">
        <v>30000</v>
      </c>
      <c r="D649" s="95"/>
      <c r="E649" t="s">
        <v>406</v>
      </c>
      <c r="F649" s="108" t="s">
        <v>108</v>
      </c>
    </row>
    <row r="650" spans="1:6" x14ac:dyDescent="0.3">
      <c r="A650" s="38">
        <v>46168</v>
      </c>
      <c r="B650" t="s">
        <v>219</v>
      </c>
      <c r="C650" s="95"/>
      <c r="D650" s="95">
        <v>30000</v>
      </c>
      <c r="E650" t="s">
        <v>406</v>
      </c>
      <c r="F650" s="108" t="s">
        <v>108</v>
      </c>
    </row>
    <row r="651" spans="1:6" x14ac:dyDescent="0.3">
      <c r="A651" s="38">
        <v>46168</v>
      </c>
      <c r="B651" t="s">
        <v>55</v>
      </c>
      <c r="C651" s="95">
        <v>20000</v>
      </c>
      <c r="D651" s="95"/>
      <c r="E651" t="s">
        <v>639</v>
      </c>
      <c r="F651" s="108" t="s">
        <v>108</v>
      </c>
    </row>
    <row r="652" spans="1:6" x14ac:dyDescent="0.3">
      <c r="A652" s="38">
        <v>46168</v>
      </c>
      <c r="B652" t="s">
        <v>219</v>
      </c>
      <c r="C652" s="95"/>
      <c r="D652" s="95">
        <v>20000</v>
      </c>
      <c r="E652" t="s">
        <v>639</v>
      </c>
      <c r="F652" s="108" t="s">
        <v>108</v>
      </c>
    </row>
    <row r="653" spans="1:6" x14ac:dyDescent="0.3">
      <c r="A653" s="38">
        <v>46168</v>
      </c>
      <c r="B653" t="s">
        <v>219</v>
      </c>
      <c r="C653" s="95">
        <v>300000</v>
      </c>
      <c r="D653" s="95">
        <v>0</v>
      </c>
      <c r="E653" t="s">
        <v>640</v>
      </c>
      <c r="F653" s="108" t="s">
        <v>108</v>
      </c>
    </row>
    <row r="654" spans="1:6" x14ac:dyDescent="0.3">
      <c r="A654" s="38">
        <v>46168</v>
      </c>
      <c r="B654" t="s">
        <v>269</v>
      </c>
      <c r="C654" s="95">
        <v>7000</v>
      </c>
      <c r="D654" s="95"/>
      <c r="E654" t="s">
        <v>641</v>
      </c>
      <c r="F654" s="108" t="s">
        <v>108</v>
      </c>
    </row>
    <row r="655" spans="1:6" x14ac:dyDescent="0.3">
      <c r="A655" s="38">
        <v>46169</v>
      </c>
      <c r="B655" t="s">
        <v>244</v>
      </c>
      <c r="C655" s="95">
        <v>4500</v>
      </c>
      <c r="D655" s="95"/>
      <c r="E655" t="s">
        <v>642</v>
      </c>
      <c r="F655" s="108" t="s">
        <v>108</v>
      </c>
    </row>
    <row r="656" spans="1:6" x14ac:dyDescent="0.3">
      <c r="A656" s="38">
        <v>46169</v>
      </c>
      <c r="B656" t="s">
        <v>253</v>
      </c>
      <c r="C656" s="95">
        <v>10000</v>
      </c>
      <c r="D656" s="95"/>
      <c r="E656" t="s">
        <v>643</v>
      </c>
      <c r="F656" s="108" t="s">
        <v>108</v>
      </c>
    </row>
    <row r="657" spans="1:14" x14ac:dyDescent="0.3">
      <c r="A657" s="38">
        <v>46171</v>
      </c>
      <c r="B657" t="s">
        <v>386</v>
      </c>
      <c r="C657" s="11">
        <f>1085+1677</f>
        <v>2762</v>
      </c>
      <c r="D657" s="11"/>
      <c r="E657" t="s">
        <v>649</v>
      </c>
      <c r="F657" s="108" t="s">
        <v>108</v>
      </c>
    </row>
    <row r="658" spans="1:14" x14ac:dyDescent="0.3">
      <c r="A658" s="38">
        <v>46171</v>
      </c>
      <c r="B658" t="s">
        <v>211</v>
      </c>
      <c r="C658" s="95">
        <v>360</v>
      </c>
      <c r="D658" s="95"/>
      <c r="F658" s="108" t="s">
        <v>108</v>
      </c>
    </row>
    <row r="659" spans="1:14" x14ac:dyDescent="0.3">
      <c r="A659" s="38">
        <v>46171</v>
      </c>
      <c r="B659" t="s">
        <v>386</v>
      </c>
      <c r="C659" s="95">
        <v>15000</v>
      </c>
      <c r="D659" s="95"/>
      <c r="E659" t="s">
        <v>647</v>
      </c>
      <c r="F659" s="108" t="s">
        <v>108</v>
      </c>
    </row>
    <row r="660" spans="1:14" x14ac:dyDescent="0.3">
      <c r="A660" s="38">
        <v>46171</v>
      </c>
      <c r="B660" t="s">
        <v>386</v>
      </c>
      <c r="C660" s="95">
        <v>2900</v>
      </c>
      <c r="D660" s="95"/>
      <c r="E660" t="s">
        <v>650</v>
      </c>
      <c r="F660" s="108" t="s">
        <v>108</v>
      </c>
    </row>
    <row r="661" spans="1:14" x14ac:dyDescent="0.3">
      <c r="A661" s="38">
        <v>46172</v>
      </c>
      <c r="B661" t="s">
        <v>357</v>
      </c>
      <c r="C661" s="95">
        <v>900</v>
      </c>
      <c r="D661" s="95"/>
      <c r="F661" s="108" t="s">
        <v>108</v>
      </c>
      <c r="J661">
        <v>30800</v>
      </c>
      <c r="L661">
        <v>6660</v>
      </c>
      <c r="N661">
        <v>30800</v>
      </c>
    </row>
    <row r="662" spans="1:14" x14ac:dyDescent="0.3">
      <c r="A662" s="38">
        <v>46172</v>
      </c>
      <c r="B662" t="s">
        <v>253</v>
      </c>
      <c r="C662" s="95">
        <v>25000</v>
      </c>
      <c r="D662" s="95"/>
      <c r="E662" t="s">
        <v>602</v>
      </c>
      <c r="F662" s="108" t="s">
        <v>108</v>
      </c>
      <c r="J662">
        <v>22400</v>
      </c>
      <c r="L662">
        <v>185000</v>
      </c>
      <c r="N662">
        <v>29200</v>
      </c>
    </row>
    <row r="663" spans="1:14" x14ac:dyDescent="0.3">
      <c r="A663" s="38">
        <v>46172</v>
      </c>
      <c r="B663" t="s">
        <v>219</v>
      </c>
      <c r="C663" s="95"/>
      <c r="D663" s="95">
        <v>25000</v>
      </c>
      <c r="E663" t="s">
        <v>602</v>
      </c>
      <c r="F663" s="108" t="s">
        <v>108</v>
      </c>
      <c r="J663">
        <v>29400</v>
      </c>
      <c r="L663">
        <v>115000</v>
      </c>
      <c r="N663">
        <v>32000</v>
      </c>
    </row>
    <row r="664" spans="1:14" x14ac:dyDescent="0.3">
      <c r="A664" s="38">
        <v>46172</v>
      </c>
      <c r="B664" t="s">
        <v>269</v>
      </c>
      <c r="C664" s="95">
        <v>15000</v>
      </c>
      <c r="D664" s="95"/>
      <c r="E664" t="s">
        <v>580</v>
      </c>
      <c r="F664" s="108" t="s">
        <v>108</v>
      </c>
      <c r="J664">
        <v>32000</v>
      </c>
      <c r="L664">
        <v>37150</v>
      </c>
      <c r="N664">
        <v>29400</v>
      </c>
    </row>
    <row r="665" spans="1:14" x14ac:dyDescent="0.3">
      <c r="A665" s="38">
        <v>46172</v>
      </c>
      <c r="B665" t="s">
        <v>219</v>
      </c>
      <c r="C665" s="95"/>
      <c r="D665" s="95">
        <v>15000</v>
      </c>
      <c r="E665" t="s">
        <v>580</v>
      </c>
      <c r="F665" s="108" t="s">
        <v>108</v>
      </c>
      <c r="J665">
        <v>30400</v>
      </c>
      <c r="L665">
        <v>23400</v>
      </c>
      <c r="N665">
        <v>30400</v>
      </c>
    </row>
    <row r="666" spans="1:14" x14ac:dyDescent="0.3">
      <c r="A666" s="111">
        <v>46172</v>
      </c>
      <c r="B666" t="s">
        <v>386</v>
      </c>
      <c r="C666" s="11">
        <v>5000</v>
      </c>
      <c r="D666" s="11"/>
      <c r="E666" t="s">
        <v>647</v>
      </c>
      <c r="F666" s="108" t="s">
        <v>108</v>
      </c>
      <c r="J666">
        <v>29200</v>
      </c>
      <c r="L666">
        <v>18150</v>
      </c>
      <c r="N666">
        <v>22400</v>
      </c>
    </row>
    <row r="667" spans="1:14" x14ac:dyDescent="0.3">
      <c r="A667" s="111">
        <v>46172</v>
      </c>
      <c r="B667" t="s">
        <v>386</v>
      </c>
      <c r="C667" s="11">
        <v>4613.28</v>
      </c>
      <c r="D667" s="11"/>
      <c r="E667" t="s">
        <v>648</v>
      </c>
      <c r="F667" s="108" t="s">
        <v>108</v>
      </c>
      <c r="J667">
        <v>17050</v>
      </c>
      <c r="L667">
        <v>55000</v>
      </c>
      <c r="N667">
        <v>50000</v>
      </c>
    </row>
    <row r="668" spans="1:14" x14ac:dyDescent="0.3">
      <c r="A668" s="111">
        <v>46174</v>
      </c>
      <c r="B668" t="s">
        <v>55</v>
      </c>
      <c r="C668" s="95">
        <v>8340</v>
      </c>
      <c r="D668" s="95"/>
      <c r="F668" s="108" t="s">
        <v>108</v>
      </c>
      <c r="J668">
        <v>16000</v>
      </c>
      <c r="L668">
        <v>20000</v>
      </c>
      <c r="N668">
        <v>80000</v>
      </c>
    </row>
    <row r="669" spans="1:14" x14ac:dyDescent="0.3">
      <c r="A669" s="38">
        <v>46174</v>
      </c>
      <c r="B669" t="s">
        <v>219</v>
      </c>
      <c r="C669" s="95"/>
      <c r="D669" s="95">
        <v>25000</v>
      </c>
      <c r="E669" t="s">
        <v>644</v>
      </c>
      <c r="F669" s="108" t="s">
        <v>108</v>
      </c>
      <c r="J669">
        <v>37150</v>
      </c>
      <c r="L669">
        <v>40000</v>
      </c>
      <c r="N669">
        <v>60000</v>
      </c>
    </row>
    <row r="670" spans="1:14" x14ac:dyDescent="0.3">
      <c r="A670" s="38">
        <v>46174</v>
      </c>
      <c r="B670" t="s">
        <v>55</v>
      </c>
      <c r="C670" s="95">
        <v>14000</v>
      </c>
      <c r="D670" s="95"/>
      <c r="E670" t="s">
        <v>645</v>
      </c>
      <c r="F670" s="108" t="s">
        <v>108</v>
      </c>
      <c r="J670">
        <v>40000</v>
      </c>
      <c r="L670">
        <v>11350</v>
      </c>
      <c r="N670">
        <v>35000</v>
      </c>
    </row>
    <row r="671" spans="1:14" x14ac:dyDescent="0.3">
      <c r="A671" s="38">
        <v>46174</v>
      </c>
      <c r="B671" t="s">
        <v>55</v>
      </c>
      <c r="C671" s="95">
        <v>1900</v>
      </c>
      <c r="D671" s="95"/>
      <c r="E671" t="s">
        <v>646</v>
      </c>
      <c r="F671" s="108" t="s">
        <v>108</v>
      </c>
      <c r="J671">
        <v>55000</v>
      </c>
      <c r="L671">
        <v>16000</v>
      </c>
      <c r="N671">
        <v>30700</v>
      </c>
    </row>
    <row r="672" spans="1:14" x14ac:dyDescent="0.3">
      <c r="A672" s="38">
        <v>46174</v>
      </c>
      <c r="B672" t="s">
        <v>244</v>
      </c>
      <c r="C672" s="95">
        <v>15000</v>
      </c>
      <c r="D672" s="95"/>
      <c r="E672" t="s">
        <v>346</v>
      </c>
      <c r="F672" s="108" t="s">
        <v>108</v>
      </c>
      <c r="J672">
        <v>20000</v>
      </c>
      <c r="L672">
        <v>2500</v>
      </c>
      <c r="N672">
        <v>28900</v>
      </c>
    </row>
    <row r="673" spans="1:14" x14ac:dyDescent="0.3">
      <c r="A673" s="111">
        <v>46174</v>
      </c>
      <c r="B673" t="s">
        <v>219</v>
      </c>
      <c r="C673" s="95"/>
      <c r="D673" s="95">
        <v>15000</v>
      </c>
      <c r="E673" t="s">
        <v>346</v>
      </c>
      <c r="F673" s="108" t="s">
        <v>108</v>
      </c>
      <c r="J673">
        <v>23400</v>
      </c>
      <c r="L673">
        <v>2650</v>
      </c>
      <c r="N673">
        <v>2400</v>
      </c>
    </row>
    <row r="674" spans="1:14" x14ac:dyDescent="0.3">
      <c r="A674" s="111">
        <v>46174</v>
      </c>
      <c r="B674" t="s">
        <v>253</v>
      </c>
      <c r="C674" s="95">
        <v>40000</v>
      </c>
      <c r="D674" s="95"/>
      <c r="E674" t="s">
        <v>252</v>
      </c>
      <c r="F674" s="108" t="s">
        <v>108</v>
      </c>
      <c r="J674">
        <v>30700</v>
      </c>
      <c r="L674">
        <v>9850</v>
      </c>
      <c r="N674">
        <v>22800</v>
      </c>
    </row>
    <row r="675" spans="1:14" x14ac:dyDescent="0.3">
      <c r="A675" s="111">
        <v>46174</v>
      </c>
      <c r="B675" t="s">
        <v>219</v>
      </c>
      <c r="C675" s="95"/>
      <c r="D675" s="95">
        <v>40000</v>
      </c>
      <c r="E675" t="s">
        <v>252</v>
      </c>
      <c r="F675" s="108" t="s">
        <v>108</v>
      </c>
      <c r="J675">
        <v>28900</v>
      </c>
      <c r="L675">
        <v>22650</v>
      </c>
      <c r="N675">
        <v>17050</v>
      </c>
    </row>
    <row r="676" spans="1:14" x14ac:dyDescent="0.3">
      <c r="A676" s="38">
        <v>46174</v>
      </c>
      <c r="B676" t="s">
        <v>244</v>
      </c>
      <c r="C676" s="95">
        <v>2500</v>
      </c>
      <c r="D676" s="95"/>
      <c r="F676" s="108" t="s">
        <v>108</v>
      </c>
      <c r="J676">
        <v>25000</v>
      </c>
      <c r="K676" t="s">
        <v>602</v>
      </c>
      <c r="L676">
        <v>3600</v>
      </c>
      <c r="N676">
        <v>25850</v>
      </c>
    </row>
    <row r="677" spans="1:14" x14ac:dyDescent="0.3">
      <c r="A677" s="38">
        <v>46174</v>
      </c>
      <c r="B677" t="s">
        <v>211</v>
      </c>
      <c r="C677" s="95">
        <f>920+780+2540+1480+1390+1000</f>
        <v>8110</v>
      </c>
      <c r="D677" s="95"/>
      <c r="F677" s="108" t="s">
        <v>108</v>
      </c>
      <c r="J677">
        <v>22800</v>
      </c>
      <c r="L677">
        <v>13000</v>
      </c>
      <c r="N677">
        <v>18400</v>
      </c>
    </row>
    <row r="678" spans="1:14" x14ac:dyDescent="0.3">
      <c r="A678" s="38">
        <v>46175</v>
      </c>
      <c r="B678" t="s">
        <v>357</v>
      </c>
      <c r="C678" s="11">
        <v>15330</v>
      </c>
      <c r="D678" s="86"/>
      <c r="E678" s="80"/>
      <c r="F678" s="87" t="s">
        <v>108</v>
      </c>
      <c r="J678">
        <v>11300</v>
      </c>
      <c r="L678">
        <v>18380</v>
      </c>
      <c r="N678">
        <v>13000</v>
      </c>
    </row>
    <row r="679" spans="1:14" x14ac:dyDescent="0.3">
      <c r="A679" s="111">
        <v>46175</v>
      </c>
      <c r="B679" t="s">
        <v>55</v>
      </c>
      <c r="C679" s="11">
        <v>1000</v>
      </c>
      <c r="D679" s="11"/>
      <c r="E679" t="s">
        <v>595</v>
      </c>
      <c r="F679" s="108" t="s">
        <v>108</v>
      </c>
      <c r="J679">
        <v>25800</v>
      </c>
      <c r="L679">
        <v>25850</v>
      </c>
      <c r="N679">
        <v>3600</v>
      </c>
    </row>
    <row r="680" spans="1:14" x14ac:dyDescent="0.3">
      <c r="A680" s="111">
        <v>46175</v>
      </c>
      <c r="B680" t="s">
        <v>357</v>
      </c>
      <c r="C680" s="11">
        <v>1730</v>
      </c>
      <c r="D680" s="11"/>
      <c r="F680" s="108" t="s">
        <v>108</v>
      </c>
      <c r="J680">
        <v>9850</v>
      </c>
      <c r="L680">
        <v>17050</v>
      </c>
      <c r="N680">
        <v>22650</v>
      </c>
    </row>
    <row r="681" spans="1:14" x14ac:dyDescent="0.3">
      <c r="A681" s="111">
        <v>46175</v>
      </c>
      <c r="B681" t="s">
        <v>257</v>
      </c>
      <c r="C681" s="11">
        <v>200000</v>
      </c>
      <c r="D681" s="11"/>
      <c r="E681" t="s">
        <v>655</v>
      </c>
      <c r="F681" s="108" t="s">
        <v>108</v>
      </c>
      <c r="J681">
        <v>2650</v>
      </c>
      <c r="L681">
        <v>22800</v>
      </c>
      <c r="N681">
        <v>9850</v>
      </c>
    </row>
    <row r="682" spans="1:14" x14ac:dyDescent="0.3">
      <c r="A682" s="38">
        <v>46175</v>
      </c>
      <c r="B682" t="s">
        <v>656</v>
      </c>
      <c r="C682" s="95"/>
      <c r="D682" s="95">
        <v>170000</v>
      </c>
      <c r="E682" t="s">
        <v>657</v>
      </c>
      <c r="F682" s="108" t="s">
        <v>108</v>
      </c>
      <c r="J682">
        <v>185000</v>
      </c>
      <c r="L682">
        <v>2400</v>
      </c>
      <c r="N682">
        <v>2650</v>
      </c>
    </row>
    <row r="683" spans="1:14" x14ac:dyDescent="0.3">
      <c r="A683" s="111">
        <v>46175</v>
      </c>
      <c r="B683" t="s">
        <v>219</v>
      </c>
      <c r="C683" s="11"/>
      <c r="D683" s="11">
        <v>30000</v>
      </c>
      <c r="E683" t="s">
        <v>257</v>
      </c>
      <c r="F683" s="108" t="s">
        <v>108</v>
      </c>
      <c r="J683">
        <v>13000</v>
      </c>
      <c r="L683">
        <v>28900</v>
      </c>
      <c r="N683">
        <v>2500</v>
      </c>
    </row>
    <row r="684" spans="1:14" x14ac:dyDescent="0.3">
      <c r="A684" s="111">
        <v>46176</v>
      </c>
      <c r="B684" t="s">
        <v>493</v>
      </c>
      <c r="C684" s="11"/>
      <c r="D684" s="11">
        <v>50000</v>
      </c>
      <c r="E684" t="s">
        <v>658</v>
      </c>
      <c r="F684" s="108" t="s">
        <v>108</v>
      </c>
      <c r="J684">
        <v>18370</v>
      </c>
      <c r="L684">
        <v>30700</v>
      </c>
      <c r="N684">
        <v>16000</v>
      </c>
    </row>
    <row r="685" spans="1:14" x14ac:dyDescent="0.3">
      <c r="A685" s="38">
        <v>46176</v>
      </c>
      <c r="B685" t="s">
        <v>357</v>
      </c>
      <c r="C685" s="95">
        <v>20000</v>
      </c>
      <c r="D685" s="95"/>
      <c r="E685" t="s">
        <v>392</v>
      </c>
      <c r="F685" s="108" t="s">
        <v>108</v>
      </c>
      <c r="J685">
        <v>22650</v>
      </c>
      <c r="L685">
        <v>35000</v>
      </c>
      <c r="N685">
        <v>11350</v>
      </c>
    </row>
    <row r="686" spans="1:14" x14ac:dyDescent="0.3">
      <c r="A686" s="38">
        <v>46176</v>
      </c>
      <c r="B686" t="s">
        <v>269</v>
      </c>
      <c r="C686" s="95">
        <v>20000</v>
      </c>
      <c r="D686" s="95"/>
      <c r="E686" t="s">
        <v>659</v>
      </c>
      <c r="F686" s="108" t="s">
        <v>108</v>
      </c>
      <c r="J686">
        <v>2400</v>
      </c>
      <c r="L686">
        <v>60000</v>
      </c>
      <c r="N686">
        <v>40000</v>
      </c>
    </row>
    <row r="687" spans="1:14" x14ac:dyDescent="0.3">
      <c r="A687" s="38">
        <v>46176</v>
      </c>
      <c r="B687" t="s">
        <v>219</v>
      </c>
      <c r="C687" s="95"/>
      <c r="D687" s="95">
        <v>20000</v>
      </c>
      <c r="E687" t="s">
        <v>320</v>
      </c>
      <c r="F687" s="108" t="s">
        <v>108</v>
      </c>
      <c r="J687">
        <v>3600</v>
      </c>
      <c r="L687">
        <v>80000</v>
      </c>
      <c r="N687">
        <v>20000</v>
      </c>
    </row>
    <row r="688" spans="1:14" x14ac:dyDescent="0.3">
      <c r="A688" s="38">
        <v>46176</v>
      </c>
      <c r="B688" t="s">
        <v>253</v>
      </c>
      <c r="C688" s="95">
        <v>20000</v>
      </c>
      <c r="D688" s="95"/>
      <c r="E688" t="s">
        <v>288</v>
      </c>
      <c r="F688" s="108" t="s">
        <v>108</v>
      </c>
      <c r="J688">
        <v>6600</v>
      </c>
      <c r="L688">
        <v>50000</v>
      </c>
      <c r="N688">
        <v>55000</v>
      </c>
    </row>
    <row r="689" spans="1:14" x14ac:dyDescent="0.3">
      <c r="A689" s="38">
        <v>46177</v>
      </c>
      <c r="B689" t="s">
        <v>55</v>
      </c>
      <c r="C689" s="95">
        <v>3500</v>
      </c>
      <c r="D689" s="95"/>
      <c r="F689" s="108" t="s">
        <v>108</v>
      </c>
      <c r="J689">
        <v>35000</v>
      </c>
      <c r="L689">
        <v>22400</v>
      </c>
    </row>
    <row r="690" spans="1:14" x14ac:dyDescent="0.3">
      <c r="A690" s="38">
        <v>46177</v>
      </c>
      <c r="B690" t="s">
        <v>219</v>
      </c>
      <c r="C690" s="95"/>
      <c r="D690" s="95">
        <v>100000</v>
      </c>
      <c r="E690" t="s">
        <v>660</v>
      </c>
      <c r="F690" s="108" t="s">
        <v>108</v>
      </c>
      <c r="J690">
        <v>80000</v>
      </c>
      <c r="L690">
        <v>30400</v>
      </c>
      <c r="N690">
        <v>18150</v>
      </c>
    </row>
    <row r="691" spans="1:14" x14ac:dyDescent="0.3">
      <c r="A691" s="38">
        <v>46177</v>
      </c>
      <c r="B691" t="s">
        <v>221</v>
      </c>
      <c r="C691" s="95">
        <v>100000</v>
      </c>
      <c r="D691" s="95"/>
      <c r="E691" t="s">
        <v>661</v>
      </c>
      <c r="F691" s="108" t="s">
        <v>108</v>
      </c>
      <c r="J691">
        <v>60000</v>
      </c>
      <c r="L691">
        <v>29400</v>
      </c>
      <c r="N691">
        <v>6660</v>
      </c>
    </row>
    <row r="692" spans="1:14" x14ac:dyDescent="0.3">
      <c r="A692" s="38">
        <v>46178</v>
      </c>
      <c r="B692" t="s">
        <v>211</v>
      </c>
      <c r="C692" s="95">
        <v>830</v>
      </c>
      <c r="D692" s="95"/>
      <c r="F692" s="108" t="s">
        <v>108</v>
      </c>
      <c r="J692">
        <v>115000</v>
      </c>
      <c r="L692">
        <v>32000</v>
      </c>
      <c r="N692">
        <v>185000</v>
      </c>
    </row>
    <row r="693" spans="1:14" x14ac:dyDescent="0.3">
      <c r="A693" s="38">
        <v>46178</v>
      </c>
      <c r="B693" t="s">
        <v>55</v>
      </c>
      <c r="C693" s="95">
        <v>760</v>
      </c>
      <c r="D693" s="95"/>
      <c r="E693" t="s">
        <v>662</v>
      </c>
      <c r="F693" s="108" t="s">
        <v>108</v>
      </c>
      <c r="J693">
        <v>50000</v>
      </c>
      <c r="L693">
        <v>29200</v>
      </c>
      <c r="N693">
        <v>115000</v>
      </c>
    </row>
    <row r="694" spans="1:14" x14ac:dyDescent="0.3">
      <c r="A694" s="38">
        <v>46178</v>
      </c>
      <c r="B694" t="s">
        <v>219</v>
      </c>
      <c r="C694" s="95"/>
      <c r="D694" s="95">
        <v>760</v>
      </c>
      <c r="F694" s="108" t="s">
        <v>108</v>
      </c>
      <c r="J694">
        <v>2000</v>
      </c>
      <c r="L694">
        <v>30800</v>
      </c>
      <c r="N694">
        <v>37150</v>
      </c>
    </row>
    <row r="695" spans="1:14" x14ac:dyDescent="0.3">
      <c r="A695" s="38">
        <v>46178</v>
      </c>
      <c r="B695" t="s">
        <v>244</v>
      </c>
      <c r="C695" s="95">
        <v>2000</v>
      </c>
      <c r="D695" s="95"/>
      <c r="E695" t="s">
        <v>294</v>
      </c>
      <c r="F695" s="108" t="s">
        <v>108</v>
      </c>
      <c r="L695">
        <v>25000</v>
      </c>
      <c r="M695" t="s">
        <v>602</v>
      </c>
      <c r="N695">
        <v>23400</v>
      </c>
    </row>
    <row r="696" spans="1:14" x14ac:dyDescent="0.3">
      <c r="A696" s="38">
        <v>46178</v>
      </c>
      <c r="B696" t="s">
        <v>493</v>
      </c>
      <c r="C696" s="95"/>
      <c r="D696" s="95">
        <v>50000</v>
      </c>
      <c r="E696" t="s">
        <v>663</v>
      </c>
      <c r="F696" s="108" t="s">
        <v>108</v>
      </c>
      <c r="M696" t="s">
        <v>538</v>
      </c>
    </row>
    <row r="697" spans="1:14" x14ac:dyDescent="0.3">
      <c r="A697" s="38">
        <v>46178</v>
      </c>
      <c r="B697" t="s">
        <v>253</v>
      </c>
      <c r="C697" s="95">
        <v>15000</v>
      </c>
      <c r="D697" s="95"/>
      <c r="E697" t="s">
        <v>643</v>
      </c>
      <c r="F697" s="108" t="s">
        <v>108</v>
      </c>
      <c r="L697">
        <v>2000</v>
      </c>
      <c r="N697">
        <v>25000</v>
      </c>
    </row>
    <row r="698" spans="1:14" x14ac:dyDescent="0.3">
      <c r="A698" s="38">
        <v>46178</v>
      </c>
      <c r="B698" t="s">
        <v>253</v>
      </c>
      <c r="C698" s="95">
        <v>15000</v>
      </c>
      <c r="D698" s="95"/>
      <c r="E698" t="s">
        <v>664</v>
      </c>
      <c r="F698" s="108" t="s">
        <v>108</v>
      </c>
      <c r="N698">
        <v>2000</v>
      </c>
    </row>
    <row r="699" spans="1:14" x14ac:dyDescent="0.3">
      <c r="A699" s="38">
        <v>46178</v>
      </c>
      <c r="B699" t="s">
        <v>269</v>
      </c>
      <c r="C699" s="95">
        <v>10000</v>
      </c>
      <c r="D699" s="95"/>
      <c r="E699" t="s">
        <v>665</v>
      </c>
      <c r="F699" s="108" t="s">
        <v>108</v>
      </c>
    </row>
    <row r="700" spans="1:14" x14ac:dyDescent="0.3">
      <c r="A700" s="38">
        <v>46178</v>
      </c>
      <c r="B700" t="s">
        <v>654</v>
      </c>
      <c r="C700" s="95"/>
      <c r="D700" s="95">
        <v>200000</v>
      </c>
      <c r="E700" t="s">
        <v>271</v>
      </c>
      <c r="F700" s="108" t="s">
        <v>108</v>
      </c>
    </row>
    <row r="701" spans="1:14" x14ac:dyDescent="0.3">
      <c r="A701" s="38">
        <v>46178</v>
      </c>
      <c r="B701" t="s">
        <v>666</v>
      </c>
      <c r="C701" s="95"/>
      <c r="D701" s="95">
        <v>80000</v>
      </c>
      <c r="E701" t="s">
        <v>109</v>
      </c>
      <c r="F701" s="108" t="s">
        <v>108</v>
      </c>
    </row>
    <row r="702" spans="1:14" x14ac:dyDescent="0.3">
      <c r="A702" s="38">
        <v>46178</v>
      </c>
      <c r="B702" t="s">
        <v>219</v>
      </c>
      <c r="C702" s="95">
        <v>200000</v>
      </c>
      <c r="D702" s="11"/>
      <c r="E702" t="s">
        <v>654</v>
      </c>
      <c r="F702" s="108" t="s">
        <v>108</v>
      </c>
    </row>
    <row r="703" spans="1:14" x14ac:dyDescent="0.3">
      <c r="A703" s="38">
        <v>46178</v>
      </c>
      <c r="B703" t="s">
        <v>219</v>
      </c>
      <c r="C703" s="95">
        <v>80000</v>
      </c>
      <c r="D703" s="11"/>
      <c r="E703" t="s">
        <v>667</v>
      </c>
      <c r="F703" s="108" t="s">
        <v>108</v>
      </c>
    </row>
    <row r="704" spans="1:14" x14ac:dyDescent="0.3">
      <c r="A704" s="38">
        <v>46178</v>
      </c>
      <c r="B704" t="s">
        <v>211</v>
      </c>
      <c r="C704" s="95">
        <v>780</v>
      </c>
      <c r="D704" s="95"/>
      <c r="F704" s="108" t="s">
        <v>108</v>
      </c>
    </row>
    <row r="705" spans="1:11" x14ac:dyDescent="0.3">
      <c r="A705" s="38">
        <v>46179</v>
      </c>
      <c r="B705" t="s">
        <v>55</v>
      </c>
      <c r="C705" s="95">
        <v>1200</v>
      </c>
      <c r="D705" s="95"/>
      <c r="F705" s="108" t="s">
        <v>108</v>
      </c>
    </row>
    <row r="706" spans="1:11" x14ac:dyDescent="0.3">
      <c r="A706" s="38">
        <v>46179</v>
      </c>
      <c r="B706" t="s">
        <v>219</v>
      </c>
      <c r="C706" s="95"/>
      <c r="D706" s="95">
        <v>1600</v>
      </c>
      <c r="F706" s="108" t="s">
        <v>108</v>
      </c>
    </row>
    <row r="707" spans="1:11" x14ac:dyDescent="0.3">
      <c r="A707" s="38">
        <v>46179</v>
      </c>
      <c r="B707" t="s">
        <v>55</v>
      </c>
      <c r="C707" s="95">
        <v>400</v>
      </c>
      <c r="D707" s="95"/>
      <c r="F707" s="108" t="s">
        <v>108</v>
      </c>
    </row>
    <row r="708" spans="1:11" x14ac:dyDescent="0.3">
      <c r="A708" s="38">
        <v>46179</v>
      </c>
      <c r="B708" t="s">
        <v>219</v>
      </c>
      <c r="C708" s="95"/>
      <c r="D708" s="95">
        <v>400000</v>
      </c>
      <c r="E708" t="s">
        <v>109</v>
      </c>
      <c r="F708" s="108" t="s">
        <v>108</v>
      </c>
    </row>
    <row r="709" spans="1:11" x14ac:dyDescent="0.3">
      <c r="A709" s="38">
        <v>46179</v>
      </c>
      <c r="B709" t="s">
        <v>517</v>
      </c>
      <c r="C709" s="95">
        <v>400000</v>
      </c>
      <c r="D709" s="95"/>
      <c r="E709" t="s">
        <v>109</v>
      </c>
      <c r="F709" s="108" t="s">
        <v>108</v>
      </c>
      <c r="I709">
        <v>30550</v>
      </c>
      <c r="K709">
        <v>30550</v>
      </c>
    </row>
    <row r="710" spans="1:11" x14ac:dyDescent="0.3">
      <c r="A710" s="38">
        <v>46179</v>
      </c>
      <c r="B710" t="s">
        <v>219</v>
      </c>
      <c r="C710" s="95"/>
      <c r="D710" s="95">
        <v>32000</v>
      </c>
      <c r="E710" t="s">
        <v>271</v>
      </c>
      <c r="F710" s="108" t="s">
        <v>108</v>
      </c>
      <c r="I710">
        <v>14000</v>
      </c>
      <c r="K710">
        <v>14000</v>
      </c>
    </row>
    <row r="711" spans="1:11" x14ac:dyDescent="0.3">
      <c r="A711" s="38">
        <v>46179</v>
      </c>
      <c r="B711" t="s">
        <v>55</v>
      </c>
      <c r="C711" s="95">
        <v>26800</v>
      </c>
      <c r="D711" s="95"/>
      <c r="E711" t="s">
        <v>259</v>
      </c>
      <c r="F711" s="108" t="s">
        <v>108</v>
      </c>
      <c r="I711">
        <v>215000</v>
      </c>
      <c r="K711">
        <v>215000</v>
      </c>
    </row>
    <row r="712" spans="1:11" x14ac:dyDescent="0.3">
      <c r="A712" s="38">
        <v>46179</v>
      </c>
      <c r="B712" t="s">
        <v>666</v>
      </c>
      <c r="C712" s="11"/>
      <c r="D712" s="11">
        <v>120000</v>
      </c>
      <c r="E712" t="s">
        <v>109</v>
      </c>
      <c r="F712" s="108" t="s">
        <v>108</v>
      </c>
      <c r="I712">
        <v>125000</v>
      </c>
      <c r="K712">
        <v>125000</v>
      </c>
    </row>
    <row r="713" spans="1:11" x14ac:dyDescent="0.3">
      <c r="A713" s="38">
        <v>46179</v>
      </c>
      <c r="B713" t="s">
        <v>219</v>
      </c>
      <c r="C713" s="11">
        <v>120000</v>
      </c>
      <c r="D713" s="11"/>
      <c r="E713" t="s">
        <v>667</v>
      </c>
      <c r="F713" s="108" t="s">
        <v>108</v>
      </c>
      <c r="I713">
        <v>12800</v>
      </c>
      <c r="K713">
        <v>12800</v>
      </c>
    </row>
    <row r="714" spans="1:11" x14ac:dyDescent="0.3">
      <c r="A714" s="38">
        <v>46179</v>
      </c>
      <c r="B714" t="s">
        <v>219</v>
      </c>
      <c r="C714" s="11"/>
      <c r="D714" s="11">
        <v>200000</v>
      </c>
      <c r="E714" t="s">
        <v>668</v>
      </c>
      <c r="F714" s="108" t="s">
        <v>108</v>
      </c>
      <c r="I714">
        <v>9650</v>
      </c>
      <c r="K714">
        <f>25650-16000</f>
        <v>9650</v>
      </c>
    </row>
    <row r="715" spans="1:11" x14ac:dyDescent="0.3">
      <c r="A715" s="38">
        <v>46179</v>
      </c>
      <c r="B715" t="s">
        <v>674</v>
      </c>
      <c r="C715" s="11">
        <v>200625</v>
      </c>
      <c r="D715" s="11"/>
      <c r="E715" t="s">
        <v>669</v>
      </c>
      <c r="F715" s="108" t="s">
        <v>108</v>
      </c>
      <c r="I715">
        <v>30000</v>
      </c>
      <c r="K715">
        <v>30000</v>
      </c>
    </row>
    <row r="716" spans="1:11" x14ac:dyDescent="0.3">
      <c r="A716" s="38">
        <v>46180</v>
      </c>
      <c r="B716" t="s">
        <v>55</v>
      </c>
      <c r="C716" s="11">
        <v>900</v>
      </c>
      <c r="D716" s="11"/>
      <c r="F716" s="108" t="s">
        <v>108</v>
      </c>
      <c r="I716">
        <v>55000</v>
      </c>
      <c r="K716">
        <v>55000</v>
      </c>
    </row>
    <row r="717" spans="1:11" x14ac:dyDescent="0.3">
      <c r="A717" s="38">
        <v>46180</v>
      </c>
      <c r="B717" t="s">
        <v>55</v>
      </c>
      <c r="C717" s="11">
        <v>1200</v>
      </c>
      <c r="D717" s="11"/>
      <c r="F717" s="108" t="s">
        <v>108</v>
      </c>
      <c r="I717">
        <v>24000</v>
      </c>
      <c r="K717">
        <v>30000</v>
      </c>
    </row>
    <row r="718" spans="1:11" x14ac:dyDescent="0.3">
      <c r="A718" s="38">
        <v>46180</v>
      </c>
      <c r="B718" t="s">
        <v>55</v>
      </c>
      <c r="C718" s="11">
        <v>4000</v>
      </c>
      <c r="D718" s="11"/>
      <c r="E718" t="s">
        <v>670</v>
      </c>
      <c r="F718" s="108" t="s">
        <v>108</v>
      </c>
      <c r="I718">
        <v>24000</v>
      </c>
      <c r="K718">
        <v>26660</v>
      </c>
    </row>
    <row r="719" spans="1:11" x14ac:dyDescent="0.3">
      <c r="A719" s="38">
        <v>46180</v>
      </c>
      <c r="B719" t="s">
        <v>219</v>
      </c>
      <c r="C719" s="95"/>
      <c r="D719" s="95">
        <v>4000</v>
      </c>
      <c r="E719" t="s">
        <v>670</v>
      </c>
      <c r="F719" s="108" t="s">
        <v>108</v>
      </c>
      <c r="I719">
        <v>20000</v>
      </c>
      <c r="K719">
        <v>20000</v>
      </c>
    </row>
    <row r="720" spans="1:11" x14ac:dyDescent="0.3">
      <c r="A720" s="38">
        <v>46180</v>
      </c>
      <c r="B720" t="s">
        <v>386</v>
      </c>
      <c r="C720" s="95">
        <v>3330</v>
      </c>
      <c r="D720" s="95"/>
      <c r="E720" t="s">
        <v>671</v>
      </c>
      <c r="F720" s="108" t="s">
        <v>108</v>
      </c>
      <c r="I720">
        <v>17200</v>
      </c>
      <c r="K720">
        <v>62000</v>
      </c>
    </row>
    <row r="721" spans="1:11" x14ac:dyDescent="0.3">
      <c r="A721" s="38">
        <v>46180</v>
      </c>
      <c r="B721" t="s">
        <v>656</v>
      </c>
      <c r="C721" s="95"/>
      <c r="D721" s="95">
        <v>150000</v>
      </c>
      <c r="E721" t="s">
        <v>672</v>
      </c>
      <c r="F721" s="108" t="s">
        <v>108</v>
      </c>
      <c r="I721">
        <v>18400</v>
      </c>
    </row>
    <row r="722" spans="1:11" x14ac:dyDescent="0.3">
      <c r="A722" s="38">
        <v>46180</v>
      </c>
      <c r="B722" t="s">
        <v>219</v>
      </c>
      <c r="C722" s="95">
        <v>150000</v>
      </c>
      <c r="D722" s="95"/>
      <c r="E722" t="s">
        <v>673</v>
      </c>
      <c r="F722" s="108" t="s">
        <v>108</v>
      </c>
      <c r="I722">
        <v>18000</v>
      </c>
      <c r="K722">
        <v>1000</v>
      </c>
    </row>
    <row r="723" spans="1:11" x14ac:dyDescent="0.3">
      <c r="A723" s="38">
        <v>46181</v>
      </c>
      <c r="B723" t="s">
        <v>219</v>
      </c>
      <c r="C723" s="95"/>
      <c r="D723" s="95">
        <v>200000</v>
      </c>
      <c r="E723" t="s">
        <v>676</v>
      </c>
      <c r="F723" s="108" t="s">
        <v>108</v>
      </c>
      <c r="I723">
        <v>80000</v>
      </c>
      <c r="K723">
        <v>10600</v>
      </c>
    </row>
    <row r="724" spans="1:11" x14ac:dyDescent="0.3">
      <c r="A724" s="38">
        <v>46181</v>
      </c>
      <c r="B724" t="s">
        <v>115</v>
      </c>
      <c r="C724" s="95">
        <v>200000</v>
      </c>
      <c r="D724" s="95"/>
      <c r="E724" t="s">
        <v>676</v>
      </c>
      <c r="F724" s="108" t="s">
        <v>108</v>
      </c>
      <c r="I724">
        <v>60000</v>
      </c>
      <c r="K724">
        <v>11150</v>
      </c>
    </row>
    <row r="725" spans="1:11" x14ac:dyDescent="0.3">
      <c r="A725" s="38">
        <v>46181</v>
      </c>
      <c r="B725" t="s">
        <v>55</v>
      </c>
      <c r="C725" s="11">
        <v>6400</v>
      </c>
      <c r="D725" s="11"/>
      <c r="E725" t="s">
        <v>677</v>
      </c>
      <c r="F725" s="108" t="s">
        <v>108</v>
      </c>
      <c r="I725">
        <v>35000</v>
      </c>
      <c r="K725">
        <v>7220</v>
      </c>
    </row>
    <row r="726" spans="1:11" x14ac:dyDescent="0.3">
      <c r="A726" s="38">
        <v>46181</v>
      </c>
      <c r="B726" t="s">
        <v>219</v>
      </c>
      <c r="C726" s="11"/>
      <c r="D726" s="11">
        <v>6400</v>
      </c>
      <c r="E726" t="s">
        <v>678</v>
      </c>
      <c r="F726" s="108" t="s">
        <v>108</v>
      </c>
      <c r="I726">
        <v>15400</v>
      </c>
      <c r="K726">
        <v>11800</v>
      </c>
    </row>
    <row r="727" spans="1:11" x14ac:dyDescent="0.3">
      <c r="A727" s="38">
        <v>46181</v>
      </c>
      <c r="B727" t="s">
        <v>219</v>
      </c>
      <c r="C727" s="11"/>
      <c r="D727" s="11">
        <v>466000</v>
      </c>
      <c r="E727" t="s">
        <v>679</v>
      </c>
      <c r="F727" s="108" t="s">
        <v>108</v>
      </c>
      <c r="I727">
        <v>12700</v>
      </c>
      <c r="K727">
        <v>12600</v>
      </c>
    </row>
    <row r="728" spans="1:11" x14ac:dyDescent="0.3">
      <c r="A728" s="38">
        <v>46181</v>
      </c>
      <c r="B728" t="s">
        <v>222</v>
      </c>
      <c r="C728" s="11">
        <v>460000</v>
      </c>
      <c r="D728" s="11"/>
      <c r="E728" t="s">
        <v>680</v>
      </c>
      <c r="F728" s="108" t="s">
        <v>108</v>
      </c>
      <c r="I728">
        <v>12600</v>
      </c>
      <c r="K728">
        <v>12700</v>
      </c>
    </row>
    <row r="729" spans="1:11" x14ac:dyDescent="0.3">
      <c r="A729" s="38">
        <v>46181</v>
      </c>
      <c r="B729" t="s">
        <v>488</v>
      </c>
      <c r="C729" s="11">
        <v>3416</v>
      </c>
      <c r="D729" s="11"/>
      <c r="E729" t="s">
        <v>681</v>
      </c>
      <c r="F729" s="108" t="s">
        <v>108</v>
      </c>
      <c r="I729">
        <v>11800</v>
      </c>
      <c r="K729">
        <v>15400</v>
      </c>
    </row>
    <row r="730" spans="1:11" x14ac:dyDescent="0.3">
      <c r="A730" s="38">
        <v>46181</v>
      </c>
      <c r="B730" t="s">
        <v>493</v>
      </c>
      <c r="C730" s="11"/>
      <c r="D730" s="11">
        <v>50000</v>
      </c>
      <c r="E730" t="s">
        <v>683</v>
      </c>
      <c r="F730" s="108" t="s">
        <v>108</v>
      </c>
      <c r="I730">
        <v>7250</v>
      </c>
      <c r="K730">
        <v>35000</v>
      </c>
    </row>
    <row r="731" spans="1:11" x14ac:dyDescent="0.3">
      <c r="A731" s="38">
        <v>46181</v>
      </c>
      <c r="B731" t="s">
        <v>219</v>
      </c>
      <c r="C731" s="11">
        <v>50000</v>
      </c>
      <c r="D731" s="11"/>
      <c r="E731" t="s">
        <v>545</v>
      </c>
      <c r="F731" s="108" t="s">
        <v>108</v>
      </c>
      <c r="I731">
        <v>11150</v>
      </c>
      <c r="K731">
        <v>60000</v>
      </c>
    </row>
    <row r="732" spans="1:11" x14ac:dyDescent="0.3">
      <c r="A732" s="38">
        <v>46181</v>
      </c>
      <c r="B732" t="s">
        <v>219</v>
      </c>
      <c r="C732" s="11"/>
      <c r="D732" s="11">
        <v>25000</v>
      </c>
      <c r="E732" t="s">
        <v>684</v>
      </c>
      <c r="F732" s="108" t="s">
        <v>108</v>
      </c>
      <c r="I732">
        <v>10600</v>
      </c>
      <c r="K732">
        <v>80000</v>
      </c>
    </row>
    <row r="733" spans="1:11" x14ac:dyDescent="0.3">
      <c r="A733" s="111">
        <v>46181</v>
      </c>
      <c r="B733" t="s">
        <v>246</v>
      </c>
      <c r="C733" s="11">
        <v>7800</v>
      </c>
      <c r="D733" s="11"/>
      <c r="E733" t="s">
        <v>694</v>
      </c>
      <c r="F733" s="143" t="s">
        <v>108</v>
      </c>
      <c r="I733">
        <v>1000</v>
      </c>
      <c r="K733">
        <v>18000</v>
      </c>
    </row>
    <row r="734" spans="1:11" x14ac:dyDescent="0.3">
      <c r="A734" s="38">
        <v>46181</v>
      </c>
      <c r="B734" t="s">
        <v>253</v>
      </c>
      <c r="C734" s="95">
        <v>24600</v>
      </c>
      <c r="D734" s="95"/>
      <c r="E734" t="s">
        <v>659</v>
      </c>
      <c r="F734" s="108" t="s">
        <v>108</v>
      </c>
      <c r="I734">
        <v>62000</v>
      </c>
      <c r="K734">
        <v>18400</v>
      </c>
    </row>
    <row r="735" spans="1:11" x14ac:dyDescent="0.3">
      <c r="A735" s="38">
        <v>46181</v>
      </c>
      <c r="B735" t="s">
        <v>219</v>
      </c>
      <c r="C735" s="95"/>
      <c r="D735" s="95">
        <v>6500</v>
      </c>
      <c r="E735" t="s">
        <v>320</v>
      </c>
      <c r="F735" s="108" t="s">
        <v>108</v>
      </c>
      <c r="I735">
        <v>26660</v>
      </c>
      <c r="K735">
        <v>17200</v>
      </c>
    </row>
    <row r="736" spans="1:11" x14ac:dyDescent="0.3">
      <c r="A736" s="38">
        <v>46181</v>
      </c>
      <c r="B736" t="s">
        <v>253</v>
      </c>
      <c r="C736" s="95">
        <v>5000</v>
      </c>
      <c r="D736" s="95"/>
      <c r="E736" t="s">
        <v>602</v>
      </c>
      <c r="F736" s="108" t="s">
        <v>108</v>
      </c>
      <c r="I736">
        <v>30000</v>
      </c>
      <c r="K736">
        <v>20000</v>
      </c>
    </row>
    <row r="737" spans="1:11" x14ac:dyDescent="0.3">
      <c r="A737" s="38">
        <v>46181</v>
      </c>
      <c r="B737" t="s">
        <v>298</v>
      </c>
      <c r="C737" s="95">
        <v>5000</v>
      </c>
      <c r="D737" s="95"/>
      <c r="E737" t="s">
        <v>693</v>
      </c>
      <c r="F737" s="108" t="s">
        <v>108</v>
      </c>
      <c r="I737">
        <v>9900</v>
      </c>
      <c r="K737">
        <v>24000</v>
      </c>
    </row>
    <row r="738" spans="1:11" x14ac:dyDescent="0.3">
      <c r="A738" s="38">
        <v>46182</v>
      </c>
      <c r="B738" t="s">
        <v>55</v>
      </c>
      <c r="C738" s="95">
        <v>1500</v>
      </c>
      <c r="D738" s="95"/>
      <c r="F738" s="108" t="s">
        <v>108</v>
      </c>
      <c r="I738">
        <v>20000</v>
      </c>
      <c r="K738">
        <v>24000</v>
      </c>
    </row>
    <row r="739" spans="1:11" x14ac:dyDescent="0.3">
      <c r="A739" s="38">
        <v>46182</v>
      </c>
      <c r="B739" t="s">
        <v>55</v>
      </c>
      <c r="C739" s="95">
        <v>2000</v>
      </c>
      <c r="D739" s="95"/>
      <c r="E739" t="s">
        <v>685</v>
      </c>
      <c r="F739" s="108" t="s">
        <v>108</v>
      </c>
      <c r="K739">
        <v>9900</v>
      </c>
    </row>
    <row r="740" spans="1:11" x14ac:dyDescent="0.3">
      <c r="A740" s="38">
        <v>46182</v>
      </c>
      <c r="B740" t="s">
        <v>211</v>
      </c>
      <c r="C740" s="95"/>
      <c r="D740" s="95">
        <v>2000</v>
      </c>
      <c r="E740" t="s">
        <v>685</v>
      </c>
      <c r="F740" s="108" t="s">
        <v>108</v>
      </c>
    </row>
    <row r="741" spans="1:11" x14ac:dyDescent="0.3">
      <c r="A741" s="38">
        <v>46182</v>
      </c>
      <c r="B741" t="s">
        <v>219</v>
      </c>
      <c r="C741" s="95"/>
      <c r="D741" s="95">
        <v>110000</v>
      </c>
      <c r="E741" t="s">
        <v>568</v>
      </c>
      <c r="F741" s="108" t="s">
        <v>108</v>
      </c>
    </row>
    <row r="742" spans="1:11" x14ac:dyDescent="0.3">
      <c r="A742" s="38">
        <v>46182</v>
      </c>
      <c r="B742" t="s">
        <v>175</v>
      </c>
      <c r="C742" s="95">
        <v>110000</v>
      </c>
      <c r="D742" s="95"/>
      <c r="E742" t="s">
        <v>686</v>
      </c>
      <c r="F742" s="108" t="s">
        <v>108</v>
      </c>
    </row>
    <row r="743" spans="1:11" x14ac:dyDescent="0.3">
      <c r="A743" s="38">
        <v>46182</v>
      </c>
      <c r="B743" t="s">
        <v>55</v>
      </c>
      <c r="C743" s="95">
        <v>700</v>
      </c>
      <c r="D743" s="95"/>
      <c r="E743" t="s">
        <v>466</v>
      </c>
      <c r="F743" s="108" t="s">
        <v>108</v>
      </c>
    </row>
    <row r="744" spans="1:11" x14ac:dyDescent="0.3">
      <c r="A744" s="38">
        <v>46182</v>
      </c>
      <c r="B744" t="s">
        <v>219</v>
      </c>
      <c r="C744" s="95"/>
      <c r="D744" s="95">
        <v>50000</v>
      </c>
      <c r="E744" t="s">
        <v>687</v>
      </c>
      <c r="F744" s="108" t="s">
        <v>108</v>
      </c>
    </row>
    <row r="745" spans="1:11" x14ac:dyDescent="0.3">
      <c r="A745" s="38">
        <v>46182</v>
      </c>
      <c r="B745" t="s">
        <v>55</v>
      </c>
      <c r="C745" s="95">
        <v>1300</v>
      </c>
      <c r="D745" s="95"/>
      <c r="F745" s="108" t="s">
        <v>108</v>
      </c>
    </row>
    <row r="746" spans="1:11" x14ac:dyDescent="0.3">
      <c r="A746" s="38">
        <v>46182</v>
      </c>
      <c r="B746" t="s">
        <v>116</v>
      </c>
      <c r="C746" s="95">
        <v>19500</v>
      </c>
      <c r="D746" s="95"/>
      <c r="E746" t="s">
        <v>61</v>
      </c>
      <c r="F746" s="108" t="s">
        <v>108</v>
      </c>
    </row>
    <row r="747" spans="1:11" x14ac:dyDescent="0.3">
      <c r="A747" s="38">
        <v>46182</v>
      </c>
      <c r="B747" t="s">
        <v>244</v>
      </c>
      <c r="C747" s="95">
        <v>1110</v>
      </c>
      <c r="D747" s="95"/>
      <c r="E747" t="s">
        <v>366</v>
      </c>
      <c r="F747" s="108" t="s">
        <v>108</v>
      </c>
    </row>
    <row r="748" spans="1:11" x14ac:dyDescent="0.3">
      <c r="A748" s="38">
        <v>46182</v>
      </c>
      <c r="B748" t="s">
        <v>246</v>
      </c>
      <c r="C748" s="95">
        <v>7600</v>
      </c>
      <c r="D748" s="95"/>
      <c r="E748" t="s">
        <v>688</v>
      </c>
      <c r="F748" s="108" t="s">
        <v>108</v>
      </c>
    </row>
    <row r="749" spans="1:11" x14ac:dyDescent="0.3">
      <c r="A749" s="38">
        <v>46182</v>
      </c>
      <c r="B749" t="s">
        <v>55</v>
      </c>
      <c r="C749" s="95">
        <v>4250</v>
      </c>
      <c r="D749" s="95"/>
      <c r="F749" s="108" t="s">
        <v>108</v>
      </c>
    </row>
    <row r="750" spans="1:11" x14ac:dyDescent="0.3">
      <c r="A750" s="38">
        <v>46182</v>
      </c>
      <c r="B750" t="s">
        <v>55</v>
      </c>
      <c r="C750" s="95">
        <v>600</v>
      </c>
      <c r="D750" s="95"/>
      <c r="F750" s="108" t="s">
        <v>108</v>
      </c>
    </row>
    <row r="751" spans="1:11" x14ac:dyDescent="0.3">
      <c r="A751" s="38">
        <v>46182</v>
      </c>
      <c r="B751" t="s">
        <v>244</v>
      </c>
      <c r="C751" s="95">
        <v>6090</v>
      </c>
      <c r="D751" s="95"/>
      <c r="E751" t="s">
        <v>689</v>
      </c>
      <c r="F751" s="108" t="s">
        <v>108</v>
      </c>
    </row>
    <row r="752" spans="1:11" x14ac:dyDescent="0.3">
      <c r="A752" s="38">
        <v>46182</v>
      </c>
      <c r="B752" t="s">
        <v>488</v>
      </c>
      <c r="C752" s="95">
        <v>700</v>
      </c>
      <c r="D752" s="95"/>
      <c r="F752" s="108" t="s">
        <v>108</v>
      </c>
    </row>
    <row r="753" spans="1:6" x14ac:dyDescent="0.3">
      <c r="A753" s="38">
        <v>46182</v>
      </c>
      <c r="B753" t="s">
        <v>692</v>
      </c>
      <c r="C753" s="95">
        <v>3000</v>
      </c>
      <c r="D753" s="95"/>
      <c r="E753" t="s">
        <v>690</v>
      </c>
      <c r="F753" s="108" t="s">
        <v>108</v>
      </c>
    </row>
    <row r="754" spans="1:6" x14ac:dyDescent="0.3">
      <c r="A754" s="38">
        <v>46182</v>
      </c>
      <c r="B754" t="s">
        <v>219</v>
      </c>
      <c r="C754" s="95"/>
      <c r="D754" s="95">
        <v>5000</v>
      </c>
      <c r="E754" t="s">
        <v>320</v>
      </c>
      <c r="F754" s="108" t="s">
        <v>108</v>
      </c>
    </row>
    <row r="755" spans="1:6" x14ac:dyDescent="0.3">
      <c r="A755" s="38">
        <v>46182</v>
      </c>
      <c r="B755" t="s">
        <v>253</v>
      </c>
      <c r="C755" s="95">
        <v>5000</v>
      </c>
      <c r="D755" s="95"/>
      <c r="E755" t="s">
        <v>602</v>
      </c>
      <c r="F755" s="108" t="s">
        <v>108</v>
      </c>
    </row>
    <row r="756" spans="1:6" x14ac:dyDescent="0.3">
      <c r="A756" s="38">
        <v>46182</v>
      </c>
      <c r="B756" t="s">
        <v>488</v>
      </c>
      <c r="C756" s="95">
        <v>5000</v>
      </c>
      <c r="D756" s="95"/>
      <c r="E756" t="s">
        <v>648</v>
      </c>
      <c r="F756" s="108" t="s">
        <v>108</v>
      </c>
    </row>
    <row r="757" spans="1:6" x14ac:dyDescent="0.3">
      <c r="A757" s="38">
        <v>46182</v>
      </c>
      <c r="B757" t="s">
        <v>211</v>
      </c>
      <c r="C757" s="95">
        <v>800</v>
      </c>
      <c r="D757" s="95"/>
      <c r="F757" s="108" t="s">
        <v>108</v>
      </c>
    </row>
    <row r="758" spans="1:6" x14ac:dyDescent="0.3">
      <c r="A758" s="38">
        <v>46183</v>
      </c>
      <c r="B758" t="s">
        <v>219</v>
      </c>
      <c r="C758" s="95"/>
      <c r="D758" s="95">
        <v>22000</v>
      </c>
      <c r="E758" t="s">
        <v>320</v>
      </c>
      <c r="F758" s="108" t="s">
        <v>108</v>
      </c>
    </row>
    <row r="759" spans="1:6" x14ac:dyDescent="0.3">
      <c r="A759" s="111">
        <v>46183</v>
      </c>
      <c r="B759" t="s">
        <v>357</v>
      </c>
      <c r="C759" s="11">
        <v>1990</v>
      </c>
      <c r="D759" s="11"/>
      <c r="F759" s="108" t="s">
        <v>108</v>
      </c>
    </row>
    <row r="760" spans="1:6" x14ac:dyDescent="0.3">
      <c r="A760" s="111">
        <v>46183</v>
      </c>
      <c r="B760" t="s">
        <v>488</v>
      </c>
      <c r="C760" s="11">
        <v>710</v>
      </c>
      <c r="D760" s="11"/>
      <c r="E760" t="s">
        <v>541</v>
      </c>
      <c r="F760" s="108" t="s">
        <v>108</v>
      </c>
    </row>
    <row r="761" spans="1:6" x14ac:dyDescent="0.3">
      <c r="A761" s="111">
        <v>46183</v>
      </c>
      <c r="B761" t="s">
        <v>55</v>
      </c>
      <c r="C761" s="11">
        <v>1040</v>
      </c>
      <c r="D761" s="11"/>
      <c r="F761" s="108" t="s">
        <v>108</v>
      </c>
    </row>
    <row r="762" spans="1:6" x14ac:dyDescent="0.3">
      <c r="A762" s="111">
        <v>46183</v>
      </c>
      <c r="B762" t="s">
        <v>219</v>
      </c>
      <c r="C762" s="11"/>
      <c r="D762" s="11">
        <v>30000</v>
      </c>
      <c r="E762" t="s">
        <v>695</v>
      </c>
      <c r="F762" s="108" t="s">
        <v>108</v>
      </c>
    </row>
    <row r="763" spans="1:6" x14ac:dyDescent="0.3">
      <c r="A763" s="111">
        <v>46183</v>
      </c>
      <c r="B763" t="s">
        <v>116</v>
      </c>
      <c r="C763" s="11">
        <v>19500</v>
      </c>
      <c r="D763" s="11"/>
      <c r="E763" t="s">
        <v>61</v>
      </c>
      <c r="F763" s="108" t="s">
        <v>108</v>
      </c>
    </row>
    <row r="764" spans="1:6" x14ac:dyDescent="0.3">
      <c r="A764" s="111">
        <v>46183</v>
      </c>
      <c r="B764" t="s">
        <v>298</v>
      </c>
      <c r="C764" s="11">
        <v>10000</v>
      </c>
      <c r="D764" s="11"/>
      <c r="E764" t="s">
        <v>693</v>
      </c>
      <c r="F764" s="108" t="s">
        <v>108</v>
      </c>
    </row>
    <row r="765" spans="1:6" x14ac:dyDescent="0.3">
      <c r="A765" s="111">
        <v>46183</v>
      </c>
      <c r="B765" t="s">
        <v>488</v>
      </c>
      <c r="C765" s="11">
        <v>5000</v>
      </c>
      <c r="D765" s="11"/>
      <c r="F765" s="108" t="s">
        <v>108</v>
      </c>
    </row>
    <row r="766" spans="1:6" x14ac:dyDescent="0.3">
      <c r="A766" s="111">
        <v>46183</v>
      </c>
      <c r="B766" t="s">
        <v>211</v>
      </c>
      <c r="C766" s="11">
        <v>800</v>
      </c>
      <c r="D766" s="11"/>
      <c r="F766" s="108" t="s">
        <v>108</v>
      </c>
    </row>
    <row r="767" spans="1:6" x14ac:dyDescent="0.3">
      <c r="A767" s="111">
        <v>46183</v>
      </c>
      <c r="B767" t="s">
        <v>493</v>
      </c>
      <c r="C767" s="11"/>
      <c r="D767" s="11">
        <v>66650</v>
      </c>
      <c r="F767" s="108" t="s">
        <v>108</v>
      </c>
    </row>
    <row r="768" spans="1:6" x14ac:dyDescent="0.3">
      <c r="A768" s="111">
        <v>46183</v>
      </c>
      <c r="B768" t="s">
        <v>269</v>
      </c>
      <c r="C768" s="11">
        <v>2000</v>
      </c>
      <c r="D768" s="11"/>
      <c r="E768" t="s">
        <v>696</v>
      </c>
      <c r="F768" s="108" t="s">
        <v>108</v>
      </c>
    </row>
    <row r="769" spans="1:6" x14ac:dyDescent="0.3">
      <c r="A769" s="111">
        <v>46183</v>
      </c>
      <c r="B769" t="s">
        <v>219</v>
      </c>
      <c r="C769" s="11">
        <v>66650</v>
      </c>
      <c r="D769" s="11"/>
      <c r="E769" t="s">
        <v>529</v>
      </c>
      <c r="F769" s="108" t="s">
        <v>108</v>
      </c>
    </row>
    <row r="770" spans="1:6" x14ac:dyDescent="0.3">
      <c r="A770" s="111">
        <v>46183</v>
      </c>
      <c r="B770" t="s">
        <v>219</v>
      </c>
      <c r="C770" s="11"/>
      <c r="D770" s="11">
        <v>70000</v>
      </c>
      <c r="E770" t="s">
        <v>697</v>
      </c>
      <c r="F770" s="108" t="s">
        <v>108</v>
      </c>
    </row>
    <row r="771" spans="1:6" x14ac:dyDescent="0.3">
      <c r="A771" s="111">
        <v>46183</v>
      </c>
      <c r="B771" t="s">
        <v>674</v>
      </c>
      <c r="C771" s="11">
        <v>70000</v>
      </c>
      <c r="D771" s="11"/>
      <c r="E771" t="s">
        <v>240</v>
      </c>
      <c r="F771" s="108" t="s">
        <v>108</v>
      </c>
    </row>
    <row r="772" spans="1:6" x14ac:dyDescent="0.3">
      <c r="A772" s="111">
        <v>46183</v>
      </c>
      <c r="B772" t="s">
        <v>488</v>
      </c>
      <c r="C772" s="11">
        <v>600</v>
      </c>
      <c r="D772" s="11"/>
      <c r="F772" s="108" t="s">
        <v>108</v>
      </c>
    </row>
    <row r="773" spans="1:6" x14ac:dyDescent="0.3">
      <c r="A773" s="111">
        <v>46184</v>
      </c>
      <c r="B773" t="s">
        <v>219</v>
      </c>
      <c r="C773" s="11"/>
      <c r="D773" s="11">
        <v>25000</v>
      </c>
      <c r="F773" s="108" t="s">
        <v>108</v>
      </c>
    </row>
    <row r="774" spans="1:6" x14ac:dyDescent="0.3">
      <c r="A774" s="111">
        <v>46184</v>
      </c>
      <c r="B774" t="s">
        <v>386</v>
      </c>
      <c r="C774" s="11">
        <v>4482</v>
      </c>
      <c r="D774" s="11"/>
      <c r="E774" t="s">
        <v>283</v>
      </c>
      <c r="F774" s="108" t="s">
        <v>108</v>
      </c>
    </row>
    <row r="775" spans="1:6" x14ac:dyDescent="0.3">
      <c r="A775" s="111">
        <v>46184</v>
      </c>
      <c r="B775" t="s">
        <v>367</v>
      </c>
      <c r="C775" s="11"/>
      <c r="D775" s="11">
        <v>575000</v>
      </c>
      <c r="E775" t="s">
        <v>698</v>
      </c>
      <c r="F775" s="108" t="s">
        <v>108</v>
      </c>
    </row>
    <row r="776" spans="1:6" x14ac:dyDescent="0.3">
      <c r="A776" s="111">
        <v>46184</v>
      </c>
      <c r="B776" t="s">
        <v>269</v>
      </c>
      <c r="C776" s="11">
        <v>2000</v>
      </c>
      <c r="D776" s="11"/>
      <c r="E776" t="s">
        <v>699</v>
      </c>
      <c r="F776" s="108" t="s">
        <v>108</v>
      </c>
    </row>
    <row r="777" spans="1:6" x14ac:dyDescent="0.3">
      <c r="A777" s="111">
        <v>46184</v>
      </c>
      <c r="B777" t="s">
        <v>269</v>
      </c>
      <c r="C777" s="11">
        <v>5000</v>
      </c>
      <c r="D777" s="11"/>
      <c r="E777" t="s">
        <v>700</v>
      </c>
      <c r="F777" s="108" t="s">
        <v>108</v>
      </c>
    </row>
    <row r="778" spans="1:6" x14ac:dyDescent="0.3">
      <c r="A778" s="111">
        <v>46184</v>
      </c>
      <c r="B778" t="s">
        <v>269</v>
      </c>
      <c r="C778" s="11">
        <v>5000</v>
      </c>
      <c r="D778" s="11"/>
      <c r="E778" t="s">
        <v>288</v>
      </c>
      <c r="F778" s="108" t="s">
        <v>108</v>
      </c>
    </row>
    <row r="779" spans="1:6" x14ac:dyDescent="0.3">
      <c r="A779" s="111">
        <v>46184</v>
      </c>
      <c r="B779" t="s">
        <v>211</v>
      </c>
      <c r="C779" s="11">
        <v>500</v>
      </c>
      <c r="D779" s="11"/>
      <c r="F779" s="108" t="s">
        <v>108</v>
      </c>
    </row>
    <row r="780" spans="1:6" x14ac:dyDescent="0.3">
      <c r="A780" s="111">
        <v>46184</v>
      </c>
      <c r="B780" t="s">
        <v>488</v>
      </c>
      <c r="C780" s="11">
        <v>5000</v>
      </c>
      <c r="D780" s="11"/>
      <c r="E780" t="s">
        <v>712</v>
      </c>
      <c r="F780" s="108" t="s">
        <v>108</v>
      </c>
    </row>
    <row r="781" spans="1:6" x14ac:dyDescent="0.3">
      <c r="A781" s="111">
        <v>46184</v>
      </c>
      <c r="B781" t="s">
        <v>246</v>
      </c>
      <c r="C781" s="11">
        <v>10000</v>
      </c>
      <c r="D781" s="11"/>
      <c r="E781" t="s">
        <v>282</v>
      </c>
      <c r="F781" s="108" t="s">
        <v>108</v>
      </c>
    </row>
    <row r="782" spans="1:6" x14ac:dyDescent="0.3">
      <c r="A782" s="111">
        <v>46184</v>
      </c>
      <c r="B782" t="s">
        <v>211</v>
      </c>
      <c r="C782" s="11">
        <v>1700</v>
      </c>
      <c r="D782" s="11"/>
      <c r="F782" s="108" t="s">
        <v>108</v>
      </c>
    </row>
    <row r="783" spans="1:6" x14ac:dyDescent="0.3">
      <c r="A783" s="111">
        <v>46184</v>
      </c>
      <c r="B783" t="s">
        <v>253</v>
      </c>
      <c r="C783" s="11">
        <v>100000</v>
      </c>
      <c r="D783" s="11"/>
      <c r="E783" t="s">
        <v>701</v>
      </c>
      <c r="F783" s="108" t="s">
        <v>108</v>
      </c>
    </row>
    <row r="784" spans="1:6" x14ac:dyDescent="0.3">
      <c r="A784" s="111">
        <v>46184</v>
      </c>
      <c r="B784" t="s">
        <v>246</v>
      </c>
      <c r="C784" s="11">
        <v>10000</v>
      </c>
      <c r="D784" s="11"/>
      <c r="E784" t="s">
        <v>282</v>
      </c>
      <c r="F784" s="108" t="s">
        <v>108</v>
      </c>
    </row>
    <row r="785" spans="1:6" x14ac:dyDescent="0.3">
      <c r="A785" s="111">
        <v>46185</v>
      </c>
      <c r="B785" t="s">
        <v>367</v>
      </c>
      <c r="C785" s="95"/>
      <c r="D785" s="95">
        <v>5434</v>
      </c>
      <c r="E785" t="s">
        <v>861</v>
      </c>
      <c r="F785" s="108" t="s">
        <v>108</v>
      </c>
    </row>
    <row r="786" spans="1:6" x14ac:dyDescent="0.3">
      <c r="A786" s="111">
        <v>46185</v>
      </c>
      <c r="B786" t="s">
        <v>488</v>
      </c>
      <c r="C786" s="95">
        <v>5434</v>
      </c>
      <c r="D786" s="11"/>
      <c r="E786" t="s">
        <v>250</v>
      </c>
      <c r="F786" s="108" t="s">
        <v>108</v>
      </c>
    </row>
    <row r="787" spans="1:6" x14ac:dyDescent="0.3">
      <c r="A787" s="111">
        <v>46186</v>
      </c>
      <c r="B787" t="s">
        <v>246</v>
      </c>
      <c r="C787" s="11">
        <v>100000</v>
      </c>
      <c r="D787" s="11"/>
      <c r="E787" t="s">
        <v>702</v>
      </c>
      <c r="F787" s="108" t="s">
        <v>108</v>
      </c>
    </row>
    <row r="788" spans="1:6" x14ac:dyDescent="0.3">
      <c r="A788" s="111">
        <v>46186</v>
      </c>
      <c r="B788" t="s">
        <v>425</v>
      </c>
      <c r="C788" s="11">
        <v>100000</v>
      </c>
      <c r="D788" s="11"/>
      <c r="E788" t="s">
        <v>703</v>
      </c>
      <c r="F788" s="108" t="s">
        <v>108</v>
      </c>
    </row>
    <row r="789" spans="1:6" x14ac:dyDescent="0.3">
      <c r="A789" s="111">
        <v>46186</v>
      </c>
      <c r="B789" t="s">
        <v>257</v>
      </c>
      <c r="C789" s="11">
        <v>147520</v>
      </c>
      <c r="D789" s="11"/>
      <c r="E789" t="s">
        <v>704</v>
      </c>
      <c r="F789" s="108" t="s">
        <v>108</v>
      </c>
    </row>
    <row r="790" spans="1:6" x14ac:dyDescent="0.3">
      <c r="A790" s="111">
        <v>46186</v>
      </c>
      <c r="B790" t="s">
        <v>219</v>
      </c>
      <c r="C790" s="11"/>
      <c r="D790" s="11">
        <v>147520</v>
      </c>
      <c r="E790" t="s">
        <v>257</v>
      </c>
      <c r="F790" s="108" t="s">
        <v>108</v>
      </c>
    </row>
    <row r="791" spans="1:6" x14ac:dyDescent="0.3">
      <c r="A791" s="111">
        <v>46186</v>
      </c>
      <c r="B791" t="s">
        <v>298</v>
      </c>
      <c r="C791" s="11">
        <v>30000</v>
      </c>
      <c r="D791" s="11"/>
      <c r="E791" t="s">
        <v>693</v>
      </c>
      <c r="F791" s="108" t="s">
        <v>108</v>
      </c>
    </row>
    <row r="792" spans="1:6" x14ac:dyDescent="0.3">
      <c r="A792" s="111">
        <v>46186</v>
      </c>
      <c r="B792" t="s">
        <v>367</v>
      </c>
      <c r="C792" s="11"/>
      <c r="D792" s="11">
        <v>56000</v>
      </c>
      <c r="E792" t="s">
        <v>706</v>
      </c>
      <c r="F792" s="108" t="s">
        <v>108</v>
      </c>
    </row>
    <row r="793" spans="1:6" x14ac:dyDescent="0.3">
      <c r="A793" s="111">
        <v>46186</v>
      </c>
      <c r="B793" t="s">
        <v>246</v>
      </c>
      <c r="C793" s="11">
        <v>13500</v>
      </c>
      <c r="D793" s="11"/>
      <c r="E793" t="s">
        <v>707</v>
      </c>
      <c r="F793" s="108" t="s">
        <v>108</v>
      </c>
    </row>
    <row r="794" spans="1:6" x14ac:dyDescent="0.3">
      <c r="A794" s="111">
        <v>46187</v>
      </c>
      <c r="B794" t="s">
        <v>488</v>
      </c>
      <c r="C794" s="11">
        <v>2000</v>
      </c>
      <c r="D794" s="11"/>
      <c r="F794" s="108" t="s">
        <v>108</v>
      </c>
    </row>
    <row r="795" spans="1:6" x14ac:dyDescent="0.3">
      <c r="A795" s="111">
        <v>46187</v>
      </c>
      <c r="B795" t="s">
        <v>246</v>
      </c>
      <c r="C795" s="95">
        <v>3500</v>
      </c>
      <c r="D795" s="95"/>
      <c r="F795" s="108" t="s">
        <v>108</v>
      </c>
    </row>
    <row r="796" spans="1:6" x14ac:dyDescent="0.3">
      <c r="A796" s="111">
        <v>46187</v>
      </c>
      <c r="B796" t="s">
        <v>298</v>
      </c>
      <c r="C796" s="11">
        <v>20000</v>
      </c>
      <c r="D796" s="11"/>
      <c r="E796" t="s">
        <v>693</v>
      </c>
      <c r="F796" s="108" t="s">
        <v>108</v>
      </c>
    </row>
    <row r="797" spans="1:6" x14ac:dyDescent="0.3">
      <c r="A797" s="111">
        <v>46187</v>
      </c>
      <c r="B797" t="s">
        <v>357</v>
      </c>
      <c r="C797" s="11">
        <v>17790</v>
      </c>
      <c r="D797" s="11"/>
      <c r="F797" s="108" t="s">
        <v>108</v>
      </c>
    </row>
    <row r="798" spans="1:6" x14ac:dyDescent="0.3">
      <c r="A798" s="111">
        <v>46188</v>
      </c>
      <c r="B798" t="s">
        <v>357</v>
      </c>
      <c r="C798" s="11">
        <v>2580</v>
      </c>
      <c r="D798" s="11"/>
      <c r="F798" s="108" t="s">
        <v>108</v>
      </c>
    </row>
    <row r="799" spans="1:6" x14ac:dyDescent="0.3">
      <c r="A799" s="111">
        <v>46188</v>
      </c>
      <c r="B799" t="s">
        <v>269</v>
      </c>
      <c r="C799" s="11">
        <v>5000</v>
      </c>
      <c r="D799" s="11"/>
      <c r="E799" t="s">
        <v>708</v>
      </c>
      <c r="F799" s="108" t="s">
        <v>108</v>
      </c>
    </row>
    <row r="800" spans="1:6" x14ac:dyDescent="0.3">
      <c r="A800" s="111">
        <v>46188</v>
      </c>
      <c r="B800" t="s">
        <v>219</v>
      </c>
      <c r="C800" s="11"/>
      <c r="D800" s="11">
        <v>5000</v>
      </c>
      <c r="E800" t="s">
        <v>709</v>
      </c>
      <c r="F800" s="108" t="s">
        <v>108</v>
      </c>
    </row>
    <row r="801" spans="1:13" x14ac:dyDescent="0.3">
      <c r="A801" s="111">
        <v>46188</v>
      </c>
      <c r="B801" t="s">
        <v>269</v>
      </c>
      <c r="C801" s="11">
        <v>5000</v>
      </c>
      <c r="D801" s="11"/>
      <c r="E801" t="s">
        <v>288</v>
      </c>
      <c r="F801" s="108" t="s">
        <v>108</v>
      </c>
    </row>
    <row r="802" spans="1:13" x14ac:dyDescent="0.3">
      <c r="A802" s="111">
        <v>46188</v>
      </c>
      <c r="B802" t="s">
        <v>654</v>
      </c>
      <c r="C802" s="11"/>
      <c r="D802" s="11">
        <v>400000</v>
      </c>
      <c r="E802" t="s">
        <v>710</v>
      </c>
      <c r="F802" s="108" t="s">
        <v>108</v>
      </c>
    </row>
    <row r="803" spans="1:13" x14ac:dyDescent="0.3">
      <c r="A803" s="111">
        <v>46188</v>
      </c>
      <c r="B803" t="s">
        <v>219</v>
      </c>
      <c r="C803" s="11">
        <v>400000</v>
      </c>
      <c r="D803" s="11"/>
      <c r="E803" t="s">
        <v>654</v>
      </c>
      <c r="F803" s="108" t="s">
        <v>108</v>
      </c>
    </row>
    <row r="804" spans="1:13" x14ac:dyDescent="0.3">
      <c r="A804" s="111">
        <v>46188</v>
      </c>
      <c r="B804" t="s">
        <v>219</v>
      </c>
      <c r="C804" s="11">
        <v>200000</v>
      </c>
      <c r="D804" s="11"/>
      <c r="E804" t="s">
        <v>711</v>
      </c>
      <c r="F804" s="108" t="s">
        <v>108</v>
      </c>
    </row>
    <row r="805" spans="1:13" x14ac:dyDescent="0.3">
      <c r="A805" s="111">
        <v>46188</v>
      </c>
      <c r="B805" t="s">
        <v>488</v>
      </c>
      <c r="C805" s="11">
        <v>8164</v>
      </c>
      <c r="D805" s="11"/>
      <c r="E805" t="s">
        <v>254</v>
      </c>
      <c r="F805" s="108" t="s">
        <v>108</v>
      </c>
    </row>
    <row r="806" spans="1:13" x14ac:dyDescent="0.3">
      <c r="A806" s="111">
        <v>46188</v>
      </c>
      <c r="B806" t="s">
        <v>211</v>
      </c>
      <c r="C806" s="11">
        <v>1280</v>
      </c>
      <c r="D806" s="11"/>
      <c r="F806" s="108" t="s">
        <v>108</v>
      </c>
    </row>
    <row r="807" spans="1:13" x14ac:dyDescent="0.3">
      <c r="A807" s="111">
        <v>46188</v>
      </c>
      <c r="B807" t="s">
        <v>246</v>
      </c>
      <c r="C807" s="11">
        <v>12000</v>
      </c>
      <c r="D807" s="11"/>
      <c r="E807" t="s">
        <v>282</v>
      </c>
      <c r="F807" s="108" t="s">
        <v>108</v>
      </c>
      <c r="I807">
        <f>515000+365000</f>
        <v>880000</v>
      </c>
    </row>
    <row r="808" spans="1:13" x14ac:dyDescent="0.3">
      <c r="A808" s="111">
        <v>46188</v>
      </c>
      <c r="B808" t="s">
        <v>636</v>
      </c>
      <c r="C808" s="11"/>
      <c r="D808" s="11">
        <v>918328</v>
      </c>
      <c r="E808" t="s">
        <v>729</v>
      </c>
      <c r="F808" s="108" t="s">
        <v>108</v>
      </c>
    </row>
    <row r="809" spans="1:13" x14ac:dyDescent="0.3">
      <c r="A809" s="111">
        <v>46188</v>
      </c>
      <c r="B809" t="s">
        <v>219</v>
      </c>
      <c r="C809" s="11">
        <v>918328</v>
      </c>
      <c r="D809" s="11"/>
      <c r="E809" t="s">
        <v>730</v>
      </c>
      <c r="F809" s="108" t="s">
        <v>108</v>
      </c>
      <c r="J809">
        <v>80000</v>
      </c>
      <c r="L809">
        <v>5000</v>
      </c>
      <c r="M809" t="s">
        <v>648</v>
      </c>
    </row>
    <row r="810" spans="1:13" x14ac:dyDescent="0.3">
      <c r="A810" s="111">
        <v>46189</v>
      </c>
      <c r="B810" t="s">
        <v>219</v>
      </c>
      <c r="C810" s="11"/>
      <c r="D810" s="11">
        <v>280000</v>
      </c>
      <c r="E810" t="s">
        <v>713</v>
      </c>
      <c r="F810" s="108" t="s">
        <v>108</v>
      </c>
      <c r="I810">
        <v>24000</v>
      </c>
      <c r="J810">
        <v>10650</v>
      </c>
      <c r="L810">
        <v>5000</v>
      </c>
      <c r="M810" t="s">
        <v>648</v>
      </c>
    </row>
    <row r="811" spans="1:13" x14ac:dyDescent="0.3">
      <c r="A811" s="111">
        <v>46189</v>
      </c>
      <c r="B811" t="s">
        <v>175</v>
      </c>
      <c r="C811" s="11">
        <v>94500</v>
      </c>
      <c r="D811" s="11"/>
      <c r="E811" t="s">
        <v>715</v>
      </c>
      <c r="F811" s="108" t="s">
        <v>108</v>
      </c>
      <c r="I811">
        <v>17200</v>
      </c>
      <c r="J811">
        <v>14800</v>
      </c>
      <c r="L811">
        <v>24000</v>
      </c>
    </row>
    <row r="812" spans="1:13" x14ac:dyDescent="0.3">
      <c r="A812" s="111">
        <v>46189</v>
      </c>
      <c r="B812" t="s">
        <v>357</v>
      </c>
      <c r="C812" s="11">
        <v>6600</v>
      </c>
      <c r="D812" s="11"/>
      <c r="E812" t="s">
        <v>716</v>
      </c>
      <c r="F812" s="108" t="s">
        <v>108</v>
      </c>
      <c r="I812">
        <v>20400</v>
      </c>
      <c r="J812">
        <v>16800</v>
      </c>
      <c r="L812">
        <v>17200</v>
      </c>
    </row>
    <row r="813" spans="1:13" x14ac:dyDescent="0.3">
      <c r="A813" s="111">
        <v>46189</v>
      </c>
      <c r="B813" t="s">
        <v>219</v>
      </c>
      <c r="C813" s="11"/>
      <c r="D813" s="11">
        <v>84000</v>
      </c>
      <c r="E813" t="s">
        <v>717</v>
      </c>
      <c r="F813" s="108" t="s">
        <v>108</v>
      </c>
      <c r="I813">
        <v>17200</v>
      </c>
      <c r="J813">
        <v>35000</v>
      </c>
      <c r="L813">
        <v>20400</v>
      </c>
    </row>
    <row r="814" spans="1:13" x14ac:dyDescent="0.3">
      <c r="A814" s="111">
        <v>46189</v>
      </c>
      <c r="B814" t="s">
        <v>219</v>
      </c>
      <c r="C814" s="11"/>
      <c r="D814" s="11">
        <v>340000</v>
      </c>
      <c r="E814" t="s">
        <v>109</v>
      </c>
      <c r="F814" s="108" t="s">
        <v>108</v>
      </c>
      <c r="I814">
        <v>23200</v>
      </c>
      <c r="J814">
        <v>9350</v>
      </c>
      <c r="L814">
        <v>17200</v>
      </c>
    </row>
    <row r="815" spans="1:13" x14ac:dyDescent="0.3">
      <c r="A815" s="111">
        <v>46189</v>
      </c>
      <c r="B815" t="s">
        <v>488</v>
      </c>
      <c r="C815" s="11">
        <v>5000</v>
      </c>
      <c r="D815" s="11"/>
      <c r="E815" t="s">
        <v>712</v>
      </c>
      <c r="F815" s="108" t="s">
        <v>108</v>
      </c>
      <c r="I815">
        <v>80000</v>
      </c>
      <c r="J815">
        <v>24000</v>
      </c>
      <c r="L815">
        <v>23200</v>
      </c>
    </row>
    <row r="816" spans="1:13" x14ac:dyDescent="0.3">
      <c r="A816" s="111">
        <v>46189</v>
      </c>
      <c r="B816" t="s">
        <v>253</v>
      </c>
      <c r="C816" s="11">
        <v>17000</v>
      </c>
      <c r="D816" s="11"/>
      <c r="E816" t="s">
        <v>423</v>
      </c>
      <c r="F816" s="108" t="s">
        <v>108</v>
      </c>
      <c r="I816">
        <v>35000</v>
      </c>
      <c r="J816">
        <v>14000</v>
      </c>
      <c r="L816">
        <v>80000</v>
      </c>
    </row>
    <row r="817" spans="1:13" x14ac:dyDescent="0.3">
      <c r="A817" s="111">
        <v>46189</v>
      </c>
      <c r="B817" t="s">
        <v>636</v>
      </c>
      <c r="C817" s="11"/>
      <c r="D817" s="11">
        <v>500000</v>
      </c>
      <c r="E817" t="s">
        <v>718</v>
      </c>
      <c r="F817" s="108" t="s">
        <v>108</v>
      </c>
      <c r="I817">
        <v>25000</v>
      </c>
      <c r="J817">
        <v>12800</v>
      </c>
      <c r="L817">
        <v>60000</v>
      </c>
      <c r="M817" t="s">
        <v>724</v>
      </c>
    </row>
    <row r="818" spans="1:13" x14ac:dyDescent="0.3">
      <c r="A818" s="111">
        <v>46190</v>
      </c>
      <c r="B818" t="s">
        <v>517</v>
      </c>
      <c r="C818" s="11">
        <v>400000</v>
      </c>
      <c r="D818" s="11"/>
      <c r="E818" t="s">
        <v>719</v>
      </c>
      <c r="F818" s="108" t="s">
        <v>108</v>
      </c>
      <c r="I818">
        <v>14800</v>
      </c>
      <c r="J818">
        <v>14400</v>
      </c>
      <c r="L818">
        <v>35000</v>
      </c>
    </row>
    <row r="819" spans="1:13" x14ac:dyDescent="0.3">
      <c r="A819" s="111">
        <v>46190</v>
      </c>
      <c r="B819" t="s">
        <v>357</v>
      </c>
      <c r="C819" s="11">
        <v>2670</v>
      </c>
      <c r="D819" s="11"/>
      <c r="F819" s="108" t="s">
        <v>108</v>
      </c>
      <c r="I819">
        <v>10400</v>
      </c>
      <c r="J819">
        <v>20400</v>
      </c>
      <c r="L819">
        <v>25000</v>
      </c>
      <c r="M819" t="s">
        <v>725</v>
      </c>
    </row>
    <row r="820" spans="1:13" x14ac:dyDescent="0.3">
      <c r="A820" s="111">
        <v>46190</v>
      </c>
      <c r="B820" t="s">
        <v>55</v>
      </c>
      <c r="C820" s="11">
        <v>250</v>
      </c>
      <c r="D820" s="11"/>
      <c r="F820" s="108" t="s">
        <v>108</v>
      </c>
      <c r="I820">
        <v>12800</v>
      </c>
      <c r="J820">
        <v>17200</v>
      </c>
      <c r="L820">
        <v>14800</v>
      </c>
    </row>
    <row r="821" spans="1:13" x14ac:dyDescent="0.3">
      <c r="A821" s="111">
        <v>46190</v>
      </c>
      <c r="B821" t="s">
        <v>55</v>
      </c>
      <c r="C821" s="11">
        <v>34428</v>
      </c>
      <c r="D821" s="11"/>
      <c r="E821" t="s">
        <v>259</v>
      </c>
      <c r="F821" s="108" t="s">
        <v>108</v>
      </c>
      <c r="I821">
        <v>16800</v>
      </c>
      <c r="J821">
        <v>11330</v>
      </c>
      <c r="L821">
        <v>10400</v>
      </c>
    </row>
    <row r="822" spans="1:13" x14ac:dyDescent="0.3">
      <c r="A822" s="111">
        <v>46190</v>
      </c>
      <c r="B822" t="s">
        <v>219</v>
      </c>
      <c r="C822" s="11"/>
      <c r="D822" s="11">
        <v>250000</v>
      </c>
      <c r="E822" t="s">
        <v>720</v>
      </c>
      <c r="F822" s="108" t="s">
        <v>108</v>
      </c>
      <c r="I822">
        <v>9350</v>
      </c>
      <c r="J822">
        <v>55000</v>
      </c>
      <c r="L822">
        <v>12800</v>
      </c>
    </row>
    <row r="823" spans="1:13" x14ac:dyDescent="0.3">
      <c r="A823" s="111">
        <v>46190</v>
      </c>
      <c r="B823" t="s">
        <v>211</v>
      </c>
      <c r="C823" s="11"/>
      <c r="D823" s="11">
        <v>740</v>
      </c>
      <c r="F823" s="108" t="s">
        <v>108</v>
      </c>
      <c r="I823">
        <v>10650</v>
      </c>
      <c r="J823">
        <v>30000</v>
      </c>
      <c r="L823">
        <v>16800</v>
      </c>
    </row>
    <row r="824" spans="1:13" x14ac:dyDescent="0.3">
      <c r="A824" s="111">
        <v>46190</v>
      </c>
      <c r="B824" t="s">
        <v>488</v>
      </c>
      <c r="C824" s="11">
        <v>740</v>
      </c>
      <c r="D824" s="11"/>
      <c r="E824" t="s">
        <v>541</v>
      </c>
      <c r="F824" s="108" t="s">
        <v>108</v>
      </c>
      <c r="I824">
        <v>14000</v>
      </c>
      <c r="J824">
        <v>10400</v>
      </c>
      <c r="L824">
        <v>9350</v>
      </c>
    </row>
    <row r="825" spans="1:13" x14ac:dyDescent="0.3">
      <c r="A825" s="111">
        <v>46190</v>
      </c>
      <c r="B825" t="s">
        <v>269</v>
      </c>
      <c r="C825" s="11"/>
      <c r="D825" s="11"/>
      <c r="E825" t="s">
        <v>721</v>
      </c>
      <c r="F825" s="108" t="s">
        <v>108</v>
      </c>
      <c r="I825">
        <v>14400</v>
      </c>
      <c r="J825">
        <v>8000</v>
      </c>
      <c r="K825" t="s">
        <v>722</v>
      </c>
      <c r="L825">
        <v>10650</v>
      </c>
    </row>
    <row r="826" spans="1:13" x14ac:dyDescent="0.3">
      <c r="A826" s="111">
        <v>46190</v>
      </c>
      <c r="B826" t="s">
        <v>269</v>
      </c>
      <c r="C826" s="11">
        <v>2000</v>
      </c>
      <c r="D826" s="11"/>
      <c r="E826" t="s">
        <v>538</v>
      </c>
      <c r="F826" s="108" t="s">
        <v>108</v>
      </c>
      <c r="I826">
        <v>25000</v>
      </c>
      <c r="J826">
        <v>13300</v>
      </c>
      <c r="L826">
        <v>14000</v>
      </c>
    </row>
    <row r="827" spans="1:13" x14ac:dyDescent="0.3">
      <c r="A827" s="111">
        <v>46190</v>
      </c>
      <c r="B827" t="s">
        <v>211</v>
      </c>
      <c r="C827" s="11">
        <v>10000</v>
      </c>
      <c r="D827" s="11"/>
      <c r="F827" s="108" t="s">
        <v>108</v>
      </c>
      <c r="I827">
        <v>16660</v>
      </c>
      <c r="J827">
        <v>23200</v>
      </c>
      <c r="L827">
        <v>14400</v>
      </c>
    </row>
    <row r="828" spans="1:13" x14ac:dyDescent="0.3">
      <c r="A828" s="111">
        <v>46190</v>
      </c>
      <c r="B828" t="s">
        <v>488</v>
      </c>
      <c r="C828" s="11">
        <v>5000</v>
      </c>
      <c r="D828" s="11"/>
      <c r="F828" s="108" t="s">
        <v>108</v>
      </c>
      <c r="I828">
        <v>16660</v>
      </c>
      <c r="J828">
        <v>17200</v>
      </c>
      <c r="L828">
        <v>25000</v>
      </c>
    </row>
    <row r="829" spans="1:13" x14ac:dyDescent="0.3">
      <c r="A829" s="111">
        <v>46190</v>
      </c>
      <c r="B829" t="s">
        <v>298</v>
      </c>
      <c r="C829" s="11">
        <v>5000</v>
      </c>
      <c r="D829" s="11"/>
      <c r="E829" t="s">
        <v>693</v>
      </c>
      <c r="F829" s="108" t="s">
        <v>108</v>
      </c>
      <c r="I829">
        <v>16660</v>
      </c>
      <c r="J829">
        <v>50000</v>
      </c>
      <c r="L829">
        <v>16660</v>
      </c>
    </row>
    <row r="830" spans="1:13" x14ac:dyDescent="0.3">
      <c r="A830" s="111">
        <v>46190</v>
      </c>
      <c r="B830" t="s">
        <v>244</v>
      </c>
      <c r="C830" s="11">
        <v>2000</v>
      </c>
      <c r="D830" s="11"/>
      <c r="E830" t="s">
        <v>689</v>
      </c>
      <c r="F830" s="108" t="s">
        <v>108</v>
      </c>
      <c r="I830">
        <v>11330</v>
      </c>
      <c r="J830">
        <v>10000</v>
      </c>
      <c r="L830">
        <v>16660</v>
      </c>
    </row>
    <row r="831" spans="1:13" x14ac:dyDescent="0.3">
      <c r="A831" s="111">
        <v>46190</v>
      </c>
      <c r="B831" t="s">
        <v>269</v>
      </c>
      <c r="C831" s="11">
        <v>13333</v>
      </c>
      <c r="D831" s="11"/>
      <c r="E831" t="s">
        <v>788</v>
      </c>
      <c r="F831" s="108" t="s">
        <v>108</v>
      </c>
      <c r="I831">
        <v>6350</v>
      </c>
      <c r="J831">
        <v>5000</v>
      </c>
      <c r="K831" t="s">
        <v>723</v>
      </c>
      <c r="L831">
        <v>11330</v>
      </c>
    </row>
    <row r="832" spans="1:13" x14ac:dyDescent="0.3">
      <c r="A832" s="111">
        <v>46190</v>
      </c>
      <c r="B832" t="s">
        <v>253</v>
      </c>
      <c r="C832" s="11">
        <f>848360-13333</f>
        <v>835027</v>
      </c>
      <c r="D832" s="11"/>
      <c r="F832" s="108" t="s">
        <v>108</v>
      </c>
      <c r="I832">
        <v>21350</v>
      </c>
      <c r="L832">
        <v>16660</v>
      </c>
    </row>
    <row r="833" spans="1:13" x14ac:dyDescent="0.3">
      <c r="A833" s="111">
        <v>46190</v>
      </c>
      <c r="B833" t="s">
        <v>211</v>
      </c>
      <c r="C833" s="11">
        <v>1000</v>
      </c>
      <c r="D833" s="11"/>
      <c r="F833" s="108" t="s">
        <v>108</v>
      </c>
      <c r="I833">
        <v>25000</v>
      </c>
      <c r="L833">
        <v>6350</v>
      </c>
    </row>
    <row r="834" spans="1:13" x14ac:dyDescent="0.3">
      <c r="A834" s="111">
        <v>46190</v>
      </c>
      <c r="B834" t="s">
        <v>244</v>
      </c>
      <c r="C834" s="11"/>
      <c r="D834" s="11"/>
      <c r="F834" s="108" t="s">
        <v>108</v>
      </c>
      <c r="I834">
        <v>55000</v>
      </c>
      <c r="L834">
        <v>21350</v>
      </c>
    </row>
    <row r="835" spans="1:13" x14ac:dyDescent="0.3">
      <c r="A835" s="111">
        <v>46192</v>
      </c>
      <c r="B835" t="s">
        <v>211</v>
      </c>
      <c r="C835" s="11">
        <v>1000</v>
      </c>
      <c r="D835" s="11"/>
      <c r="F835" s="108" t="s">
        <v>108</v>
      </c>
      <c r="I835">
        <v>30000</v>
      </c>
      <c r="L835">
        <v>25000</v>
      </c>
    </row>
    <row r="836" spans="1:13" x14ac:dyDescent="0.3">
      <c r="A836" s="111">
        <v>46192</v>
      </c>
      <c r="B836" t="s">
        <v>219</v>
      </c>
      <c r="C836" s="11"/>
      <c r="D836" s="11">
        <v>70250</v>
      </c>
      <c r="E836" t="s">
        <v>568</v>
      </c>
      <c r="F836" s="108" t="s">
        <v>108</v>
      </c>
      <c r="I836">
        <v>13350</v>
      </c>
      <c r="L836">
        <v>55000</v>
      </c>
    </row>
    <row r="837" spans="1:13" x14ac:dyDescent="0.3">
      <c r="A837" s="111">
        <v>46192</v>
      </c>
      <c r="B837" t="s">
        <v>175</v>
      </c>
      <c r="C837" s="11">
        <v>70250</v>
      </c>
      <c r="D837" s="11"/>
      <c r="E837" t="s">
        <v>753</v>
      </c>
      <c r="F837" s="108" t="s">
        <v>108</v>
      </c>
      <c r="I837">
        <v>26650</v>
      </c>
      <c r="L837">
        <v>30000</v>
      </c>
    </row>
    <row r="838" spans="1:13" x14ac:dyDescent="0.3">
      <c r="A838" s="111">
        <v>46192</v>
      </c>
      <c r="B838" t="s">
        <v>357</v>
      </c>
      <c r="C838" s="11">
        <v>6600</v>
      </c>
      <c r="D838" s="11"/>
      <c r="E838" t="s">
        <v>754</v>
      </c>
      <c r="F838" s="108" t="s">
        <v>108</v>
      </c>
      <c r="I838">
        <v>9000</v>
      </c>
      <c r="L838">
        <v>13350</v>
      </c>
    </row>
    <row r="839" spans="1:13" x14ac:dyDescent="0.3">
      <c r="A839" s="111">
        <v>46192</v>
      </c>
      <c r="B839" t="s">
        <v>219</v>
      </c>
      <c r="C839" s="11"/>
      <c r="D839" s="11">
        <v>150000</v>
      </c>
      <c r="E839" t="s">
        <v>109</v>
      </c>
      <c r="F839" s="108" t="s">
        <v>108</v>
      </c>
      <c r="I839">
        <v>9000</v>
      </c>
      <c r="L839">
        <v>26700</v>
      </c>
    </row>
    <row r="840" spans="1:13" x14ac:dyDescent="0.3">
      <c r="A840" s="111">
        <v>46192</v>
      </c>
      <c r="B840" t="s">
        <v>253</v>
      </c>
      <c r="C840" s="11">
        <v>10000</v>
      </c>
      <c r="D840" s="11"/>
      <c r="E840" t="s">
        <v>755</v>
      </c>
      <c r="F840" s="108" t="s">
        <v>108</v>
      </c>
      <c r="I840">
        <f>50000+75500</f>
        <v>125500</v>
      </c>
      <c r="L840">
        <v>9000</v>
      </c>
    </row>
    <row r="841" spans="1:13" x14ac:dyDescent="0.3">
      <c r="A841" s="111">
        <v>46192</v>
      </c>
      <c r="B841" t="s">
        <v>253</v>
      </c>
      <c r="C841" s="11">
        <v>60000</v>
      </c>
      <c r="D841" s="11"/>
      <c r="E841" t="s">
        <v>756</v>
      </c>
      <c r="F841" s="108" t="s">
        <v>108</v>
      </c>
      <c r="L841">
        <v>9000</v>
      </c>
    </row>
    <row r="842" spans="1:13" x14ac:dyDescent="0.3">
      <c r="A842" s="111">
        <v>46192</v>
      </c>
      <c r="B842" t="s">
        <v>253</v>
      </c>
      <c r="C842" s="11">
        <v>50000</v>
      </c>
      <c r="D842" s="11"/>
      <c r="E842" t="s">
        <v>757</v>
      </c>
      <c r="F842" s="108" t="s">
        <v>108</v>
      </c>
      <c r="L842">
        <v>125500</v>
      </c>
    </row>
    <row r="843" spans="1:13" x14ac:dyDescent="0.3">
      <c r="A843" s="111">
        <v>46192</v>
      </c>
      <c r="B843" t="s">
        <v>253</v>
      </c>
      <c r="C843" s="11">
        <v>50000</v>
      </c>
      <c r="D843" s="11"/>
      <c r="E843" t="s">
        <v>288</v>
      </c>
      <c r="F843" s="108" t="s">
        <v>108</v>
      </c>
      <c r="L843">
        <v>8000</v>
      </c>
      <c r="M843" t="s">
        <v>602</v>
      </c>
    </row>
    <row r="844" spans="1:13" x14ac:dyDescent="0.3">
      <c r="A844" s="38">
        <v>46192</v>
      </c>
      <c r="B844" t="s">
        <v>211</v>
      </c>
      <c r="C844" s="11"/>
      <c r="D844" s="11">
        <v>10000</v>
      </c>
      <c r="E844" t="s">
        <v>271</v>
      </c>
      <c r="F844" s="108" t="s">
        <v>108</v>
      </c>
      <c r="L844">
        <v>25600</v>
      </c>
      <c r="M844" t="s">
        <v>723</v>
      </c>
    </row>
    <row r="845" spans="1:13" x14ac:dyDescent="0.3">
      <c r="A845" s="38">
        <v>46192</v>
      </c>
      <c r="B845" t="s">
        <v>55</v>
      </c>
      <c r="C845" s="11">
        <v>3300</v>
      </c>
      <c r="D845" s="11"/>
      <c r="F845" s="108" t="s">
        <v>108</v>
      </c>
      <c r="L845">
        <v>2000</v>
      </c>
      <c r="M845" t="s">
        <v>244</v>
      </c>
    </row>
    <row r="846" spans="1:13" x14ac:dyDescent="0.3">
      <c r="A846" s="38">
        <v>46192</v>
      </c>
      <c r="B846" t="s">
        <v>219</v>
      </c>
      <c r="C846" s="95"/>
      <c r="D846" s="95">
        <v>3900</v>
      </c>
      <c r="E846" t="s">
        <v>758</v>
      </c>
      <c r="F846" s="108" t="s">
        <v>108</v>
      </c>
      <c r="L846">
        <v>1000</v>
      </c>
      <c r="M846" t="s">
        <v>211</v>
      </c>
    </row>
    <row r="847" spans="1:13" x14ac:dyDescent="0.3">
      <c r="A847" s="38">
        <v>46192</v>
      </c>
      <c r="B847" t="s">
        <v>244</v>
      </c>
      <c r="C847" s="95">
        <v>2400</v>
      </c>
      <c r="D847" s="95"/>
      <c r="E847" t="s">
        <v>759</v>
      </c>
      <c r="F847" s="108" t="s">
        <v>108</v>
      </c>
      <c r="L847">
        <v>5000</v>
      </c>
      <c r="M847" t="s">
        <v>237</v>
      </c>
    </row>
    <row r="848" spans="1:13" x14ac:dyDescent="0.3">
      <c r="A848" s="38">
        <v>46192</v>
      </c>
      <c r="B848" t="s">
        <v>776</v>
      </c>
      <c r="C848" s="95"/>
      <c r="D848" s="95">
        <v>495000</v>
      </c>
      <c r="E848" t="s">
        <v>109</v>
      </c>
      <c r="F848" s="108" t="s">
        <v>108</v>
      </c>
    </row>
    <row r="849" spans="1:6" x14ac:dyDescent="0.3">
      <c r="A849" s="38">
        <v>46192</v>
      </c>
      <c r="B849" t="s">
        <v>219</v>
      </c>
      <c r="C849" s="95">
        <v>495000</v>
      </c>
      <c r="D849" s="95"/>
      <c r="E849" t="s">
        <v>776</v>
      </c>
      <c r="F849" s="108" t="s">
        <v>108</v>
      </c>
    </row>
    <row r="850" spans="1:6" x14ac:dyDescent="0.3">
      <c r="A850" s="38">
        <v>46193</v>
      </c>
      <c r="B850" t="s">
        <v>219</v>
      </c>
      <c r="C850" s="95"/>
      <c r="D850" s="95">
        <v>50000</v>
      </c>
      <c r="E850" t="s">
        <v>760</v>
      </c>
      <c r="F850" s="108" t="s">
        <v>108</v>
      </c>
    </row>
    <row r="851" spans="1:6" x14ac:dyDescent="0.3">
      <c r="A851" s="38">
        <v>46193</v>
      </c>
      <c r="B851" t="s">
        <v>116</v>
      </c>
      <c r="C851" s="95">
        <v>18500</v>
      </c>
      <c r="D851" s="95"/>
      <c r="E851" t="s">
        <v>163</v>
      </c>
      <c r="F851" s="108" t="s">
        <v>108</v>
      </c>
    </row>
    <row r="852" spans="1:6" x14ac:dyDescent="0.3">
      <c r="A852" s="38">
        <v>46193</v>
      </c>
      <c r="B852" t="s">
        <v>55</v>
      </c>
      <c r="C852" s="95">
        <v>12500</v>
      </c>
      <c r="D852" s="95"/>
      <c r="E852" t="s">
        <v>761</v>
      </c>
      <c r="F852" s="108" t="s">
        <v>108</v>
      </c>
    </row>
    <row r="853" spans="1:6" x14ac:dyDescent="0.3">
      <c r="A853" s="38">
        <v>46193</v>
      </c>
      <c r="B853" t="s">
        <v>55</v>
      </c>
      <c r="C853" s="95">
        <v>1200</v>
      </c>
      <c r="D853" s="95"/>
      <c r="E853" t="s">
        <v>762</v>
      </c>
      <c r="F853" s="108" t="s">
        <v>108</v>
      </c>
    </row>
    <row r="854" spans="1:6" x14ac:dyDescent="0.3">
      <c r="A854" s="38">
        <v>46193</v>
      </c>
      <c r="B854" t="s">
        <v>244</v>
      </c>
      <c r="C854" s="95">
        <v>5000</v>
      </c>
      <c r="D854" s="95"/>
      <c r="E854" t="s">
        <v>763</v>
      </c>
      <c r="F854" s="108" t="s">
        <v>108</v>
      </c>
    </row>
    <row r="855" spans="1:6" x14ac:dyDescent="0.3">
      <c r="A855" s="38">
        <v>46193</v>
      </c>
      <c r="B855" t="s">
        <v>55</v>
      </c>
      <c r="C855" s="95">
        <v>750</v>
      </c>
      <c r="D855" s="95"/>
      <c r="F855" s="108" t="s">
        <v>108</v>
      </c>
    </row>
    <row r="856" spans="1:6" x14ac:dyDescent="0.3">
      <c r="A856" s="38">
        <v>46193</v>
      </c>
      <c r="B856" t="s">
        <v>219</v>
      </c>
      <c r="C856" s="95"/>
      <c r="D856" s="95">
        <v>100000</v>
      </c>
      <c r="E856" t="s">
        <v>764</v>
      </c>
      <c r="F856" s="108" t="s">
        <v>108</v>
      </c>
    </row>
    <row r="857" spans="1:6" x14ac:dyDescent="0.3">
      <c r="A857" s="38">
        <v>46193</v>
      </c>
      <c r="B857" t="s">
        <v>331</v>
      </c>
      <c r="C857" s="95">
        <v>50000</v>
      </c>
      <c r="D857" s="95"/>
      <c r="E857" t="s">
        <v>765</v>
      </c>
      <c r="F857" s="108" t="s">
        <v>108</v>
      </c>
    </row>
    <row r="858" spans="1:6" x14ac:dyDescent="0.3">
      <c r="A858" s="38">
        <v>46193</v>
      </c>
      <c r="B858" t="s">
        <v>766</v>
      </c>
      <c r="C858" s="11">
        <v>50000</v>
      </c>
      <c r="D858" s="11"/>
      <c r="E858" t="s">
        <v>767</v>
      </c>
      <c r="F858" s="108" t="s">
        <v>108</v>
      </c>
    </row>
    <row r="859" spans="1:6" x14ac:dyDescent="0.3">
      <c r="A859" s="38">
        <v>46193</v>
      </c>
      <c r="B859" t="s">
        <v>488</v>
      </c>
      <c r="C859" s="95">
        <v>5000</v>
      </c>
      <c r="D859" s="95"/>
      <c r="E859" t="s">
        <v>254</v>
      </c>
      <c r="F859" s="108" t="s">
        <v>108</v>
      </c>
    </row>
    <row r="860" spans="1:6" x14ac:dyDescent="0.3">
      <c r="A860" s="38">
        <v>46193</v>
      </c>
      <c r="B860" t="s">
        <v>219</v>
      </c>
      <c r="C860" s="95"/>
      <c r="D860" s="95">
        <v>15000</v>
      </c>
      <c r="E860" t="s">
        <v>768</v>
      </c>
      <c r="F860" s="108" t="s">
        <v>108</v>
      </c>
    </row>
    <row r="861" spans="1:6" x14ac:dyDescent="0.3">
      <c r="A861" s="38">
        <v>46193</v>
      </c>
      <c r="B861" t="s">
        <v>253</v>
      </c>
      <c r="C861" s="95">
        <v>15000</v>
      </c>
      <c r="D861" s="95"/>
      <c r="E861" t="s">
        <v>288</v>
      </c>
      <c r="F861" s="108" t="s">
        <v>108</v>
      </c>
    </row>
    <row r="862" spans="1:6" x14ac:dyDescent="0.3">
      <c r="A862" s="38">
        <v>46193</v>
      </c>
      <c r="B862" t="s">
        <v>219</v>
      </c>
      <c r="C862" s="95"/>
      <c r="D862" s="95">
        <v>100000</v>
      </c>
      <c r="E862" t="s">
        <v>769</v>
      </c>
      <c r="F862" s="108" t="s">
        <v>108</v>
      </c>
    </row>
    <row r="863" spans="1:6" x14ac:dyDescent="0.3">
      <c r="A863" s="38">
        <v>46193</v>
      </c>
      <c r="B863" t="s">
        <v>253</v>
      </c>
      <c r="C863" s="95">
        <v>100000</v>
      </c>
      <c r="D863" s="95"/>
      <c r="E863" t="s">
        <v>770</v>
      </c>
      <c r="F863" s="108" t="s">
        <v>108</v>
      </c>
    </row>
    <row r="864" spans="1:6" x14ac:dyDescent="0.3">
      <c r="A864" s="38">
        <v>46194</v>
      </c>
      <c r="B864" t="s">
        <v>219</v>
      </c>
      <c r="C864" s="95"/>
      <c r="D864" s="95">
        <v>15000</v>
      </c>
      <c r="E864" t="s">
        <v>771</v>
      </c>
      <c r="F864" s="108" t="s">
        <v>108</v>
      </c>
    </row>
    <row r="865" spans="1:6" x14ac:dyDescent="0.3">
      <c r="A865" s="38">
        <v>46194</v>
      </c>
      <c r="B865" t="s">
        <v>211</v>
      </c>
      <c r="C865" s="95">
        <f>1152+2081+660</f>
        <v>3893</v>
      </c>
      <c r="D865" s="95"/>
      <c r="F865" s="108" t="s">
        <v>108</v>
      </c>
    </row>
    <row r="866" spans="1:6" x14ac:dyDescent="0.3">
      <c r="A866" s="38">
        <v>46194</v>
      </c>
      <c r="B866" t="s">
        <v>55</v>
      </c>
      <c r="C866" s="95">
        <v>9396</v>
      </c>
      <c r="D866" s="95"/>
      <c r="E866" t="s">
        <v>259</v>
      </c>
      <c r="F866" s="108" t="s">
        <v>108</v>
      </c>
    </row>
    <row r="867" spans="1:6" x14ac:dyDescent="0.3">
      <c r="A867" s="38">
        <v>46194</v>
      </c>
      <c r="B867" t="s">
        <v>219</v>
      </c>
      <c r="C867" s="95"/>
      <c r="D867" s="95">
        <v>9396</v>
      </c>
      <c r="E867" t="s">
        <v>259</v>
      </c>
      <c r="F867" s="108" t="s">
        <v>108</v>
      </c>
    </row>
    <row r="868" spans="1:6" x14ac:dyDescent="0.3">
      <c r="A868" s="38">
        <v>46195</v>
      </c>
      <c r="B868" t="s">
        <v>55</v>
      </c>
      <c r="C868" s="95">
        <v>3910</v>
      </c>
      <c r="D868" s="95"/>
      <c r="E868" t="s">
        <v>772</v>
      </c>
      <c r="F868" s="108" t="s">
        <v>108</v>
      </c>
    </row>
    <row r="869" spans="1:6" x14ac:dyDescent="0.3">
      <c r="A869" s="38">
        <v>46195</v>
      </c>
      <c r="B869" t="s">
        <v>219</v>
      </c>
      <c r="C869" s="95"/>
      <c r="D869" s="95">
        <v>3910</v>
      </c>
      <c r="E869" t="s">
        <v>272</v>
      </c>
      <c r="F869" s="108" t="s">
        <v>108</v>
      </c>
    </row>
    <row r="870" spans="1:6" x14ac:dyDescent="0.3">
      <c r="A870" s="38">
        <v>46195</v>
      </c>
      <c r="B870" t="s">
        <v>55</v>
      </c>
      <c r="C870" s="95">
        <v>250</v>
      </c>
      <c r="D870" s="95"/>
      <c r="F870" s="108" t="s">
        <v>108</v>
      </c>
    </row>
    <row r="871" spans="1:6" x14ac:dyDescent="0.3">
      <c r="A871" s="38">
        <v>46195</v>
      </c>
      <c r="B871" t="s">
        <v>488</v>
      </c>
      <c r="C871" s="95">
        <v>4804</v>
      </c>
      <c r="D871" s="95"/>
      <c r="E871" t="s">
        <v>773</v>
      </c>
      <c r="F871" s="108" t="s">
        <v>108</v>
      </c>
    </row>
    <row r="872" spans="1:6" x14ac:dyDescent="0.3">
      <c r="A872" s="38">
        <v>46195</v>
      </c>
      <c r="B872" t="s">
        <v>55</v>
      </c>
      <c r="C872" s="95">
        <v>1000</v>
      </c>
      <c r="D872" s="95"/>
      <c r="F872" s="108" t="s">
        <v>108</v>
      </c>
    </row>
    <row r="873" spans="1:6" x14ac:dyDescent="0.3">
      <c r="A873" s="38">
        <v>46195</v>
      </c>
      <c r="B873" t="s">
        <v>219</v>
      </c>
      <c r="C873" s="95"/>
      <c r="D873" s="95">
        <v>248500</v>
      </c>
      <c r="E873" t="s">
        <v>774</v>
      </c>
      <c r="F873" s="108" t="s">
        <v>108</v>
      </c>
    </row>
    <row r="874" spans="1:6" x14ac:dyDescent="0.3">
      <c r="A874" s="38">
        <v>46195</v>
      </c>
      <c r="B874" t="s">
        <v>219</v>
      </c>
      <c r="C874" s="95"/>
      <c r="D874" s="95">
        <v>275000</v>
      </c>
      <c r="E874" t="s">
        <v>775</v>
      </c>
      <c r="F874" s="108" t="s">
        <v>108</v>
      </c>
    </row>
    <row r="875" spans="1:6" x14ac:dyDescent="0.3">
      <c r="A875" s="38">
        <v>46195</v>
      </c>
      <c r="B875" t="s">
        <v>776</v>
      </c>
      <c r="C875" s="95"/>
      <c r="D875" s="95">
        <v>500000</v>
      </c>
      <c r="E875" t="s">
        <v>109</v>
      </c>
      <c r="F875" s="108" t="s">
        <v>108</v>
      </c>
    </row>
    <row r="876" spans="1:6" x14ac:dyDescent="0.3">
      <c r="A876" s="38">
        <v>46195</v>
      </c>
      <c r="B876" t="s">
        <v>219</v>
      </c>
      <c r="C876" s="95"/>
      <c r="D876" s="95">
        <v>545000</v>
      </c>
      <c r="E876" t="s">
        <v>109</v>
      </c>
      <c r="F876" s="108" t="s">
        <v>108</v>
      </c>
    </row>
    <row r="877" spans="1:6" x14ac:dyDescent="0.3">
      <c r="A877" s="38">
        <v>46195</v>
      </c>
      <c r="B877" t="s">
        <v>51</v>
      </c>
      <c r="C877" s="95">
        <v>1440059</v>
      </c>
      <c r="D877" s="95"/>
      <c r="E877" t="s">
        <v>777</v>
      </c>
      <c r="F877" s="108" t="s">
        <v>108</v>
      </c>
    </row>
    <row r="878" spans="1:6" x14ac:dyDescent="0.3">
      <c r="A878" s="38">
        <v>46195</v>
      </c>
      <c r="B878" t="s">
        <v>55</v>
      </c>
      <c r="C878" s="95">
        <v>800</v>
      </c>
      <c r="D878" s="95"/>
      <c r="E878" t="s">
        <v>778</v>
      </c>
      <c r="F878" s="108" t="s">
        <v>108</v>
      </c>
    </row>
    <row r="879" spans="1:6" x14ac:dyDescent="0.3">
      <c r="A879" s="38">
        <v>46195</v>
      </c>
      <c r="B879" t="s">
        <v>298</v>
      </c>
      <c r="C879" s="95">
        <v>15000</v>
      </c>
      <c r="D879" s="95"/>
      <c r="E879" t="s">
        <v>693</v>
      </c>
      <c r="F879" s="108" t="s">
        <v>108</v>
      </c>
    </row>
    <row r="880" spans="1:6" x14ac:dyDescent="0.3">
      <c r="A880" s="38">
        <v>46195</v>
      </c>
      <c r="B880" t="s">
        <v>357</v>
      </c>
      <c r="C880" s="95">
        <v>2400</v>
      </c>
      <c r="D880" s="95"/>
      <c r="E880" t="s">
        <v>535</v>
      </c>
      <c r="F880" s="108" t="s">
        <v>108</v>
      </c>
    </row>
    <row r="881" spans="1:11" x14ac:dyDescent="0.3">
      <c r="A881" s="38">
        <v>46195</v>
      </c>
      <c r="B881" t="s">
        <v>488</v>
      </c>
      <c r="C881" s="95">
        <v>5000</v>
      </c>
      <c r="D881" s="95"/>
      <c r="E881" t="s">
        <v>712</v>
      </c>
      <c r="F881" s="108" t="s">
        <v>108</v>
      </c>
    </row>
    <row r="882" spans="1:11" x14ac:dyDescent="0.3">
      <c r="A882" s="38">
        <v>46195</v>
      </c>
      <c r="B882" t="s">
        <v>253</v>
      </c>
      <c r="C882" s="95">
        <v>86333</v>
      </c>
      <c r="D882" s="95"/>
      <c r="E882" t="s">
        <v>770</v>
      </c>
      <c r="F882" s="108" t="s">
        <v>108</v>
      </c>
    </row>
    <row r="883" spans="1:11" x14ac:dyDescent="0.3">
      <c r="A883" s="38">
        <v>46195</v>
      </c>
      <c r="B883" t="s">
        <v>246</v>
      </c>
      <c r="C883" s="95">
        <f>5000+2200</f>
        <v>7200</v>
      </c>
      <c r="D883" s="95"/>
      <c r="E883" t="s">
        <v>779</v>
      </c>
      <c r="F883" s="108" t="s">
        <v>108</v>
      </c>
    </row>
    <row r="884" spans="1:11" x14ac:dyDescent="0.3">
      <c r="A884" s="38">
        <v>46195</v>
      </c>
      <c r="B884" t="s">
        <v>244</v>
      </c>
      <c r="C884" s="95">
        <v>2000</v>
      </c>
      <c r="D884" s="95"/>
      <c r="E884" t="s">
        <v>780</v>
      </c>
      <c r="F884" s="108" t="s">
        <v>108</v>
      </c>
    </row>
    <row r="885" spans="1:11" x14ac:dyDescent="0.3">
      <c r="A885" s="38">
        <v>46195</v>
      </c>
      <c r="B885" t="s">
        <v>500</v>
      </c>
      <c r="C885" s="95"/>
      <c r="D885" s="95">
        <v>300000</v>
      </c>
      <c r="E885" t="s">
        <v>109</v>
      </c>
      <c r="F885" s="108" t="s">
        <v>108</v>
      </c>
    </row>
    <row r="886" spans="1:11" x14ac:dyDescent="0.3">
      <c r="A886" s="38">
        <v>46195</v>
      </c>
      <c r="B886" t="s">
        <v>666</v>
      </c>
      <c r="C886" s="95"/>
      <c r="D886" s="95">
        <v>100000</v>
      </c>
      <c r="E886" t="s">
        <v>109</v>
      </c>
      <c r="F886" s="108" t="s">
        <v>108</v>
      </c>
    </row>
    <row r="887" spans="1:11" x14ac:dyDescent="0.3">
      <c r="A887" s="38">
        <v>46195</v>
      </c>
      <c r="B887" t="s">
        <v>219</v>
      </c>
      <c r="C887" s="95">
        <v>300000</v>
      </c>
      <c r="D887" s="11"/>
      <c r="E887" t="s">
        <v>500</v>
      </c>
      <c r="F887" s="108" t="s">
        <v>108</v>
      </c>
    </row>
    <row r="888" spans="1:11" x14ac:dyDescent="0.3">
      <c r="A888" s="38">
        <v>46195</v>
      </c>
      <c r="B888" t="s">
        <v>219</v>
      </c>
      <c r="C888" s="95">
        <v>100000</v>
      </c>
      <c r="D888" s="11"/>
      <c r="E888" t="s">
        <v>666</v>
      </c>
      <c r="F888" s="108" t="s">
        <v>108</v>
      </c>
    </row>
    <row r="889" spans="1:11" x14ac:dyDescent="0.3">
      <c r="A889" s="38">
        <v>46195</v>
      </c>
      <c r="B889" t="s">
        <v>219</v>
      </c>
      <c r="C889" s="95"/>
      <c r="D889" s="95">
        <v>200000</v>
      </c>
      <c r="E889" t="s">
        <v>781</v>
      </c>
      <c r="F889" s="108" t="s">
        <v>108</v>
      </c>
    </row>
    <row r="890" spans="1:11" x14ac:dyDescent="0.3">
      <c r="A890" s="38">
        <v>46195</v>
      </c>
      <c r="B890" t="s">
        <v>115</v>
      </c>
      <c r="C890" s="95">
        <v>200000</v>
      </c>
      <c r="D890" s="95"/>
      <c r="E890" t="s">
        <v>782</v>
      </c>
      <c r="F890" s="108" t="s">
        <v>108</v>
      </c>
    </row>
    <row r="891" spans="1:11" x14ac:dyDescent="0.3">
      <c r="A891" s="111">
        <v>46195</v>
      </c>
      <c r="B891" t="s">
        <v>55</v>
      </c>
      <c r="C891" s="95">
        <v>500</v>
      </c>
      <c r="D891" s="95"/>
      <c r="F891" s="108" t="s">
        <v>108</v>
      </c>
    </row>
    <row r="892" spans="1:11" x14ac:dyDescent="0.3">
      <c r="A892" s="111">
        <v>46196</v>
      </c>
      <c r="B892" t="s">
        <v>116</v>
      </c>
      <c r="C892" s="11">
        <v>18500</v>
      </c>
      <c r="D892" s="11"/>
      <c r="E892" t="s">
        <v>163</v>
      </c>
      <c r="F892" s="108" t="s">
        <v>108</v>
      </c>
    </row>
    <row r="893" spans="1:11" x14ac:dyDescent="0.3">
      <c r="A893" s="111">
        <v>46196</v>
      </c>
      <c r="B893" t="s">
        <v>219</v>
      </c>
      <c r="C893" s="11"/>
      <c r="D893" s="11">
        <v>18500</v>
      </c>
      <c r="E893" t="s">
        <v>163</v>
      </c>
      <c r="F893" s="108" t="s">
        <v>108</v>
      </c>
    </row>
    <row r="894" spans="1:11" x14ac:dyDescent="0.3">
      <c r="A894" s="111">
        <v>46196</v>
      </c>
      <c r="B894" t="s">
        <v>244</v>
      </c>
      <c r="C894" s="11">
        <v>5640</v>
      </c>
      <c r="D894" s="11"/>
      <c r="E894" t="s">
        <v>789</v>
      </c>
      <c r="F894" s="108" t="s">
        <v>108</v>
      </c>
    </row>
    <row r="895" spans="1:11" x14ac:dyDescent="0.3">
      <c r="A895" s="111">
        <v>46196</v>
      </c>
      <c r="B895" t="s">
        <v>175</v>
      </c>
      <c r="C895" s="11">
        <v>27000</v>
      </c>
      <c r="D895" s="11"/>
      <c r="E895" t="s">
        <v>790</v>
      </c>
      <c r="F895" s="108" t="s">
        <v>108</v>
      </c>
    </row>
    <row r="896" spans="1:11" x14ac:dyDescent="0.3">
      <c r="A896" s="111">
        <v>46196</v>
      </c>
      <c r="B896" t="s">
        <v>219</v>
      </c>
      <c r="C896" s="11"/>
      <c r="D896" s="11">
        <v>27000</v>
      </c>
      <c r="E896" t="s">
        <v>568</v>
      </c>
      <c r="F896" s="108" t="s">
        <v>108</v>
      </c>
      <c r="I896">
        <v>330000</v>
      </c>
      <c r="J896">
        <v>25600</v>
      </c>
      <c r="K896">
        <v>155000</v>
      </c>
    </row>
    <row r="897" spans="1:11" x14ac:dyDescent="0.3">
      <c r="A897" s="111">
        <v>46196</v>
      </c>
      <c r="B897" t="s">
        <v>357</v>
      </c>
      <c r="C897" s="11">
        <v>6600</v>
      </c>
      <c r="D897" s="11"/>
      <c r="E897" t="s">
        <v>535</v>
      </c>
      <c r="F897" s="108" t="s">
        <v>108</v>
      </c>
      <c r="I897">
        <v>80000</v>
      </c>
      <c r="J897">
        <v>36800</v>
      </c>
      <c r="K897">
        <v>5350</v>
      </c>
    </row>
    <row r="898" spans="1:11" x14ac:dyDescent="0.3">
      <c r="A898" s="111">
        <v>46196</v>
      </c>
      <c r="B898" t="s">
        <v>792</v>
      </c>
      <c r="C898" s="11"/>
      <c r="D898" s="11">
        <v>50000</v>
      </c>
      <c r="E898" t="s">
        <v>791</v>
      </c>
      <c r="F898" s="108" t="s">
        <v>108</v>
      </c>
      <c r="J898">
        <v>22800</v>
      </c>
      <c r="K898">
        <v>20000</v>
      </c>
    </row>
    <row r="899" spans="1:11" x14ac:dyDescent="0.3">
      <c r="A899" s="111">
        <v>46196</v>
      </c>
      <c r="B899" t="s">
        <v>269</v>
      </c>
      <c r="C899" s="11">
        <v>15000</v>
      </c>
      <c r="D899" s="11"/>
      <c r="E899" t="s">
        <v>700</v>
      </c>
      <c r="F899" s="108" t="s">
        <v>108</v>
      </c>
      <c r="I899">
        <v>70000</v>
      </c>
      <c r="J899">
        <v>31400</v>
      </c>
      <c r="K899">
        <v>30000</v>
      </c>
    </row>
    <row r="900" spans="1:11" x14ac:dyDescent="0.3">
      <c r="A900" s="111">
        <v>46196</v>
      </c>
      <c r="B900" t="s">
        <v>269</v>
      </c>
      <c r="C900" s="11">
        <v>35000</v>
      </c>
      <c r="D900" s="11"/>
      <c r="E900" t="s">
        <v>793</v>
      </c>
      <c r="F900" s="108" t="s">
        <v>108</v>
      </c>
      <c r="I900">
        <v>50000</v>
      </c>
      <c r="J900">
        <v>35600</v>
      </c>
      <c r="K900">
        <v>22000</v>
      </c>
    </row>
    <row r="901" spans="1:11" x14ac:dyDescent="0.3">
      <c r="A901" s="111">
        <v>46196</v>
      </c>
      <c r="B901" t="s">
        <v>674</v>
      </c>
      <c r="C901" s="11">
        <v>150000</v>
      </c>
      <c r="D901" s="11"/>
      <c r="E901" t="s">
        <v>794</v>
      </c>
      <c r="F901" s="108" t="s">
        <v>108</v>
      </c>
      <c r="I901">
        <v>194000</v>
      </c>
      <c r="J901">
        <v>30000</v>
      </c>
      <c r="K901">
        <v>22400</v>
      </c>
    </row>
    <row r="902" spans="1:11" x14ac:dyDescent="0.3">
      <c r="A902" s="111">
        <v>46196</v>
      </c>
      <c r="B902" t="s">
        <v>269</v>
      </c>
      <c r="C902" s="11">
        <v>10000</v>
      </c>
      <c r="D902" s="11"/>
      <c r="E902" t="s">
        <v>288</v>
      </c>
      <c r="F902" s="108" t="s">
        <v>108</v>
      </c>
      <c r="J902">
        <v>30000</v>
      </c>
      <c r="K902">
        <v>4650</v>
      </c>
    </row>
    <row r="903" spans="1:11" x14ac:dyDescent="0.3">
      <c r="A903" s="111">
        <v>46196</v>
      </c>
      <c r="B903" t="s">
        <v>219</v>
      </c>
      <c r="C903" s="11"/>
      <c r="D903" s="11">
        <v>153000</v>
      </c>
      <c r="E903" t="s">
        <v>795</v>
      </c>
      <c r="F903" s="108" t="s">
        <v>108</v>
      </c>
      <c r="J903">
        <v>24600</v>
      </c>
      <c r="K903">
        <v>22650</v>
      </c>
    </row>
    <row r="904" spans="1:11" x14ac:dyDescent="0.3">
      <c r="A904" s="111">
        <v>46196</v>
      </c>
      <c r="B904" t="s">
        <v>367</v>
      </c>
      <c r="C904" s="11"/>
      <c r="D904" s="11">
        <v>4806</v>
      </c>
      <c r="E904" t="s">
        <v>861</v>
      </c>
      <c r="F904" s="108" t="s">
        <v>108</v>
      </c>
      <c r="J904">
        <v>25800</v>
      </c>
      <c r="K904">
        <v>18300</v>
      </c>
    </row>
    <row r="905" spans="1:11" x14ac:dyDescent="0.3">
      <c r="A905" s="111">
        <v>46196</v>
      </c>
      <c r="B905" t="s">
        <v>488</v>
      </c>
      <c r="C905" s="11">
        <v>4806</v>
      </c>
      <c r="D905" s="11"/>
      <c r="E905" t="s">
        <v>250</v>
      </c>
      <c r="F905" s="108" t="s">
        <v>108</v>
      </c>
      <c r="J905">
        <v>24600</v>
      </c>
      <c r="K905">
        <v>20450</v>
      </c>
    </row>
    <row r="906" spans="1:11" x14ac:dyDescent="0.3">
      <c r="A906" s="111">
        <v>46197</v>
      </c>
      <c r="B906" t="s">
        <v>776</v>
      </c>
      <c r="C906" s="95"/>
      <c r="D906" s="95">
        <v>170000</v>
      </c>
      <c r="F906" s="108" t="s">
        <v>108</v>
      </c>
      <c r="J906">
        <v>20000</v>
      </c>
      <c r="K906">
        <v>21450</v>
      </c>
    </row>
    <row r="907" spans="1:11" x14ac:dyDescent="0.3">
      <c r="A907" s="111">
        <v>46197</v>
      </c>
      <c r="B907" t="s">
        <v>219</v>
      </c>
      <c r="C907" s="11">
        <v>170000</v>
      </c>
      <c r="D907" s="11"/>
      <c r="E907" t="s">
        <v>776</v>
      </c>
      <c r="F907" s="108" t="s">
        <v>108</v>
      </c>
      <c r="J907">
        <v>28350</v>
      </c>
      <c r="K907">
        <v>20450</v>
      </c>
    </row>
    <row r="908" spans="1:11" x14ac:dyDescent="0.3">
      <c r="A908" s="111">
        <v>46197</v>
      </c>
      <c r="B908" t="s">
        <v>357</v>
      </c>
      <c r="C908" s="11">
        <v>1670</v>
      </c>
      <c r="D908" s="11"/>
      <c r="F908" s="108" t="s">
        <v>108</v>
      </c>
      <c r="J908">
        <v>20450</v>
      </c>
      <c r="K908">
        <v>28350</v>
      </c>
    </row>
    <row r="909" spans="1:11" x14ac:dyDescent="0.3">
      <c r="A909" s="111">
        <v>46197</v>
      </c>
      <c r="B909" t="s">
        <v>219</v>
      </c>
      <c r="C909" s="11"/>
      <c r="D909" s="11">
        <v>87000</v>
      </c>
      <c r="E909" t="s">
        <v>540</v>
      </c>
      <c r="F909" s="108" t="s">
        <v>108</v>
      </c>
      <c r="J909">
        <v>21450</v>
      </c>
      <c r="K909">
        <v>20000</v>
      </c>
    </row>
    <row r="910" spans="1:11" x14ac:dyDescent="0.3">
      <c r="A910" s="38">
        <v>46197</v>
      </c>
      <c r="B910" t="s">
        <v>55</v>
      </c>
      <c r="C910" s="11">
        <v>39300</v>
      </c>
      <c r="D910" s="11"/>
      <c r="E910" t="s">
        <v>796</v>
      </c>
      <c r="F910" s="108" t="s">
        <v>108</v>
      </c>
      <c r="J910">
        <v>20450</v>
      </c>
      <c r="K910">
        <v>24600</v>
      </c>
    </row>
    <row r="911" spans="1:11" x14ac:dyDescent="0.3">
      <c r="A911" s="38">
        <v>46197</v>
      </c>
      <c r="B911" t="s">
        <v>55</v>
      </c>
      <c r="C911" s="11">
        <v>850</v>
      </c>
      <c r="D911" s="11"/>
      <c r="F911" s="108" t="s">
        <v>108</v>
      </c>
      <c r="J911">
        <v>18300</v>
      </c>
      <c r="K911">
        <v>25800</v>
      </c>
    </row>
    <row r="912" spans="1:11" x14ac:dyDescent="0.3">
      <c r="A912" s="38">
        <v>46197</v>
      </c>
      <c r="B912" t="s">
        <v>246</v>
      </c>
      <c r="C912" s="11">
        <v>5200</v>
      </c>
      <c r="D912" s="11"/>
      <c r="E912" t="s">
        <v>282</v>
      </c>
      <c r="F912" s="108" t="s">
        <v>108</v>
      </c>
      <c r="J912">
        <v>22650</v>
      </c>
      <c r="K912">
        <v>24600</v>
      </c>
    </row>
    <row r="913" spans="1:11" x14ac:dyDescent="0.3">
      <c r="A913" s="38">
        <v>46197</v>
      </c>
      <c r="B913" t="s">
        <v>219</v>
      </c>
      <c r="C913" s="11"/>
      <c r="D913" s="11">
        <v>50000</v>
      </c>
      <c r="E913" t="s">
        <v>797</v>
      </c>
      <c r="F913" s="108" t="s">
        <v>108</v>
      </c>
      <c r="J913">
        <v>4650</v>
      </c>
      <c r="K913">
        <v>30000</v>
      </c>
    </row>
    <row r="914" spans="1:11" x14ac:dyDescent="0.3">
      <c r="A914" s="38">
        <v>46197</v>
      </c>
      <c r="B914" t="s">
        <v>425</v>
      </c>
      <c r="C914" s="95">
        <v>50000</v>
      </c>
      <c r="D914" s="95"/>
      <c r="E914" t="s">
        <v>798</v>
      </c>
      <c r="F914" s="108" t="s">
        <v>108</v>
      </c>
      <c r="J914">
        <v>22400</v>
      </c>
      <c r="K914">
        <v>30000</v>
      </c>
    </row>
    <row r="915" spans="1:11" x14ac:dyDescent="0.3">
      <c r="A915" s="38">
        <v>46197</v>
      </c>
      <c r="B915" t="s">
        <v>219</v>
      </c>
      <c r="C915" s="95"/>
      <c r="D915" s="95">
        <v>36000</v>
      </c>
      <c r="E915" t="s">
        <v>799</v>
      </c>
      <c r="F915" s="108" t="s">
        <v>108</v>
      </c>
      <c r="J915">
        <v>22000</v>
      </c>
      <c r="K915">
        <v>35600</v>
      </c>
    </row>
    <row r="916" spans="1:11" x14ac:dyDescent="0.3">
      <c r="A916" s="111">
        <v>46197</v>
      </c>
      <c r="B916" t="s">
        <v>244</v>
      </c>
      <c r="C916" s="95">
        <v>40000</v>
      </c>
      <c r="D916" s="95"/>
      <c r="E916" t="s">
        <v>800</v>
      </c>
      <c r="F916" s="108" t="s">
        <v>108</v>
      </c>
      <c r="J916">
        <v>30000</v>
      </c>
      <c r="K916">
        <v>31400</v>
      </c>
    </row>
    <row r="917" spans="1:11" x14ac:dyDescent="0.3">
      <c r="A917" s="38">
        <v>46197</v>
      </c>
      <c r="B917" t="s">
        <v>211</v>
      </c>
      <c r="C917" s="95">
        <v>1450</v>
      </c>
      <c r="D917" s="95"/>
      <c r="F917" s="108" t="s">
        <v>108</v>
      </c>
      <c r="J917">
        <v>20000</v>
      </c>
      <c r="K917">
        <v>22800</v>
      </c>
    </row>
    <row r="918" spans="1:11" x14ac:dyDescent="0.3">
      <c r="A918" s="38">
        <v>46198</v>
      </c>
      <c r="B918" t="s">
        <v>219</v>
      </c>
      <c r="C918" s="95"/>
      <c r="D918" s="95">
        <v>50000</v>
      </c>
      <c r="E918" t="s">
        <v>801</v>
      </c>
      <c r="F918" s="108" t="s">
        <v>108</v>
      </c>
      <c r="J918">
        <v>5350</v>
      </c>
      <c r="K918">
        <v>36800</v>
      </c>
    </row>
    <row r="919" spans="1:11" x14ac:dyDescent="0.3">
      <c r="A919" s="38">
        <v>46198</v>
      </c>
      <c r="B919" t="s">
        <v>253</v>
      </c>
      <c r="C919" s="95">
        <v>60000</v>
      </c>
      <c r="D919" s="95"/>
      <c r="E919" t="s">
        <v>802</v>
      </c>
      <c r="F919" s="108" t="s">
        <v>108</v>
      </c>
      <c r="J919">
        <v>155000</v>
      </c>
      <c r="K919">
        <v>25600</v>
      </c>
    </row>
    <row r="920" spans="1:11" x14ac:dyDescent="0.3">
      <c r="A920" s="38">
        <v>46198</v>
      </c>
      <c r="B920" t="s">
        <v>246</v>
      </c>
      <c r="C920" s="95">
        <v>5200</v>
      </c>
      <c r="D920" s="95"/>
      <c r="E920" t="s">
        <v>282</v>
      </c>
      <c r="F920" s="108" t="s">
        <v>108</v>
      </c>
    </row>
    <row r="921" spans="1:11" x14ac:dyDescent="0.3">
      <c r="A921" s="38">
        <v>46198</v>
      </c>
      <c r="B921" t="s">
        <v>488</v>
      </c>
      <c r="C921" s="95">
        <v>4111</v>
      </c>
      <c r="D921" s="95"/>
      <c r="E921" t="s">
        <v>259</v>
      </c>
      <c r="F921" s="108" t="s">
        <v>108</v>
      </c>
    </row>
    <row r="922" spans="1:11" x14ac:dyDescent="0.3">
      <c r="A922" s="38">
        <v>46198</v>
      </c>
      <c r="B922" t="s">
        <v>55</v>
      </c>
      <c r="C922" s="95">
        <v>2000</v>
      </c>
      <c r="D922" s="95"/>
      <c r="F922" s="108" t="s">
        <v>108</v>
      </c>
    </row>
    <row r="923" spans="1:11" x14ac:dyDescent="0.3">
      <c r="A923" s="38">
        <v>46198</v>
      </c>
      <c r="B923" t="s">
        <v>386</v>
      </c>
      <c r="C923" s="95">
        <v>1500</v>
      </c>
      <c r="D923" s="95"/>
      <c r="E923" t="s">
        <v>803</v>
      </c>
      <c r="F923" s="108" t="s">
        <v>108</v>
      </c>
    </row>
    <row r="924" spans="1:11" x14ac:dyDescent="0.3">
      <c r="A924" s="38">
        <v>46198</v>
      </c>
      <c r="B924" t="s">
        <v>253</v>
      </c>
      <c r="C924" s="95">
        <v>9650</v>
      </c>
      <c r="D924" s="95"/>
      <c r="E924" t="s">
        <v>804</v>
      </c>
      <c r="F924" s="108" t="s">
        <v>108</v>
      </c>
    </row>
    <row r="925" spans="1:11" x14ac:dyDescent="0.3">
      <c r="A925" s="38">
        <v>46198</v>
      </c>
      <c r="B925" t="s">
        <v>386</v>
      </c>
      <c r="C925" s="95">
        <v>4000</v>
      </c>
      <c r="D925" s="95"/>
      <c r="E925" t="s">
        <v>809</v>
      </c>
      <c r="F925" s="108" t="s">
        <v>108</v>
      </c>
    </row>
    <row r="926" spans="1:11" x14ac:dyDescent="0.3">
      <c r="A926" s="38">
        <v>46200</v>
      </c>
      <c r="B926" t="s">
        <v>211</v>
      </c>
      <c r="C926" s="95">
        <v>1800</v>
      </c>
      <c r="D926" s="95"/>
      <c r="F926" s="108" t="s">
        <v>108</v>
      </c>
    </row>
    <row r="927" spans="1:11" x14ac:dyDescent="0.3">
      <c r="A927" s="38">
        <v>46200</v>
      </c>
      <c r="B927" t="s">
        <v>219</v>
      </c>
      <c r="C927" s="95"/>
      <c r="D927" s="95">
        <v>10000</v>
      </c>
      <c r="E927" t="s">
        <v>320</v>
      </c>
      <c r="F927" s="108" t="s">
        <v>108</v>
      </c>
    </row>
    <row r="928" spans="1:11" x14ac:dyDescent="0.3">
      <c r="A928" s="38">
        <v>46200</v>
      </c>
      <c r="B928" t="s">
        <v>269</v>
      </c>
      <c r="C928" s="95">
        <v>10000</v>
      </c>
      <c r="D928" s="95"/>
      <c r="E928" t="s">
        <v>665</v>
      </c>
      <c r="F928" s="108" t="s">
        <v>108</v>
      </c>
    </row>
    <row r="929" spans="1:6" x14ac:dyDescent="0.3">
      <c r="A929" s="38">
        <v>46201</v>
      </c>
      <c r="B929" t="s">
        <v>219</v>
      </c>
      <c r="C929" s="95"/>
      <c r="D929" s="95">
        <v>10000</v>
      </c>
      <c r="E929" t="s">
        <v>805</v>
      </c>
      <c r="F929" s="108" t="s">
        <v>108</v>
      </c>
    </row>
    <row r="930" spans="1:6" x14ac:dyDescent="0.3">
      <c r="A930" s="38">
        <v>46201</v>
      </c>
      <c r="B930" t="s">
        <v>357</v>
      </c>
      <c r="C930" s="95">
        <v>10110</v>
      </c>
      <c r="D930" s="95"/>
      <c r="F930" s="108" t="s">
        <v>108</v>
      </c>
    </row>
    <row r="931" spans="1:6" x14ac:dyDescent="0.3">
      <c r="A931" s="38">
        <v>46202</v>
      </c>
      <c r="B931" t="s">
        <v>367</v>
      </c>
      <c r="C931" s="95"/>
      <c r="D931" s="95">
        <v>420000</v>
      </c>
      <c r="E931" t="s">
        <v>806</v>
      </c>
      <c r="F931" s="108" t="s">
        <v>108</v>
      </c>
    </row>
    <row r="932" spans="1:6" x14ac:dyDescent="0.3">
      <c r="A932" s="111">
        <v>46202</v>
      </c>
      <c r="B932" t="s">
        <v>222</v>
      </c>
      <c r="C932" s="95">
        <v>300000</v>
      </c>
      <c r="D932" s="95"/>
      <c r="E932" t="s">
        <v>807</v>
      </c>
      <c r="F932" s="108" t="s">
        <v>108</v>
      </c>
    </row>
    <row r="933" spans="1:6" x14ac:dyDescent="0.3">
      <c r="A933" s="111">
        <v>46202</v>
      </c>
      <c r="B933" t="s">
        <v>269</v>
      </c>
      <c r="C933" s="95">
        <v>15000</v>
      </c>
      <c r="D933" s="95"/>
      <c r="E933" t="s">
        <v>808</v>
      </c>
      <c r="F933" s="108" t="s">
        <v>108</v>
      </c>
    </row>
    <row r="934" spans="1:6" x14ac:dyDescent="0.3">
      <c r="A934" s="111">
        <v>46202</v>
      </c>
      <c r="B934" t="s">
        <v>386</v>
      </c>
      <c r="C934" s="95">
        <v>420</v>
      </c>
      <c r="D934" s="95"/>
      <c r="F934" s="108" t="s">
        <v>108</v>
      </c>
    </row>
    <row r="935" spans="1:6" x14ac:dyDescent="0.3">
      <c r="A935" s="111">
        <v>46202</v>
      </c>
      <c r="B935" t="s">
        <v>500</v>
      </c>
      <c r="C935" s="95"/>
      <c r="D935" s="95">
        <v>350000</v>
      </c>
      <c r="E935" t="s">
        <v>21</v>
      </c>
      <c r="F935" s="108" t="s">
        <v>108</v>
      </c>
    </row>
    <row r="936" spans="1:6" x14ac:dyDescent="0.3">
      <c r="A936" s="111">
        <v>46202</v>
      </c>
      <c r="B936" t="s">
        <v>219</v>
      </c>
      <c r="C936" s="95">
        <v>350000</v>
      </c>
      <c r="D936" s="95"/>
      <c r="E936" t="s">
        <v>500</v>
      </c>
      <c r="F936" s="108" t="s">
        <v>108</v>
      </c>
    </row>
    <row r="937" spans="1:6" x14ac:dyDescent="0.3">
      <c r="A937" s="111">
        <v>46203</v>
      </c>
      <c r="B937" t="s">
        <v>357</v>
      </c>
      <c r="C937" s="95">
        <v>6600</v>
      </c>
      <c r="D937" s="95"/>
      <c r="F937" s="108" t="s">
        <v>108</v>
      </c>
    </row>
    <row r="938" spans="1:6" x14ac:dyDescent="0.3">
      <c r="A938" s="111">
        <v>46203</v>
      </c>
      <c r="B938" t="s">
        <v>55</v>
      </c>
      <c r="C938" s="11">
        <v>10000</v>
      </c>
      <c r="D938" s="11"/>
      <c r="E938" t="s">
        <v>810</v>
      </c>
      <c r="F938" s="108" t="s">
        <v>108</v>
      </c>
    </row>
    <row r="939" spans="1:6" x14ac:dyDescent="0.3">
      <c r="A939" s="111">
        <v>46203</v>
      </c>
      <c r="B939" t="s">
        <v>253</v>
      </c>
      <c r="C939" s="11">
        <v>20000</v>
      </c>
      <c r="D939" s="11"/>
      <c r="E939" t="s">
        <v>260</v>
      </c>
      <c r="F939" s="108" t="s">
        <v>108</v>
      </c>
    </row>
    <row r="940" spans="1:6" x14ac:dyDescent="0.3">
      <c r="A940" s="111">
        <v>46203</v>
      </c>
      <c r="B940" t="s">
        <v>219</v>
      </c>
      <c r="C940" s="11"/>
      <c r="D940" s="11">
        <v>5000</v>
      </c>
      <c r="F940" s="108" t="s">
        <v>108</v>
      </c>
    </row>
    <row r="941" spans="1:6" x14ac:dyDescent="0.3">
      <c r="A941" s="111">
        <v>46203</v>
      </c>
      <c r="B941" t="s">
        <v>55</v>
      </c>
      <c r="C941" s="11">
        <v>5000</v>
      </c>
      <c r="D941" s="11"/>
      <c r="F941" s="108" t="s">
        <v>108</v>
      </c>
    </row>
    <row r="942" spans="1:6" x14ac:dyDescent="0.3">
      <c r="A942" s="111">
        <v>46204</v>
      </c>
      <c r="B942" t="s">
        <v>219</v>
      </c>
      <c r="C942" s="11"/>
      <c r="D942" s="11">
        <v>23750</v>
      </c>
      <c r="E942" t="s">
        <v>568</v>
      </c>
      <c r="F942" s="108" t="s">
        <v>108</v>
      </c>
    </row>
    <row r="943" spans="1:6" x14ac:dyDescent="0.3">
      <c r="A943" s="111">
        <v>46204</v>
      </c>
      <c r="B943" t="s">
        <v>175</v>
      </c>
      <c r="C943" s="11">
        <v>23750</v>
      </c>
      <c r="D943" s="11"/>
      <c r="E943" t="s">
        <v>116</v>
      </c>
      <c r="F943" s="108" t="s">
        <v>108</v>
      </c>
    </row>
    <row r="944" spans="1:6" x14ac:dyDescent="0.3">
      <c r="A944" s="111">
        <v>46204</v>
      </c>
      <c r="B944" t="s">
        <v>394</v>
      </c>
      <c r="C944" s="11">
        <v>24000</v>
      </c>
      <c r="D944" s="11"/>
      <c r="E944" t="s">
        <v>811</v>
      </c>
      <c r="F944" s="108" t="s">
        <v>108</v>
      </c>
    </row>
    <row r="945" spans="1:9" x14ac:dyDescent="0.3">
      <c r="A945" s="111">
        <v>46204</v>
      </c>
      <c r="B945" t="s">
        <v>219</v>
      </c>
      <c r="C945" s="11"/>
      <c r="D945" s="11">
        <v>24000</v>
      </c>
      <c r="E945" t="s">
        <v>394</v>
      </c>
      <c r="F945" s="108" t="s">
        <v>108</v>
      </c>
    </row>
    <row r="946" spans="1:9" x14ac:dyDescent="0.3">
      <c r="A946" s="111">
        <v>46204</v>
      </c>
      <c r="B946" t="s">
        <v>55</v>
      </c>
      <c r="C946" s="11">
        <v>7000</v>
      </c>
      <c r="D946" s="11"/>
      <c r="F946" s="108" t="s">
        <v>108</v>
      </c>
      <c r="I946">
        <v>5500</v>
      </c>
    </row>
    <row r="947" spans="1:9" x14ac:dyDescent="0.3">
      <c r="A947" s="38">
        <v>46204</v>
      </c>
      <c r="B947" t="s">
        <v>253</v>
      </c>
      <c r="C947" s="11">
        <v>15000</v>
      </c>
      <c r="D947" s="11"/>
      <c r="E947" t="s">
        <v>812</v>
      </c>
      <c r="F947" s="108" t="s">
        <v>108</v>
      </c>
      <c r="I947">
        <v>11000</v>
      </c>
    </row>
    <row r="948" spans="1:9" x14ac:dyDescent="0.3">
      <c r="A948" s="38">
        <v>46204</v>
      </c>
      <c r="B948" t="s">
        <v>219</v>
      </c>
      <c r="C948" s="11"/>
      <c r="D948" s="11">
        <v>175000</v>
      </c>
      <c r="E948" t="s">
        <v>813</v>
      </c>
      <c r="F948" s="108" t="s">
        <v>108</v>
      </c>
      <c r="I948">
        <v>10200</v>
      </c>
    </row>
    <row r="949" spans="1:9" x14ac:dyDescent="0.3">
      <c r="A949" s="38">
        <v>46204</v>
      </c>
      <c r="B949" t="s">
        <v>674</v>
      </c>
      <c r="C949" s="11">
        <v>200000</v>
      </c>
      <c r="D949" s="11"/>
      <c r="E949" t="s">
        <v>814</v>
      </c>
      <c r="F949" s="108" t="s">
        <v>108</v>
      </c>
      <c r="I949">
        <v>7800</v>
      </c>
    </row>
    <row r="950" spans="1:9" x14ac:dyDescent="0.3">
      <c r="A950" s="38">
        <v>46204</v>
      </c>
      <c r="B950" t="s">
        <v>244</v>
      </c>
      <c r="C950" s="11">
        <v>15000</v>
      </c>
      <c r="D950" s="11"/>
      <c r="E950" t="s">
        <v>815</v>
      </c>
      <c r="F950" s="108" t="s">
        <v>108</v>
      </c>
      <c r="I950">
        <v>80000</v>
      </c>
    </row>
    <row r="951" spans="1:9" x14ac:dyDescent="0.3">
      <c r="A951" s="38">
        <v>46204</v>
      </c>
      <c r="B951" t="s">
        <v>55</v>
      </c>
      <c r="C951" s="11">
        <v>7000</v>
      </c>
      <c r="D951" s="11"/>
      <c r="E951" t="s">
        <v>810</v>
      </c>
      <c r="F951" s="108" t="s">
        <v>108</v>
      </c>
      <c r="I951">
        <v>35000</v>
      </c>
    </row>
    <row r="952" spans="1:9" x14ac:dyDescent="0.3">
      <c r="A952" s="38">
        <v>46204</v>
      </c>
      <c r="B952" t="s">
        <v>219</v>
      </c>
      <c r="C952" s="11"/>
      <c r="D952" s="11">
        <v>7000</v>
      </c>
      <c r="E952" t="s">
        <v>816</v>
      </c>
      <c r="F952" s="108" t="s">
        <v>108</v>
      </c>
      <c r="I952">
        <v>9600</v>
      </c>
    </row>
    <row r="953" spans="1:9" x14ac:dyDescent="0.3">
      <c r="A953" s="38">
        <v>46204</v>
      </c>
      <c r="B953" t="s">
        <v>776</v>
      </c>
      <c r="C953" s="11"/>
      <c r="D953" s="11">
        <v>132500</v>
      </c>
      <c r="F953" s="108" t="s">
        <v>108</v>
      </c>
      <c r="I953">
        <v>7600</v>
      </c>
    </row>
    <row r="954" spans="1:9" x14ac:dyDescent="0.3">
      <c r="A954" s="38">
        <v>46204</v>
      </c>
      <c r="B954" t="s">
        <v>219</v>
      </c>
      <c r="C954" s="11">
        <v>132500</v>
      </c>
      <c r="D954" s="11"/>
      <c r="E954" t="s">
        <v>776</v>
      </c>
      <c r="F954" s="108" t="s">
        <v>108</v>
      </c>
      <c r="I954">
        <v>7200</v>
      </c>
    </row>
    <row r="955" spans="1:9" x14ac:dyDescent="0.3">
      <c r="A955" s="38">
        <v>46205</v>
      </c>
      <c r="B955" t="s">
        <v>219</v>
      </c>
      <c r="C955" s="95"/>
      <c r="D955" s="95">
        <v>400000</v>
      </c>
      <c r="E955" t="s">
        <v>817</v>
      </c>
      <c r="F955" s="108" t="s">
        <v>108</v>
      </c>
      <c r="I955">
        <v>8400</v>
      </c>
    </row>
    <row r="956" spans="1:9" x14ac:dyDescent="0.3">
      <c r="A956" s="38">
        <v>46205</v>
      </c>
      <c r="B956" t="s">
        <v>517</v>
      </c>
      <c r="C956" s="95">
        <v>400000</v>
      </c>
      <c r="D956" s="95"/>
      <c r="E956" t="s">
        <v>818</v>
      </c>
      <c r="F956" s="108" t="s">
        <v>108</v>
      </c>
      <c r="I956">
        <v>7000</v>
      </c>
    </row>
    <row r="957" spans="1:9" x14ac:dyDescent="0.3">
      <c r="A957" s="38">
        <v>46205</v>
      </c>
      <c r="B957" t="s">
        <v>819</v>
      </c>
      <c r="C957" s="95">
        <v>53500</v>
      </c>
      <c r="D957" s="95"/>
      <c r="E957" t="s">
        <v>820</v>
      </c>
      <c r="F957" s="108" t="s">
        <v>108</v>
      </c>
      <c r="I957">
        <v>6150</v>
      </c>
    </row>
    <row r="958" spans="1:9" x14ac:dyDescent="0.3">
      <c r="A958" s="38">
        <v>46205</v>
      </c>
      <c r="B958" t="s">
        <v>219</v>
      </c>
      <c r="C958" s="95"/>
      <c r="D958" s="95">
        <v>53500</v>
      </c>
      <c r="E958" t="s">
        <v>820</v>
      </c>
      <c r="F958" s="108" t="s">
        <v>108</v>
      </c>
      <c r="I958">
        <v>7500</v>
      </c>
    </row>
    <row r="959" spans="1:9" x14ac:dyDescent="0.3">
      <c r="A959" s="38">
        <v>46205</v>
      </c>
      <c r="B959" t="s">
        <v>246</v>
      </c>
      <c r="C959" s="95">
        <v>52000</v>
      </c>
      <c r="D959" s="95"/>
      <c r="E959" t="s">
        <v>821</v>
      </c>
      <c r="F959" s="108" t="s">
        <v>108</v>
      </c>
      <c r="I959">
        <v>8400</v>
      </c>
    </row>
    <row r="960" spans="1:9" x14ac:dyDescent="0.3">
      <c r="A960" s="38">
        <v>46205</v>
      </c>
      <c r="B960" t="s">
        <v>219</v>
      </c>
      <c r="C960" s="95"/>
      <c r="D960" s="95">
        <v>52000</v>
      </c>
      <c r="E960" t="s">
        <v>821</v>
      </c>
      <c r="F960" s="108" t="s">
        <v>108</v>
      </c>
      <c r="I960">
        <v>17350</v>
      </c>
    </row>
    <row r="961" spans="1:9" x14ac:dyDescent="0.3">
      <c r="A961" s="38">
        <v>46205</v>
      </c>
      <c r="B961" t="s">
        <v>219</v>
      </c>
      <c r="C961" s="95"/>
      <c r="D961" s="95">
        <v>25000</v>
      </c>
      <c r="E961" t="s">
        <v>822</v>
      </c>
      <c r="F961" s="108" t="s">
        <v>108</v>
      </c>
      <c r="I961">
        <v>30000</v>
      </c>
    </row>
    <row r="962" spans="1:9" x14ac:dyDescent="0.3">
      <c r="A962" s="38">
        <v>46205</v>
      </c>
      <c r="B962" t="s">
        <v>244</v>
      </c>
      <c r="C962" s="95">
        <v>15000</v>
      </c>
      <c r="D962" s="95"/>
      <c r="E962" t="s">
        <v>823</v>
      </c>
      <c r="F962" s="108" t="s">
        <v>108</v>
      </c>
      <c r="I962">
        <v>11750</v>
      </c>
    </row>
    <row r="963" spans="1:9" x14ac:dyDescent="0.3">
      <c r="A963" s="38">
        <v>46205</v>
      </c>
      <c r="B963" t="s">
        <v>386</v>
      </c>
      <c r="C963" s="95">
        <v>5700</v>
      </c>
      <c r="D963" s="95"/>
      <c r="E963" t="s">
        <v>824</v>
      </c>
      <c r="F963" s="108" t="s">
        <v>108</v>
      </c>
      <c r="I963">
        <v>25650</v>
      </c>
    </row>
    <row r="964" spans="1:9" x14ac:dyDescent="0.3">
      <c r="A964" s="38">
        <v>46205</v>
      </c>
      <c r="B964" t="s">
        <v>219</v>
      </c>
      <c r="C964" s="95"/>
      <c r="D964" s="95">
        <v>7001</v>
      </c>
      <c r="E964" t="s">
        <v>825</v>
      </c>
      <c r="F964" s="108" t="s">
        <v>108</v>
      </c>
      <c r="I964">
        <v>13333</v>
      </c>
    </row>
    <row r="965" spans="1:9" x14ac:dyDescent="0.3">
      <c r="A965" s="38">
        <v>46205</v>
      </c>
      <c r="B965" t="s">
        <v>826</v>
      </c>
      <c r="C965" s="95">
        <v>7001</v>
      </c>
      <c r="D965" s="95"/>
      <c r="F965" s="108" t="s">
        <v>108</v>
      </c>
      <c r="I965">
        <v>13333</v>
      </c>
    </row>
    <row r="966" spans="1:9" x14ac:dyDescent="0.3">
      <c r="A966" s="38">
        <v>46205</v>
      </c>
      <c r="B966" t="s">
        <v>298</v>
      </c>
      <c r="C966" s="95">
        <v>7000</v>
      </c>
      <c r="D966" s="95"/>
      <c r="E966" t="s">
        <v>693</v>
      </c>
      <c r="F966" s="108" t="s">
        <v>108</v>
      </c>
      <c r="I966">
        <v>13333</v>
      </c>
    </row>
    <row r="967" spans="1:9" x14ac:dyDescent="0.3">
      <c r="A967" s="38">
        <v>46205</v>
      </c>
      <c r="B967" t="s">
        <v>219</v>
      </c>
      <c r="C967" s="95"/>
      <c r="D967" s="95">
        <v>100000</v>
      </c>
      <c r="E967" t="s">
        <v>827</v>
      </c>
      <c r="F967" s="108" t="s">
        <v>108</v>
      </c>
      <c r="I967">
        <v>10670</v>
      </c>
    </row>
    <row r="968" spans="1:9" x14ac:dyDescent="0.3">
      <c r="A968" s="38">
        <v>46205</v>
      </c>
      <c r="B968" t="s">
        <v>211</v>
      </c>
      <c r="C968" s="95">
        <v>540</v>
      </c>
      <c r="D968" s="95"/>
      <c r="F968" s="108" t="s">
        <v>108</v>
      </c>
      <c r="I968">
        <v>18860</v>
      </c>
    </row>
    <row r="969" spans="1:9" x14ac:dyDescent="0.3">
      <c r="A969" s="38">
        <v>46205</v>
      </c>
      <c r="B969" t="s">
        <v>500</v>
      </c>
      <c r="C969" s="95"/>
      <c r="D969" s="95">
        <v>400000</v>
      </c>
      <c r="E969" t="s">
        <v>21</v>
      </c>
      <c r="F969" s="108" t="s">
        <v>108</v>
      </c>
      <c r="I969">
        <v>22670</v>
      </c>
    </row>
    <row r="970" spans="1:9" x14ac:dyDescent="0.3">
      <c r="A970" s="38">
        <v>46205</v>
      </c>
      <c r="B970" t="s">
        <v>219</v>
      </c>
      <c r="C970" s="11">
        <v>400000</v>
      </c>
      <c r="D970" s="11"/>
      <c r="E970" t="s">
        <v>500</v>
      </c>
      <c r="F970" s="108" t="s">
        <v>108</v>
      </c>
      <c r="I970">
        <v>35000</v>
      </c>
    </row>
    <row r="971" spans="1:9" x14ac:dyDescent="0.3">
      <c r="A971" s="38">
        <v>46205</v>
      </c>
      <c r="B971" t="s">
        <v>244</v>
      </c>
      <c r="C971" s="95">
        <v>1150</v>
      </c>
      <c r="D971" s="95"/>
      <c r="E971" t="s">
        <v>847</v>
      </c>
      <c r="F971" s="108" t="s">
        <v>108</v>
      </c>
      <c r="I971">
        <v>10000</v>
      </c>
    </row>
    <row r="972" spans="1:9" x14ac:dyDescent="0.3">
      <c r="A972" s="38">
        <v>46205</v>
      </c>
      <c r="B972" t="s">
        <v>211</v>
      </c>
      <c r="C972" s="95">
        <v>1250</v>
      </c>
      <c r="D972" s="95"/>
      <c r="F972" s="108" t="s">
        <v>108</v>
      </c>
      <c r="I972">
        <v>96000</v>
      </c>
    </row>
    <row r="973" spans="1:9" x14ac:dyDescent="0.3">
      <c r="A973" s="38">
        <v>46205</v>
      </c>
      <c r="B973" t="s">
        <v>776</v>
      </c>
      <c r="C973" s="95"/>
      <c r="D973" s="95">
        <v>140000</v>
      </c>
      <c r="E973" t="s">
        <v>21</v>
      </c>
      <c r="F973" s="108" t="s">
        <v>108</v>
      </c>
    </row>
    <row r="974" spans="1:9" x14ac:dyDescent="0.3">
      <c r="A974" s="38">
        <v>46205</v>
      </c>
      <c r="B974" t="s">
        <v>219</v>
      </c>
      <c r="C974" s="95">
        <v>140000</v>
      </c>
      <c r="D974" s="95"/>
      <c r="E974" t="s">
        <v>776</v>
      </c>
      <c r="F974" s="108" t="s">
        <v>108</v>
      </c>
      <c r="I974">
        <v>7000</v>
      </c>
    </row>
    <row r="975" spans="1:9" x14ac:dyDescent="0.3">
      <c r="A975" s="38">
        <v>46205</v>
      </c>
      <c r="B975" t="s">
        <v>656</v>
      </c>
      <c r="C975" s="95"/>
      <c r="D975" s="95">
        <v>119000</v>
      </c>
      <c r="E975" t="s">
        <v>848</v>
      </c>
      <c r="F975" s="108" t="s">
        <v>108</v>
      </c>
      <c r="I975">
        <v>18800</v>
      </c>
    </row>
    <row r="976" spans="1:9" x14ac:dyDescent="0.3">
      <c r="A976" s="38">
        <v>46205</v>
      </c>
      <c r="B976" t="s">
        <v>219</v>
      </c>
      <c r="C976" s="95">
        <v>119000</v>
      </c>
      <c r="D976" s="95"/>
      <c r="E976" t="s">
        <v>673</v>
      </c>
      <c r="F976" s="108" t="s">
        <v>108</v>
      </c>
      <c r="I976">
        <v>8650</v>
      </c>
    </row>
    <row r="977" spans="1:10" x14ac:dyDescent="0.3">
      <c r="A977" s="38">
        <v>46205</v>
      </c>
      <c r="B977" t="s">
        <v>656</v>
      </c>
      <c r="C977" s="95"/>
      <c r="D977" s="95">
        <v>189000</v>
      </c>
      <c r="E977" t="s">
        <v>849</v>
      </c>
      <c r="F977" s="108" t="s">
        <v>108</v>
      </c>
      <c r="J977" t="s">
        <v>648</v>
      </c>
    </row>
    <row r="978" spans="1:10" x14ac:dyDescent="0.3">
      <c r="A978" s="38">
        <v>46205</v>
      </c>
      <c r="B978" t="s">
        <v>219</v>
      </c>
      <c r="C978" s="95">
        <v>189000</v>
      </c>
      <c r="D978" s="95"/>
      <c r="E978" t="s">
        <v>850</v>
      </c>
      <c r="F978" s="108" t="s">
        <v>108</v>
      </c>
      <c r="I978">
        <v>40000</v>
      </c>
    </row>
    <row r="979" spans="1:10" x14ac:dyDescent="0.3">
      <c r="A979" s="38">
        <v>46206</v>
      </c>
      <c r="B979" t="s">
        <v>219</v>
      </c>
      <c r="C979" s="95"/>
      <c r="D979" s="95">
        <v>300000</v>
      </c>
      <c r="E979" t="s">
        <v>828</v>
      </c>
      <c r="F979" s="108" t="s">
        <v>108</v>
      </c>
    </row>
    <row r="980" spans="1:10" x14ac:dyDescent="0.3">
      <c r="A980" s="38">
        <v>46206</v>
      </c>
      <c r="B980" t="s">
        <v>219</v>
      </c>
      <c r="C980" s="95"/>
      <c r="D980" s="95">
        <v>250000</v>
      </c>
      <c r="E980" t="s">
        <v>829</v>
      </c>
      <c r="F980" s="108" t="s">
        <v>108</v>
      </c>
      <c r="I980">
        <v>6000</v>
      </c>
    </row>
    <row r="981" spans="1:10" x14ac:dyDescent="0.3">
      <c r="A981" s="38">
        <v>46206</v>
      </c>
      <c r="B981" t="s">
        <v>488</v>
      </c>
      <c r="C981" s="95">
        <v>290</v>
      </c>
      <c r="D981" s="95"/>
      <c r="E981" t="s">
        <v>390</v>
      </c>
      <c r="F981" s="108" t="s">
        <v>108</v>
      </c>
      <c r="I981">
        <v>6000</v>
      </c>
    </row>
    <row r="982" spans="1:10" x14ac:dyDescent="0.3">
      <c r="A982" s="38">
        <v>46206</v>
      </c>
      <c r="B982" t="s">
        <v>253</v>
      </c>
      <c r="C982" s="95">
        <v>40000</v>
      </c>
      <c r="D982" s="95"/>
      <c r="E982" t="s">
        <v>288</v>
      </c>
      <c r="F982" s="108" t="s">
        <v>108</v>
      </c>
      <c r="I982">
        <v>5000</v>
      </c>
    </row>
    <row r="983" spans="1:10" x14ac:dyDescent="0.3">
      <c r="A983" s="38">
        <v>46206</v>
      </c>
      <c r="B983" t="s">
        <v>219</v>
      </c>
      <c r="C983" s="95"/>
      <c r="D983" s="95">
        <v>25000</v>
      </c>
      <c r="E983" t="s">
        <v>109</v>
      </c>
      <c r="F983" s="108" t="s">
        <v>108</v>
      </c>
      <c r="I983">
        <v>3000</v>
      </c>
    </row>
    <row r="984" spans="1:10" x14ac:dyDescent="0.3">
      <c r="A984" s="38">
        <v>46206</v>
      </c>
      <c r="B984" t="s">
        <v>674</v>
      </c>
      <c r="C984" s="95">
        <v>6000</v>
      </c>
      <c r="D984" s="95"/>
      <c r="E984" t="s">
        <v>265</v>
      </c>
      <c r="F984" s="108" t="s">
        <v>108</v>
      </c>
      <c r="I984">
        <v>3000</v>
      </c>
    </row>
    <row r="985" spans="1:10" x14ac:dyDescent="0.3">
      <c r="A985" s="38">
        <v>46206</v>
      </c>
      <c r="B985" t="s">
        <v>517</v>
      </c>
      <c r="C985" s="95">
        <v>6000</v>
      </c>
      <c r="D985" s="95"/>
      <c r="E985" t="s">
        <v>265</v>
      </c>
      <c r="F985" s="108" t="s">
        <v>108</v>
      </c>
    </row>
    <row r="986" spans="1:10" x14ac:dyDescent="0.3">
      <c r="A986" s="38">
        <v>46206</v>
      </c>
      <c r="B986" t="s">
        <v>488</v>
      </c>
      <c r="C986" s="95">
        <v>5000</v>
      </c>
      <c r="D986" s="95"/>
      <c r="E986" t="s">
        <v>648</v>
      </c>
      <c r="F986" s="108" t="s">
        <v>108</v>
      </c>
    </row>
    <row r="987" spans="1:10" x14ac:dyDescent="0.3">
      <c r="A987" s="38">
        <v>46206</v>
      </c>
      <c r="B987" t="s">
        <v>386</v>
      </c>
      <c r="C987" s="95">
        <v>3000</v>
      </c>
      <c r="D987" s="95"/>
      <c r="E987" t="s">
        <v>830</v>
      </c>
      <c r="F987" s="108" t="s">
        <v>108</v>
      </c>
    </row>
    <row r="988" spans="1:10" x14ac:dyDescent="0.3">
      <c r="A988" s="38">
        <v>46206</v>
      </c>
      <c r="B988" t="s">
        <v>269</v>
      </c>
      <c r="C988" s="95"/>
      <c r="D988" s="95"/>
      <c r="E988" t="s">
        <v>831</v>
      </c>
      <c r="F988" s="108" t="s">
        <v>108</v>
      </c>
    </row>
    <row r="989" spans="1:10" x14ac:dyDescent="0.3">
      <c r="A989" s="38">
        <v>46206</v>
      </c>
      <c r="B989" t="s">
        <v>269</v>
      </c>
      <c r="C989" s="95">
        <v>3000</v>
      </c>
      <c r="D989" s="95"/>
      <c r="E989" t="s">
        <v>832</v>
      </c>
      <c r="F989" s="108" t="s">
        <v>108</v>
      </c>
    </row>
    <row r="990" spans="1:10" x14ac:dyDescent="0.3">
      <c r="A990" s="38">
        <v>46206</v>
      </c>
      <c r="B990" t="s">
        <v>253</v>
      </c>
      <c r="C990" s="95">
        <v>563750</v>
      </c>
      <c r="D990" s="95"/>
      <c r="E990" t="s">
        <v>268</v>
      </c>
      <c r="F990" s="108" t="s">
        <v>108</v>
      </c>
    </row>
    <row r="991" spans="1:10" x14ac:dyDescent="0.3">
      <c r="A991" s="38">
        <v>46206</v>
      </c>
      <c r="B991" t="s">
        <v>211</v>
      </c>
      <c r="C991" s="95">
        <v>20000</v>
      </c>
      <c r="D991" s="95"/>
      <c r="E991" t="s">
        <v>833</v>
      </c>
      <c r="F991" s="108" t="s">
        <v>108</v>
      </c>
    </row>
    <row r="992" spans="1:10" x14ac:dyDescent="0.3">
      <c r="A992" s="38">
        <v>46206</v>
      </c>
      <c r="B992" t="s">
        <v>211</v>
      </c>
      <c r="C992" s="95">
        <v>1000</v>
      </c>
      <c r="D992" s="95"/>
      <c r="F992" s="108" t="s">
        <v>108</v>
      </c>
    </row>
    <row r="993" spans="1:6" x14ac:dyDescent="0.3">
      <c r="A993" s="38">
        <v>46206</v>
      </c>
      <c r="B993" t="s">
        <v>500</v>
      </c>
      <c r="C993" s="95"/>
      <c r="D993" s="95">
        <v>97000</v>
      </c>
      <c r="E993" t="s">
        <v>215</v>
      </c>
      <c r="F993" s="108" t="s">
        <v>108</v>
      </c>
    </row>
    <row r="994" spans="1:6" x14ac:dyDescent="0.3">
      <c r="A994" s="38">
        <v>46206</v>
      </c>
      <c r="B994" t="s">
        <v>219</v>
      </c>
      <c r="C994" s="95">
        <v>97000</v>
      </c>
      <c r="D994" s="95"/>
      <c r="E994" t="s">
        <v>500</v>
      </c>
      <c r="F994" s="108" t="s">
        <v>108</v>
      </c>
    </row>
    <row r="995" spans="1:6" x14ac:dyDescent="0.3">
      <c r="A995" s="38">
        <v>46206</v>
      </c>
      <c r="B995" t="s">
        <v>792</v>
      </c>
      <c r="C995" s="95"/>
      <c r="D995" s="95">
        <v>100000</v>
      </c>
      <c r="E995" t="s">
        <v>862</v>
      </c>
      <c r="F995" s="108" t="s">
        <v>108</v>
      </c>
    </row>
    <row r="996" spans="1:6" x14ac:dyDescent="0.3">
      <c r="A996" s="38">
        <v>46206</v>
      </c>
      <c r="B996" t="s">
        <v>219</v>
      </c>
      <c r="C996" s="95">
        <v>100000</v>
      </c>
      <c r="D996" s="95"/>
      <c r="E996" t="s">
        <v>280</v>
      </c>
      <c r="F996" s="108" t="s">
        <v>108</v>
      </c>
    </row>
    <row r="997" spans="1:6" x14ac:dyDescent="0.3">
      <c r="A997" s="38">
        <v>46207</v>
      </c>
      <c r="B997" t="s">
        <v>219</v>
      </c>
      <c r="C997" s="95"/>
      <c r="D997" s="95">
        <v>100000</v>
      </c>
      <c r="E997" t="s">
        <v>834</v>
      </c>
      <c r="F997" s="108" t="s">
        <v>108</v>
      </c>
    </row>
    <row r="998" spans="1:6" x14ac:dyDescent="0.3">
      <c r="A998" s="38">
        <v>46207</v>
      </c>
      <c r="B998" t="s">
        <v>425</v>
      </c>
      <c r="C998" s="95">
        <v>100000</v>
      </c>
      <c r="D998" s="95"/>
      <c r="E998" t="s">
        <v>835</v>
      </c>
      <c r="F998" s="108" t="s">
        <v>108</v>
      </c>
    </row>
    <row r="999" spans="1:6" x14ac:dyDescent="0.3">
      <c r="A999" s="38">
        <v>46207</v>
      </c>
      <c r="B999" t="s">
        <v>357</v>
      </c>
      <c r="C999" s="95">
        <v>2500</v>
      </c>
      <c r="D999" s="95"/>
      <c r="E999" t="s">
        <v>426</v>
      </c>
      <c r="F999" s="108" t="s">
        <v>108</v>
      </c>
    </row>
    <row r="1000" spans="1:6" x14ac:dyDescent="0.3">
      <c r="A1000" s="38">
        <v>46207</v>
      </c>
      <c r="B1000" t="s">
        <v>55</v>
      </c>
      <c r="C1000" s="95">
        <v>1600</v>
      </c>
      <c r="D1000" s="95"/>
      <c r="E1000" t="s">
        <v>836</v>
      </c>
      <c r="F1000" s="108" t="s">
        <v>108</v>
      </c>
    </row>
    <row r="1001" spans="1:6" x14ac:dyDescent="0.3">
      <c r="A1001" s="38">
        <v>46207</v>
      </c>
      <c r="B1001" t="s">
        <v>55</v>
      </c>
      <c r="C1001" s="95">
        <v>700</v>
      </c>
      <c r="D1001" s="95"/>
      <c r="E1001" t="s">
        <v>837</v>
      </c>
      <c r="F1001" s="108" t="s">
        <v>108</v>
      </c>
    </row>
    <row r="1002" spans="1:6" x14ac:dyDescent="0.3">
      <c r="A1002" s="38">
        <v>46207</v>
      </c>
      <c r="B1002" t="s">
        <v>244</v>
      </c>
      <c r="C1002" s="95">
        <v>440</v>
      </c>
      <c r="D1002" s="95"/>
      <c r="E1002" t="s">
        <v>366</v>
      </c>
      <c r="F1002" s="108" t="s">
        <v>108</v>
      </c>
    </row>
    <row r="1003" spans="1:6" x14ac:dyDescent="0.3">
      <c r="A1003" s="38">
        <v>46207</v>
      </c>
      <c r="B1003" t="s">
        <v>488</v>
      </c>
      <c r="C1003" s="95">
        <v>800</v>
      </c>
      <c r="D1003" s="95"/>
      <c r="E1003" t="s">
        <v>462</v>
      </c>
      <c r="F1003" s="108" t="s">
        <v>108</v>
      </c>
    </row>
    <row r="1004" spans="1:6" x14ac:dyDescent="0.3">
      <c r="A1004" s="38">
        <v>46207</v>
      </c>
      <c r="B1004" t="s">
        <v>219</v>
      </c>
      <c r="C1004" s="95"/>
      <c r="D1004" s="95">
        <v>800</v>
      </c>
      <c r="E1004" t="s">
        <v>462</v>
      </c>
      <c r="F1004" s="108" t="s">
        <v>108</v>
      </c>
    </row>
    <row r="1005" spans="1:6" x14ac:dyDescent="0.3">
      <c r="A1005" s="38">
        <v>46207</v>
      </c>
      <c r="B1005" t="s">
        <v>219</v>
      </c>
      <c r="C1005" s="95"/>
      <c r="D1005" s="95">
        <v>25000</v>
      </c>
      <c r="E1005" t="s">
        <v>839</v>
      </c>
      <c r="F1005" s="108" t="s">
        <v>108</v>
      </c>
    </row>
    <row r="1006" spans="1:6" x14ac:dyDescent="0.3">
      <c r="A1006" s="38">
        <v>46207</v>
      </c>
      <c r="B1006" t="s">
        <v>269</v>
      </c>
      <c r="C1006" s="95">
        <v>5000</v>
      </c>
      <c r="D1006" s="95"/>
      <c r="E1006" t="s">
        <v>840</v>
      </c>
      <c r="F1006" s="108" t="s">
        <v>108</v>
      </c>
    </row>
    <row r="1007" spans="1:6" x14ac:dyDescent="0.3">
      <c r="A1007" s="38">
        <v>46207</v>
      </c>
      <c r="B1007" t="s">
        <v>357</v>
      </c>
      <c r="C1007" s="95">
        <v>6600</v>
      </c>
      <c r="D1007" s="95"/>
      <c r="E1007" t="s">
        <v>392</v>
      </c>
      <c r="F1007" s="108" t="s">
        <v>108</v>
      </c>
    </row>
    <row r="1008" spans="1:6" x14ac:dyDescent="0.3">
      <c r="A1008" s="38">
        <v>46207</v>
      </c>
      <c r="B1008" t="s">
        <v>55</v>
      </c>
      <c r="C1008" s="95">
        <v>25000</v>
      </c>
      <c r="D1008" s="95"/>
      <c r="E1008" t="s">
        <v>841</v>
      </c>
      <c r="F1008" s="108" t="s">
        <v>108</v>
      </c>
    </row>
    <row r="1009" spans="1:6" x14ac:dyDescent="0.3">
      <c r="A1009" s="38">
        <v>46207</v>
      </c>
      <c r="B1009" t="s">
        <v>219</v>
      </c>
      <c r="C1009" s="95"/>
      <c r="D1009" s="95">
        <v>25000</v>
      </c>
      <c r="E1009" t="s">
        <v>841</v>
      </c>
      <c r="F1009" s="108" t="s">
        <v>108</v>
      </c>
    </row>
    <row r="1010" spans="1:6" x14ac:dyDescent="0.3">
      <c r="A1010" s="38">
        <v>46207</v>
      </c>
      <c r="B1010" t="s">
        <v>55</v>
      </c>
      <c r="C1010" s="95">
        <v>12500</v>
      </c>
      <c r="D1010" s="95"/>
      <c r="E1010" t="s">
        <v>842</v>
      </c>
      <c r="F1010" s="108" t="s">
        <v>108</v>
      </c>
    </row>
    <row r="1011" spans="1:6" x14ac:dyDescent="0.3">
      <c r="A1011" s="111">
        <v>46207</v>
      </c>
      <c r="B1011" t="s">
        <v>219</v>
      </c>
      <c r="C1011" s="95"/>
      <c r="D1011" s="95">
        <v>12500</v>
      </c>
      <c r="E1011" t="s">
        <v>843</v>
      </c>
      <c r="F1011" s="108" t="s">
        <v>108</v>
      </c>
    </row>
    <row r="1012" spans="1:6" x14ac:dyDescent="0.3">
      <c r="A1012" s="38">
        <v>46207</v>
      </c>
      <c r="B1012" t="s">
        <v>55</v>
      </c>
      <c r="C1012" s="95">
        <v>460</v>
      </c>
      <c r="D1012" s="95"/>
      <c r="F1012" s="108" t="s">
        <v>108</v>
      </c>
    </row>
    <row r="1013" spans="1:6" x14ac:dyDescent="0.3">
      <c r="A1013" s="111">
        <v>46208</v>
      </c>
      <c r="B1013" t="s">
        <v>211</v>
      </c>
      <c r="C1013" s="95">
        <v>2300</v>
      </c>
      <c r="D1013" s="95"/>
      <c r="F1013" s="108" t="s">
        <v>108</v>
      </c>
    </row>
    <row r="1014" spans="1:6" x14ac:dyDescent="0.3">
      <c r="A1014" s="38">
        <v>46208</v>
      </c>
      <c r="B1014" t="s">
        <v>219</v>
      </c>
      <c r="C1014" s="95"/>
      <c r="D1014" s="95">
        <v>129000</v>
      </c>
      <c r="E1014" t="s">
        <v>844</v>
      </c>
      <c r="F1014" s="108" t="s">
        <v>108</v>
      </c>
    </row>
    <row r="1015" spans="1:6" x14ac:dyDescent="0.3">
      <c r="A1015" s="38">
        <v>46208</v>
      </c>
      <c r="B1015" t="s">
        <v>253</v>
      </c>
      <c r="C1015" s="95">
        <v>129000</v>
      </c>
      <c r="D1015" s="95"/>
      <c r="E1015" t="s">
        <v>845</v>
      </c>
      <c r="F1015" s="108" t="s">
        <v>108</v>
      </c>
    </row>
    <row r="1016" spans="1:6" x14ac:dyDescent="0.3">
      <c r="A1016" s="111">
        <v>46208</v>
      </c>
      <c r="B1016" t="s">
        <v>244</v>
      </c>
      <c r="C1016" s="95">
        <v>2000</v>
      </c>
      <c r="D1016" s="95"/>
      <c r="E1016" t="s">
        <v>846</v>
      </c>
      <c r="F1016" s="108" t="s">
        <v>108</v>
      </c>
    </row>
    <row r="1017" spans="1:6" x14ac:dyDescent="0.3">
      <c r="A1017" s="38">
        <v>46208</v>
      </c>
      <c r="B1017" t="s">
        <v>244</v>
      </c>
      <c r="C1017" s="95">
        <v>420</v>
      </c>
      <c r="D1017" s="95"/>
      <c r="E1017" t="s">
        <v>837</v>
      </c>
      <c r="F1017" s="108" t="s">
        <v>108</v>
      </c>
    </row>
    <row r="1018" spans="1:6" x14ac:dyDescent="0.3">
      <c r="A1018" s="111">
        <v>46209</v>
      </c>
      <c r="B1018" t="s">
        <v>219</v>
      </c>
      <c r="C1018" s="95"/>
      <c r="D1018" s="95">
        <v>15000</v>
      </c>
      <c r="E1018" t="s">
        <v>867</v>
      </c>
      <c r="F1018" s="108" t="s">
        <v>108</v>
      </c>
    </row>
    <row r="1019" spans="1:6" x14ac:dyDescent="0.3">
      <c r="A1019" s="38">
        <v>46209</v>
      </c>
      <c r="B1019" t="s">
        <v>55</v>
      </c>
      <c r="C1019" s="95">
        <v>1000</v>
      </c>
      <c r="D1019" s="95"/>
      <c r="E1019" t="s">
        <v>868</v>
      </c>
      <c r="F1019" s="108" t="s">
        <v>108</v>
      </c>
    </row>
    <row r="1020" spans="1:6" x14ac:dyDescent="0.3">
      <c r="A1020" s="111">
        <v>46209</v>
      </c>
      <c r="B1020" t="s">
        <v>244</v>
      </c>
      <c r="C1020" s="95">
        <v>400</v>
      </c>
      <c r="D1020" s="95"/>
      <c r="E1020" t="s">
        <v>449</v>
      </c>
      <c r="F1020" s="108" t="s">
        <v>108</v>
      </c>
    </row>
    <row r="1021" spans="1:6" x14ac:dyDescent="0.3">
      <c r="A1021" s="38">
        <v>46209</v>
      </c>
      <c r="B1021" t="s">
        <v>357</v>
      </c>
      <c r="C1021" s="95">
        <v>10210</v>
      </c>
      <c r="D1021" s="95"/>
      <c r="F1021" s="108" t="s">
        <v>108</v>
      </c>
    </row>
    <row r="1022" spans="1:6" x14ac:dyDescent="0.3">
      <c r="A1022" s="111">
        <v>46209</v>
      </c>
      <c r="B1022" t="s">
        <v>488</v>
      </c>
      <c r="C1022" s="95">
        <v>710</v>
      </c>
      <c r="D1022" s="95"/>
      <c r="E1022" t="s">
        <v>390</v>
      </c>
      <c r="F1022" s="108" t="s">
        <v>108</v>
      </c>
    </row>
    <row r="1023" spans="1:6" x14ac:dyDescent="0.3">
      <c r="A1023" s="38">
        <v>46209</v>
      </c>
      <c r="B1023" t="s">
        <v>298</v>
      </c>
      <c r="C1023" s="95">
        <v>4000</v>
      </c>
      <c r="D1023" s="95"/>
      <c r="E1023" t="s">
        <v>869</v>
      </c>
      <c r="F1023" s="108" t="s">
        <v>108</v>
      </c>
    </row>
    <row r="1024" spans="1:6" x14ac:dyDescent="0.3">
      <c r="A1024" s="111">
        <v>46209</v>
      </c>
      <c r="B1024" t="s">
        <v>55</v>
      </c>
      <c r="C1024" s="95">
        <v>1200</v>
      </c>
      <c r="D1024" s="95"/>
      <c r="E1024" t="s">
        <v>870</v>
      </c>
      <c r="F1024" s="108" t="s">
        <v>108</v>
      </c>
    </row>
    <row r="1025" spans="1:6" x14ac:dyDescent="0.3">
      <c r="A1025" s="38">
        <v>46209</v>
      </c>
      <c r="B1025" t="s">
        <v>55</v>
      </c>
      <c r="C1025" s="95">
        <v>23500</v>
      </c>
      <c r="D1025" s="95"/>
      <c r="E1025" t="s">
        <v>871</v>
      </c>
      <c r="F1025" s="108" t="s">
        <v>108</v>
      </c>
    </row>
    <row r="1026" spans="1:6" x14ac:dyDescent="0.3">
      <c r="A1026" s="111">
        <v>46209</v>
      </c>
      <c r="B1026" t="s">
        <v>488</v>
      </c>
      <c r="C1026" s="95">
        <v>5000</v>
      </c>
      <c r="D1026" s="95"/>
      <c r="E1026" t="s">
        <v>872</v>
      </c>
      <c r="F1026" s="108" t="s">
        <v>108</v>
      </c>
    </row>
    <row r="1027" spans="1:6" x14ac:dyDescent="0.3">
      <c r="A1027" s="38">
        <v>46209</v>
      </c>
      <c r="B1027" t="s">
        <v>219</v>
      </c>
      <c r="C1027" s="95"/>
      <c r="D1027" s="95">
        <v>90000</v>
      </c>
      <c r="E1027" t="s">
        <v>109</v>
      </c>
      <c r="F1027" s="108" t="s">
        <v>108</v>
      </c>
    </row>
    <row r="1028" spans="1:6" x14ac:dyDescent="0.3">
      <c r="A1028" s="111">
        <v>46209</v>
      </c>
      <c r="B1028" t="s">
        <v>253</v>
      </c>
      <c r="C1028" s="11">
        <v>50000</v>
      </c>
      <c r="D1028" s="11"/>
      <c r="E1028" t="s">
        <v>437</v>
      </c>
      <c r="F1028" s="108" t="s">
        <v>108</v>
      </c>
    </row>
    <row r="1029" spans="1:6" x14ac:dyDescent="0.3">
      <c r="A1029" s="38">
        <v>46209</v>
      </c>
      <c r="B1029" t="s">
        <v>253</v>
      </c>
      <c r="C1029" s="11">
        <v>60000</v>
      </c>
      <c r="D1029" s="11"/>
      <c r="E1029" t="s">
        <v>863</v>
      </c>
      <c r="F1029" s="108" t="s">
        <v>108</v>
      </c>
    </row>
    <row r="1030" spans="1:6" x14ac:dyDescent="0.3">
      <c r="A1030" s="111">
        <v>46209</v>
      </c>
      <c r="B1030" t="s">
        <v>269</v>
      </c>
      <c r="C1030" s="11">
        <v>5000</v>
      </c>
      <c r="D1030" s="11"/>
      <c r="E1030" t="s">
        <v>864</v>
      </c>
      <c r="F1030" s="108" t="s">
        <v>108</v>
      </c>
    </row>
    <row r="1031" spans="1:6" x14ac:dyDescent="0.3">
      <c r="A1031" s="38">
        <v>46209</v>
      </c>
      <c r="B1031" t="s">
        <v>654</v>
      </c>
      <c r="C1031" s="11"/>
      <c r="D1031" s="11">
        <v>355000</v>
      </c>
      <c r="E1031" t="s">
        <v>271</v>
      </c>
      <c r="F1031" s="108" t="s">
        <v>108</v>
      </c>
    </row>
    <row r="1032" spans="1:6" x14ac:dyDescent="0.3">
      <c r="A1032" s="111">
        <v>46209</v>
      </c>
      <c r="B1032" t="s">
        <v>776</v>
      </c>
      <c r="C1032" s="11"/>
      <c r="D1032" s="11">
        <v>155000</v>
      </c>
      <c r="E1032" t="s">
        <v>109</v>
      </c>
      <c r="F1032" s="108" t="s">
        <v>108</v>
      </c>
    </row>
    <row r="1033" spans="1:6" x14ac:dyDescent="0.3">
      <c r="A1033" s="38">
        <v>46209</v>
      </c>
      <c r="B1033" t="s">
        <v>386</v>
      </c>
      <c r="C1033" s="11">
        <v>1000</v>
      </c>
      <c r="D1033" s="11"/>
      <c r="E1033" t="s">
        <v>865</v>
      </c>
      <c r="F1033" s="108" t="s">
        <v>108</v>
      </c>
    </row>
    <row r="1034" spans="1:6" x14ac:dyDescent="0.3">
      <c r="A1034" s="111">
        <v>46209</v>
      </c>
      <c r="B1034" t="s">
        <v>269</v>
      </c>
      <c r="C1034" s="11">
        <v>20000</v>
      </c>
      <c r="D1034" s="11"/>
      <c r="E1034" t="s">
        <v>866</v>
      </c>
      <c r="F1034" s="108" t="s">
        <v>108</v>
      </c>
    </row>
    <row r="1035" spans="1:6" x14ac:dyDescent="0.3">
      <c r="A1035" s="38">
        <v>46209</v>
      </c>
      <c r="B1035" t="s">
        <v>476</v>
      </c>
      <c r="C1035" s="95">
        <v>100000</v>
      </c>
      <c r="D1035" s="95"/>
      <c r="E1035" t="s">
        <v>873</v>
      </c>
      <c r="F1035" s="108" t="s">
        <v>108</v>
      </c>
    </row>
    <row r="1036" spans="1:6" x14ac:dyDescent="0.3">
      <c r="A1036" s="111">
        <v>46209</v>
      </c>
      <c r="B1036" t="s">
        <v>674</v>
      </c>
      <c r="C1036" s="11">
        <v>150000</v>
      </c>
      <c r="D1036" s="11"/>
      <c r="E1036" t="s">
        <v>874</v>
      </c>
      <c r="F1036" s="108" t="s">
        <v>108</v>
      </c>
    </row>
    <row r="1037" spans="1:6" x14ac:dyDescent="0.3">
      <c r="A1037" s="38">
        <v>46209</v>
      </c>
      <c r="B1037" t="s">
        <v>211</v>
      </c>
      <c r="C1037" s="11">
        <v>100000</v>
      </c>
      <c r="D1037" s="11"/>
      <c r="E1037" t="s">
        <v>875</v>
      </c>
      <c r="F1037" s="108" t="s">
        <v>108</v>
      </c>
    </row>
    <row r="1038" spans="1:6" x14ac:dyDescent="0.3">
      <c r="A1038" s="111">
        <v>46209</v>
      </c>
      <c r="B1038" t="s">
        <v>826</v>
      </c>
      <c r="C1038" s="11"/>
      <c r="D1038" s="11"/>
      <c r="E1038" t="s">
        <v>876</v>
      </c>
      <c r="F1038" s="108" t="s">
        <v>108</v>
      </c>
    </row>
    <row r="1039" spans="1:6" x14ac:dyDescent="0.3">
      <c r="A1039" s="111">
        <v>46209</v>
      </c>
      <c r="B1039" t="s">
        <v>488</v>
      </c>
      <c r="C1039" s="11">
        <v>1500</v>
      </c>
      <c r="D1039" s="11"/>
      <c r="E1039" t="s">
        <v>877</v>
      </c>
      <c r="F1039" s="108" t="s">
        <v>108</v>
      </c>
    </row>
    <row r="1040" spans="1:6" x14ac:dyDescent="0.3">
      <c r="A1040" s="111">
        <v>46210</v>
      </c>
      <c r="B1040" t="s">
        <v>654</v>
      </c>
      <c r="C1040" s="11"/>
      <c r="D1040" s="11">
        <v>180000</v>
      </c>
      <c r="E1040" t="s">
        <v>894</v>
      </c>
      <c r="F1040" s="108" t="s">
        <v>108</v>
      </c>
    </row>
    <row r="1041" spans="1:6" x14ac:dyDescent="0.3">
      <c r="A1041" s="111">
        <v>46210</v>
      </c>
      <c r="B1041" t="s">
        <v>654</v>
      </c>
      <c r="C1041" s="11"/>
      <c r="D1041" s="11">
        <v>190000</v>
      </c>
      <c r="E1041" t="s">
        <v>894</v>
      </c>
      <c r="F1041" s="108" t="s">
        <v>108</v>
      </c>
    </row>
    <row r="1042" spans="1:6" x14ac:dyDescent="0.3">
      <c r="A1042" s="111">
        <v>46210</v>
      </c>
      <c r="B1042" s="117" t="s">
        <v>219</v>
      </c>
      <c r="C1042" s="11">
        <v>180000</v>
      </c>
      <c r="D1042" s="11"/>
      <c r="E1042" t="s">
        <v>895</v>
      </c>
      <c r="F1042" s="108" t="s">
        <v>108</v>
      </c>
    </row>
    <row r="1043" spans="1:6" x14ac:dyDescent="0.3">
      <c r="A1043" s="38">
        <v>46210</v>
      </c>
      <c r="B1043" t="s">
        <v>219</v>
      </c>
      <c r="C1043" s="11">
        <v>190000</v>
      </c>
      <c r="D1043" s="11"/>
      <c r="E1043" t="s">
        <v>895</v>
      </c>
      <c r="F1043" s="108" t="s">
        <v>108</v>
      </c>
    </row>
    <row r="1044" spans="1:6" x14ac:dyDescent="0.3">
      <c r="A1044" s="111">
        <v>46210</v>
      </c>
      <c r="B1044" t="s">
        <v>269</v>
      </c>
      <c r="C1044" s="11">
        <v>25000</v>
      </c>
      <c r="D1044" s="11"/>
      <c r="E1044" t="s">
        <v>252</v>
      </c>
      <c r="F1044" s="108" t="s">
        <v>108</v>
      </c>
    </row>
    <row r="1045" spans="1:6" x14ac:dyDescent="0.3">
      <c r="A1045" s="38">
        <v>46210</v>
      </c>
      <c r="B1045" t="s">
        <v>367</v>
      </c>
      <c r="C1045" s="11"/>
      <c r="D1045" s="11">
        <v>200000</v>
      </c>
      <c r="E1045" t="s">
        <v>878</v>
      </c>
      <c r="F1045" s="108" t="s">
        <v>108</v>
      </c>
    </row>
    <row r="1046" spans="1:6" x14ac:dyDescent="0.3">
      <c r="A1046" s="111">
        <v>46210</v>
      </c>
      <c r="B1046" t="s">
        <v>776</v>
      </c>
      <c r="C1046" s="11"/>
      <c r="D1046" s="11">
        <v>65000</v>
      </c>
      <c r="E1046" t="s">
        <v>879</v>
      </c>
      <c r="F1046" s="108" t="s">
        <v>108</v>
      </c>
    </row>
    <row r="1047" spans="1:6" x14ac:dyDescent="0.3">
      <c r="A1047" s="38">
        <v>46210</v>
      </c>
      <c r="B1047" t="s">
        <v>222</v>
      </c>
      <c r="C1047" s="11">
        <v>250000</v>
      </c>
      <c r="D1047" s="11"/>
      <c r="E1047" t="s">
        <v>880</v>
      </c>
      <c r="F1047" s="108" t="s">
        <v>108</v>
      </c>
    </row>
    <row r="1048" spans="1:6" x14ac:dyDescent="0.3">
      <c r="A1048" s="111">
        <v>46210</v>
      </c>
      <c r="B1048" t="s">
        <v>55</v>
      </c>
      <c r="C1048" s="11">
        <v>350</v>
      </c>
      <c r="D1048" s="11"/>
      <c r="E1048" t="s">
        <v>881</v>
      </c>
      <c r="F1048" s="108" t="s">
        <v>108</v>
      </c>
    </row>
    <row r="1049" spans="1:6" x14ac:dyDescent="0.3">
      <c r="A1049" s="38">
        <v>46210</v>
      </c>
      <c r="B1049" t="s">
        <v>116</v>
      </c>
      <c r="C1049" s="11">
        <v>18500</v>
      </c>
      <c r="D1049" s="11"/>
      <c r="E1049" t="s">
        <v>163</v>
      </c>
      <c r="F1049" s="108" t="s">
        <v>108</v>
      </c>
    </row>
    <row r="1050" spans="1:6" x14ac:dyDescent="0.3">
      <c r="A1050" s="111">
        <v>46210</v>
      </c>
      <c r="B1050" t="s">
        <v>331</v>
      </c>
      <c r="C1050" s="11">
        <v>25000</v>
      </c>
      <c r="D1050" s="11"/>
      <c r="E1050" t="s">
        <v>882</v>
      </c>
      <c r="F1050" s="108" t="s">
        <v>108</v>
      </c>
    </row>
    <row r="1051" spans="1:6" x14ac:dyDescent="0.3">
      <c r="A1051" s="38">
        <v>46210</v>
      </c>
      <c r="B1051" t="s">
        <v>357</v>
      </c>
      <c r="C1051" s="11">
        <v>2600</v>
      </c>
      <c r="D1051" s="11"/>
      <c r="E1051" t="s">
        <v>883</v>
      </c>
      <c r="F1051" s="108" t="s">
        <v>108</v>
      </c>
    </row>
    <row r="1052" spans="1:6" x14ac:dyDescent="0.3">
      <c r="A1052" s="111">
        <v>46210</v>
      </c>
      <c r="B1052" t="s">
        <v>55</v>
      </c>
      <c r="C1052" s="11">
        <v>2500</v>
      </c>
      <c r="D1052" s="11"/>
      <c r="E1052" t="s">
        <v>884</v>
      </c>
      <c r="F1052" s="108" t="s">
        <v>108</v>
      </c>
    </row>
    <row r="1053" spans="1:6" x14ac:dyDescent="0.3">
      <c r="A1053" s="38">
        <v>46210</v>
      </c>
      <c r="B1053" t="s">
        <v>488</v>
      </c>
      <c r="C1053" s="11">
        <v>200</v>
      </c>
      <c r="D1053" s="11"/>
      <c r="E1053" t="s">
        <v>885</v>
      </c>
      <c r="F1053" s="108" t="s">
        <v>108</v>
      </c>
    </row>
    <row r="1054" spans="1:6" x14ac:dyDescent="0.3">
      <c r="A1054" s="111">
        <v>46210</v>
      </c>
      <c r="B1054" t="s">
        <v>269</v>
      </c>
      <c r="C1054" s="11">
        <v>5000</v>
      </c>
      <c r="D1054" s="11"/>
      <c r="E1054" t="s">
        <v>665</v>
      </c>
      <c r="F1054" s="108" t="s">
        <v>108</v>
      </c>
    </row>
    <row r="1055" spans="1:6" x14ac:dyDescent="0.3">
      <c r="A1055" s="38">
        <v>46210</v>
      </c>
      <c r="B1055" t="s">
        <v>253</v>
      </c>
      <c r="C1055" s="11">
        <v>6000</v>
      </c>
      <c r="D1055" s="11"/>
      <c r="E1055" t="s">
        <v>886</v>
      </c>
      <c r="F1055" s="108" t="s">
        <v>108</v>
      </c>
    </row>
    <row r="1056" spans="1:6" x14ac:dyDescent="0.3">
      <c r="A1056" s="111">
        <v>46210</v>
      </c>
      <c r="B1056" t="s">
        <v>211</v>
      </c>
      <c r="C1056" s="11"/>
      <c r="D1056" s="11">
        <v>13000</v>
      </c>
      <c r="E1056" t="s">
        <v>833</v>
      </c>
      <c r="F1056" s="108" t="s">
        <v>108</v>
      </c>
    </row>
    <row r="1057" spans="1:6" x14ac:dyDescent="0.3">
      <c r="A1057" s="38">
        <v>46210</v>
      </c>
      <c r="B1057" t="s">
        <v>298</v>
      </c>
      <c r="C1057" s="11">
        <v>10000</v>
      </c>
      <c r="D1057" s="11"/>
      <c r="E1057" t="s">
        <v>693</v>
      </c>
      <c r="F1057" s="108" t="s">
        <v>108</v>
      </c>
    </row>
    <row r="1058" spans="1:6" x14ac:dyDescent="0.3">
      <c r="A1058" s="38">
        <v>46210</v>
      </c>
      <c r="B1058" t="s">
        <v>887</v>
      </c>
      <c r="C1058" s="11"/>
      <c r="D1058" s="11">
        <v>75000</v>
      </c>
      <c r="E1058" t="s">
        <v>234</v>
      </c>
      <c r="F1058" s="108" t="s">
        <v>108</v>
      </c>
    </row>
    <row r="1059" spans="1:6" x14ac:dyDescent="0.3">
      <c r="A1059" s="111">
        <v>46210</v>
      </c>
      <c r="B1059" t="s">
        <v>394</v>
      </c>
      <c r="C1059" s="95">
        <v>117810</v>
      </c>
      <c r="D1059" s="95"/>
      <c r="E1059" t="s">
        <v>888</v>
      </c>
      <c r="F1059" s="108" t="s">
        <v>108</v>
      </c>
    </row>
    <row r="1060" spans="1:6" x14ac:dyDescent="0.3">
      <c r="A1060" s="111">
        <v>46211</v>
      </c>
      <c r="B1060" t="s">
        <v>269</v>
      </c>
      <c r="C1060" s="95">
        <v>5000</v>
      </c>
      <c r="D1060" s="95"/>
      <c r="E1060" t="s">
        <v>700</v>
      </c>
      <c r="F1060" s="108" t="s">
        <v>108</v>
      </c>
    </row>
    <row r="1061" spans="1:6" x14ac:dyDescent="0.3">
      <c r="A1061" s="111">
        <v>46211</v>
      </c>
      <c r="B1061" t="s">
        <v>211</v>
      </c>
      <c r="C1061" s="11"/>
      <c r="D1061" s="11">
        <v>5000</v>
      </c>
      <c r="E1061" t="s">
        <v>833</v>
      </c>
      <c r="F1061" s="108" t="s">
        <v>108</v>
      </c>
    </row>
    <row r="1062" spans="1:6" x14ac:dyDescent="0.3">
      <c r="A1062" s="111">
        <v>46211</v>
      </c>
      <c r="B1062" t="s">
        <v>488</v>
      </c>
      <c r="C1062" s="11">
        <v>500</v>
      </c>
      <c r="D1062" s="11"/>
      <c r="E1062" t="s">
        <v>896</v>
      </c>
      <c r="F1062" s="108" t="s">
        <v>108</v>
      </c>
    </row>
    <row r="1063" spans="1:6" x14ac:dyDescent="0.3">
      <c r="A1063" s="111">
        <v>46211</v>
      </c>
      <c r="B1063" t="s">
        <v>244</v>
      </c>
      <c r="C1063" s="11">
        <f>280+2300</f>
        <v>2580</v>
      </c>
      <c r="D1063" s="11"/>
      <c r="E1063" t="s">
        <v>897</v>
      </c>
      <c r="F1063" s="108" t="s">
        <v>108</v>
      </c>
    </row>
    <row r="1064" spans="1:6" x14ac:dyDescent="0.3">
      <c r="A1064" s="111">
        <v>46211</v>
      </c>
      <c r="B1064" t="s">
        <v>55</v>
      </c>
      <c r="C1064" s="11">
        <v>800</v>
      </c>
      <c r="D1064" s="11"/>
      <c r="E1064" t="s">
        <v>898</v>
      </c>
      <c r="F1064" s="108" t="s">
        <v>108</v>
      </c>
    </row>
    <row r="1065" spans="1:6" x14ac:dyDescent="0.3">
      <c r="A1065" s="111">
        <v>46211</v>
      </c>
      <c r="B1065" t="s">
        <v>246</v>
      </c>
      <c r="C1065" s="11">
        <v>1800</v>
      </c>
      <c r="D1065" s="11"/>
      <c r="E1065" t="s">
        <v>899</v>
      </c>
      <c r="F1065" s="108" t="s">
        <v>108</v>
      </c>
    </row>
    <row r="1066" spans="1:6" x14ac:dyDescent="0.3">
      <c r="A1066" s="111">
        <v>46211</v>
      </c>
      <c r="B1066" t="s">
        <v>357</v>
      </c>
      <c r="C1066" s="11">
        <v>12000</v>
      </c>
      <c r="D1066" s="11"/>
      <c r="E1066" t="s">
        <v>900</v>
      </c>
      <c r="F1066" s="108" t="s">
        <v>108</v>
      </c>
    </row>
    <row r="1067" spans="1:6" x14ac:dyDescent="0.3">
      <c r="A1067" s="111">
        <v>46211</v>
      </c>
      <c r="B1067" t="s">
        <v>776</v>
      </c>
      <c r="C1067" s="11"/>
      <c r="D1067" s="11">
        <v>85000</v>
      </c>
      <c r="E1067" t="s">
        <v>267</v>
      </c>
      <c r="F1067" s="108" t="s">
        <v>108</v>
      </c>
    </row>
    <row r="1068" spans="1:6" x14ac:dyDescent="0.3">
      <c r="A1068" s="38">
        <v>46211</v>
      </c>
      <c r="B1068" t="s">
        <v>253</v>
      </c>
      <c r="C1068" s="11">
        <f>31500+3500</f>
        <v>35000</v>
      </c>
      <c r="D1068" s="11"/>
      <c r="E1068" t="s">
        <v>904</v>
      </c>
      <c r="F1068" s="108" t="s">
        <v>108</v>
      </c>
    </row>
    <row r="1069" spans="1:6" x14ac:dyDescent="0.3">
      <c r="A1069" s="38">
        <v>46211</v>
      </c>
      <c r="B1069" t="s">
        <v>901</v>
      </c>
      <c r="C1069" s="11"/>
      <c r="D1069" s="11">
        <v>94900</v>
      </c>
      <c r="E1069" t="s">
        <v>215</v>
      </c>
      <c r="F1069" s="108" t="s">
        <v>108</v>
      </c>
    </row>
    <row r="1070" spans="1:6" x14ac:dyDescent="0.3">
      <c r="A1070" s="38">
        <v>46211</v>
      </c>
      <c r="B1070" t="s">
        <v>253</v>
      </c>
      <c r="C1070" s="95">
        <v>10200</v>
      </c>
      <c r="D1070" s="95"/>
      <c r="E1070" t="s">
        <v>902</v>
      </c>
      <c r="F1070" s="108" t="s">
        <v>108</v>
      </c>
    </row>
    <row r="1071" spans="1:6" x14ac:dyDescent="0.3">
      <c r="A1071" s="38">
        <v>46211</v>
      </c>
      <c r="B1071" t="s">
        <v>253</v>
      </c>
      <c r="C1071" s="95">
        <v>5000</v>
      </c>
      <c r="D1071" s="95"/>
      <c r="E1071" t="s">
        <v>903</v>
      </c>
      <c r="F1071" s="108" t="s">
        <v>108</v>
      </c>
    </row>
    <row r="1072" spans="1:6" x14ac:dyDescent="0.3">
      <c r="A1072" s="38">
        <v>46211</v>
      </c>
      <c r="B1072" t="s">
        <v>269</v>
      </c>
      <c r="C1072" s="95">
        <v>7000</v>
      </c>
      <c r="D1072" s="95"/>
      <c r="E1072" t="s">
        <v>288</v>
      </c>
      <c r="F1072" s="108" t="s">
        <v>108</v>
      </c>
    </row>
    <row r="1073" spans="1:6" x14ac:dyDescent="0.3">
      <c r="A1073" s="111">
        <v>46211</v>
      </c>
      <c r="B1073" t="s">
        <v>211</v>
      </c>
      <c r="C1073" s="95">
        <f>1350+1000</f>
        <v>2350</v>
      </c>
      <c r="D1073" s="11"/>
      <c r="F1073" s="108" t="s">
        <v>108</v>
      </c>
    </row>
    <row r="1074" spans="1:6" x14ac:dyDescent="0.3">
      <c r="A1074" s="111">
        <v>46212</v>
      </c>
      <c r="B1074" t="s">
        <v>222</v>
      </c>
      <c r="C1074" s="95">
        <v>80000</v>
      </c>
      <c r="D1074" s="95"/>
      <c r="E1074" t="s">
        <v>908</v>
      </c>
      <c r="F1074" s="108" t="s">
        <v>108</v>
      </c>
    </row>
    <row r="1075" spans="1:6" x14ac:dyDescent="0.3">
      <c r="A1075" s="111">
        <v>46212</v>
      </c>
      <c r="B1075" t="s">
        <v>819</v>
      </c>
      <c r="C1075" s="11">
        <v>185350</v>
      </c>
      <c r="D1075" s="11"/>
      <c r="E1075" t="s">
        <v>909</v>
      </c>
      <c r="F1075" s="108" t="s">
        <v>108</v>
      </c>
    </row>
    <row r="1076" spans="1:6" x14ac:dyDescent="0.3">
      <c r="A1076" s="38">
        <v>46212</v>
      </c>
      <c r="B1076" t="s">
        <v>887</v>
      </c>
      <c r="C1076" s="11"/>
      <c r="D1076" s="11">
        <v>185350</v>
      </c>
      <c r="E1076" t="s">
        <v>918</v>
      </c>
      <c r="F1076" s="143" t="s">
        <v>108</v>
      </c>
    </row>
    <row r="1077" spans="1:6" x14ac:dyDescent="0.3">
      <c r="A1077" s="111">
        <v>46212</v>
      </c>
      <c r="B1077" t="s">
        <v>488</v>
      </c>
      <c r="C1077" s="11">
        <v>5000</v>
      </c>
      <c r="D1077" s="11"/>
      <c r="E1077" t="s">
        <v>872</v>
      </c>
      <c r="F1077" s="143" t="s">
        <v>108</v>
      </c>
    </row>
    <row r="1078" spans="1:6" x14ac:dyDescent="0.3">
      <c r="A1078" s="38">
        <v>46212</v>
      </c>
      <c r="B1078" t="s">
        <v>488</v>
      </c>
      <c r="C1078" s="11">
        <v>500</v>
      </c>
      <c r="D1078" s="11"/>
      <c r="E1078" t="s">
        <v>910</v>
      </c>
      <c r="F1078" s="108" t="s">
        <v>108</v>
      </c>
    </row>
    <row r="1079" spans="1:6" x14ac:dyDescent="0.3">
      <c r="A1079" s="111">
        <v>46212</v>
      </c>
      <c r="B1079" t="s">
        <v>55</v>
      </c>
      <c r="C1079" s="11">
        <v>1250</v>
      </c>
      <c r="D1079" s="11"/>
      <c r="E1079" t="s">
        <v>911</v>
      </c>
      <c r="F1079" s="108" t="s">
        <v>108</v>
      </c>
    </row>
    <row r="1080" spans="1:6" x14ac:dyDescent="0.3">
      <c r="A1080" s="38">
        <v>46212</v>
      </c>
      <c r="B1080" t="s">
        <v>55</v>
      </c>
      <c r="C1080" s="11">
        <v>1800</v>
      </c>
      <c r="D1080" s="11"/>
      <c r="E1080" t="s">
        <v>912</v>
      </c>
      <c r="F1080" s="108" t="s">
        <v>108</v>
      </c>
    </row>
    <row r="1081" spans="1:6" x14ac:dyDescent="0.3">
      <c r="A1081" s="111">
        <v>46212</v>
      </c>
      <c r="B1081" t="s">
        <v>55</v>
      </c>
      <c r="C1081" s="11">
        <v>1100</v>
      </c>
      <c r="D1081" s="11"/>
      <c r="E1081" t="s">
        <v>913</v>
      </c>
      <c r="F1081" s="108" t="s">
        <v>108</v>
      </c>
    </row>
    <row r="1082" spans="1:6" x14ac:dyDescent="0.3">
      <c r="A1082" s="38">
        <v>46212</v>
      </c>
      <c r="B1082" t="s">
        <v>55</v>
      </c>
      <c r="C1082" s="11">
        <v>3560</v>
      </c>
      <c r="D1082" s="11"/>
      <c r="E1082" t="s">
        <v>914</v>
      </c>
      <c r="F1082" s="108" t="s">
        <v>108</v>
      </c>
    </row>
    <row r="1083" spans="1:6" x14ac:dyDescent="0.3">
      <c r="A1083" s="111">
        <v>46212</v>
      </c>
      <c r="B1083" t="s">
        <v>488</v>
      </c>
      <c r="C1083" s="11">
        <v>800</v>
      </c>
      <c r="D1083" s="11"/>
      <c r="E1083" t="s">
        <v>462</v>
      </c>
      <c r="F1083" s="108" t="s">
        <v>108</v>
      </c>
    </row>
    <row r="1084" spans="1:6" x14ac:dyDescent="0.3">
      <c r="A1084" s="38">
        <v>46212</v>
      </c>
      <c r="B1084" t="s">
        <v>915</v>
      </c>
      <c r="C1084" s="11"/>
      <c r="D1084" s="11">
        <v>85000</v>
      </c>
      <c r="E1084" t="s">
        <v>916</v>
      </c>
      <c r="F1084" s="108" t="s">
        <v>108</v>
      </c>
    </row>
    <row r="1085" spans="1:6" x14ac:dyDescent="0.3">
      <c r="A1085" s="111">
        <v>46212</v>
      </c>
      <c r="B1085" t="s">
        <v>915</v>
      </c>
      <c r="C1085" s="11"/>
      <c r="D1085" s="11">
        <v>6000</v>
      </c>
      <c r="E1085" t="s">
        <v>320</v>
      </c>
      <c r="F1085" s="108" t="s">
        <v>108</v>
      </c>
    </row>
    <row r="1086" spans="1:6" x14ac:dyDescent="0.3">
      <c r="A1086" s="38">
        <v>46212</v>
      </c>
      <c r="B1086" t="s">
        <v>55</v>
      </c>
      <c r="C1086" s="11">
        <v>1200</v>
      </c>
      <c r="D1086" s="11"/>
      <c r="E1086" t="s">
        <v>917</v>
      </c>
      <c r="F1086" s="108" t="s">
        <v>108</v>
      </c>
    </row>
    <row r="1087" spans="1:6" x14ac:dyDescent="0.3">
      <c r="A1087" s="111">
        <v>46212</v>
      </c>
      <c r="B1087" t="s">
        <v>55</v>
      </c>
      <c r="C1087" s="95">
        <v>1350</v>
      </c>
      <c r="D1087" s="95"/>
      <c r="E1087" t="s">
        <v>919</v>
      </c>
      <c r="F1087" s="108" t="s">
        <v>108</v>
      </c>
    </row>
    <row r="1088" spans="1:6" x14ac:dyDescent="0.3">
      <c r="A1088" s="38">
        <v>46212</v>
      </c>
      <c r="B1088" t="s">
        <v>222</v>
      </c>
      <c r="C1088" s="11">
        <v>46850</v>
      </c>
      <c r="D1088" s="11"/>
      <c r="E1088" t="s">
        <v>908</v>
      </c>
      <c r="F1088" s="108" t="s">
        <v>108</v>
      </c>
    </row>
    <row r="1089" spans="1:6" x14ac:dyDescent="0.3">
      <c r="A1089" s="111">
        <v>46212</v>
      </c>
      <c r="B1089" t="s">
        <v>244</v>
      </c>
      <c r="C1089" s="11">
        <v>2450</v>
      </c>
      <c r="D1089" s="11"/>
      <c r="E1089" t="s">
        <v>920</v>
      </c>
      <c r="F1089" s="108" t="s">
        <v>108</v>
      </c>
    </row>
    <row r="1090" spans="1:6" x14ac:dyDescent="0.3">
      <c r="A1090" s="38">
        <v>46212</v>
      </c>
      <c r="B1090" t="s">
        <v>766</v>
      </c>
      <c r="C1090" s="11">
        <v>15000</v>
      </c>
      <c r="D1090" s="11"/>
      <c r="E1090" t="s">
        <v>921</v>
      </c>
      <c r="F1090" s="108" t="s">
        <v>108</v>
      </c>
    </row>
    <row r="1091" spans="1:6" x14ac:dyDescent="0.3">
      <c r="A1091" s="38">
        <v>46212</v>
      </c>
      <c r="B1091" t="s">
        <v>246</v>
      </c>
      <c r="C1091" s="11">
        <v>10000</v>
      </c>
      <c r="D1091" s="11"/>
      <c r="E1091" t="s">
        <v>922</v>
      </c>
      <c r="F1091" s="108" t="s">
        <v>108</v>
      </c>
    </row>
    <row r="1092" spans="1:6" x14ac:dyDescent="0.3">
      <c r="A1092" s="38">
        <v>46212</v>
      </c>
      <c r="B1092" t="s">
        <v>488</v>
      </c>
      <c r="C1092" s="95">
        <v>2000</v>
      </c>
      <c r="D1092" s="95"/>
      <c r="E1092" t="s">
        <v>923</v>
      </c>
      <c r="F1092" s="108" t="s">
        <v>108</v>
      </c>
    </row>
    <row r="1093" spans="1:6" x14ac:dyDescent="0.3">
      <c r="A1093" s="38">
        <v>46212</v>
      </c>
      <c r="B1093" t="s">
        <v>517</v>
      </c>
      <c r="C1093" s="95">
        <v>400000</v>
      </c>
      <c r="D1093" s="95"/>
      <c r="E1093" t="s">
        <v>924</v>
      </c>
      <c r="F1093" s="108" t="s">
        <v>108</v>
      </c>
    </row>
    <row r="1094" spans="1:6" x14ac:dyDescent="0.3">
      <c r="A1094" s="38">
        <v>46212</v>
      </c>
      <c r="B1094" t="s">
        <v>887</v>
      </c>
      <c r="C1094" s="95"/>
      <c r="D1094" s="95">
        <v>400000</v>
      </c>
      <c r="E1094" t="s">
        <v>517</v>
      </c>
      <c r="F1094" s="108" t="s">
        <v>108</v>
      </c>
    </row>
    <row r="1095" spans="1:6" x14ac:dyDescent="0.3">
      <c r="A1095" s="38">
        <v>46212</v>
      </c>
      <c r="B1095" t="s">
        <v>219</v>
      </c>
      <c r="C1095" s="95"/>
      <c r="D1095" s="95">
        <v>170000</v>
      </c>
      <c r="E1095" t="s">
        <v>925</v>
      </c>
      <c r="F1095" s="108" t="s">
        <v>108</v>
      </c>
    </row>
    <row r="1096" spans="1:6" x14ac:dyDescent="0.3">
      <c r="A1096" s="38">
        <v>46212</v>
      </c>
      <c r="B1096" t="s">
        <v>674</v>
      </c>
      <c r="C1096" s="95">
        <v>200000</v>
      </c>
      <c r="D1096" s="95"/>
      <c r="E1096" t="s">
        <v>926</v>
      </c>
      <c r="F1096" s="108" t="s">
        <v>108</v>
      </c>
    </row>
    <row r="1097" spans="1:6" x14ac:dyDescent="0.3">
      <c r="A1097" s="38">
        <v>46213</v>
      </c>
      <c r="B1097" t="s">
        <v>887</v>
      </c>
      <c r="C1097" s="95"/>
      <c r="D1097" s="95">
        <v>36000</v>
      </c>
      <c r="E1097" t="s">
        <v>927</v>
      </c>
      <c r="F1097" s="108" t="s">
        <v>108</v>
      </c>
    </row>
    <row r="1098" spans="1:6" x14ac:dyDescent="0.3">
      <c r="A1098" s="111">
        <v>46213</v>
      </c>
      <c r="B1098" t="s">
        <v>222</v>
      </c>
      <c r="C1098" s="95">
        <v>36000</v>
      </c>
      <c r="D1098" s="95"/>
      <c r="E1098" t="s">
        <v>908</v>
      </c>
      <c r="F1098" s="108" t="s">
        <v>108</v>
      </c>
    </row>
    <row r="1099" spans="1:6" x14ac:dyDescent="0.3">
      <c r="A1099" s="111">
        <v>46213</v>
      </c>
      <c r="B1099" t="s">
        <v>887</v>
      </c>
      <c r="C1099" s="95"/>
      <c r="D1099" s="95">
        <v>80000</v>
      </c>
      <c r="E1099" t="s">
        <v>930</v>
      </c>
      <c r="F1099" s="108" t="s">
        <v>108</v>
      </c>
    </row>
    <row r="1100" spans="1:6" x14ac:dyDescent="0.3">
      <c r="A1100" s="111">
        <v>46213</v>
      </c>
      <c r="B1100" t="s">
        <v>253</v>
      </c>
      <c r="C1100" s="11">
        <v>80000</v>
      </c>
      <c r="D1100" s="11"/>
      <c r="E1100" t="s">
        <v>931</v>
      </c>
      <c r="F1100" s="108" t="s">
        <v>932</v>
      </c>
    </row>
    <row r="1101" spans="1:6" x14ac:dyDescent="0.3">
      <c r="A1101" s="111">
        <v>46213</v>
      </c>
      <c r="B1101" t="s">
        <v>219</v>
      </c>
      <c r="C1101" s="11"/>
      <c r="D1101" s="11">
        <v>280000</v>
      </c>
      <c r="E1101" t="s">
        <v>933</v>
      </c>
      <c r="F1101" s="108" t="s">
        <v>108</v>
      </c>
    </row>
    <row r="1102" spans="1:6" x14ac:dyDescent="0.3">
      <c r="A1102" s="111">
        <v>46213</v>
      </c>
      <c r="B1102" t="s">
        <v>222</v>
      </c>
      <c r="C1102" s="11">
        <v>300000</v>
      </c>
      <c r="D1102" s="11"/>
      <c r="E1102" t="s">
        <v>934</v>
      </c>
      <c r="F1102" s="108" t="s">
        <v>108</v>
      </c>
    </row>
    <row r="1103" spans="1:6" x14ac:dyDescent="0.3">
      <c r="A1103" s="111">
        <v>46213</v>
      </c>
      <c r="B1103" t="s">
        <v>887</v>
      </c>
      <c r="C1103" s="11"/>
      <c r="D1103" s="11">
        <v>24000</v>
      </c>
      <c r="F1103" s="108" t="s">
        <v>108</v>
      </c>
    </row>
    <row r="1104" spans="1:6" x14ac:dyDescent="0.3">
      <c r="A1104" s="111">
        <v>46213</v>
      </c>
      <c r="B1104" t="s">
        <v>386</v>
      </c>
      <c r="C1104" s="11">
        <v>4480</v>
      </c>
      <c r="D1104" s="11"/>
      <c r="E1104" t="s">
        <v>935</v>
      </c>
      <c r="F1104" s="108" t="s">
        <v>108</v>
      </c>
    </row>
    <row r="1105" spans="1:6" x14ac:dyDescent="0.3">
      <c r="A1105" s="111">
        <v>46213</v>
      </c>
      <c r="B1105" t="s">
        <v>792</v>
      </c>
      <c r="C1105" s="95"/>
      <c r="D1105" s="95">
        <v>100000</v>
      </c>
      <c r="F1105" s="108" t="s">
        <v>108</v>
      </c>
    </row>
    <row r="1106" spans="1:6" x14ac:dyDescent="0.3">
      <c r="A1106" s="111">
        <v>46214</v>
      </c>
      <c r="B1106" t="s">
        <v>928</v>
      </c>
      <c r="C1106" s="11"/>
      <c r="D1106" s="11">
        <v>488600</v>
      </c>
      <c r="F1106" s="108" t="s">
        <v>108</v>
      </c>
    </row>
    <row r="1107" spans="1:6" x14ac:dyDescent="0.3">
      <c r="A1107" s="111">
        <v>46214</v>
      </c>
      <c r="B1107" t="s">
        <v>219</v>
      </c>
      <c r="C1107" s="11">
        <v>488600</v>
      </c>
      <c r="D1107" s="11"/>
      <c r="E1107" t="s">
        <v>936</v>
      </c>
      <c r="F1107" s="108" t="s">
        <v>108</v>
      </c>
    </row>
    <row r="1108" spans="1:6" x14ac:dyDescent="0.3">
      <c r="A1108" s="111">
        <v>46214</v>
      </c>
      <c r="B1108" t="s">
        <v>219</v>
      </c>
      <c r="C1108" s="11">
        <v>100000</v>
      </c>
      <c r="D1108" s="11"/>
      <c r="E1108" t="s">
        <v>280</v>
      </c>
      <c r="F1108" s="108" t="s">
        <v>108</v>
      </c>
    </row>
    <row r="1109" spans="1:6" x14ac:dyDescent="0.3">
      <c r="A1109" s="111">
        <v>46214</v>
      </c>
      <c r="B1109" t="s">
        <v>488</v>
      </c>
      <c r="C1109" s="11">
        <v>500</v>
      </c>
      <c r="D1109" s="11"/>
      <c r="E1109" t="s">
        <v>937</v>
      </c>
      <c r="F1109" s="108" t="s">
        <v>108</v>
      </c>
    </row>
    <row r="1110" spans="1:6" x14ac:dyDescent="0.3">
      <c r="A1110" s="111">
        <v>46214</v>
      </c>
      <c r="B1110" t="s">
        <v>269</v>
      </c>
      <c r="C1110" s="11">
        <v>5000</v>
      </c>
      <c r="D1110" s="11"/>
      <c r="E1110" t="s">
        <v>864</v>
      </c>
      <c r="F1110" s="108" t="s">
        <v>108</v>
      </c>
    </row>
    <row r="1111" spans="1:6" x14ac:dyDescent="0.3">
      <c r="A1111" s="111">
        <v>46214</v>
      </c>
      <c r="B1111" t="s">
        <v>55</v>
      </c>
      <c r="C1111" s="11">
        <v>460</v>
      </c>
      <c r="D1111" s="11"/>
      <c r="E1111" t="s">
        <v>938</v>
      </c>
      <c r="F1111" s="108" t="s">
        <v>108</v>
      </c>
    </row>
    <row r="1112" spans="1:6" x14ac:dyDescent="0.3">
      <c r="A1112" s="111">
        <v>46214</v>
      </c>
      <c r="B1112" t="s">
        <v>55</v>
      </c>
      <c r="C1112" s="11">
        <v>3500</v>
      </c>
      <c r="D1112" s="11"/>
      <c r="E1112" t="s">
        <v>939</v>
      </c>
      <c r="F1112" s="108" t="s">
        <v>108</v>
      </c>
    </row>
    <row r="1113" spans="1:6" x14ac:dyDescent="0.3">
      <c r="A1113" s="111">
        <v>46214</v>
      </c>
      <c r="B1113" t="s">
        <v>298</v>
      </c>
      <c r="C1113" s="95">
        <v>49410</v>
      </c>
      <c r="D1113" s="95"/>
      <c r="E1113" t="s">
        <v>940</v>
      </c>
      <c r="F1113" s="108" t="s">
        <v>108</v>
      </c>
    </row>
    <row r="1114" spans="1:6" x14ac:dyDescent="0.3">
      <c r="A1114" s="111">
        <v>46214</v>
      </c>
      <c r="B1114" t="s">
        <v>892</v>
      </c>
      <c r="C1114" s="11"/>
      <c r="D1114" s="11">
        <v>100000</v>
      </c>
      <c r="F1114" s="108" t="s">
        <v>108</v>
      </c>
    </row>
    <row r="1115" spans="1:6" x14ac:dyDescent="0.3">
      <c r="A1115" s="111">
        <v>46214</v>
      </c>
      <c r="B1115" t="s">
        <v>55</v>
      </c>
      <c r="C1115" s="11">
        <v>3400</v>
      </c>
      <c r="D1115" s="11"/>
      <c r="E1115" t="s">
        <v>941</v>
      </c>
      <c r="F1115" s="108" t="s">
        <v>108</v>
      </c>
    </row>
    <row r="1116" spans="1:6" x14ac:dyDescent="0.3">
      <c r="A1116" s="111">
        <v>46214</v>
      </c>
      <c r="B1116" t="s">
        <v>488</v>
      </c>
      <c r="C1116" s="11">
        <v>5000</v>
      </c>
      <c r="D1116" s="11"/>
      <c r="E1116" t="s">
        <v>872</v>
      </c>
      <c r="F1116" s="108" t="s">
        <v>108</v>
      </c>
    </row>
    <row r="1117" spans="1:6" x14ac:dyDescent="0.3">
      <c r="A1117" s="111">
        <v>46214</v>
      </c>
      <c r="B1117" t="s">
        <v>269</v>
      </c>
      <c r="C1117" s="11">
        <v>5000</v>
      </c>
      <c r="D1117" s="11"/>
      <c r="E1117" t="s">
        <v>288</v>
      </c>
      <c r="F1117" s="108" t="s">
        <v>108</v>
      </c>
    </row>
    <row r="1118" spans="1:6" x14ac:dyDescent="0.3">
      <c r="A1118" s="111">
        <v>46215</v>
      </c>
      <c r="B1118" t="s">
        <v>654</v>
      </c>
      <c r="C1118" s="11"/>
      <c r="D1118" s="11">
        <v>200000</v>
      </c>
      <c r="E1118" t="s">
        <v>944</v>
      </c>
      <c r="F1118" s="108" t="s">
        <v>108</v>
      </c>
    </row>
    <row r="1119" spans="1:6" x14ac:dyDescent="0.3">
      <c r="A1119" s="38">
        <v>46215</v>
      </c>
      <c r="B1119" t="s">
        <v>654</v>
      </c>
      <c r="C1119" s="95"/>
      <c r="D1119" s="95">
        <v>200000</v>
      </c>
      <c r="E1119" t="s">
        <v>945</v>
      </c>
      <c r="F1119" s="108" t="s">
        <v>108</v>
      </c>
    </row>
    <row r="1120" spans="1:6" x14ac:dyDescent="0.3">
      <c r="A1120" s="38">
        <v>46215</v>
      </c>
      <c r="B1120" t="s">
        <v>654</v>
      </c>
      <c r="C1120" s="95"/>
      <c r="D1120" s="95">
        <v>200000</v>
      </c>
      <c r="E1120" t="s">
        <v>946</v>
      </c>
      <c r="F1120" s="108" t="s">
        <v>108</v>
      </c>
    </row>
    <row r="1121" spans="1:6" x14ac:dyDescent="0.3">
      <c r="A1121" s="38">
        <v>46215</v>
      </c>
      <c r="B1121" t="s">
        <v>219</v>
      </c>
      <c r="C1121" s="95">
        <v>600000</v>
      </c>
      <c r="D1121" s="95"/>
      <c r="E1121" t="s">
        <v>947</v>
      </c>
      <c r="F1121" s="108" t="s">
        <v>108</v>
      </c>
    </row>
    <row r="1122" spans="1:6" x14ac:dyDescent="0.3">
      <c r="A1122" s="38">
        <v>46215</v>
      </c>
      <c r="B1122" t="s">
        <v>357</v>
      </c>
      <c r="C1122" s="95">
        <v>2860</v>
      </c>
      <c r="D1122" s="95"/>
      <c r="F1122" s="108" t="s">
        <v>108</v>
      </c>
    </row>
    <row r="1123" spans="1:6" x14ac:dyDescent="0.3">
      <c r="A1123" s="38">
        <v>46216</v>
      </c>
      <c r="B1123" t="s">
        <v>269</v>
      </c>
      <c r="C1123" s="95">
        <v>3500</v>
      </c>
      <c r="D1123" s="95"/>
      <c r="E1123" t="s">
        <v>538</v>
      </c>
      <c r="F1123" s="108" t="s">
        <v>108</v>
      </c>
    </row>
    <row r="1124" spans="1:6" x14ac:dyDescent="0.3">
      <c r="A1124" s="111">
        <v>46216</v>
      </c>
      <c r="B1124" t="s">
        <v>244</v>
      </c>
      <c r="C1124" s="95">
        <v>1000</v>
      </c>
      <c r="D1124" s="95"/>
      <c r="E1124" t="s">
        <v>958</v>
      </c>
      <c r="F1124" s="108"/>
    </row>
    <row r="1125" spans="1:6" x14ac:dyDescent="0.3">
      <c r="A1125" s="38">
        <v>46216</v>
      </c>
      <c r="B1125" t="s">
        <v>55</v>
      </c>
      <c r="C1125" s="95">
        <v>160</v>
      </c>
      <c r="D1125" s="95"/>
      <c r="E1125" t="s">
        <v>948</v>
      </c>
      <c r="F1125" s="108" t="s">
        <v>108</v>
      </c>
    </row>
    <row r="1126" spans="1:6" x14ac:dyDescent="0.3">
      <c r="A1126" s="38">
        <v>46216</v>
      </c>
      <c r="B1126" t="s">
        <v>269</v>
      </c>
      <c r="C1126" s="95">
        <v>5000</v>
      </c>
      <c r="D1126" s="95"/>
      <c r="E1126" t="s">
        <v>949</v>
      </c>
      <c r="F1126" s="108" t="s">
        <v>108</v>
      </c>
    </row>
    <row r="1127" spans="1:6" x14ac:dyDescent="0.3">
      <c r="A1127" s="38">
        <v>46216</v>
      </c>
      <c r="B1127" t="s">
        <v>55</v>
      </c>
      <c r="C1127" s="95">
        <v>1250</v>
      </c>
      <c r="D1127" s="95"/>
      <c r="E1127" t="s">
        <v>950</v>
      </c>
      <c r="F1127" s="108" t="s">
        <v>108</v>
      </c>
    </row>
    <row r="1128" spans="1:6" x14ac:dyDescent="0.3">
      <c r="A1128" s="38">
        <v>46216</v>
      </c>
      <c r="B1128" t="s">
        <v>357</v>
      </c>
      <c r="C1128" s="95">
        <v>12000</v>
      </c>
      <c r="D1128" s="95"/>
      <c r="E1128" t="s">
        <v>392</v>
      </c>
      <c r="F1128" s="108" t="s">
        <v>108</v>
      </c>
    </row>
    <row r="1129" spans="1:6" x14ac:dyDescent="0.3">
      <c r="A1129" s="38">
        <v>46217</v>
      </c>
      <c r="B1129" t="s">
        <v>488</v>
      </c>
      <c r="C1129" s="95">
        <v>920</v>
      </c>
      <c r="D1129" s="95"/>
      <c r="E1129" t="s">
        <v>541</v>
      </c>
      <c r="F1129" s="108" t="s">
        <v>108</v>
      </c>
    </row>
    <row r="1130" spans="1:6" x14ac:dyDescent="0.3">
      <c r="A1130" s="38">
        <v>46217</v>
      </c>
      <c r="B1130" t="s">
        <v>211</v>
      </c>
      <c r="C1130" s="95"/>
      <c r="D1130" s="95">
        <v>15000</v>
      </c>
      <c r="E1130" t="s">
        <v>903</v>
      </c>
      <c r="F1130" s="108" t="s">
        <v>108</v>
      </c>
    </row>
    <row r="1131" spans="1:6" x14ac:dyDescent="0.3">
      <c r="A1131" s="38">
        <v>46217</v>
      </c>
      <c r="B1131" t="s">
        <v>253</v>
      </c>
      <c r="C1131" s="95">
        <v>15000</v>
      </c>
      <c r="D1131" s="95"/>
      <c r="E1131" t="s">
        <v>903</v>
      </c>
      <c r="F1131" s="108" t="s">
        <v>108</v>
      </c>
    </row>
    <row r="1132" spans="1:6" x14ac:dyDescent="0.3">
      <c r="A1132" s="38">
        <v>46217</v>
      </c>
      <c r="B1132" t="s">
        <v>219</v>
      </c>
      <c r="C1132" s="95"/>
      <c r="D1132" s="95">
        <v>63000</v>
      </c>
      <c r="E1132" t="s">
        <v>951</v>
      </c>
      <c r="F1132" s="108" t="s">
        <v>108</v>
      </c>
    </row>
    <row r="1133" spans="1:6" x14ac:dyDescent="0.3">
      <c r="A1133" s="38">
        <v>46217</v>
      </c>
      <c r="B1133" t="s">
        <v>269</v>
      </c>
      <c r="C1133" s="95">
        <v>50000</v>
      </c>
      <c r="D1133" s="95"/>
      <c r="E1133" t="s">
        <v>700</v>
      </c>
      <c r="F1133" s="108" t="s">
        <v>108</v>
      </c>
    </row>
    <row r="1134" spans="1:6" x14ac:dyDescent="0.3">
      <c r="A1134" s="38">
        <v>46217</v>
      </c>
      <c r="B1134" t="s">
        <v>269</v>
      </c>
      <c r="C1134" s="95">
        <v>8000</v>
      </c>
      <c r="D1134" s="95"/>
      <c r="E1134" t="s">
        <v>260</v>
      </c>
      <c r="F1134" s="108" t="s">
        <v>108</v>
      </c>
    </row>
    <row r="1135" spans="1:6" x14ac:dyDescent="0.3">
      <c r="A1135" s="111">
        <v>46217</v>
      </c>
      <c r="B1135" t="s">
        <v>211</v>
      </c>
      <c r="C1135" s="95"/>
      <c r="D1135" s="95">
        <v>1000</v>
      </c>
      <c r="E1135" t="s">
        <v>109</v>
      </c>
      <c r="F1135" s="108" t="s">
        <v>108</v>
      </c>
    </row>
    <row r="1136" spans="1:6" x14ac:dyDescent="0.3">
      <c r="A1136" s="38">
        <v>46217</v>
      </c>
      <c r="B1136" t="s">
        <v>488</v>
      </c>
      <c r="C1136" s="95">
        <v>500</v>
      </c>
      <c r="D1136" s="95"/>
      <c r="E1136" t="s">
        <v>952</v>
      </c>
      <c r="F1136" s="108" t="s">
        <v>108</v>
      </c>
    </row>
    <row r="1137" spans="1:6" x14ac:dyDescent="0.3">
      <c r="A1137" s="38">
        <v>46217</v>
      </c>
      <c r="B1137" t="s">
        <v>246</v>
      </c>
      <c r="C1137" s="95">
        <v>12000</v>
      </c>
      <c r="D1137" s="95"/>
      <c r="E1137" t="s">
        <v>953</v>
      </c>
      <c r="F1137" s="108" t="s">
        <v>108</v>
      </c>
    </row>
    <row r="1138" spans="1:6" x14ac:dyDescent="0.3">
      <c r="A1138" s="38">
        <v>46217</v>
      </c>
      <c r="B1138" t="s">
        <v>219</v>
      </c>
      <c r="C1138" s="95"/>
      <c r="D1138" s="95">
        <v>12000</v>
      </c>
      <c r="E1138" t="s">
        <v>953</v>
      </c>
      <c r="F1138" s="108" t="s">
        <v>108</v>
      </c>
    </row>
    <row r="1139" spans="1:6" x14ac:dyDescent="0.3">
      <c r="A1139" s="38">
        <v>46217</v>
      </c>
      <c r="B1139" t="s">
        <v>488</v>
      </c>
      <c r="C1139" s="95">
        <v>5000</v>
      </c>
      <c r="D1139" s="95"/>
      <c r="E1139" t="s">
        <v>872</v>
      </c>
      <c r="F1139" s="108" t="s">
        <v>108</v>
      </c>
    </row>
    <row r="1140" spans="1:6" x14ac:dyDescent="0.3">
      <c r="A1140" s="38">
        <v>46218</v>
      </c>
      <c r="B1140" t="s">
        <v>55</v>
      </c>
      <c r="C1140" s="95">
        <v>3560</v>
      </c>
      <c r="D1140" s="95"/>
      <c r="F1140" s="108" t="s">
        <v>108</v>
      </c>
    </row>
    <row r="1141" spans="1:6" x14ac:dyDescent="0.3">
      <c r="A1141" s="38">
        <v>46218</v>
      </c>
      <c r="B1141" t="s">
        <v>386</v>
      </c>
      <c r="C1141" s="95">
        <v>1540</v>
      </c>
      <c r="D1141" s="95"/>
      <c r="E1141" t="s">
        <v>954</v>
      </c>
      <c r="F1141" s="108" t="s">
        <v>108</v>
      </c>
    </row>
    <row r="1142" spans="1:6" x14ac:dyDescent="0.3">
      <c r="A1142" s="38">
        <v>46218</v>
      </c>
      <c r="B1142" t="s">
        <v>211</v>
      </c>
      <c r="C1142" s="95"/>
      <c r="D1142" s="95">
        <v>3050</v>
      </c>
      <c r="E1142" t="s">
        <v>955</v>
      </c>
      <c r="F1142" s="108" t="s">
        <v>108</v>
      </c>
    </row>
    <row r="1143" spans="1:6" x14ac:dyDescent="0.3">
      <c r="A1143" s="38">
        <v>46218</v>
      </c>
      <c r="B1143" t="s">
        <v>386</v>
      </c>
      <c r="C1143" s="95">
        <v>3050</v>
      </c>
      <c r="D1143" s="95"/>
      <c r="E1143" t="s">
        <v>955</v>
      </c>
      <c r="F1143" s="108" t="s">
        <v>108</v>
      </c>
    </row>
    <row r="1144" spans="1:6" x14ac:dyDescent="0.3">
      <c r="A1144" s="38">
        <v>46218</v>
      </c>
      <c r="B1144" t="s">
        <v>219</v>
      </c>
      <c r="C1144" s="95"/>
      <c r="D1144" s="95">
        <v>146950</v>
      </c>
      <c r="E1144" t="s">
        <v>956</v>
      </c>
      <c r="F1144" s="108" t="s">
        <v>108</v>
      </c>
    </row>
    <row r="1145" spans="1:6" x14ac:dyDescent="0.3">
      <c r="A1145" s="38">
        <v>46218</v>
      </c>
      <c r="B1145" t="s">
        <v>211</v>
      </c>
      <c r="C1145" s="95"/>
      <c r="D1145" s="95">
        <v>2500</v>
      </c>
      <c r="F1145" s="108" t="s">
        <v>108</v>
      </c>
    </row>
    <row r="1146" spans="1:6" x14ac:dyDescent="0.3">
      <c r="A1146" s="38">
        <v>46218</v>
      </c>
      <c r="B1146" t="s">
        <v>674</v>
      </c>
      <c r="C1146" s="95">
        <v>150000</v>
      </c>
      <c r="D1146" s="95"/>
      <c r="E1146" t="s">
        <v>957</v>
      </c>
      <c r="F1146" s="108" t="s">
        <v>108</v>
      </c>
    </row>
    <row r="1147" spans="1:6" x14ac:dyDescent="0.3">
      <c r="A1147" s="111">
        <v>46219</v>
      </c>
      <c r="B1147" t="s">
        <v>488</v>
      </c>
      <c r="C1147" s="11">
        <v>800</v>
      </c>
      <c r="D1147" s="11"/>
      <c r="E1147" t="s">
        <v>462</v>
      </c>
      <c r="F1147" s="108" t="s">
        <v>108</v>
      </c>
    </row>
    <row r="1148" spans="1:6" x14ac:dyDescent="0.3">
      <c r="A1148" s="111">
        <v>46219</v>
      </c>
      <c r="B1148" t="s">
        <v>246</v>
      </c>
      <c r="C1148" s="11">
        <v>2000</v>
      </c>
      <c r="D1148" s="11"/>
      <c r="E1148" t="s">
        <v>282</v>
      </c>
      <c r="F1148" s="108" t="s">
        <v>108</v>
      </c>
    </row>
    <row r="1149" spans="1:6" x14ac:dyDescent="0.3">
      <c r="A1149" s="111">
        <v>46219</v>
      </c>
      <c r="B1149" t="s">
        <v>222</v>
      </c>
      <c r="C1149" s="11">
        <v>200000</v>
      </c>
      <c r="D1149" s="11"/>
      <c r="E1149" t="s">
        <v>959</v>
      </c>
      <c r="F1149" s="108" t="s">
        <v>108</v>
      </c>
    </row>
    <row r="1150" spans="1:6" x14ac:dyDescent="0.3">
      <c r="A1150" s="111">
        <v>46219</v>
      </c>
      <c r="B1150" t="s">
        <v>905</v>
      </c>
      <c r="C1150" s="11">
        <v>255750</v>
      </c>
      <c r="D1150" s="11"/>
      <c r="E1150" t="s">
        <v>960</v>
      </c>
      <c r="F1150" s="108" t="s">
        <v>108</v>
      </c>
    </row>
    <row r="1151" spans="1:6" x14ac:dyDescent="0.3">
      <c r="A1151" s="111">
        <v>46219</v>
      </c>
      <c r="B1151" t="s">
        <v>219</v>
      </c>
      <c r="C1151" s="11"/>
      <c r="D1151" s="11">
        <v>425000</v>
      </c>
      <c r="E1151" t="s">
        <v>961</v>
      </c>
      <c r="F1151" s="108" t="s">
        <v>108</v>
      </c>
    </row>
    <row r="1152" spans="1:6" x14ac:dyDescent="0.3">
      <c r="A1152" s="111">
        <v>46219</v>
      </c>
      <c r="B1152" t="s">
        <v>219</v>
      </c>
      <c r="C1152" s="11"/>
      <c r="D1152" s="11">
        <v>34800</v>
      </c>
      <c r="E1152" t="s">
        <v>962</v>
      </c>
      <c r="F1152" s="108" t="s">
        <v>108</v>
      </c>
    </row>
    <row r="1153" spans="1:6" x14ac:dyDescent="0.3">
      <c r="A1153" s="111">
        <v>46219</v>
      </c>
      <c r="B1153" t="s">
        <v>488</v>
      </c>
      <c r="C1153" s="11">
        <v>1500</v>
      </c>
      <c r="D1153" s="11"/>
      <c r="E1153" t="s">
        <v>963</v>
      </c>
      <c r="F1153" s="108" t="s">
        <v>108</v>
      </c>
    </row>
    <row r="1154" spans="1:6" x14ac:dyDescent="0.3">
      <c r="A1154" s="111">
        <v>46219</v>
      </c>
      <c r="B1154" t="s">
        <v>357</v>
      </c>
      <c r="C1154" s="11">
        <v>14080</v>
      </c>
      <c r="D1154" s="11"/>
      <c r="F1154" s="108" t="s">
        <v>108</v>
      </c>
    </row>
    <row r="1155" spans="1:6" x14ac:dyDescent="0.3">
      <c r="A1155" s="111">
        <v>46219</v>
      </c>
      <c r="B1155" t="s">
        <v>116</v>
      </c>
      <c r="C1155" s="11">
        <v>15500</v>
      </c>
      <c r="D1155" s="11"/>
      <c r="E1155" t="s">
        <v>163</v>
      </c>
      <c r="F1155" s="108" t="s">
        <v>108</v>
      </c>
    </row>
    <row r="1156" spans="1:6" x14ac:dyDescent="0.3">
      <c r="A1156" s="111">
        <v>46219</v>
      </c>
      <c r="B1156" t="s">
        <v>219</v>
      </c>
      <c r="C1156" s="11"/>
      <c r="D1156" s="11">
        <v>20000</v>
      </c>
      <c r="E1156" t="s">
        <v>970</v>
      </c>
      <c r="F1156" s="108" t="s">
        <v>108</v>
      </c>
    </row>
    <row r="1157" spans="1:6" x14ac:dyDescent="0.3">
      <c r="A1157" s="111">
        <v>46219</v>
      </c>
      <c r="B1157" t="s">
        <v>219</v>
      </c>
      <c r="C1157" s="11"/>
      <c r="D1157" s="11">
        <v>15500</v>
      </c>
      <c r="E1157" t="s">
        <v>163</v>
      </c>
      <c r="F1157" s="108" t="s">
        <v>108</v>
      </c>
    </row>
    <row r="1158" spans="1:6" x14ac:dyDescent="0.3">
      <c r="A1158" s="111">
        <v>46219</v>
      </c>
      <c r="B1158" t="s">
        <v>488</v>
      </c>
      <c r="C1158" s="11">
        <v>5000</v>
      </c>
      <c r="D1158" s="11"/>
      <c r="E1158" t="s">
        <v>872</v>
      </c>
      <c r="F1158" s="108" t="s">
        <v>108</v>
      </c>
    </row>
    <row r="1159" spans="1:6" x14ac:dyDescent="0.3">
      <c r="A1159" s="111">
        <v>46220</v>
      </c>
      <c r="B1159" t="s">
        <v>269</v>
      </c>
      <c r="C1159" s="11">
        <v>5000</v>
      </c>
      <c r="D1159" s="11"/>
      <c r="E1159" t="s">
        <v>665</v>
      </c>
      <c r="F1159" s="108" t="s">
        <v>108</v>
      </c>
    </row>
    <row r="1160" spans="1:6" x14ac:dyDescent="0.3">
      <c r="A1160" s="111">
        <v>46220</v>
      </c>
      <c r="B1160" t="s">
        <v>211</v>
      </c>
      <c r="C1160" s="11"/>
      <c r="D1160" s="11">
        <v>5000</v>
      </c>
      <c r="E1160" t="s">
        <v>665</v>
      </c>
      <c r="F1160" s="108" t="s">
        <v>108</v>
      </c>
    </row>
    <row r="1161" spans="1:6" x14ac:dyDescent="0.3">
      <c r="A1161" s="111">
        <v>46220</v>
      </c>
      <c r="B1161" t="s">
        <v>357</v>
      </c>
      <c r="C1161" s="11">
        <v>370</v>
      </c>
      <c r="D1161" s="11"/>
      <c r="F1161" s="108" t="s">
        <v>108</v>
      </c>
    </row>
    <row r="1162" spans="1:6" x14ac:dyDescent="0.3">
      <c r="A1162" s="111">
        <v>46221</v>
      </c>
      <c r="B1162" t="s">
        <v>219</v>
      </c>
      <c r="C1162" s="11"/>
      <c r="D1162" s="11">
        <v>40000</v>
      </c>
      <c r="E1162" t="s">
        <v>965</v>
      </c>
      <c r="F1162" s="108" t="s">
        <v>108</v>
      </c>
    </row>
    <row r="1163" spans="1:6" x14ac:dyDescent="0.3">
      <c r="A1163" s="111">
        <v>46221</v>
      </c>
      <c r="B1163" t="s">
        <v>246</v>
      </c>
      <c r="C1163" s="11">
        <v>39700</v>
      </c>
      <c r="D1163" s="11"/>
      <c r="E1163" t="s">
        <v>966</v>
      </c>
      <c r="F1163" s="108" t="s">
        <v>108</v>
      </c>
    </row>
    <row r="1164" spans="1:6" x14ac:dyDescent="0.3">
      <c r="A1164" s="111">
        <v>46221</v>
      </c>
      <c r="B1164" t="s">
        <v>246</v>
      </c>
      <c r="C1164" s="11">
        <v>3700</v>
      </c>
      <c r="D1164" s="11"/>
      <c r="E1164" t="s">
        <v>282</v>
      </c>
      <c r="F1164" s="108" t="s">
        <v>108</v>
      </c>
    </row>
    <row r="1165" spans="1:6" x14ac:dyDescent="0.3">
      <c r="A1165" s="111">
        <v>46221</v>
      </c>
      <c r="B1165" t="s">
        <v>488</v>
      </c>
      <c r="C1165" s="11">
        <v>2500</v>
      </c>
      <c r="D1165" s="11"/>
      <c r="E1165" t="s">
        <v>967</v>
      </c>
      <c r="F1165" s="108" t="s">
        <v>108</v>
      </c>
    </row>
    <row r="1166" spans="1:6" x14ac:dyDescent="0.3">
      <c r="A1166" s="111">
        <v>46221</v>
      </c>
      <c r="B1166" t="s">
        <v>211</v>
      </c>
      <c r="C1166" s="11"/>
      <c r="D1166" s="11">
        <v>6200</v>
      </c>
      <c r="E1166" t="s">
        <v>968</v>
      </c>
      <c r="F1166" s="108" t="s">
        <v>108</v>
      </c>
    </row>
    <row r="1167" spans="1:6" x14ac:dyDescent="0.3">
      <c r="A1167" s="111">
        <v>46221</v>
      </c>
      <c r="B1167" t="s">
        <v>55</v>
      </c>
      <c r="C1167" s="11">
        <v>1800</v>
      </c>
      <c r="D1167" s="11"/>
      <c r="F1167" s="108" t="s">
        <v>108</v>
      </c>
    </row>
    <row r="1168" spans="1:6" x14ac:dyDescent="0.3">
      <c r="A1168" s="38">
        <v>46221</v>
      </c>
      <c r="B1168" t="s">
        <v>269</v>
      </c>
      <c r="C1168" s="95">
        <v>3000</v>
      </c>
      <c r="D1168" s="95"/>
      <c r="E1168" t="s">
        <v>252</v>
      </c>
      <c r="F1168" s="108" t="s">
        <v>108</v>
      </c>
    </row>
    <row r="1169" spans="1:6" x14ac:dyDescent="0.3">
      <c r="A1169" s="38">
        <v>46221</v>
      </c>
      <c r="B1169" t="s">
        <v>211</v>
      </c>
      <c r="C1169" s="95"/>
      <c r="D1169" s="95">
        <v>3000</v>
      </c>
      <c r="E1169" t="s">
        <v>252</v>
      </c>
      <c r="F1169" s="108" t="s">
        <v>108</v>
      </c>
    </row>
    <row r="1170" spans="1:6" x14ac:dyDescent="0.3">
      <c r="A1170" s="38">
        <v>46221</v>
      </c>
      <c r="B1170" t="s">
        <v>269</v>
      </c>
      <c r="C1170" s="95">
        <v>5000</v>
      </c>
      <c r="D1170" s="95"/>
      <c r="E1170" t="s">
        <v>969</v>
      </c>
      <c r="F1170" s="108" t="s">
        <v>108</v>
      </c>
    </row>
    <row r="1171" spans="1:6" x14ac:dyDescent="0.3">
      <c r="A1171" s="38">
        <v>46221</v>
      </c>
      <c r="B1171" t="s">
        <v>211</v>
      </c>
      <c r="C1171" s="95"/>
      <c r="D1171" s="95">
        <v>5000</v>
      </c>
      <c r="E1171" t="s">
        <v>969</v>
      </c>
      <c r="F1171" s="108" t="s">
        <v>108</v>
      </c>
    </row>
    <row r="1172" spans="1:6" x14ac:dyDescent="0.3">
      <c r="A1172" s="38">
        <v>46221</v>
      </c>
      <c r="B1172" t="s">
        <v>298</v>
      </c>
      <c r="C1172" s="95">
        <v>5000</v>
      </c>
      <c r="D1172" s="95"/>
      <c r="E1172" t="s">
        <v>693</v>
      </c>
      <c r="F1172" s="108" t="s">
        <v>108</v>
      </c>
    </row>
    <row r="1173" spans="1:6" x14ac:dyDescent="0.3">
      <c r="A1173" s="38">
        <v>46221</v>
      </c>
      <c r="B1173" t="s">
        <v>219</v>
      </c>
      <c r="C1173" s="95"/>
      <c r="D1173" s="95">
        <v>5000</v>
      </c>
      <c r="E1173" t="s">
        <v>693</v>
      </c>
      <c r="F1173" s="108" t="s">
        <v>108</v>
      </c>
    </row>
    <row r="1174" spans="1:6" x14ac:dyDescent="0.3">
      <c r="A1174" s="38">
        <v>46221</v>
      </c>
      <c r="B1174" t="s">
        <v>219</v>
      </c>
      <c r="C1174" s="95"/>
      <c r="D1174" s="95">
        <v>57000</v>
      </c>
      <c r="E1174" t="s">
        <v>971</v>
      </c>
      <c r="F1174" s="108" t="s">
        <v>108</v>
      </c>
    </row>
    <row r="1175" spans="1:6" x14ac:dyDescent="0.3">
      <c r="A1175" s="38">
        <v>46221</v>
      </c>
      <c r="B1175" t="s">
        <v>219</v>
      </c>
      <c r="C1175" s="95"/>
      <c r="D1175" s="95">
        <v>40800</v>
      </c>
      <c r="E1175" t="s">
        <v>320</v>
      </c>
      <c r="F1175" s="108" t="s">
        <v>108</v>
      </c>
    </row>
    <row r="1176" spans="1:6" x14ac:dyDescent="0.3">
      <c r="A1176" s="38">
        <v>46221</v>
      </c>
      <c r="B1176" t="s">
        <v>219</v>
      </c>
      <c r="C1176" s="95"/>
      <c r="D1176" s="95">
        <v>10000</v>
      </c>
      <c r="E1176" t="s">
        <v>972</v>
      </c>
      <c r="F1176" s="108" t="s">
        <v>108</v>
      </c>
    </row>
    <row r="1177" spans="1:6" x14ac:dyDescent="0.3">
      <c r="A1177" s="38">
        <v>46221</v>
      </c>
      <c r="B1177" t="s">
        <v>219</v>
      </c>
      <c r="C1177" s="95">
        <v>103000</v>
      </c>
      <c r="D1177" s="95"/>
      <c r="E1177" t="s">
        <v>973</v>
      </c>
      <c r="F1177" s="108" t="s">
        <v>108</v>
      </c>
    </row>
    <row r="1178" spans="1:6" x14ac:dyDescent="0.3">
      <c r="A1178" s="38">
        <v>46221</v>
      </c>
      <c r="B1178" t="s">
        <v>915</v>
      </c>
      <c r="C1178" s="95"/>
      <c r="D1178" s="95">
        <v>103000</v>
      </c>
      <c r="F1178" s="108" t="s">
        <v>108</v>
      </c>
    </row>
    <row r="1179" spans="1:6" x14ac:dyDescent="0.3">
      <c r="A1179" s="38">
        <v>46221</v>
      </c>
      <c r="B1179" t="s">
        <v>674</v>
      </c>
      <c r="C1179" s="95">
        <v>100000</v>
      </c>
      <c r="D1179" s="95"/>
      <c r="E1179" t="s">
        <v>974</v>
      </c>
      <c r="F1179" s="108" t="s">
        <v>108</v>
      </c>
    </row>
    <row r="1180" spans="1:6" x14ac:dyDescent="0.3">
      <c r="A1180" s="38">
        <v>46222</v>
      </c>
      <c r="B1180" t="s">
        <v>246</v>
      </c>
      <c r="C1180" s="95">
        <v>5400</v>
      </c>
      <c r="D1180" s="95"/>
      <c r="E1180" t="s">
        <v>282</v>
      </c>
      <c r="F1180" s="108" t="s">
        <v>108</v>
      </c>
    </row>
    <row r="1181" spans="1:6" x14ac:dyDescent="0.3">
      <c r="A1181" s="38">
        <v>46222</v>
      </c>
      <c r="B1181" t="s">
        <v>211</v>
      </c>
      <c r="C1181" s="95"/>
      <c r="D1181" s="95">
        <v>2600</v>
      </c>
      <c r="E1181" t="s">
        <v>535</v>
      </c>
      <c r="F1181" s="108" t="s">
        <v>108</v>
      </c>
    </row>
    <row r="1182" spans="1:6" x14ac:dyDescent="0.3">
      <c r="A1182" s="38">
        <v>46222</v>
      </c>
      <c r="B1182" t="s">
        <v>357</v>
      </c>
      <c r="C1182" s="95">
        <v>2600</v>
      </c>
      <c r="D1182" s="95"/>
      <c r="E1182" t="s">
        <v>535</v>
      </c>
      <c r="F1182" s="108" t="s">
        <v>108</v>
      </c>
    </row>
    <row r="1183" spans="1:6" x14ac:dyDescent="0.3">
      <c r="A1183" s="38">
        <v>46222</v>
      </c>
      <c r="B1183" t="s">
        <v>269</v>
      </c>
      <c r="C1183" s="95">
        <v>10000</v>
      </c>
      <c r="D1183" s="95"/>
      <c r="E1183" t="s">
        <v>580</v>
      </c>
      <c r="F1183" s="108" t="s">
        <v>108</v>
      </c>
    </row>
    <row r="1184" spans="1:6" x14ac:dyDescent="0.3">
      <c r="A1184" s="38">
        <v>46222</v>
      </c>
      <c r="B1184" t="s">
        <v>211</v>
      </c>
      <c r="C1184" s="95"/>
      <c r="D1184" s="95">
        <v>10000</v>
      </c>
      <c r="E1184" t="s">
        <v>975</v>
      </c>
      <c r="F1184" s="108" t="s">
        <v>108</v>
      </c>
    </row>
    <row r="1185" spans="1:6" x14ac:dyDescent="0.3">
      <c r="A1185" s="38">
        <v>46223</v>
      </c>
      <c r="B1185" t="s">
        <v>357</v>
      </c>
      <c r="C1185" s="95">
        <v>2760</v>
      </c>
      <c r="D1185" s="95"/>
      <c r="F1185" s="108" t="s">
        <v>932</v>
      </c>
    </row>
    <row r="1186" spans="1:6" x14ac:dyDescent="0.3">
      <c r="A1186" s="111">
        <v>46223</v>
      </c>
      <c r="B1186" t="s">
        <v>211</v>
      </c>
      <c r="C1186" s="11"/>
      <c r="D1186" s="11">
        <v>2760</v>
      </c>
      <c r="E1186" t="s">
        <v>357</v>
      </c>
      <c r="F1186" s="108" t="s">
        <v>932</v>
      </c>
    </row>
    <row r="1187" spans="1:6" x14ac:dyDescent="0.3">
      <c r="A1187" s="38">
        <v>46223</v>
      </c>
      <c r="B1187" t="s">
        <v>55</v>
      </c>
      <c r="C1187" s="11">
        <v>4000</v>
      </c>
      <c r="D1187" s="11"/>
      <c r="E1187" t="s">
        <v>976</v>
      </c>
      <c r="F1187" s="108" t="s">
        <v>932</v>
      </c>
    </row>
    <row r="1188" spans="1:6" x14ac:dyDescent="0.3">
      <c r="A1188" s="111">
        <v>46223</v>
      </c>
      <c r="B1188" t="s">
        <v>211</v>
      </c>
      <c r="C1188" s="11"/>
      <c r="D1188" s="11">
        <v>4000</v>
      </c>
      <c r="E1188" t="s">
        <v>521</v>
      </c>
      <c r="F1188" s="108" t="s">
        <v>932</v>
      </c>
    </row>
    <row r="1189" spans="1:6" x14ac:dyDescent="0.3">
      <c r="A1189" s="38">
        <v>46223</v>
      </c>
      <c r="B1189" t="s">
        <v>55</v>
      </c>
      <c r="C1189" s="11">
        <v>1850</v>
      </c>
      <c r="D1189" s="11"/>
      <c r="F1189" s="108" t="s">
        <v>932</v>
      </c>
    </row>
    <row r="1190" spans="1:6" x14ac:dyDescent="0.3">
      <c r="A1190" s="111">
        <v>46223</v>
      </c>
      <c r="B1190" t="s">
        <v>901</v>
      </c>
      <c r="C1190" s="11"/>
      <c r="D1190" s="11">
        <v>110000</v>
      </c>
      <c r="E1190" t="s">
        <v>977</v>
      </c>
      <c r="F1190" s="108" t="s">
        <v>932</v>
      </c>
    </row>
    <row r="1191" spans="1:6" x14ac:dyDescent="0.3">
      <c r="A1191" s="38">
        <v>46223</v>
      </c>
      <c r="B1191" t="s">
        <v>246</v>
      </c>
      <c r="C1191" s="11">
        <v>5200</v>
      </c>
      <c r="D1191" s="11"/>
      <c r="E1191" t="s">
        <v>978</v>
      </c>
      <c r="F1191" s="108" t="s">
        <v>932</v>
      </c>
    </row>
    <row r="1192" spans="1:6" x14ac:dyDescent="0.3">
      <c r="A1192" s="111">
        <v>46223</v>
      </c>
      <c r="B1192" t="s">
        <v>357</v>
      </c>
      <c r="C1192" s="11">
        <v>9300</v>
      </c>
      <c r="D1192" s="11"/>
      <c r="E1192" t="s">
        <v>535</v>
      </c>
      <c r="F1192" s="108" t="s">
        <v>932</v>
      </c>
    </row>
    <row r="1193" spans="1:6" x14ac:dyDescent="0.3">
      <c r="A1193" s="38">
        <v>46223</v>
      </c>
      <c r="B1193" t="s">
        <v>211</v>
      </c>
      <c r="C1193" s="11">
        <v>1490</v>
      </c>
      <c r="D1193" s="11"/>
      <c r="F1193" s="108" t="s">
        <v>932</v>
      </c>
    </row>
    <row r="1194" spans="1:6" x14ac:dyDescent="0.3">
      <c r="A1194" s="111">
        <v>46224</v>
      </c>
      <c r="B1194" t="s">
        <v>219</v>
      </c>
      <c r="C1194" s="11"/>
      <c r="D1194" s="11">
        <v>940000</v>
      </c>
      <c r="E1194" t="s">
        <v>979</v>
      </c>
      <c r="F1194" s="108" t="s">
        <v>932</v>
      </c>
    </row>
    <row r="1195" spans="1:6" x14ac:dyDescent="0.3">
      <c r="A1195" s="38">
        <v>46224</v>
      </c>
      <c r="B1195" t="s">
        <v>219</v>
      </c>
      <c r="C1195" s="11"/>
      <c r="D1195" s="11">
        <v>34000</v>
      </c>
      <c r="E1195" t="s">
        <v>980</v>
      </c>
      <c r="F1195" s="108" t="s">
        <v>108</v>
      </c>
    </row>
    <row r="1196" spans="1:6" x14ac:dyDescent="0.3">
      <c r="A1196" s="111">
        <v>46224</v>
      </c>
      <c r="B1196" t="s">
        <v>981</v>
      </c>
      <c r="C1196" s="11">
        <v>1066588</v>
      </c>
      <c r="D1196" s="11"/>
      <c r="E1196" t="s">
        <v>982</v>
      </c>
      <c r="F1196" s="108" t="s">
        <v>108</v>
      </c>
    </row>
    <row r="1197" spans="1:6" x14ac:dyDescent="0.3">
      <c r="A1197" s="38">
        <v>46224</v>
      </c>
      <c r="B1197" t="s">
        <v>211</v>
      </c>
      <c r="C1197" s="11">
        <v>300</v>
      </c>
      <c r="D1197" s="11"/>
      <c r="F1197" s="108" t="s">
        <v>108</v>
      </c>
    </row>
    <row r="1198" spans="1:6" x14ac:dyDescent="0.3">
      <c r="A1198" s="111">
        <v>46224</v>
      </c>
      <c r="B1198" t="s">
        <v>219</v>
      </c>
      <c r="C1198" s="11"/>
      <c r="D1198" s="11">
        <v>25500</v>
      </c>
      <c r="E1198" t="s">
        <v>320</v>
      </c>
      <c r="F1198" s="108" t="s">
        <v>108</v>
      </c>
    </row>
    <row r="1199" spans="1:6" x14ac:dyDescent="0.3">
      <c r="A1199" s="38">
        <v>46224</v>
      </c>
      <c r="B1199" t="s">
        <v>269</v>
      </c>
      <c r="C1199" s="95">
        <v>20000</v>
      </c>
      <c r="D1199" s="95"/>
      <c r="E1199" t="s">
        <v>252</v>
      </c>
      <c r="F1199" s="108" t="s">
        <v>108</v>
      </c>
    </row>
    <row r="1200" spans="1:6" x14ac:dyDescent="0.3">
      <c r="A1200" s="111">
        <v>46224</v>
      </c>
      <c r="B1200" t="s">
        <v>269</v>
      </c>
      <c r="C1200" s="11">
        <v>5000</v>
      </c>
      <c r="D1200" s="11"/>
      <c r="E1200" t="s">
        <v>969</v>
      </c>
      <c r="F1200" s="108" t="s">
        <v>108</v>
      </c>
    </row>
    <row r="1201" spans="1:6" x14ac:dyDescent="0.3">
      <c r="A1201" s="38">
        <v>46224</v>
      </c>
      <c r="B1201" t="s">
        <v>211</v>
      </c>
      <c r="C1201" s="11"/>
      <c r="D1201" s="11">
        <v>1800</v>
      </c>
      <c r="E1201" t="s">
        <v>521</v>
      </c>
      <c r="F1201" s="108" t="s">
        <v>108</v>
      </c>
    </row>
    <row r="1202" spans="1:6" x14ac:dyDescent="0.3">
      <c r="A1202" s="111">
        <v>46224</v>
      </c>
      <c r="B1202" t="s">
        <v>55</v>
      </c>
      <c r="C1202" s="11">
        <v>1800</v>
      </c>
      <c r="D1202" s="11"/>
      <c r="E1202" t="s">
        <v>983</v>
      </c>
      <c r="F1202" s="108" t="s">
        <v>108</v>
      </c>
    </row>
    <row r="1203" spans="1:6" x14ac:dyDescent="0.3">
      <c r="A1203" s="38">
        <v>46224</v>
      </c>
      <c r="B1203" t="s">
        <v>211</v>
      </c>
      <c r="C1203" s="95"/>
      <c r="D1203" s="95">
        <v>800</v>
      </c>
      <c r="F1203" s="108" t="s">
        <v>108</v>
      </c>
    </row>
    <row r="1204" spans="1:6" x14ac:dyDescent="0.3">
      <c r="A1204" s="38">
        <v>46226</v>
      </c>
      <c r="B1204" t="s">
        <v>219</v>
      </c>
      <c r="C1204" s="95"/>
      <c r="D1204" s="95">
        <v>33000</v>
      </c>
      <c r="E1204" t="s">
        <v>984</v>
      </c>
      <c r="F1204" s="108" t="s">
        <v>108</v>
      </c>
    </row>
    <row r="1205" spans="1:6" x14ac:dyDescent="0.3">
      <c r="A1205" s="38">
        <v>46226</v>
      </c>
      <c r="B1205" t="s">
        <v>269</v>
      </c>
      <c r="C1205" s="95">
        <v>10000</v>
      </c>
      <c r="D1205" s="95"/>
      <c r="E1205" t="s">
        <v>665</v>
      </c>
      <c r="F1205" s="108" t="s">
        <v>108</v>
      </c>
    </row>
    <row r="1206" spans="1:6" x14ac:dyDescent="0.3">
      <c r="A1206" s="38">
        <v>46226</v>
      </c>
      <c r="B1206" t="s">
        <v>253</v>
      </c>
      <c r="C1206" s="95">
        <v>6900</v>
      </c>
      <c r="D1206" s="95"/>
      <c r="E1206" t="s">
        <v>985</v>
      </c>
      <c r="F1206" s="108" t="s">
        <v>108</v>
      </c>
    </row>
    <row r="1207" spans="1:6" x14ac:dyDescent="0.3">
      <c r="A1207" s="38">
        <v>46226</v>
      </c>
      <c r="B1207" t="s">
        <v>253</v>
      </c>
      <c r="C1207" s="95">
        <v>5000</v>
      </c>
      <c r="D1207" s="95"/>
      <c r="E1207" t="s">
        <v>986</v>
      </c>
      <c r="F1207" s="108" t="s">
        <v>108</v>
      </c>
    </row>
    <row r="1208" spans="1:6" x14ac:dyDescent="0.3">
      <c r="A1208" s="38">
        <v>46226</v>
      </c>
      <c r="B1208" t="s">
        <v>386</v>
      </c>
      <c r="C1208" s="95">
        <v>358</v>
      </c>
      <c r="D1208" s="95"/>
      <c r="E1208" t="s">
        <v>935</v>
      </c>
      <c r="F1208" s="108" t="s">
        <v>108</v>
      </c>
    </row>
    <row r="1209" spans="1:6" x14ac:dyDescent="0.3">
      <c r="A1209" s="38">
        <v>46226</v>
      </c>
      <c r="B1209" t="s">
        <v>386</v>
      </c>
      <c r="C1209" s="95">
        <v>1230</v>
      </c>
      <c r="D1209" s="95"/>
      <c r="E1209" t="s">
        <v>987</v>
      </c>
      <c r="F1209" s="108" t="s">
        <v>108</v>
      </c>
    </row>
    <row r="1210" spans="1:6" x14ac:dyDescent="0.3">
      <c r="A1210" s="38">
        <v>46226</v>
      </c>
      <c r="B1210" t="s">
        <v>269</v>
      </c>
      <c r="C1210" s="95">
        <v>10000</v>
      </c>
      <c r="D1210" s="95"/>
      <c r="E1210" t="s">
        <v>288</v>
      </c>
      <c r="F1210" s="108" t="s">
        <v>108</v>
      </c>
    </row>
    <row r="1211" spans="1:6" x14ac:dyDescent="0.3">
      <c r="A1211" s="38">
        <v>46227</v>
      </c>
      <c r="B1211" t="s">
        <v>219</v>
      </c>
      <c r="C1211" s="95"/>
      <c r="D1211" s="95">
        <v>406000</v>
      </c>
      <c r="E1211" t="s">
        <v>227</v>
      </c>
      <c r="F1211" s="108" t="s">
        <v>108</v>
      </c>
    </row>
    <row r="1212" spans="1:6" x14ac:dyDescent="0.3">
      <c r="A1212" s="38">
        <v>46227</v>
      </c>
      <c r="B1212" t="s">
        <v>227</v>
      </c>
      <c r="C1212" s="95">
        <v>406000</v>
      </c>
      <c r="D1212" s="95"/>
      <c r="E1212" t="s">
        <v>988</v>
      </c>
      <c r="F1212" s="108" t="s">
        <v>108</v>
      </c>
    </row>
    <row r="1213" spans="1:6" x14ac:dyDescent="0.3">
      <c r="A1213" s="38">
        <v>46227</v>
      </c>
      <c r="B1213" t="s">
        <v>219</v>
      </c>
      <c r="C1213" s="95"/>
      <c r="D1213" s="95">
        <v>3000</v>
      </c>
      <c r="E1213" t="s">
        <v>318</v>
      </c>
      <c r="F1213" s="108" t="s">
        <v>108</v>
      </c>
    </row>
    <row r="1214" spans="1:6" x14ac:dyDescent="0.3">
      <c r="A1214" s="38">
        <v>46227</v>
      </c>
      <c r="B1214" t="s">
        <v>488</v>
      </c>
      <c r="C1214" s="95">
        <v>3000</v>
      </c>
      <c r="D1214" s="95"/>
      <c r="E1214" t="s">
        <v>989</v>
      </c>
      <c r="F1214" s="108" t="s">
        <v>108</v>
      </c>
    </row>
    <row r="1215" spans="1:6" x14ac:dyDescent="0.3">
      <c r="A1215" s="38">
        <v>46227</v>
      </c>
      <c r="B1215" t="s">
        <v>219</v>
      </c>
      <c r="C1215" s="95"/>
      <c r="D1215" s="95">
        <v>15000</v>
      </c>
      <c r="E1215" t="s">
        <v>318</v>
      </c>
      <c r="F1215" s="108" t="s">
        <v>108</v>
      </c>
    </row>
    <row r="1216" spans="1:6" x14ac:dyDescent="0.3">
      <c r="A1216" s="38">
        <v>46227</v>
      </c>
      <c r="B1216" t="s">
        <v>244</v>
      </c>
      <c r="C1216" s="95">
        <v>5000</v>
      </c>
      <c r="D1216" s="95"/>
      <c r="E1216" t="s">
        <v>920</v>
      </c>
      <c r="F1216" s="108" t="s">
        <v>108</v>
      </c>
    </row>
    <row r="1217" spans="1:6" x14ac:dyDescent="0.3">
      <c r="A1217" s="38">
        <v>46227</v>
      </c>
      <c r="B1217" t="s">
        <v>211</v>
      </c>
      <c r="C1217" s="95">
        <v>1490</v>
      </c>
      <c r="D1217" s="95"/>
      <c r="F1217" s="108" t="s">
        <v>108</v>
      </c>
    </row>
    <row r="1218" spans="1:6" x14ac:dyDescent="0.3">
      <c r="A1218" s="38">
        <v>46228</v>
      </c>
      <c r="B1218" t="s">
        <v>219</v>
      </c>
      <c r="C1218" s="95"/>
      <c r="D1218" s="95">
        <v>100000</v>
      </c>
      <c r="E1218" t="s">
        <v>990</v>
      </c>
      <c r="F1218" s="108" t="s">
        <v>108</v>
      </c>
    </row>
    <row r="1219" spans="1:6" x14ac:dyDescent="0.3">
      <c r="A1219" s="38">
        <v>46228</v>
      </c>
      <c r="B1219" t="s">
        <v>269</v>
      </c>
      <c r="C1219" s="95">
        <v>10000</v>
      </c>
      <c r="D1219" s="95"/>
      <c r="E1219" t="s">
        <v>991</v>
      </c>
      <c r="F1219" s="108" t="s">
        <v>108</v>
      </c>
    </row>
    <row r="1220" spans="1:6" x14ac:dyDescent="0.3">
      <c r="A1220" s="38">
        <v>46228</v>
      </c>
      <c r="B1220" t="s">
        <v>269</v>
      </c>
      <c r="C1220" s="95">
        <v>15000</v>
      </c>
      <c r="D1220" s="95"/>
      <c r="E1220" t="s">
        <v>992</v>
      </c>
      <c r="F1220" s="108" t="s">
        <v>108</v>
      </c>
    </row>
    <row r="1221" spans="1:6" x14ac:dyDescent="0.3">
      <c r="A1221" s="38">
        <v>46228</v>
      </c>
      <c r="B1221" t="s">
        <v>269</v>
      </c>
      <c r="C1221" s="95">
        <v>5000</v>
      </c>
      <c r="D1221" s="95"/>
      <c r="E1221" t="s">
        <v>993</v>
      </c>
      <c r="F1221" s="108" t="s">
        <v>108</v>
      </c>
    </row>
    <row r="1222" spans="1:6" x14ac:dyDescent="0.3">
      <c r="A1222" s="38">
        <v>46228</v>
      </c>
      <c r="B1222" t="s">
        <v>269</v>
      </c>
      <c r="C1222" s="95">
        <v>5000</v>
      </c>
      <c r="D1222" s="95"/>
      <c r="E1222" t="s">
        <v>994</v>
      </c>
      <c r="F1222" s="108" t="s">
        <v>108</v>
      </c>
    </row>
    <row r="1223" spans="1:6" x14ac:dyDescent="0.3">
      <c r="A1223" s="38">
        <v>46228</v>
      </c>
      <c r="B1223" t="s">
        <v>269</v>
      </c>
      <c r="C1223" s="95">
        <v>5000</v>
      </c>
      <c r="D1223" s="95"/>
      <c r="E1223" t="s">
        <v>995</v>
      </c>
      <c r="F1223" s="108" t="s">
        <v>108</v>
      </c>
    </row>
    <row r="1224" spans="1:6" x14ac:dyDescent="0.3">
      <c r="A1224" s="38">
        <v>46228</v>
      </c>
      <c r="B1224" t="s">
        <v>269</v>
      </c>
      <c r="C1224" s="95">
        <v>3000</v>
      </c>
      <c r="D1224" s="95"/>
      <c r="E1224" t="s">
        <v>996</v>
      </c>
      <c r="F1224" s="108" t="s">
        <v>108</v>
      </c>
    </row>
    <row r="1225" spans="1:6" x14ac:dyDescent="0.3">
      <c r="A1225" s="38">
        <v>46228</v>
      </c>
      <c r="B1225" t="s">
        <v>269</v>
      </c>
      <c r="C1225" s="95">
        <v>30000</v>
      </c>
      <c r="D1225" s="95"/>
      <c r="E1225" t="s">
        <v>997</v>
      </c>
      <c r="F1225" s="108" t="s">
        <v>108</v>
      </c>
    </row>
    <row r="1226" spans="1:6" x14ac:dyDescent="0.3">
      <c r="A1226" s="38">
        <v>46228</v>
      </c>
      <c r="B1226" t="s">
        <v>269</v>
      </c>
      <c r="C1226" s="95">
        <v>20000</v>
      </c>
      <c r="D1226" s="95"/>
      <c r="E1226" t="s">
        <v>998</v>
      </c>
      <c r="F1226" s="108" t="s">
        <v>108</v>
      </c>
    </row>
    <row r="1227" spans="1:6" x14ac:dyDescent="0.3">
      <c r="A1227" s="38">
        <v>46228</v>
      </c>
      <c r="B1227" t="s">
        <v>269</v>
      </c>
      <c r="C1227" s="95">
        <v>25000</v>
      </c>
      <c r="D1227" s="95"/>
      <c r="E1227" t="s">
        <v>260</v>
      </c>
      <c r="F1227" s="108" t="s">
        <v>108</v>
      </c>
    </row>
    <row r="1228" spans="1:6" x14ac:dyDescent="0.3">
      <c r="A1228" s="38">
        <v>46228</v>
      </c>
      <c r="B1228" t="s">
        <v>357</v>
      </c>
      <c r="C1228" s="95">
        <v>3000</v>
      </c>
      <c r="D1228" s="95"/>
      <c r="E1228" t="s">
        <v>535</v>
      </c>
      <c r="F1228" s="108" t="s">
        <v>108</v>
      </c>
    </row>
    <row r="1229" spans="1:6" x14ac:dyDescent="0.3">
      <c r="A1229" s="38">
        <v>46228</v>
      </c>
      <c r="B1229" t="s">
        <v>219</v>
      </c>
      <c r="C1229" s="95"/>
      <c r="D1229" s="95">
        <v>100000</v>
      </c>
      <c r="E1229" t="s">
        <v>999</v>
      </c>
      <c r="F1229" s="108" t="s">
        <v>108</v>
      </c>
    </row>
    <row r="1230" spans="1:6" x14ac:dyDescent="0.3">
      <c r="A1230" s="38">
        <v>46228</v>
      </c>
      <c r="B1230" t="s">
        <v>269</v>
      </c>
      <c r="C1230" s="95">
        <v>25000</v>
      </c>
      <c r="D1230" s="95"/>
      <c r="E1230" t="s">
        <v>1000</v>
      </c>
      <c r="F1230" s="108" t="s">
        <v>108</v>
      </c>
    </row>
    <row r="1231" spans="1:6" x14ac:dyDescent="0.3">
      <c r="A1231" s="38">
        <v>46228</v>
      </c>
      <c r="B1231" t="s">
        <v>269</v>
      </c>
      <c r="C1231" s="95">
        <v>20000</v>
      </c>
      <c r="D1231" s="95"/>
      <c r="E1231" t="s">
        <v>288</v>
      </c>
      <c r="F1231" s="108" t="s">
        <v>108</v>
      </c>
    </row>
    <row r="1232" spans="1:6" x14ac:dyDescent="0.3">
      <c r="A1232" s="38">
        <v>46228</v>
      </c>
      <c r="B1232" t="s">
        <v>219</v>
      </c>
      <c r="C1232" s="95"/>
      <c r="D1232" s="95">
        <v>52500</v>
      </c>
      <c r="E1232" t="s">
        <v>1001</v>
      </c>
      <c r="F1232" s="108" t="s">
        <v>108</v>
      </c>
    </row>
    <row r="1233" spans="1:6" x14ac:dyDescent="0.3">
      <c r="A1233" s="38">
        <v>46228</v>
      </c>
      <c r="B1233" t="s">
        <v>269</v>
      </c>
      <c r="C1233" s="95">
        <v>80000</v>
      </c>
      <c r="D1233" s="95"/>
      <c r="E1233" t="s">
        <v>700</v>
      </c>
      <c r="F1233" s="108" t="s">
        <v>108</v>
      </c>
    </row>
    <row r="1234" spans="1:6" x14ac:dyDescent="0.3">
      <c r="A1234" s="38">
        <v>46228</v>
      </c>
      <c r="B1234" t="s">
        <v>219</v>
      </c>
      <c r="C1234" s="95"/>
      <c r="D1234" s="95">
        <v>120000</v>
      </c>
      <c r="F1234" s="108" t="s">
        <v>108</v>
      </c>
    </row>
    <row r="1235" spans="1:6" x14ac:dyDescent="0.3">
      <c r="A1235" s="38">
        <v>46228</v>
      </c>
      <c r="B1235" t="s">
        <v>269</v>
      </c>
      <c r="C1235" s="95">
        <v>20000</v>
      </c>
      <c r="D1235" s="95"/>
      <c r="E1235" t="s">
        <v>1024</v>
      </c>
      <c r="F1235" s="108" t="s">
        <v>108</v>
      </c>
    </row>
    <row r="1236" spans="1:6" x14ac:dyDescent="0.3">
      <c r="A1236" s="38">
        <v>46228</v>
      </c>
      <c r="B1236" t="s">
        <v>269</v>
      </c>
      <c r="C1236" s="95">
        <v>20000</v>
      </c>
      <c r="D1236" s="95"/>
      <c r="E1236" t="s">
        <v>1025</v>
      </c>
      <c r="F1236" s="108" t="s">
        <v>108</v>
      </c>
    </row>
    <row r="1237" spans="1:6" x14ac:dyDescent="0.3">
      <c r="A1237" s="38">
        <v>46228</v>
      </c>
      <c r="B1237" t="s">
        <v>269</v>
      </c>
      <c r="C1237" s="95">
        <v>20000</v>
      </c>
      <c r="D1237" s="95"/>
      <c r="E1237" t="s">
        <v>1026</v>
      </c>
      <c r="F1237" s="108" t="s">
        <v>108</v>
      </c>
    </row>
    <row r="1238" spans="1:6" x14ac:dyDescent="0.3">
      <c r="A1238" s="38">
        <v>46228</v>
      </c>
      <c r="B1238" t="s">
        <v>269</v>
      </c>
      <c r="C1238" s="95">
        <v>20000</v>
      </c>
      <c r="D1238" s="95"/>
      <c r="E1238" t="s">
        <v>1027</v>
      </c>
      <c r="F1238" s="108" t="s">
        <v>108</v>
      </c>
    </row>
    <row r="1239" spans="1:6" x14ac:dyDescent="0.3">
      <c r="A1239" s="38">
        <v>46228</v>
      </c>
      <c r="B1239" t="s">
        <v>269</v>
      </c>
      <c r="C1239" s="95">
        <v>20000</v>
      </c>
      <c r="D1239" s="95"/>
      <c r="E1239" t="s">
        <v>1028</v>
      </c>
      <c r="F1239" s="108" t="s">
        <v>108</v>
      </c>
    </row>
    <row r="1240" spans="1:6" x14ac:dyDescent="0.3">
      <c r="A1240" s="38">
        <v>46228</v>
      </c>
      <c r="B1240" t="s">
        <v>269</v>
      </c>
      <c r="C1240" s="95">
        <v>20000</v>
      </c>
      <c r="D1240" s="95"/>
      <c r="E1240" t="s">
        <v>1017</v>
      </c>
      <c r="F1240" s="108" t="s">
        <v>108</v>
      </c>
    </row>
    <row r="1241" spans="1:6" x14ac:dyDescent="0.3">
      <c r="A1241" s="38">
        <v>46229</v>
      </c>
      <c r="B1241" t="s">
        <v>219</v>
      </c>
      <c r="C1241" s="95"/>
      <c r="D1241" s="95">
        <v>35000</v>
      </c>
      <c r="E1241" t="s">
        <v>1002</v>
      </c>
      <c r="F1241" s="108" t="s">
        <v>108</v>
      </c>
    </row>
    <row r="1242" spans="1:6" x14ac:dyDescent="0.3">
      <c r="A1242" s="38">
        <v>46229</v>
      </c>
      <c r="B1242" t="s">
        <v>55</v>
      </c>
      <c r="C1242" s="95">
        <v>35000</v>
      </c>
      <c r="D1242" s="95"/>
      <c r="E1242" t="s">
        <v>1003</v>
      </c>
      <c r="F1242" s="108" t="s">
        <v>108</v>
      </c>
    </row>
    <row r="1243" spans="1:6" x14ac:dyDescent="0.3">
      <c r="A1243" s="38">
        <v>46229</v>
      </c>
      <c r="B1243" t="s">
        <v>55</v>
      </c>
      <c r="C1243" s="95">
        <v>10850</v>
      </c>
      <c r="D1243" s="95"/>
      <c r="E1243" t="s">
        <v>1004</v>
      </c>
      <c r="F1243" s="108" t="s">
        <v>108</v>
      </c>
    </row>
    <row r="1244" spans="1:6" x14ac:dyDescent="0.3">
      <c r="A1244" s="38">
        <v>46229</v>
      </c>
      <c r="B1244" t="s">
        <v>219</v>
      </c>
      <c r="C1244" s="95"/>
      <c r="D1244" s="95">
        <v>15000</v>
      </c>
      <c r="E1244" t="s">
        <v>1005</v>
      </c>
      <c r="F1244" s="108" t="s">
        <v>108</v>
      </c>
    </row>
    <row r="1245" spans="1:6" x14ac:dyDescent="0.3">
      <c r="A1245" s="38">
        <v>46229</v>
      </c>
      <c r="B1245" t="s">
        <v>269</v>
      </c>
      <c r="C1245" s="95">
        <v>15000</v>
      </c>
      <c r="D1245" s="95"/>
      <c r="E1245" t="s">
        <v>580</v>
      </c>
      <c r="F1245" s="108" t="s">
        <v>108</v>
      </c>
    </row>
    <row r="1246" spans="1:6" x14ac:dyDescent="0.3">
      <c r="A1246" s="38">
        <v>46229</v>
      </c>
      <c r="B1246" t="s">
        <v>55</v>
      </c>
      <c r="C1246" s="95">
        <v>3031</v>
      </c>
      <c r="D1246" s="95"/>
      <c r="E1246" t="s">
        <v>1007</v>
      </c>
      <c r="F1246" s="108" t="s">
        <v>108</v>
      </c>
    </row>
    <row r="1247" spans="1:6" x14ac:dyDescent="0.3">
      <c r="A1247" s="38">
        <v>46230</v>
      </c>
      <c r="B1247" t="s">
        <v>219</v>
      </c>
      <c r="C1247" s="95"/>
      <c r="D1247" s="95">
        <v>90000</v>
      </c>
      <c r="E1247" t="s">
        <v>1006</v>
      </c>
      <c r="F1247" s="108" t="s">
        <v>108</v>
      </c>
    </row>
    <row r="1248" spans="1:6" x14ac:dyDescent="0.3">
      <c r="A1248" s="38">
        <v>46230</v>
      </c>
      <c r="B1248" t="s">
        <v>269</v>
      </c>
      <c r="C1248" s="95">
        <v>10000</v>
      </c>
      <c r="D1248" s="95"/>
      <c r="E1248" t="s">
        <v>1008</v>
      </c>
      <c r="F1248" s="108" t="s">
        <v>108</v>
      </c>
    </row>
    <row r="1249" spans="1:6" x14ac:dyDescent="0.3">
      <c r="A1249" s="38">
        <v>46230</v>
      </c>
      <c r="B1249" t="s">
        <v>269</v>
      </c>
      <c r="C1249" s="95">
        <v>15000</v>
      </c>
      <c r="D1249" s="95"/>
      <c r="E1249" t="s">
        <v>643</v>
      </c>
      <c r="F1249" s="108" t="s">
        <v>108</v>
      </c>
    </row>
    <row r="1250" spans="1:6" x14ac:dyDescent="0.3">
      <c r="A1250" s="38">
        <v>46230</v>
      </c>
      <c r="B1250" t="s">
        <v>55</v>
      </c>
      <c r="C1250" s="95">
        <v>1700</v>
      </c>
      <c r="D1250" s="95"/>
      <c r="F1250" s="108" t="s">
        <v>108</v>
      </c>
    </row>
    <row r="1251" spans="1:6" x14ac:dyDescent="0.3">
      <c r="A1251" s="38">
        <v>46230</v>
      </c>
      <c r="B1251" t="s">
        <v>269</v>
      </c>
      <c r="C1251" s="95">
        <v>20000</v>
      </c>
      <c r="D1251" s="95"/>
      <c r="E1251" t="s">
        <v>288</v>
      </c>
      <c r="F1251" s="108" t="s">
        <v>108</v>
      </c>
    </row>
    <row r="1252" spans="1:6" x14ac:dyDescent="0.3">
      <c r="A1252" s="38">
        <v>46230</v>
      </c>
      <c r="B1252" t="s">
        <v>269</v>
      </c>
      <c r="C1252" s="95">
        <v>15000</v>
      </c>
      <c r="D1252" s="95"/>
      <c r="E1252" t="s">
        <v>665</v>
      </c>
      <c r="F1252" s="108" t="s">
        <v>108</v>
      </c>
    </row>
    <row r="1253" spans="1:6" x14ac:dyDescent="0.3">
      <c r="A1253" s="38">
        <v>46230</v>
      </c>
      <c r="B1253" t="s">
        <v>269</v>
      </c>
      <c r="C1253" s="95">
        <v>10000</v>
      </c>
      <c r="D1253" s="95"/>
      <c r="E1253" t="s">
        <v>949</v>
      </c>
      <c r="F1253" s="108" t="s">
        <v>108</v>
      </c>
    </row>
    <row r="1254" spans="1:6" x14ac:dyDescent="0.3">
      <c r="A1254" s="38">
        <v>46230</v>
      </c>
      <c r="B1254" t="s">
        <v>219</v>
      </c>
      <c r="C1254" s="95"/>
      <c r="D1254" s="95">
        <v>174000</v>
      </c>
      <c r="E1254" t="s">
        <v>1009</v>
      </c>
      <c r="F1254" s="108" t="s">
        <v>108</v>
      </c>
    </row>
    <row r="1255" spans="1:6" x14ac:dyDescent="0.3">
      <c r="A1255" s="38">
        <v>46230</v>
      </c>
      <c r="B1255" t="s">
        <v>298</v>
      </c>
      <c r="C1255" s="95">
        <v>10000</v>
      </c>
      <c r="D1255" s="95"/>
      <c r="E1255" t="s">
        <v>693</v>
      </c>
      <c r="F1255" s="108" t="s">
        <v>108</v>
      </c>
    </row>
    <row r="1256" spans="1:6" x14ac:dyDescent="0.3">
      <c r="A1256" s="38">
        <v>46230</v>
      </c>
      <c r="B1256" t="s">
        <v>253</v>
      </c>
      <c r="C1256" s="95">
        <v>31500</v>
      </c>
      <c r="D1256" s="95"/>
      <c r="E1256" t="s">
        <v>1010</v>
      </c>
      <c r="F1256" s="108" t="s">
        <v>108</v>
      </c>
    </row>
    <row r="1257" spans="1:6" x14ac:dyDescent="0.3">
      <c r="A1257" s="38">
        <v>46230</v>
      </c>
      <c r="B1257" t="s">
        <v>219</v>
      </c>
      <c r="C1257" s="95"/>
      <c r="D1257" s="95">
        <v>150000</v>
      </c>
      <c r="E1257" t="s">
        <v>1011</v>
      </c>
      <c r="F1257" s="108" t="s">
        <v>108</v>
      </c>
    </row>
    <row r="1258" spans="1:6" x14ac:dyDescent="0.3">
      <c r="A1258" s="38">
        <v>46230</v>
      </c>
      <c r="B1258" t="s">
        <v>222</v>
      </c>
      <c r="C1258" s="95">
        <v>200000</v>
      </c>
      <c r="D1258" s="95"/>
      <c r="E1258" t="s">
        <v>1012</v>
      </c>
      <c r="F1258" s="108" t="s">
        <v>108</v>
      </c>
    </row>
    <row r="1259" spans="1:6" x14ac:dyDescent="0.3">
      <c r="A1259" s="38">
        <v>46230</v>
      </c>
      <c r="B1259" t="s">
        <v>674</v>
      </c>
      <c r="C1259" s="95">
        <v>100000</v>
      </c>
      <c r="D1259" s="95"/>
      <c r="E1259" t="s">
        <v>1013</v>
      </c>
      <c r="F1259" s="108" t="s">
        <v>108</v>
      </c>
    </row>
    <row r="1260" spans="1:6" x14ac:dyDescent="0.3">
      <c r="A1260" s="38">
        <v>46230</v>
      </c>
      <c r="B1260" t="s">
        <v>219</v>
      </c>
      <c r="C1260" s="95"/>
      <c r="D1260" s="95">
        <v>25000</v>
      </c>
      <c r="E1260" t="s">
        <v>288</v>
      </c>
      <c r="F1260" s="108" t="s">
        <v>108</v>
      </c>
    </row>
    <row r="1261" spans="1:6" x14ac:dyDescent="0.3">
      <c r="A1261" s="38">
        <v>46230</v>
      </c>
      <c r="B1261" t="s">
        <v>269</v>
      </c>
      <c r="C1261" s="95">
        <v>25000</v>
      </c>
      <c r="D1261" s="95"/>
      <c r="E1261" t="s">
        <v>288</v>
      </c>
      <c r="F1261" s="108" t="s">
        <v>108</v>
      </c>
    </row>
    <row r="1262" spans="1:6" x14ac:dyDescent="0.3">
      <c r="A1262" s="38">
        <v>46231</v>
      </c>
      <c r="B1262" t="s">
        <v>219</v>
      </c>
      <c r="C1262" s="95"/>
      <c r="D1262" s="95">
        <v>22500</v>
      </c>
      <c r="E1262" t="s">
        <v>318</v>
      </c>
      <c r="F1262" s="108" t="s">
        <v>108</v>
      </c>
    </row>
    <row r="1263" spans="1:6" x14ac:dyDescent="0.3">
      <c r="A1263" s="38">
        <v>46231</v>
      </c>
      <c r="B1263" t="s">
        <v>488</v>
      </c>
      <c r="C1263" s="95">
        <v>1300</v>
      </c>
      <c r="D1263" s="95"/>
      <c r="E1263" t="s">
        <v>1014</v>
      </c>
      <c r="F1263" s="108" t="s">
        <v>108</v>
      </c>
    </row>
    <row r="1264" spans="1:6" x14ac:dyDescent="0.3">
      <c r="A1264" s="38">
        <v>46231</v>
      </c>
      <c r="B1264" t="s">
        <v>253</v>
      </c>
      <c r="C1264" s="95">
        <v>22000</v>
      </c>
      <c r="D1264" s="95"/>
      <c r="E1264" t="s">
        <v>1015</v>
      </c>
      <c r="F1264" s="108" t="s">
        <v>108</v>
      </c>
    </row>
    <row r="1265" spans="1:6" x14ac:dyDescent="0.3">
      <c r="A1265" s="38">
        <v>46231</v>
      </c>
      <c r="B1265" t="s">
        <v>386</v>
      </c>
      <c r="C1265" s="95">
        <v>200</v>
      </c>
      <c r="D1265" s="95"/>
      <c r="E1265" t="s">
        <v>987</v>
      </c>
      <c r="F1265" s="108" t="s">
        <v>108</v>
      </c>
    </row>
    <row r="1266" spans="1:6" x14ac:dyDescent="0.3">
      <c r="A1266" s="38">
        <v>46233</v>
      </c>
      <c r="B1266" t="s">
        <v>219</v>
      </c>
      <c r="C1266" s="95"/>
      <c r="D1266" s="95">
        <v>54000</v>
      </c>
      <c r="E1266" t="s">
        <v>1016</v>
      </c>
      <c r="F1266" s="108" t="s">
        <v>108</v>
      </c>
    </row>
    <row r="1267" spans="1:6" x14ac:dyDescent="0.3">
      <c r="A1267" s="38">
        <v>46233</v>
      </c>
      <c r="B1267" t="s">
        <v>357</v>
      </c>
      <c r="C1267" s="95">
        <v>3100</v>
      </c>
      <c r="D1267" s="95"/>
      <c r="F1267" s="108" t="s">
        <v>108</v>
      </c>
    </row>
    <row r="1268" spans="1:6" x14ac:dyDescent="0.3">
      <c r="A1268" s="38">
        <v>46233</v>
      </c>
      <c r="B1268" t="s">
        <v>269</v>
      </c>
      <c r="C1268" s="95">
        <v>3000</v>
      </c>
      <c r="D1268" s="95"/>
      <c r="E1268" t="s">
        <v>992</v>
      </c>
      <c r="F1268" s="108" t="s">
        <v>108</v>
      </c>
    </row>
    <row r="1269" spans="1:6" x14ac:dyDescent="0.3">
      <c r="A1269" s="38">
        <v>46233</v>
      </c>
      <c r="B1269" t="s">
        <v>269</v>
      </c>
      <c r="C1269" s="95">
        <v>3000</v>
      </c>
      <c r="D1269" s="95"/>
      <c r="E1269" t="s">
        <v>1017</v>
      </c>
      <c r="F1269" s="108" t="s">
        <v>108</v>
      </c>
    </row>
    <row r="1270" spans="1:6" x14ac:dyDescent="0.3">
      <c r="A1270" s="38">
        <v>46233</v>
      </c>
      <c r="B1270" t="s">
        <v>219</v>
      </c>
      <c r="C1270" s="95"/>
      <c r="D1270" s="95">
        <v>35000</v>
      </c>
      <c r="E1270" t="s">
        <v>318</v>
      </c>
      <c r="F1270" s="108" t="s">
        <v>108</v>
      </c>
    </row>
    <row r="1271" spans="1:6" x14ac:dyDescent="0.3">
      <c r="A1271" s="38">
        <v>46233</v>
      </c>
      <c r="B1271" t="s">
        <v>253</v>
      </c>
      <c r="C1271" s="95">
        <v>27000</v>
      </c>
      <c r="D1271" s="95"/>
      <c r="E1271" t="s">
        <v>1018</v>
      </c>
      <c r="F1271" s="108" t="s">
        <v>108</v>
      </c>
    </row>
    <row r="1272" spans="1:6" x14ac:dyDescent="0.3">
      <c r="A1272" s="38">
        <v>46233</v>
      </c>
      <c r="B1272" t="s">
        <v>253</v>
      </c>
      <c r="C1272" s="95">
        <v>7000</v>
      </c>
      <c r="D1272" s="95"/>
      <c r="E1272" t="s">
        <v>1019</v>
      </c>
      <c r="F1272" s="108" t="s">
        <v>108</v>
      </c>
    </row>
    <row r="1273" spans="1:6" x14ac:dyDescent="0.3">
      <c r="A1273" s="38">
        <v>46233</v>
      </c>
      <c r="B1273" t="s">
        <v>219</v>
      </c>
      <c r="C1273" s="95"/>
      <c r="D1273" s="95">
        <v>5000</v>
      </c>
      <c r="F1273" s="108" t="s">
        <v>108</v>
      </c>
    </row>
    <row r="1274" spans="1:6" x14ac:dyDescent="0.3">
      <c r="A1274" s="38">
        <v>46233</v>
      </c>
      <c r="B1274" t="s">
        <v>425</v>
      </c>
      <c r="C1274" s="95">
        <v>50000</v>
      </c>
      <c r="D1274" s="95"/>
      <c r="E1274" t="s">
        <v>1020</v>
      </c>
      <c r="F1274" s="108" t="s">
        <v>108</v>
      </c>
    </row>
    <row r="1275" spans="1:6" x14ac:dyDescent="0.3">
      <c r="A1275" s="38">
        <v>46234</v>
      </c>
      <c r="B1275" t="s">
        <v>55</v>
      </c>
      <c r="C1275" s="95">
        <v>3000</v>
      </c>
      <c r="D1275" s="95"/>
      <c r="E1275" t="s">
        <v>1021</v>
      </c>
      <c r="F1275" s="108" t="s">
        <v>108</v>
      </c>
    </row>
    <row r="1276" spans="1:6" x14ac:dyDescent="0.3">
      <c r="A1276" s="38">
        <v>46234</v>
      </c>
      <c r="B1276" t="s">
        <v>219</v>
      </c>
      <c r="C1276" s="95"/>
      <c r="D1276" s="95">
        <v>5000</v>
      </c>
      <c r="E1276" t="s">
        <v>1022</v>
      </c>
      <c r="F1276" s="108" t="s">
        <v>108</v>
      </c>
    </row>
    <row r="1277" spans="1:6" x14ac:dyDescent="0.3">
      <c r="A1277" s="38">
        <v>46234</v>
      </c>
      <c r="B1277" t="s">
        <v>219</v>
      </c>
      <c r="C1277" s="95"/>
      <c r="D1277" s="95">
        <v>25000</v>
      </c>
      <c r="E1277" t="s">
        <v>1023</v>
      </c>
      <c r="F1277" s="108" t="s">
        <v>108</v>
      </c>
    </row>
    <row r="1278" spans="1:6" x14ac:dyDescent="0.3">
      <c r="A1278" s="38">
        <v>46234</v>
      </c>
      <c r="B1278" t="s">
        <v>269</v>
      </c>
      <c r="C1278" s="95">
        <v>25000</v>
      </c>
      <c r="D1278" s="95"/>
      <c r="E1278" t="s">
        <v>700</v>
      </c>
      <c r="F1278" s="108" t="s">
        <v>108</v>
      </c>
    </row>
    <row r="1279" spans="1:6" x14ac:dyDescent="0.3">
      <c r="A1279" s="38">
        <v>46234</v>
      </c>
      <c r="B1279" t="s">
        <v>219</v>
      </c>
      <c r="C1279" s="95"/>
      <c r="D1279" s="95">
        <v>250000</v>
      </c>
      <c r="E1279" t="s">
        <v>961</v>
      </c>
      <c r="F1279" s="108" t="s">
        <v>108</v>
      </c>
    </row>
    <row r="1280" spans="1:6" x14ac:dyDescent="0.3">
      <c r="A1280" s="38">
        <v>46234</v>
      </c>
      <c r="B1280" t="s">
        <v>116</v>
      </c>
      <c r="C1280" s="95">
        <v>14000</v>
      </c>
      <c r="D1280" s="95"/>
      <c r="E1280" t="s">
        <v>1029</v>
      </c>
      <c r="F1280" s="108" t="s">
        <v>108</v>
      </c>
    </row>
    <row r="1281" spans="1:6" x14ac:dyDescent="0.3">
      <c r="A1281" s="38">
        <v>46234</v>
      </c>
      <c r="B1281" t="s">
        <v>219</v>
      </c>
      <c r="C1281" s="95"/>
      <c r="D1281" s="95">
        <v>14000</v>
      </c>
      <c r="E1281" t="s">
        <v>175</v>
      </c>
      <c r="F1281" s="108" t="s">
        <v>108</v>
      </c>
    </row>
    <row r="1282" spans="1:6" x14ac:dyDescent="0.3">
      <c r="A1282" s="38">
        <v>46234</v>
      </c>
      <c r="B1282" t="s">
        <v>280</v>
      </c>
      <c r="C1282" s="95"/>
      <c r="D1282" s="95">
        <v>100000</v>
      </c>
      <c r="E1282" t="s">
        <v>961</v>
      </c>
      <c r="F1282" s="108" t="s">
        <v>108</v>
      </c>
    </row>
    <row r="1283" spans="1:6" x14ac:dyDescent="0.3">
      <c r="A1283" s="38">
        <v>46234</v>
      </c>
      <c r="B1283" t="s">
        <v>219</v>
      </c>
      <c r="C1283" s="95">
        <v>100000</v>
      </c>
      <c r="D1283" s="95"/>
      <c r="E1283" t="s">
        <v>280</v>
      </c>
      <c r="F1283" s="108" t="s">
        <v>108</v>
      </c>
    </row>
    <row r="1284" spans="1:6" x14ac:dyDescent="0.3">
      <c r="A1284" s="38">
        <v>46235</v>
      </c>
      <c r="B1284" t="s">
        <v>357</v>
      </c>
      <c r="C1284" s="95">
        <v>13790</v>
      </c>
      <c r="D1284" s="95"/>
      <c r="E1284" t="s">
        <v>357</v>
      </c>
      <c r="F1284" s="108" t="s">
        <v>108</v>
      </c>
    </row>
    <row r="1285" spans="1:6" x14ac:dyDescent="0.3">
      <c r="A1285" s="111">
        <v>46235</v>
      </c>
      <c r="B1285" t="s">
        <v>219</v>
      </c>
      <c r="C1285" s="95"/>
      <c r="D1285" s="95">
        <v>15000</v>
      </c>
      <c r="E1285" t="s">
        <v>1046</v>
      </c>
      <c r="F1285" s="108" t="s">
        <v>108</v>
      </c>
    </row>
    <row r="1286" spans="1:6" x14ac:dyDescent="0.3">
      <c r="A1286" s="111">
        <v>46235</v>
      </c>
      <c r="B1286" t="s">
        <v>211</v>
      </c>
      <c r="C1286" s="95">
        <v>1490</v>
      </c>
      <c r="D1286" s="95"/>
      <c r="F1286" s="108" t="s">
        <v>108</v>
      </c>
    </row>
    <row r="1287" spans="1:6" x14ac:dyDescent="0.3">
      <c r="A1287" s="111">
        <v>46235</v>
      </c>
      <c r="B1287" t="s">
        <v>244</v>
      </c>
      <c r="C1287" s="11">
        <v>140</v>
      </c>
      <c r="D1287" s="11"/>
      <c r="E1287" t="s">
        <v>1035</v>
      </c>
      <c r="F1287" s="108" t="s">
        <v>108</v>
      </c>
    </row>
    <row r="1288" spans="1:6" x14ac:dyDescent="0.3">
      <c r="A1288" s="38">
        <v>46235</v>
      </c>
      <c r="B1288" t="s">
        <v>357</v>
      </c>
      <c r="C1288" s="11">
        <v>3000</v>
      </c>
      <c r="D1288" s="11"/>
      <c r="E1288" t="s">
        <v>535</v>
      </c>
      <c r="F1288" s="108" t="s">
        <v>108</v>
      </c>
    </row>
    <row r="1289" spans="1:6" x14ac:dyDescent="0.3">
      <c r="A1289" s="111">
        <v>46235</v>
      </c>
      <c r="B1289" t="s">
        <v>253</v>
      </c>
      <c r="C1289" s="11">
        <v>16330</v>
      </c>
      <c r="D1289" s="11"/>
      <c r="E1289" t="s">
        <v>1036</v>
      </c>
      <c r="F1289" s="108" t="s">
        <v>108</v>
      </c>
    </row>
    <row r="1290" spans="1:6" x14ac:dyDescent="0.3">
      <c r="A1290" s="38">
        <v>46235</v>
      </c>
      <c r="B1290" t="s">
        <v>253</v>
      </c>
      <c r="C1290" s="11">
        <v>23500</v>
      </c>
      <c r="D1290" s="11"/>
      <c r="E1290" t="s">
        <v>1037</v>
      </c>
      <c r="F1290" s="108" t="s">
        <v>108</v>
      </c>
    </row>
    <row r="1291" spans="1:6" x14ac:dyDescent="0.3">
      <c r="A1291" s="111">
        <v>46235</v>
      </c>
      <c r="B1291" t="s">
        <v>55</v>
      </c>
      <c r="C1291" s="11">
        <v>30000</v>
      </c>
      <c r="D1291" s="11"/>
      <c r="E1291" t="s">
        <v>1038</v>
      </c>
      <c r="F1291" s="108" t="s">
        <v>108</v>
      </c>
    </row>
    <row r="1292" spans="1:6" x14ac:dyDescent="0.3">
      <c r="A1292" s="38">
        <v>46235</v>
      </c>
      <c r="B1292" t="s">
        <v>219</v>
      </c>
      <c r="C1292" s="11"/>
      <c r="D1292" s="11">
        <v>30000</v>
      </c>
      <c r="E1292" t="s">
        <v>1038</v>
      </c>
      <c r="F1292" s="108" t="s">
        <v>108</v>
      </c>
    </row>
    <row r="1293" spans="1:6" x14ac:dyDescent="0.3">
      <c r="A1293" s="111">
        <v>46235</v>
      </c>
      <c r="B1293" t="s">
        <v>219</v>
      </c>
      <c r="C1293" s="11"/>
      <c r="D1293" s="11">
        <v>7000</v>
      </c>
      <c r="E1293" t="s">
        <v>288</v>
      </c>
      <c r="F1293" s="108" t="s">
        <v>108</v>
      </c>
    </row>
    <row r="1294" spans="1:6" x14ac:dyDescent="0.3">
      <c r="A1294" s="38">
        <v>46235</v>
      </c>
      <c r="B1294" t="s">
        <v>269</v>
      </c>
      <c r="C1294" s="11">
        <v>7000</v>
      </c>
      <c r="D1294" s="11"/>
      <c r="E1294" t="s">
        <v>288</v>
      </c>
      <c r="F1294" s="108" t="s">
        <v>108</v>
      </c>
    </row>
    <row r="1295" spans="1:6" x14ac:dyDescent="0.3">
      <c r="A1295" s="111">
        <v>46235</v>
      </c>
      <c r="B1295" t="s">
        <v>27</v>
      </c>
      <c r="C1295" s="11"/>
      <c r="D1295" s="11">
        <v>100000</v>
      </c>
      <c r="F1295" s="108" t="s">
        <v>108</v>
      </c>
    </row>
    <row r="1296" spans="1:6" x14ac:dyDescent="0.3">
      <c r="A1296" s="111">
        <v>46236</v>
      </c>
      <c r="B1296" t="s">
        <v>244</v>
      </c>
      <c r="C1296" s="11">
        <v>4000</v>
      </c>
      <c r="D1296" s="11"/>
      <c r="E1296" t="s">
        <v>1039</v>
      </c>
      <c r="F1296" s="108" t="s">
        <v>108</v>
      </c>
    </row>
    <row r="1297" spans="1:6" x14ac:dyDescent="0.3">
      <c r="A1297" s="38">
        <v>46236</v>
      </c>
      <c r="B1297" t="s">
        <v>211</v>
      </c>
      <c r="C1297" s="11">
        <v>3132</v>
      </c>
      <c r="D1297" s="11"/>
      <c r="F1297" s="108" t="s">
        <v>108</v>
      </c>
    </row>
    <row r="1298" spans="1:6" x14ac:dyDescent="0.3">
      <c r="A1298" s="111">
        <v>46236</v>
      </c>
      <c r="B1298" t="s">
        <v>357</v>
      </c>
      <c r="C1298" s="11">
        <v>2900</v>
      </c>
      <c r="D1298" s="11"/>
      <c r="E1298" t="s">
        <v>535</v>
      </c>
      <c r="F1298" s="108" t="s">
        <v>108</v>
      </c>
    </row>
    <row r="1299" spans="1:6" x14ac:dyDescent="0.3">
      <c r="A1299" s="38">
        <v>46236</v>
      </c>
      <c r="B1299" t="s">
        <v>269</v>
      </c>
      <c r="C1299" s="11">
        <v>5000</v>
      </c>
      <c r="D1299" s="11"/>
      <c r="E1299" t="s">
        <v>991</v>
      </c>
      <c r="F1299" s="108" t="s">
        <v>108</v>
      </c>
    </row>
    <row r="1300" spans="1:6" x14ac:dyDescent="0.3">
      <c r="A1300" s="111">
        <v>46236</v>
      </c>
      <c r="B1300" t="s">
        <v>219</v>
      </c>
      <c r="C1300" s="11">
        <v>100000</v>
      </c>
      <c r="D1300" s="11"/>
      <c r="E1300" t="s">
        <v>1040</v>
      </c>
      <c r="F1300" s="108" t="s">
        <v>108</v>
      </c>
    </row>
    <row r="1301" spans="1:6" x14ac:dyDescent="0.3">
      <c r="A1301" s="38">
        <v>46236</v>
      </c>
      <c r="B1301" t="s">
        <v>1041</v>
      </c>
      <c r="C1301" s="11"/>
      <c r="D1301" s="11">
        <v>100000</v>
      </c>
      <c r="F1301" s="108" t="s">
        <v>108</v>
      </c>
    </row>
    <row r="1302" spans="1:6" x14ac:dyDescent="0.3">
      <c r="A1302" s="111">
        <v>46236</v>
      </c>
      <c r="B1302" t="s">
        <v>219</v>
      </c>
      <c r="C1302" s="11">
        <v>100000</v>
      </c>
      <c r="D1302" s="11"/>
      <c r="E1302" t="s">
        <v>1042</v>
      </c>
      <c r="F1302" s="108" t="s">
        <v>108</v>
      </c>
    </row>
    <row r="1303" spans="1:6" x14ac:dyDescent="0.3">
      <c r="A1303" s="38">
        <v>46236</v>
      </c>
      <c r="B1303" t="s">
        <v>244</v>
      </c>
      <c r="C1303" s="95">
        <v>1600</v>
      </c>
      <c r="D1303" s="95"/>
      <c r="E1303" t="s">
        <v>1043</v>
      </c>
      <c r="F1303" s="108" t="s">
        <v>108</v>
      </c>
    </row>
    <row r="1304" spans="1:6" x14ac:dyDescent="0.3">
      <c r="A1304" s="111">
        <v>46237</v>
      </c>
      <c r="B1304" t="s">
        <v>115</v>
      </c>
      <c r="C1304" s="11">
        <v>250000</v>
      </c>
      <c r="D1304" s="11"/>
      <c r="E1304" t="s">
        <v>1044</v>
      </c>
      <c r="F1304" s="108" t="s">
        <v>108</v>
      </c>
    </row>
    <row r="1305" spans="1:6" x14ac:dyDescent="0.3">
      <c r="A1305" s="38">
        <v>46237</v>
      </c>
      <c r="B1305" t="s">
        <v>219</v>
      </c>
      <c r="C1305" s="11"/>
      <c r="D1305" s="11">
        <v>55000</v>
      </c>
      <c r="E1305" t="s">
        <v>1045</v>
      </c>
      <c r="F1305" s="108" t="s">
        <v>108</v>
      </c>
    </row>
    <row r="1306" spans="1:6" x14ac:dyDescent="0.3">
      <c r="A1306" s="111">
        <v>46237</v>
      </c>
      <c r="B1306" t="s">
        <v>244</v>
      </c>
      <c r="C1306" s="11">
        <v>690</v>
      </c>
      <c r="D1306" s="11"/>
      <c r="E1306" t="s">
        <v>846</v>
      </c>
      <c r="F1306" s="108" t="s">
        <v>108</v>
      </c>
    </row>
    <row r="1307" spans="1:6" x14ac:dyDescent="0.3">
      <c r="A1307" s="38">
        <v>46237</v>
      </c>
      <c r="B1307" t="s">
        <v>219</v>
      </c>
      <c r="C1307" s="11"/>
      <c r="D1307" s="11">
        <v>5000</v>
      </c>
      <c r="E1307" t="s">
        <v>318</v>
      </c>
      <c r="F1307" s="108" t="s">
        <v>108</v>
      </c>
    </row>
    <row r="1308" spans="1:6" x14ac:dyDescent="0.3">
      <c r="A1308" s="111">
        <v>46237</v>
      </c>
      <c r="B1308" t="s">
        <v>367</v>
      </c>
      <c r="C1308" s="11"/>
      <c r="D1308" s="11">
        <v>200000</v>
      </c>
      <c r="E1308" t="s">
        <v>1047</v>
      </c>
      <c r="F1308" s="108" t="s">
        <v>108</v>
      </c>
    </row>
    <row r="1309" spans="1:6" x14ac:dyDescent="0.3">
      <c r="A1309" s="38">
        <v>46237</v>
      </c>
      <c r="B1309" t="s">
        <v>55</v>
      </c>
      <c r="C1309" s="95">
        <v>600</v>
      </c>
      <c r="D1309" s="95"/>
      <c r="F1309" s="108" t="s">
        <v>108</v>
      </c>
    </row>
    <row r="1310" spans="1:6" x14ac:dyDescent="0.3">
      <c r="A1310" s="111">
        <v>46237</v>
      </c>
      <c r="B1310" t="s">
        <v>357</v>
      </c>
      <c r="C1310" s="11">
        <v>2900</v>
      </c>
      <c r="D1310" s="11"/>
      <c r="E1310" t="s">
        <v>535</v>
      </c>
      <c r="F1310" s="108" t="s">
        <v>108</v>
      </c>
    </row>
    <row r="1311" spans="1:6" x14ac:dyDescent="0.3">
      <c r="A1311" s="38">
        <v>46237</v>
      </c>
      <c r="B1311" t="s">
        <v>253</v>
      </c>
      <c r="C1311" s="11">
        <v>41800</v>
      </c>
      <c r="D1311" s="11"/>
      <c r="E1311" t="s">
        <v>1048</v>
      </c>
      <c r="F1311" s="108" t="s">
        <v>108</v>
      </c>
    </row>
    <row r="1312" spans="1:6" x14ac:dyDescent="0.3">
      <c r="A1312" s="111">
        <v>46237</v>
      </c>
      <c r="B1312" t="s">
        <v>253</v>
      </c>
      <c r="C1312" s="11">
        <v>14400</v>
      </c>
      <c r="D1312" s="11"/>
      <c r="E1312" t="s">
        <v>1026</v>
      </c>
      <c r="F1312" s="108" t="s">
        <v>108</v>
      </c>
    </row>
    <row r="1313" spans="1:6" x14ac:dyDescent="0.3">
      <c r="A1313" s="38">
        <v>46237</v>
      </c>
      <c r="B1313" t="s">
        <v>253</v>
      </c>
      <c r="C1313" s="11">
        <v>20000</v>
      </c>
      <c r="D1313" s="11"/>
      <c r="E1313" t="s">
        <v>1024</v>
      </c>
      <c r="F1313" s="108" t="s">
        <v>108</v>
      </c>
    </row>
    <row r="1314" spans="1:6" x14ac:dyDescent="0.3">
      <c r="A1314" s="111">
        <v>46237</v>
      </c>
      <c r="B1314" t="s">
        <v>253</v>
      </c>
      <c r="C1314" s="11">
        <v>12400</v>
      </c>
      <c r="D1314" s="11"/>
      <c r="E1314" t="s">
        <v>1025</v>
      </c>
      <c r="F1314" s="108" t="s">
        <v>108</v>
      </c>
    </row>
    <row r="1315" spans="1:6" x14ac:dyDescent="0.3">
      <c r="A1315" s="38">
        <v>46237</v>
      </c>
      <c r="B1315" t="s">
        <v>253</v>
      </c>
      <c r="C1315" s="95">
        <v>1600</v>
      </c>
      <c r="D1315" s="95"/>
      <c r="E1315" t="s">
        <v>1017</v>
      </c>
      <c r="F1315" s="108" t="s">
        <v>108</v>
      </c>
    </row>
    <row r="1316" spans="1:6" x14ac:dyDescent="0.3">
      <c r="A1316" s="38">
        <v>46237</v>
      </c>
      <c r="B1316" t="s">
        <v>269</v>
      </c>
      <c r="C1316" s="95">
        <v>10000</v>
      </c>
      <c r="D1316" s="95"/>
      <c r="E1316" t="s">
        <v>665</v>
      </c>
      <c r="F1316" s="108" t="s">
        <v>108</v>
      </c>
    </row>
    <row r="1317" spans="1:6" x14ac:dyDescent="0.3">
      <c r="A1317" s="38">
        <v>46237</v>
      </c>
      <c r="B1317" t="s">
        <v>269</v>
      </c>
      <c r="C1317" s="95">
        <v>100000</v>
      </c>
      <c r="D1317" s="95"/>
      <c r="E1317" t="s">
        <v>997</v>
      </c>
      <c r="F1317" s="108" t="s">
        <v>108</v>
      </c>
    </row>
    <row r="1318" spans="1:6" x14ac:dyDescent="0.3">
      <c r="A1318" s="38">
        <v>46238</v>
      </c>
      <c r="B1318" t="s">
        <v>219</v>
      </c>
      <c r="C1318" s="95"/>
      <c r="D1318" s="95">
        <v>100000</v>
      </c>
      <c r="E1318" t="s">
        <v>1049</v>
      </c>
      <c r="F1318" s="108" t="s">
        <v>108</v>
      </c>
    </row>
    <row r="1319" spans="1:6" x14ac:dyDescent="0.3">
      <c r="A1319" s="38">
        <v>46238</v>
      </c>
      <c r="B1319" t="s">
        <v>674</v>
      </c>
      <c r="C1319" s="95">
        <v>100000</v>
      </c>
      <c r="D1319" s="95"/>
      <c r="E1319" t="s">
        <v>1050</v>
      </c>
      <c r="F1319" s="108" t="s">
        <v>108</v>
      </c>
    </row>
    <row r="1320" spans="1:6" x14ac:dyDescent="0.3">
      <c r="A1320" s="38">
        <v>46238</v>
      </c>
      <c r="B1320" t="s">
        <v>219</v>
      </c>
      <c r="C1320" s="95"/>
      <c r="D1320" s="95">
        <v>10000</v>
      </c>
      <c r="E1320" t="s">
        <v>1051</v>
      </c>
      <c r="F1320" s="108" t="s">
        <v>108</v>
      </c>
    </row>
    <row r="1321" spans="1:6" x14ac:dyDescent="0.3">
      <c r="A1321" s="38">
        <v>46238</v>
      </c>
      <c r="B1321" t="s">
        <v>269</v>
      </c>
      <c r="C1321" s="95">
        <v>10000</v>
      </c>
      <c r="D1321" s="95"/>
      <c r="E1321" t="s">
        <v>1052</v>
      </c>
      <c r="F1321" s="108" t="s">
        <v>108</v>
      </c>
    </row>
    <row r="1322" spans="1:6" x14ac:dyDescent="0.3">
      <c r="A1322" s="38">
        <v>46238</v>
      </c>
      <c r="B1322" t="s">
        <v>219</v>
      </c>
      <c r="C1322" s="95"/>
      <c r="D1322" s="95">
        <v>20000</v>
      </c>
      <c r="E1322" t="s">
        <v>961</v>
      </c>
      <c r="F1322" s="108" t="s">
        <v>108</v>
      </c>
    </row>
    <row r="1323" spans="1:6" x14ac:dyDescent="0.3">
      <c r="A1323" s="38">
        <v>46238</v>
      </c>
      <c r="B1323" t="s">
        <v>246</v>
      </c>
      <c r="C1323" s="95">
        <v>3700</v>
      </c>
      <c r="D1323" s="95"/>
      <c r="E1323" t="s">
        <v>282</v>
      </c>
      <c r="F1323" s="108" t="s">
        <v>108</v>
      </c>
    </row>
    <row r="1324" spans="1:6" x14ac:dyDescent="0.3">
      <c r="A1324" s="38">
        <v>46238</v>
      </c>
      <c r="B1324" t="s">
        <v>298</v>
      </c>
      <c r="C1324" s="11">
        <v>5000</v>
      </c>
      <c r="D1324" s="11"/>
      <c r="E1324" t="s">
        <v>693</v>
      </c>
      <c r="F1324" s="108" t="s">
        <v>108</v>
      </c>
    </row>
    <row r="1325" spans="1:6" x14ac:dyDescent="0.3">
      <c r="A1325" s="38">
        <v>46238</v>
      </c>
      <c r="B1325" t="s">
        <v>55</v>
      </c>
      <c r="C1325" s="11">
        <v>2800</v>
      </c>
      <c r="D1325" s="11"/>
      <c r="E1325" t="s">
        <v>1053</v>
      </c>
      <c r="F1325" s="108" t="s">
        <v>108</v>
      </c>
    </row>
    <row r="1326" spans="1:6" x14ac:dyDescent="0.3">
      <c r="A1326" s="38">
        <v>46238</v>
      </c>
      <c r="B1326" t="s">
        <v>55</v>
      </c>
      <c r="C1326" s="11">
        <v>5780</v>
      </c>
      <c r="D1326" s="11"/>
      <c r="F1326" s="108" t="s">
        <v>108</v>
      </c>
    </row>
    <row r="1327" spans="1:6" x14ac:dyDescent="0.3">
      <c r="A1327" s="38">
        <v>46238</v>
      </c>
      <c r="B1327" t="s">
        <v>55</v>
      </c>
      <c r="C1327" s="11">
        <v>3300</v>
      </c>
      <c r="D1327" s="11"/>
      <c r="E1327" t="s">
        <v>1054</v>
      </c>
      <c r="F1327" s="108" t="s">
        <v>108</v>
      </c>
    </row>
    <row r="1328" spans="1:6" x14ac:dyDescent="0.3">
      <c r="A1328" s="38">
        <v>46238</v>
      </c>
      <c r="B1328" t="s">
        <v>211</v>
      </c>
      <c r="C1328" s="11"/>
      <c r="D1328" s="11">
        <v>1850</v>
      </c>
      <c r="F1328" s="108" t="s">
        <v>108</v>
      </c>
    </row>
    <row r="1329" spans="1:6" x14ac:dyDescent="0.3">
      <c r="A1329" s="38">
        <v>46238</v>
      </c>
      <c r="B1329" t="s">
        <v>357</v>
      </c>
      <c r="C1329" s="11">
        <v>2900</v>
      </c>
      <c r="D1329" s="11"/>
      <c r="E1329" t="s">
        <v>535</v>
      </c>
      <c r="F1329" s="108" t="s">
        <v>108</v>
      </c>
    </row>
    <row r="1330" spans="1:6" x14ac:dyDescent="0.3">
      <c r="A1330" s="38">
        <v>46238</v>
      </c>
      <c r="B1330" t="s">
        <v>211</v>
      </c>
      <c r="C1330" s="11">
        <v>3850</v>
      </c>
      <c r="D1330" s="11"/>
      <c r="F1330" s="108" t="s">
        <v>108</v>
      </c>
    </row>
    <row r="1331" spans="1:6" x14ac:dyDescent="0.3">
      <c r="A1331" s="38">
        <v>46238</v>
      </c>
      <c r="B1331" t="s">
        <v>386</v>
      </c>
      <c r="C1331" s="11">
        <v>740</v>
      </c>
      <c r="D1331" s="11"/>
      <c r="E1331" t="s">
        <v>1055</v>
      </c>
      <c r="F1331" s="108" t="s">
        <v>108</v>
      </c>
    </row>
    <row r="1332" spans="1:6" x14ac:dyDescent="0.3">
      <c r="A1332" s="38">
        <v>46238</v>
      </c>
      <c r="B1332" t="s">
        <v>219</v>
      </c>
      <c r="C1332" s="95"/>
      <c r="D1332" s="95">
        <v>10000</v>
      </c>
      <c r="E1332" t="s">
        <v>318</v>
      </c>
      <c r="F1332" s="108" t="s">
        <v>108</v>
      </c>
    </row>
    <row r="1333" spans="1:6" x14ac:dyDescent="0.3">
      <c r="A1333" s="38">
        <v>46238</v>
      </c>
      <c r="B1333" t="s">
        <v>488</v>
      </c>
      <c r="C1333" s="95">
        <v>5020</v>
      </c>
      <c r="D1333" s="95"/>
      <c r="E1333" t="s">
        <v>1056</v>
      </c>
      <c r="F1333" s="108" t="s">
        <v>108</v>
      </c>
    </row>
    <row r="1334" spans="1:6" x14ac:dyDescent="0.3">
      <c r="A1334" s="38">
        <v>46239</v>
      </c>
      <c r="B1334" t="s">
        <v>219</v>
      </c>
      <c r="C1334" s="95"/>
      <c r="D1334" s="95">
        <v>10000</v>
      </c>
      <c r="E1334" t="s">
        <v>318</v>
      </c>
      <c r="F1334" s="108" t="s">
        <v>108</v>
      </c>
    </row>
    <row r="1335" spans="1:6" x14ac:dyDescent="0.3">
      <c r="A1335" s="38">
        <v>46239</v>
      </c>
      <c r="B1335" t="s">
        <v>55</v>
      </c>
      <c r="C1335" s="95">
        <v>2240</v>
      </c>
      <c r="D1335" s="95"/>
      <c r="E1335" t="s">
        <v>1057</v>
      </c>
      <c r="F1335" s="108" t="s">
        <v>108</v>
      </c>
    </row>
    <row r="1336" spans="1:6" x14ac:dyDescent="0.3">
      <c r="A1336" s="38">
        <v>46239</v>
      </c>
      <c r="B1336" t="s">
        <v>219</v>
      </c>
      <c r="C1336" s="95"/>
      <c r="D1336" s="95">
        <v>50000</v>
      </c>
      <c r="E1336" t="s">
        <v>1058</v>
      </c>
      <c r="F1336" s="108" t="s">
        <v>108</v>
      </c>
    </row>
    <row r="1337" spans="1:6" x14ac:dyDescent="0.3">
      <c r="A1337" s="38">
        <v>46239</v>
      </c>
      <c r="B1337" t="s">
        <v>269</v>
      </c>
      <c r="C1337" s="95">
        <v>50000</v>
      </c>
      <c r="D1337" s="95"/>
      <c r="E1337" t="s">
        <v>1059</v>
      </c>
      <c r="F1337" s="108" t="s">
        <v>108</v>
      </c>
    </row>
    <row r="1338" spans="1:6" x14ac:dyDescent="0.3">
      <c r="A1338" s="38">
        <v>46239</v>
      </c>
      <c r="B1338" t="s">
        <v>488</v>
      </c>
      <c r="C1338" s="95">
        <v>1500</v>
      </c>
      <c r="D1338" s="95"/>
      <c r="E1338" t="s">
        <v>963</v>
      </c>
      <c r="F1338" s="108" t="s">
        <v>108</v>
      </c>
    </row>
    <row r="1339" spans="1:6" x14ac:dyDescent="0.3">
      <c r="A1339" s="38">
        <v>46239</v>
      </c>
      <c r="B1339" t="s">
        <v>55</v>
      </c>
      <c r="C1339" s="95">
        <v>1300</v>
      </c>
      <c r="D1339" s="95"/>
      <c r="E1339" t="s">
        <v>1060</v>
      </c>
      <c r="F1339" s="108" t="s">
        <v>108</v>
      </c>
    </row>
    <row r="1340" spans="1:6" x14ac:dyDescent="0.3">
      <c r="A1340" s="38">
        <v>46239</v>
      </c>
      <c r="B1340" t="s">
        <v>367</v>
      </c>
      <c r="C1340" s="95"/>
      <c r="D1340" s="95">
        <v>8014</v>
      </c>
      <c r="E1340" t="s">
        <v>54</v>
      </c>
      <c r="F1340" s="108" t="s">
        <v>108</v>
      </c>
    </row>
    <row r="1341" spans="1:6" x14ac:dyDescent="0.3">
      <c r="A1341" s="38">
        <v>46239</v>
      </c>
      <c r="B1341" t="s">
        <v>488</v>
      </c>
      <c r="C1341" s="95">
        <v>8014</v>
      </c>
      <c r="D1341" s="95"/>
      <c r="E1341" t="s">
        <v>1061</v>
      </c>
      <c r="F1341" s="108" t="s">
        <v>108</v>
      </c>
    </row>
    <row r="1342" spans="1:6" x14ac:dyDescent="0.3">
      <c r="A1342" s="38">
        <v>46239</v>
      </c>
      <c r="B1342" t="s">
        <v>367</v>
      </c>
      <c r="C1342" s="95"/>
      <c r="D1342" s="95">
        <v>500000</v>
      </c>
      <c r="E1342" t="s">
        <v>1062</v>
      </c>
      <c r="F1342" s="108" t="s">
        <v>108</v>
      </c>
    </row>
    <row r="1343" spans="1:6" x14ac:dyDescent="0.3">
      <c r="A1343" s="38">
        <v>46239</v>
      </c>
      <c r="B1343" t="s">
        <v>357</v>
      </c>
      <c r="C1343" s="95">
        <v>2900</v>
      </c>
      <c r="D1343" s="95"/>
      <c r="E1343" t="s">
        <v>535</v>
      </c>
      <c r="F1343" s="108" t="s">
        <v>108</v>
      </c>
    </row>
    <row r="1344" spans="1:6" x14ac:dyDescent="0.3">
      <c r="A1344" s="38">
        <v>46239</v>
      </c>
      <c r="B1344" t="s">
        <v>269</v>
      </c>
      <c r="C1344" s="95">
        <v>10000</v>
      </c>
      <c r="D1344" s="95"/>
      <c r="E1344" t="s">
        <v>1063</v>
      </c>
      <c r="F1344" s="108" t="s">
        <v>108</v>
      </c>
    </row>
    <row r="1345" spans="1:6" x14ac:dyDescent="0.3">
      <c r="A1345" s="38">
        <v>46239</v>
      </c>
      <c r="B1345" t="s">
        <v>269</v>
      </c>
      <c r="C1345" s="95">
        <v>5000</v>
      </c>
      <c r="D1345" s="95"/>
      <c r="E1345" t="s">
        <v>602</v>
      </c>
      <c r="F1345" s="108" t="s">
        <v>108</v>
      </c>
    </row>
    <row r="1346" spans="1:6" x14ac:dyDescent="0.3">
      <c r="A1346" s="38">
        <v>46243</v>
      </c>
      <c r="B1346" s="117" t="s">
        <v>269</v>
      </c>
      <c r="C1346" s="95">
        <v>25000</v>
      </c>
      <c r="D1346" s="95"/>
      <c r="E1346" t="s">
        <v>288</v>
      </c>
      <c r="F1346" s="108" t="s">
        <v>108</v>
      </c>
    </row>
    <row r="1347" spans="1:6" x14ac:dyDescent="0.3">
      <c r="A1347" s="38">
        <v>46239</v>
      </c>
      <c r="B1347" t="s">
        <v>269</v>
      </c>
      <c r="C1347" s="95">
        <v>10000</v>
      </c>
      <c r="D1347" s="95"/>
      <c r="E1347" t="s">
        <v>288</v>
      </c>
      <c r="F1347" s="108" t="s">
        <v>108</v>
      </c>
    </row>
    <row r="1348" spans="1:6" x14ac:dyDescent="0.3">
      <c r="A1348" s="38">
        <v>46239</v>
      </c>
      <c r="B1348" t="s">
        <v>269</v>
      </c>
      <c r="C1348" s="95">
        <v>10000</v>
      </c>
      <c r="D1348" s="95"/>
      <c r="E1348" t="s">
        <v>1064</v>
      </c>
      <c r="F1348" s="108" t="s">
        <v>108</v>
      </c>
    </row>
    <row r="1349" spans="1:6" x14ac:dyDescent="0.3">
      <c r="A1349" s="38">
        <v>46239</v>
      </c>
      <c r="B1349" t="s">
        <v>674</v>
      </c>
      <c r="C1349" s="95">
        <v>200000</v>
      </c>
      <c r="D1349" s="95"/>
      <c r="E1349" t="s">
        <v>1065</v>
      </c>
      <c r="F1349" s="108" t="s">
        <v>108</v>
      </c>
    </row>
    <row r="1350" spans="1:6" x14ac:dyDescent="0.3">
      <c r="A1350" s="38">
        <v>46239</v>
      </c>
      <c r="B1350" t="s">
        <v>246</v>
      </c>
      <c r="C1350" s="95">
        <v>5550</v>
      </c>
      <c r="D1350" s="95"/>
      <c r="E1350" t="s">
        <v>1066</v>
      </c>
      <c r="F1350" s="108" t="s">
        <v>108</v>
      </c>
    </row>
    <row r="1351" spans="1:6" x14ac:dyDescent="0.3">
      <c r="A1351" s="38">
        <v>46240</v>
      </c>
      <c r="B1351" t="s">
        <v>55</v>
      </c>
      <c r="C1351" s="95">
        <v>6000</v>
      </c>
      <c r="D1351" s="95"/>
      <c r="E1351" t="s">
        <v>1068</v>
      </c>
      <c r="F1351" s="108" t="s">
        <v>108</v>
      </c>
    </row>
    <row r="1352" spans="1:6" x14ac:dyDescent="0.3">
      <c r="A1352" s="111">
        <v>46240</v>
      </c>
      <c r="B1352" t="s">
        <v>244</v>
      </c>
      <c r="C1352" s="11">
        <v>740</v>
      </c>
      <c r="D1352" s="11"/>
      <c r="F1352" s="108" t="s">
        <v>108</v>
      </c>
    </row>
    <row r="1353" spans="1:6" x14ac:dyDescent="0.3">
      <c r="A1353" s="38">
        <v>46240</v>
      </c>
      <c r="B1353" t="s">
        <v>55</v>
      </c>
      <c r="C1353" s="11">
        <v>1200</v>
      </c>
      <c r="D1353" s="11"/>
      <c r="F1353" s="108" t="s">
        <v>108</v>
      </c>
    </row>
    <row r="1354" spans="1:6" x14ac:dyDescent="0.3">
      <c r="A1354" s="111">
        <v>46240</v>
      </c>
      <c r="B1354" t="s">
        <v>269</v>
      </c>
      <c r="C1354" s="11">
        <v>8000</v>
      </c>
      <c r="D1354" s="11"/>
      <c r="E1354" t="s">
        <v>602</v>
      </c>
      <c r="F1354" s="108" t="s">
        <v>108</v>
      </c>
    </row>
    <row r="1355" spans="1:6" x14ac:dyDescent="0.3">
      <c r="A1355" s="38">
        <v>46240</v>
      </c>
      <c r="B1355" t="s">
        <v>357</v>
      </c>
      <c r="C1355" s="11">
        <v>2900</v>
      </c>
      <c r="D1355" s="11"/>
      <c r="E1355" t="s">
        <v>535</v>
      </c>
      <c r="F1355" s="108" t="s">
        <v>108</v>
      </c>
    </row>
    <row r="1356" spans="1:6" x14ac:dyDescent="0.3">
      <c r="A1356" s="111">
        <v>46240</v>
      </c>
      <c r="B1356" t="s">
        <v>488</v>
      </c>
      <c r="C1356" s="11">
        <v>4000</v>
      </c>
      <c r="D1356" s="11"/>
      <c r="E1356" t="s">
        <v>1069</v>
      </c>
      <c r="F1356" s="108" t="s">
        <v>108</v>
      </c>
    </row>
    <row r="1357" spans="1:6" x14ac:dyDescent="0.3">
      <c r="A1357" s="38">
        <v>46240</v>
      </c>
      <c r="B1357" t="s">
        <v>269</v>
      </c>
      <c r="C1357" s="11">
        <v>30000</v>
      </c>
      <c r="D1357" s="11"/>
      <c r="E1357" t="s">
        <v>1070</v>
      </c>
      <c r="F1357" s="108" t="s">
        <v>108</v>
      </c>
    </row>
    <row r="1358" spans="1:6" x14ac:dyDescent="0.3">
      <c r="A1358" s="111">
        <v>46240</v>
      </c>
      <c r="B1358" t="s">
        <v>244</v>
      </c>
      <c r="C1358" s="11">
        <v>7500</v>
      </c>
      <c r="D1358" s="11"/>
      <c r="E1358" t="s">
        <v>920</v>
      </c>
      <c r="F1358" s="108" t="s">
        <v>108</v>
      </c>
    </row>
    <row r="1359" spans="1:6" x14ac:dyDescent="0.3">
      <c r="A1359" s="38">
        <v>46240</v>
      </c>
      <c r="B1359" t="s">
        <v>211</v>
      </c>
      <c r="C1359" s="11">
        <v>500</v>
      </c>
      <c r="D1359" s="11"/>
      <c r="F1359" s="108" t="s">
        <v>108</v>
      </c>
    </row>
    <row r="1360" spans="1:6" x14ac:dyDescent="0.3">
      <c r="A1360" s="111">
        <v>46241</v>
      </c>
      <c r="B1360" t="s">
        <v>269</v>
      </c>
      <c r="C1360" s="11">
        <v>20000</v>
      </c>
      <c r="D1360" s="11"/>
      <c r="E1360" t="s">
        <v>1071</v>
      </c>
      <c r="F1360" s="108" t="s">
        <v>108</v>
      </c>
    </row>
    <row r="1361" spans="1:6" x14ac:dyDescent="0.3">
      <c r="A1361" s="38">
        <v>46241</v>
      </c>
      <c r="B1361" t="s">
        <v>55</v>
      </c>
      <c r="C1361" s="11">
        <v>700</v>
      </c>
      <c r="D1361" s="11"/>
      <c r="F1361" s="108" t="s">
        <v>108</v>
      </c>
    </row>
    <row r="1362" spans="1:6" x14ac:dyDescent="0.3">
      <c r="A1362" s="111">
        <v>46241</v>
      </c>
      <c r="B1362" t="s">
        <v>488</v>
      </c>
      <c r="C1362" s="11">
        <v>990</v>
      </c>
      <c r="D1362" s="11"/>
      <c r="E1362" t="s">
        <v>541</v>
      </c>
      <c r="F1362" s="108" t="s">
        <v>108</v>
      </c>
    </row>
    <row r="1363" spans="1:6" x14ac:dyDescent="0.3">
      <c r="A1363" s="38">
        <v>46241</v>
      </c>
      <c r="B1363" t="s">
        <v>488</v>
      </c>
      <c r="C1363" s="11">
        <v>5000</v>
      </c>
      <c r="D1363" s="11"/>
      <c r="E1363" t="s">
        <v>712</v>
      </c>
      <c r="F1363" s="108" t="s">
        <v>108</v>
      </c>
    </row>
    <row r="1364" spans="1:6" x14ac:dyDescent="0.3">
      <c r="A1364" s="111">
        <v>46241</v>
      </c>
      <c r="B1364" t="s">
        <v>488</v>
      </c>
      <c r="C1364" s="11">
        <v>1500</v>
      </c>
      <c r="D1364" s="11"/>
      <c r="E1364" t="s">
        <v>963</v>
      </c>
      <c r="F1364" s="108" t="s">
        <v>108</v>
      </c>
    </row>
    <row r="1365" spans="1:6" x14ac:dyDescent="0.3">
      <c r="A1365" s="38">
        <v>46241</v>
      </c>
      <c r="B1365" t="s">
        <v>55</v>
      </c>
      <c r="C1365" s="11">
        <v>9628</v>
      </c>
      <c r="D1365" s="11"/>
      <c r="F1365" s="108" t="s">
        <v>108</v>
      </c>
    </row>
    <row r="1366" spans="1:6" x14ac:dyDescent="0.3">
      <c r="A1366" s="111">
        <v>46241</v>
      </c>
      <c r="B1366" t="s">
        <v>246</v>
      </c>
      <c r="C1366" s="11">
        <v>7000</v>
      </c>
      <c r="D1366" s="11"/>
      <c r="E1366" t="s">
        <v>282</v>
      </c>
      <c r="F1366" s="108" t="s">
        <v>108</v>
      </c>
    </row>
    <row r="1367" spans="1:6" x14ac:dyDescent="0.3">
      <c r="A1367" s="38">
        <v>46241</v>
      </c>
      <c r="B1367" t="s">
        <v>55</v>
      </c>
      <c r="C1367" s="11">
        <v>480</v>
      </c>
      <c r="D1367" s="11"/>
      <c r="F1367" s="108" t="s">
        <v>108</v>
      </c>
    </row>
    <row r="1368" spans="1:6" x14ac:dyDescent="0.3">
      <c r="A1368" s="111">
        <v>46241</v>
      </c>
      <c r="B1368" t="s">
        <v>357</v>
      </c>
      <c r="C1368" s="11">
        <v>10000</v>
      </c>
      <c r="D1368" s="11"/>
      <c r="E1368" t="s">
        <v>1072</v>
      </c>
      <c r="F1368" s="108" t="s">
        <v>108</v>
      </c>
    </row>
    <row r="1369" spans="1:6" x14ac:dyDescent="0.3">
      <c r="A1369" s="38">
        <v>46241</v>
      </c>
      <c r="B1369" t="s">
        <v>357</v>
      </c>
      <c r="C1369" s="11">
        <v>2900</v>
      </c>
      <c r="D1369" s="11"/>
      <c r="F1369" s="108" t="s">
        <v>108</v>
      </c>
    </row>
    <row r="1370" spans="1:6" x14ac:dyDescent="0.3">
      <c r="A1370" s="111">
        <v>46242</v>
      </c>
      <c r="B1370" t="s">
        <v>269</v>
      </c>
      <c r="C1370" s="11">
        <v>10000</v>
      </c>
      <c r="D1370" s="11"/>
      <c r="E1370" t="s">
        <v>665</v>
      </c>
      <c r="F1370" s="108" t="s">
        <v>108</v>
      </c>
    </row>
    <row r="1371" spans="1:6" x14ac:dyDescent="0.3">
      <c r="A1371" s="111">
        <v>46242</v>
      </c>
      <c r="B1371" t="s">
        <v>269</v>
      </c>
      <c r="C1371" s="11">
        <v>80000</v>
      </c>
      <c r="D1371" s="11"/>
      <c r="E1371" t="s">
        <v>700</v>
      </c>
      <c r="F1371" s="108" t="s">
        <v>108</v>
      </c>
    </row>
    <row r="1372" spans="1:6" x14ac:dyDescent="0.3">
      <c r="A1372" s="111">
        <v>46242</v>
      </c>
      <c r="B1372" t="s">
        <v>211</v>
      </c>
      <c r="C1372" s="11">
        <v>350</v>
      </c>
      <c r="D1372" s="11"/>
      <c r="F1372" s="108" t="s">
        <v>108</v>
      </c>
    </row>
    <row r="1373" spans="1:6" x14ac:dyDescent="0.3">
      <c r="A1373" s="111">
        <v>46242</v>
      </c>
      <c r="B1373" t="s">
        <v>636</v>
      </c>
      <c r="C1373" s="95"/>
      <c r="D1373" s="95">
        <v>210000</v>
      </c>
      <c r="E1373" t="s">
        <v>1073</v>
      </c>
      <c r="F1373" s="108" t="s">
        <v>108</v>
      </c>
    </row>
    <row r="1374" spans="1:6" x14ac:dyDescent="0.3">
      <c r="A1374" s="111">
        <v>46242</v>
      </c>
      <c r="B1374" t="s">
        <v>55</v>
      </c>
      <c r="C1374" s="11">
        <v>115000</v>
      </c>
      <c r="D1374" s="11"/>
      <c r="E1374" t="s">
        <v>1074</v>
      </c>
      <c r="F1374" s="108" t="s">
        <v>108</v>
      </c>
    </row>
    <row r="1375" spans="1:6" x14ac:dyDescent="0.3">
      <c r="A1375" s="111">
        <v>46242</v>
      </c>
      <c r="B1375" t="s">
        <v>357</v>
      </c>
      <c r="C1375" s="11">
        <v>2900</v>
      </c>
      <c r="D1375" s="11"/>
      <c r="E1375" t="s">
        <v>535</v>
      </c>
      <c r="F1375" s="108" t="s">
        <v>108</v>
      </c>
    </row>
    <row r="1376" spans="1:6" x14ac:dyDescent="0.3">
      <c r="A1376" s="111">
        <v>46243</v>
      </c>
      <c r="B1376" t="s">
        <v>269</v>
      </c>
      <c r="C1376" s="11">
        <v>14000</v>
      </c>
      <c r="D1376" s="11"/>
      <c r="E1376" t="s">
        <v>1052</v>
      </c>
      <c r="F1376" s="108" t="s">
        <v>108</v>
      </c>
    </row>
    <row r="1377" spans="1:6" x14ac:dyDescent="0.3">
      <c r="A1377" s="111">
        <v>46243</v>
      </c>
      <c r="B1377" t="s">
        <v>55</v>
      </c>
      <c r="C1377" s="11">
        <v>200000</v>
      </c>
      <c r="D1377" s="11"/>
      <c r="E1377" t="s">
        <v>1074</v>
      </c>
      <c r="F1377" s="108" t="s">
        <v>108</v>
      </c>
    </row>
    <row r="1378" spans="1:6" x14ac:dyDescent="0.3">
      <c r="A1378" s="111">
        <v>46243</v>
      </c>
      <c r="B1378" t="s">
        <v>357</v>
      </c>
      <c r="C1378" s="11">
        <v>2900</v>
      </c>
      <c r="D1378" s="11"/>
      <c r="E1378" t="s">
        <v>535</v>
      </c>
      <c r="F1378" s="108" t="s">
        <v>108</v>
      </c>
    </row>
    <row r="1379" spans="1:6" x14ac:dyDescent="0.3">
      <c r="A1379" s="111">
        <v>46243</v>
      </c>
      <c r="B1379" t="s">
        <v>488</v>
      </c>
      <c r="C1379" s="11">
        <v>18400</v>
      </c>
      <c r="D1379" s="11"/>
      <c r="F1379" s="108" t="s">
        <v>108</v>
      </c>
    </row>
    <row r="1380" spans="1:6" x14ac:dyDescent="0.3">
      <c r="A1380" s="111">
        <v>46243</v>
      </c>
      <c r="B1380" t="s">
        <v>219</v>
      </c>
      <c r="C1380" s="11"/>
      <c r="D1380" s="11">
        <v>18400</v>
      </c>
      <c r="F1380" s="108" t="s">
        <v>108</v>
      </c>
    </row>
    <row r="1381" spans="1:6" x14ac:dyDescent="0.3">
      <c r="A1381" s="111">
        <v>46243</v>
      </c>
      <c r="B1381" t="s">
        <v>211</v>
      </c>
      <c r="C1381" s="11"/>
      <c r="D1381" s="11"/>
      <c r="F1381" s="108" t="s">
        <v>108</v>
      </c>
    </row>
    <row r="1382" spans="1:6" x14ac:dyDescent="0.3">
      <c r="A1382" s="111">
        <v>46243</v>
      </c>
      <c r="B1382" t="s">
        <v>357</v>
      </c>
      <c r="C1382" s="11">
        <v>2900</v>
      </c>
      <c r="D1382" s="11"/>
      <c r="F1382" s="108" t="s">
        <v>108</v>
      </c>
    </row>
    <row r="1383" spans="1:6" x14ac:dyDescent="0.3">
      <c r="A1383" s="111">
        <v>46243</v>
      </c>
      <c r="B1383" t="s">
        <v>269</v>
      </c>
      <c r="C1383" s="11">
        <v>5000</v>
      </c>
      <c r="D1383" s="11"/>
      <c r="E1383" t="s">
        <v>538</v>
      </c>
      <c r="F1383" s="108" t="s">
        <v>108</v>
      </c>
    </row>
    <row r="1384" spans="1:6" x14ac:dyDescent="0.3">
      <c r="A1384" s="111">
        <v>46243</v>
      </c>
      <c r="B1384" t="s">
        <v>219</v>
      </c>
      <c r="C1384" s="11"/>
      <c r="D1384" s="11">
        <v>25000</v>
      </c>
      <c r="E1384" t="s">
        <v>288</v>
      </c>
      <c r="F1384" s="108" t="s">
        <v>108</v>
      </c>
    </row>
    <row r="1385" spans="1:6" x14ac:dyDescent="0.3">
      <c r="A1385" s="111">
        <v>46243</v>
      </c>
      <c r="B1385" t="s">
        <v>269</v>
      </c>
      <c r="C1385" s="11">
        <v>20000</v>
      </c>
      <c r="D1385" s="11"/>
      <c r="E1385" t="s">
        <v>1071</v>
      </c>
      <c r="F1385" s="108" t="s">
        <v>108</v>
      </c>
    </row>
    <row r="1386" spans="1:6" x14ac:dyDescent="0.3">
      <c r="A1386" s="38">
        <v>46244</v>
      </c>
      <c r="B1386" t="s">
        <v>219</v>
      </c>
      <c r="C1386" s="11"/>
      <c r="D1386" s="11">
        <v>80000</v>
      </c>
      <c r="E1386" t="s">
        <v>1101</v>
      </c>
      <c r="F1386" s="108" t="s">
        <v>108</v>
      </c>
    </row>
    <row r="1387" spans="1:6" x14ac:dyDescent="0.3">
      <c r="A1387" s="38">
        <v>46245</v>
      </c>
      <c r="B1387" t="s">
        <v>269</v>
      </c>
      <c r="C1387" s="11">
        <v>50000</v>
      </c>
      <c r="D1387" s="11"/>
      <c r="E1387" t="s">
        <v>602</v>
      </c>
      <c r="F1387" s="108" t="s">
        <v>108</v>
      </c>
    </row>
    <row r="1388" spans="1:6" x14ac:dyDescent="0.3">
      <c r="A1388" s="38">
        <v>46245</v>
      </c>
      <c r="B1388" t="s">
        <v>219</v>
      </c>
      <c r="C1388" s="11"/>
      <c r="D1388" s="11">
        <v>50000</v>
      </c>
      <c r="E1388" t="s">
        <v>602</v>
      </c>
      <c r="F1388" s="108" t="s">
        <v>108</v>
      </c>
    </row>
    <row r="1389" spans="1:6" x14ac:dyDescent="0.3">
      <c r="A1389" s="38">
        <v>46245</v>
      </c>
      <c r="B1389" t="s">
        <v>244</v>
      </c>
      <c r="C1389" s="11">
        <v>500</v>
      </c>
      <c r="D1389" s="11"/>
      <c r="E1389" t="s">
        <v>1075</v>
      </c>
      <c r="F1389" s="108" t="s">
        <v>108</v>
      </c>
    </row>
    <row r="1390" spans="1:6" x14ac:dyDescent="0.3">
      <c r="A1390" s="38">
        <v>46245</v>
      </c>
      <c r="B1390" t="s">
        <v>386</v>
      </c>
      <c r="C1390" s="11">
        <v>4955</v>
      </c>
      <c r="D1390" s="11"/>
      <c r="E1390" t="s">
        <v>935</v>
      </c>
      <c r="F1390" s="108" t="s">
        <v>108</v>
      </c>
    </row>
    <row r="1391" spans="1:6" x14ac:dyDescent="0.3">
      <c r="A1391" s="38">
        <v>46245</v>
      </c>
      <c r="B1391" t="s">
        <v>269</v>
      </c>
      <c r="C1391" s="95">
        <v>36666</v>
      </c>
      <c r="D1391" s="95"/>
      <c r="E1391" t="s">
        <v>602</v>
      </c>
      <c r="F1391" s="108" t="s">
        <v>108</v>
      </c>
    </row>
    <row r="1392" spans="1:6" x14ac:dyDescent="0.3">
      <c r="A1392" s="38">
        <v>46245</v>
      </c>
      <c r="B1392" t="s">
        <v>219</v>
      </c>
      <c r="C1392" s="95"/>
      <c r="D1392" s="95">
        <v>8000</v>
      </c>
      <c r="E1392" t="s">
        <v>318</v>
      </c>
      <c r="F1392" s="108" t="s">
        <v>108</v>
      </c>
    </row>
    <row r="1393" spans="1:6" x14ac:dyDescent="0.3">
      <c r="A1393" s="38">
        <v>46245</v>
      </c>
      <c r="B1393" t="s">
        <v>269</v>
      </c>
      <c r="C1393" s="95">
        <v>8000</v>
      </c>
      <c r="D1393" s="95"/>
      <c r="E1393" t="s">
        <v>991</v>
      </c>
      <c r="F1393" s="108" t="s">
        <v>108</v>
      </c>
    </row>
    <row r="1394" spans="1:6" x14ac:dyDescent="0.3">
      <c r="A1394" s="38">
        <v>46245</v>
      </c>
      <c r="B1394" t="s">
        <v>219</v>
      </c>
      <c r="C1394" s="11"/>
      <c r="D1394" s="11">
        <v>350000</v>
      </c>
      <c r="F1394" s="108" t="s">
        <v>108</v>
      </c>
    </row>
    <row r="1395" spans="1:6" x14ac:dyDescent="0.3">
      <c r="A1395" s="38">
        <v>46245</v>
      </c>
      <c r="B1395" t="s">
        <v>55</v>
      </c>
      <c r="C1395" s="11">
        <v>350000</v>
      </c>
      <c r="D1395" s="11"/>
      <c r="E1395" t="s">
        <v>1076</v>
      </c>
      <c r="F1395" s="108" t="s">
        <v>108</v>
      </c>
    </row>
    <row r="1396" spans="1:6" x14ac:dyDescent="0.3">
      <c r="A1396" s="38">
        <v>46245</v>
      </c>
      <c r="B1396" t="s">
        <v>219</v>
      </c>
      <c r="C1396" s="11"/>
      <c r="D1396" s="11">
        <v>10000</v>
      </c>
      <c r="E1396" t="s">
        <v>1077</v>
      </c>
      <c r="F1396" s="108" t="s">
        <v>108</v>
      </c>
    </row>
    <row r="1397" spans="1:6" x14ac:dyDescent="0.3">
      <c r="A1397" s="38">
        <v>46245</v>
      </c>
      <c r="B1397" t="s">
        <v>244</v>
      </c>
      <c r="C1397" s="11">
        <v>10000</v>
      </c>
      <c r="D1397" s="11"/>
      <c r="E1397" t="s">
        <v>1078</v>
      </c>
      <c r="F1397" s="108" t="s">
        <v>108</v>
      </c>
    </row>
    <row r="1398" spans="1:6" x14ac:dyDescent="0.3">
      <c r="A1398" s="38">
        <v>46246</v>
      </c>
      <c r="B1398" t="s">
        <v>488</v>
      </c>
      <c r="C1398" s="11">
        <v>13500</v>
      </c>
      <c r="D1398" s="11"/>
      <c r="E1398" t="s">
        <v>1079</v>
      </c>
      <c r="F1398" s="108" t="s">
        <v>108</v>
      </c>
    </row>
    <row r="1399" spans="1:6" x14ac:dyDescent="0.3">
      <c r="A1399" s="38">
        <v>46246</v>
      </c>
      <c r="B1399" t="s">
        <v>219</v>
      </c>
      <c r="C1399" s="11"/>
      <c r="D1399" s="11">
        <v>13500</v>
      </c>
      <c r="E1399" t="s">
        <v>1079</v>
      </c>
      <c r="F1399" s="108" t="s">
        <v>108</v>
      </c>
    </row>
    <row r="1400" spans="1:6" x14ac:dyDescent="0.3">
      <c r="A1400" s="38">
        <v>46246</v>
      </c>
      <c r="B1400" t="s">
        <v>55</v>
      </c>
      <c r="C1400" s="11">
        <v>15500</v>
      </c>
      <c r="D1400" s="11"/>
      <c r="F1400" s="108" t="s">
        <v>108</v>
      </c>
    </row>
    <row r="1401" spans="1:6" x14ac:dyDescent="0.3">
      <c r="A1401" s="38">
        <v>46246</v>
      </c>
      <c r="B1401" t="s">
        <v>219</v>
      </c>
      <c r="C1401" s="11"/>
      <c r="D1401" s="11">
        <v>15500</v>
      </c>
      <c r="F1401" s="108" t="s">
        <v>108</v>
      </c>
    </row>
    <row r="1402" spans="1:6" x14ac:dyDescent="0.3">
      <c r="A1402" s="38">
        <v>46246</v>
      </c>
      <c r="B1402" t="s">
        <v>55</v>
      </c>
      <c r="C1402" s="11">
        <v>4300</v>
      </c>
      <c r="D1402" s="11"/>
      <c r="E1402" t="s">
        <v>1080</v>
      </c>
      <c r="F1402" s="108" t="s">
        <v>108</v>
      </c>
    </row>
    <row r="1403" spans="1:6" x14ac:dyDescent="0.3">
      <c r="A1403" s="38">
        <v>46246</v>
      </c>
      <c r="B1403" t="s">
        <v>219</v>
      </c>
      <c r="C1403" s="11"/>
      <c r="D1403" s="11">
        <v>4300</v>
      </c>
      <c r="E1403" t="s">
        <v>1080</v>
      </c>
      <c r="F1403" s="108" t="s">
        <v>108</v>
      </c>
    </row>
    <row r="1404" spans="1:6" x14ac:dyDescent="0.3">
      <c r="A1404" s="38">
        <v>46246</v>
      </c>
      <c r="B1404" t="s">
        <v>219</v>
      </c>
      <c r="C1404" s="11"/>
      <c r="D1404" s="11">
        <v>25000</v>
      </c>
      <c r="E1404" t="s">
        <v>1081</v>
      </c>
      <c r="F1404" s="108" t="s">
        <v>108</v>
      </c>
    </row>
    <row r="1405" spans="1:6" x14ac:dyDescent="0.3">
      <c r="A1405" s="38">
        <v>46246</v>
      </c>
      <c r="B1405" t="s">
        <v>55</v>
      </c>
      <c r="C1405" s="11">
        <v>17000</v>
      </c>
      <c r="D1405" s="11"/>
      <c r="E1405" t="s">
        <v>1082</v>
      </c>
      <c r="F1405" s="108" t="s">
        <v>108</v>
      </c>
    </row>
    <row r="1406" spans="1:6" x14ac:dyDescent="0.3">
      <c r="A1406" s="38">
        <v>46246</v>
      </c>
      <c r="B1406" t="s">
        <v>55</v>
      </c>
      <c r="C1406" s="11">
        <v>9000</v>
      </c>
      <c r="D1406" s="11"/>
      <c r="E1406" t="s">
        <v>1083</v>
      </c>
      <c r="F1406" s="108" t="s">
        <v>108</v>
      </c>
    </row>
    <row r="1407" spans="1:6" x14ac:dyDescent="0.3">
      <c r="A1407" s="38">
        <v>46246</v>
      </c>
      <c r="B1407" t="s">
        <v>55</v>
      </c>
      <c r="C1407" s="11">
        <v>9800</v>
      </c>
      <c r="D1407" s="11"/>
      <c r="E1407" t="s">
        <v>1084</v>
      </c>
      <c r="F1407" s="108" t="s">
        <v>108</v>
      </c>
    </row>
    <row r="1408" spans="1:6" x14ac:dyDescent="0.3">
      <c r="A1408" s="38">
        <v>46246</v>
      </c>
      <c r="B1408" t="s">
        <v>55</v>
      </c>
      <c r="C1408" s="11">
        <v>2500</v>
      </c>
      <c r="D1408" s="11"/>
      <c r="F1408" s="108" t="s">
        <v>108</v>
      </c>
    </row>
    <row r="1409" spans="1:6" x14ac:dyDescent="0.3">
      <c r="A1409" s="38">
        <v>46246</v>
      </c>
      <c r="B1409" t="s">
        <v>219</v>
      </c>
      <c r="C1409" s="11"/>
      <c r="D1409" s="11">
        <v>15000</v>
      </c>
      <c r="E1409" t="s">
        <v>1085</v>
      </c>
      <c r="F1409" s="108" t="s">
        <v>108</v>
      </c>
    </row>
    <row r="1410" spans="1:6" x14ac:dyDescent="0.3">
      <c r="A1410" s="38">
        <v>46246</v>
      </c>
      <c r="B1410" t="s">
        <v>357</v>
      </c>
      <c r="C1410" s="11">
        <v>2900</v>
      </c>
      <c r="D1410" s="11"/>
      <c r="E1410" t="s">
        <v>535</v>
      </c>
      <c r="F1410" s="108" t="s">
        <v>108</v>
      </c>
    </row>
    <row r="1411" spans="1:6" x14ac:dyDescent="0.3">
      <c r="A1411" s="38">
        <v>46246</v>
      </c>
      <c r="B1411" t="s">
        <v>219</v>
      </c>
      <c r="C1411" s="11"/>
      <c r="D1411" s="11">
        <v>10000</v>
      </c>
      <c r="E1411" t="s">
        <v>1100</v>
      </c>
      <c r="F1411" s="108" t="s">
        <v>108</v>
      </c>
    </row>
    <row r="1412" spans="1:6" x14ac:dyDescent="0.3">
      <c r="A1412" s="111">
        <v>46247</v>
      </c>
      <c r="B1412" t="s">
        <v>219</v>
      </c>
      <c r="C1412" s="11"/>
      <c r="D1412" s="11">
        <v>11500</v>
      </c>
      <c r="E1412" t="s">
        <v>288</v>
      </c>
      <c r="F1412" s="108" t="s">
        <v>108</v>
      </c>
    </row>
    <row r="1413" spans="1:6" x14ac:dyDescent="0.3">
      <c r="A1413" s="38">
        <v>46247</v>
      </c>
      <c r="B1413" t="s">
        <v>269</v>
      </c>
      <c r="C1413" s="95">
        <v>11500</v>
      </c>
      <c r="D1413" s="95"/>
      <c r="E1413" t="s">
        <v>288</v>
      </c>
      <c r="F1413" s="108" t="s">
        <v>108</v>
      </c>
    </row>
    <row r="1414" spans="1:6" x14ac:dyDescent="0.3">
      <c r="A1414" s="38">
        <v>46247</v>
      </c>
      <c r="B1414" t="s">
        <v>488</v>
      </c>
      <c r="C1414" s="95">
        <v>750</v>
      </c>
      <c r="D1414" s="95"/>
      <c r="F1414" s="108" t="s">
        <v>108</v>
      </c>
    </row>
    <row r="1415" spans="1:6" x14ac:dyDescent="0.3">
      <c r="A1415" s="38">
        <v>46247</v>
      </c>
      <c r="B1415" t="s">
        <v>357</v>
      </c>
      <c r="C1415" s="11">
        <v>16550</v>
      </c>
      <c r="D1415" s="11"/>
      <c r="F1415" s="108" t="s">
        <v>108</v>
      </c>
    </row>
    <row r="1416" spans="1:6" x14ac:dyDescent="0.3">
      <c r="A1416" s="38">
        <v>46247</v>
      </c>
      <c r="B1416" t="s">
        <v>367</v>
      </c>
      <c r="C1416" s="11"/>
      <c r="D1416" s="11">
        <v>158500</v>
      </c>
      <c r="E1416" t="s">
        <v>1086</v>
      </c>
      <c r="F1416" s="108" t="s">
        <v>108</v>
      </c>
    </row>
    <row r="1417" spans="1:6" x14ac:dyDescent="0.3">
      <c r="A1417" s="38">
        <v>46247</v>
      </c>
      <c r="B1417" t="s">
        <v>269</v>
      </c>
      <c r="C1417" s="11">
        <v>5000</v>
      </c>
      <c r="D1417" s="11"/>
      <c r="E1417" t="s">
        <v>993</v>
      </c>
      <c r="F1417" s="108" t="s">
        <v>108</v>
      </c>
    </row>
    <row r="1418" spans="1:6" x14ac:dyDescent="0.3">
      <c r="A1418" s="38">
        <v>46247</v>
      </c>
      <c r="B1418" t="s">
        <v>55</v>
      </c>
      <c r="C1418" s="11">
        <v>4000</v>
      </c>
      <c r="D1418" s="11"/>
      <c r="E1418" t="s">
        <v>1087</v>
      </c>
      <c r="F1418" s="108" t="s">
        <v>108</v>
      </c>
    </row>
    <row r="1419" spans="1:6" x14ac:dyDescent="0.3">
      <c r="A1419" s="38">
        <v>46247</v>
      </c>
      <c r="B1419" t="s">
        <v>55</v>
      </c>
      <c r="C1419" s="11">
        <v>1100</v>
      </c>
      <c r="D1419" s="11"/>
      <c r="F1419" s="108" t="s">
        <v>108</v>
      </c>
    </row>
    <row r="1420" spans="1:6" x14ac:dyDescent="0.3">
      <c r="A1420" s="38">
        <v>46247</v>
      </c>
      <c r="B1420" t="s">
        <v>357</v>
      </c>
      <c r="C1420" s="11">
        <v>2900</v>
      </c>
      <c r="D1420" s="11"/>
      <c r="E1420" t="s">
        <v>535</v>
      </c>
      <c r="F1420" s="108" t="s">
        <v>108</v>
      </c>
    </row>
    <row r="1421" spans="1:6" x14ac:dyDescent="0.3">
      <c r="A1421" s="38">
        <v>46249</v>
      </c>
      <c r="B1421" t="s">
        <v>269</v>
      </c>
      <c r="C1421" s="11">
        <v>13500</v>
      </c>
      <c r="D1421" s="11"/>
      <c r="E1421" t="s">
        <v>288</v>
      </c>
      <c r="F1421" s="108" t="s">
        <v>108</v>
      </c>
    </row>
    <row r="1422" spans="1:6" x14ac:dyDescent="0.3">
      <c r="A1422" s="38">
        <v>46249</v>
      </c>
      <c r="B1422" t="s">
        <v>269</v>
      </c>
      <c r="C1422" s="11">
        <v>40314</v>
      </c>
      <c r="D1422" s="11"/>
      <c r="E1422" t="s">
        <v>1088</v>
      </c>
      <c r="F1422" s="108" t="s">
        <v>108</v>
      </c>
    </row>
    <row r="1423" spans="1:6" x14ac:dyDescent="0.3">
      <c r="A1423" s="38">
        <v>46249</v>
      </c>
      <c r="B1423" t="s">
        <v>55</v>
      </c>
      <c r="C1423" s="11">
        <v>3120</v>
      </c>
      <c r="D1423" s="11"/>
      <c r="F1423" s="108" t="s">
        <v>108</v>
      </c>
    </row>
    <row r="1424" spans="1:6" x14ac:dyDescent="0.3">
      <c r="A1424" s="38">
        <v>46249</v>
      </c>
      <c r="B1424" t="s">
        <v>269</v>
      </c>
      <c r="C1424" s="11">
        <v>10000</v>
      </c>
      <c r="D1424" s="11"/>
      <c r="E1424" t="s">
        <v>1017</v>
      </c>
      <c r="F1424" s="108" t="s">
        <v>108</v>
      </c>
    </row>
    <row r="1425" spans="1:6" x14ac:dyDescent="0.3">
      <c r="A1425" s="111">
        <v>46254</v>
      </c>
      <c r="B1425" t="s">
        <v>269</v>
      </c>
      <c r="C1425" s="11">
        <v>1000</v>
      </c>
      <c r="D1425" s="11"/>
      <c r="E1425" t="s">
        <v>1137</v>
      </c>
      <c r="F1425" s="108" t="s">
        <v>108</v>
      </c>
    </row>
    <row r="1426" spans="1:6" x14ac:dyDescent="0.3">
      <c r="A1426" s="111">
        <v>46254</v>
      </c>
      <c r="B1426" t="s">
        <v>269</v>
      </c>
      <c r="C1426" s="11">
        <v>1000</v>
      </c>
      <c r="D1426" s="11"/>
      <c r="E1426" t="s">
        <v>1138</v>
      </c>
      <c r="F1426" s="108" t="s">
        <v>108</v>
      </c>
    </row>
    <row r="1427" spans="1:6" x14ac:dyDescent="0.3">
      <c r="A1427" s="111">
        <v>46254</v>
      </c>
      <c r="B1427" t="s">
        <v>269</v>
      </c>
      <c r="C1427" s="11">
        <v>3000</v>
      </c>
      <c r="D1427" s="11"/>
      <c r="E1427" t="s">
        <v>1139</v>
      </c>
      <c r="F1427" s="108" t="s">
        <v>108</v>
      </c>
    </row>
    <row r="1428" spans="1:6" x14ac:dyDescent="0.3">
      <c r="A1428" s="111">
        <v>46254</v>
      </c>
      <c r="B1428" t="s">
        <v>269</v>
      </c>
      <c r="C1428" s="11">
        <v>1000</v>
      </c>
      <c r="D1428" s="11"/>
      <c r="E1428" t="s">
        <v>1140</v>
      </c>
      <c r="F1428" s="108" t="s">
        <v>108</v>
      </c>
    </row>
    <row r="1429" spans="1:6" x14ac:dyDescent="0.3">
      <c r="A1429" s="111">
        <v>46254</v>
      </c>
      <c r="B1429" t="s">
        <v>269</v>
      </c>
      <c r="C1429" s="11">
        <v>1000</v>
      </c>
      <c r="D1429" s="11"/>
      <c r="E1429" t="s">
        <v>1141</v>
      </c>
      <c r="F1429" s="108" t="s">
        <v>108</v>
      </c>
    </row>
    <row r="1430" spans="1:6" x14ac:dyDescent="0.3">
      <c r="A1430" s="111">
        <v>46245</v>
      </c>
      <c r="B1430" t="s">
        <v>269</v>
      </c>
      <c r="C1430" s="11">
        <v>1000</v>
      </c>
      <c r="D1430" s="11"/>
      <c r="E1430" t="s">
        <v>1110</v>
      </c>
      <c r="F1430" s="108" t="s">
        <v>108</v>
      </c>
    </row>
    <row r="1431" spans="1:6" x14ac:dyDescent="0.3">
      <c r="A1431" s="111">
        <v>46245</v>
      </c>
      <c r="B1431" t="s">
        <v>386</v>
      </c>
      <c r="C1431" s="11">
        <v>1000</v>
      </c>
      <c r="D1431" s="11"/>
      <c r="E1431" t="s">
        <v>1111</v>
      </c>
      <c r="F1431" s="108" t="s">
        <v>108</v>
      </c>
    </row>
    <row r="1432" spans="1:6" x14ac:dyDescent="0.3">
      <c r="A1432" s="38">
        <v>46249</v>
      </c>
      <c r="B1432" t="s">
        <v>55</v>
      </c>
      <c r="C1432" s="11">
        <v>350</v>
      </c>
      <c r="D1432" s="11"/>
      <c r="F1432" s="108" t="s">
        <v>108</v>
      </c>
    </row>
    <row r="1433" spans="1:6" x14ac:dyDescent="0.3">
      <c r="A1433" s="38">
        <v>46249</v>
      </c>
      <c r="B1433" t="s">
        <v>269</v>
      </c>
      <c r="C1433" s="11">
        <v>5000</v>
      </c>
      <c r="D1433" s="11"/>
      <c r="E1433" t="s">
        <v>538</v>
      </c>
      <c r="F1433" s="108" t="s">
        <v>108</v>
      </c>
    </row>
    <row r="1434" spans="1:6" x14ac:dyDescent="0.3">
      <c r="A1434" s="38">
        <v>46249</v>
      </c>
      <c r="B1434" t="s">
        <v>55</v>
      </c>
      <c r="C1434" s="11">
        <v>3000</v>
      </c>
      <c r="D1434" s="11"/>
      <c r="F1434" s="108" t="s">
        <v>108</v>
      </c>
    </row>
    <row r="1435" spans="1:6" x14ac:dyDescent="0.3">
      <c r="A1435" s="38">
        <v>46249</v>
      </c>
      <c r="B1435" t="s">
        <v>357</v>
      </c>
      <c r="C1435" s="11">
        <v>400</v>
      </c>
      <c r="D1435" s="11"/>
      <c r="F1435" s="108" t="s">
        <v>108</v>
      </c>
    </row>
    <row r="1436" spans="1:6" x14ac:dyDescent="0.3">
      <c r="A1436" s="38">
        <v>46249</v>
      </c>
      <c r="B1436" t="s">
        <v>298</v>
      </c>
      <c r="C1436" s="11">
        <v>5000</v>
      </c>
      <c r="D1436" s="11"/>
      <c r="E1436" t="s">
        <v>693</v>
      </c>
      <c r="F1436" s="108" t="s">
        <v>108</v>
      </c>
    </row>
    <row r="1437" spans="1:6" x14ac:dyDescent="0.3">
      <c r="A1437" s="38">
        <v>46249</v>
      </c>
      <c r="B1437" t="s">
        <v>219</v>
      </c>
      <c r="C1437" s="11"/>
      <c r="D1437" s="11">
        <v>100000</v>
      </c>
      <c r="E1437" t="s">
        <v>1089</v>
      </c>
      <c r="F1437" s="108" t="s">
        <v>108</v>
      </c>
    </row>
    <row r="1438" spans="1:6" x14ac:dyDescent="0.3">
      <c r="A1438" s="38">
        <v>46249</v>
      </c>
      <c r="B1438" t="s">
        <v>269</v>
      </c>
      <c r="C1438" s="95">
        <v>100000</v>
      </c>
      <c r="D1438" s="95"/>
      <c r="E1438" t="s">
        <v>700</v>
      </c>
      <c r="F1438" s="108" t="s">
        <v>108</v>
      </c>
    </row>
    <row r="1439" spans="1:6" x14ac:dyDescent="0.3">
      <c r="A1439" s="38">
        <v>46249</v>
      </c>
      <c r="B1439" t="s">
        <v>219</v>
      </c>
      <c r="C1439" s="95"/>
      <c r="D1439" s="95">
        <v>20000</v>
      </c>
      <c r="E1439" t="s">
        <v>1090</v>
      </c>
      <c r="F1439" s="108" t="s">
        <v>108</v>
      </c>
    </row>
    <row r="1440" spans="1:6" x14ac:dyDescent="0.3">
      <c r="A1440" s="38">
        <v>46249</v>
      </c>
      <c r="B1440" t="s">
        <v>386</v>
      </c>
      <c r="C1440" s="95">
        <v>12000</v>
      </c>
      <c r="D1440" s="95"/>
      <c r="E1440" t="s">
        <v>1091</v>
      </c>
      <c r="F1440" s="108" t="s">
        <v>108</v>
      </c>
    </row>
    <row r="1441" spans="1:6" x14ac:dyDescent="0.3">
      <c r="A1441" s="38">
        <v>46249</v>
      </c>
      <c r="B1441" t="s">
        <v>269</v>
      </c>
      <c r="C1441" s="95">
        <v>14000</v>
      </c>
      <c r="D1441" s="95"/>
      <c r="E1441" t="s">
        <v>1092</v>
      </c>
      <c r="F1441" s="108" t="s">
        <v>108</v>
      </c>
    </row>
    <row r="1442" spans="1:6" x14ac:dyDescent="0.3">
      <c r="A1442" s="38">
        <v>46249</v>
      </c>
      <c r="B1442" t="s">
        <v>269</v>
      </c>
      <c r="C1442" s="95">
        <v>6000</v>
      </c>
      <c r="D1442" s="95"/>
      <c r="E1442" t="s">
        <v>1093</v>
      </c>
      <c r="F1442" s="108" t="s">
        <v>108</v>
      </c>
    </row>
    <row r="1443" spans="1:6" x14ac:dyDescent="0.3">
      <c r="A1443" s="38">
        <v>46249</v>
      </c>
      <c r="B1443" t="s">
        <v>211</v>
      </c>
      <c r="C1443" s="95">
        <v>2000</v>
      </c>
      <c r="D1443" s="95"/>
      <c r="F1443" s="108" t="s">
        <v>108</v>
      </c>
    </row>
    <row r="1444" spans="1:6" x14ac:dyDescent="0.3">
      <c r="A1444" s="38">
        <v>46249</v>
      </c>
      <c r="B1444" t="s">
        <v>55</v>
      </c>
      <c r="C1444" s="95">
        <v>80000</v>
      </c>
      <c r="D1444" s="95"/>
      <c r="E1444" t="s">
        <v>1094</v>
      </c>
      <c r="F1444" s="108" t="s">
        <v>108</v>
      </c>
    </row>
    <row r="1445" spans="1:6" x14ac:dyDescent="0.3">
      <c r="A1445" s="38">
        <v>46249</v>
      </c>
      <c r="B1445" t="s">
        <v>219</v>
      </c>
      <c r="C1445" s="95"/>
      <c r="D1445" s="95">
        <v>80000</v>
      </c>
      <c r="E1445" t="s">
        <v>1094</v>
      </c>
      <c r="F1445" s="108" t="s">
        <v>108</v>
      </c>
    </row>
    <row r="1446" spans="1:6" x14ac:dyDescent="0.3">
      <c r="A1446" s="38">
        <v>46249</v>
      </c>
      <c r="B1446" t="s">
        <v>219</v>
      </c>
      <c r="C1446" s="95"/>
      <c r="D1446" s="95">
        <v>20000</v>
      </c>
      <c r="E1446" t="s">
        <v>1098</v>
      </c>
      <c r="F1446" s="108" t="s">
        <v>108</v>
      </c>
    </row>
    <row r="1447" spans="1:6" x14ac:dyDescent="0.3">
      <c r="A1447" s="38">
        <v>46249</v>
      </c>
      <c r="B1447" t="s">
        <v>219</v>
      </c>
      <c r="C1447" s="11"/>
      <c r="D1447" s="11">
        <v>37000</v>
      </c>
      <c r="E1447" t="s">
        <v>1099</v>
      </c>
      <c r="F1447" s="108" t="s">
        <v>108</v>
      </c>
    </row>
    <row r="1448" spans="1:6" x14ac:dyDescent="0.3">
      <c r="A1448" s="38">
        <v>46250</v>
      </c>
      <c r="B1448" t="s">
        <v>219</v>
      </c>
      <c r="C1448" s="95"/>
      <c r="D1448" s="95">
        <v>98000</v>
      </c>
      <c r="E1448" t="s">
        <v>1095</v>
      </c>
      <c r="F1448" s="108" t="s">
        <v>108</v>
      </c>
    </row>
    <row r="1449" spans="1:6" x14ac:dyDescent="0.3">
      <c r="A1449" s="38">
        <v>46250</v>
      </c>
      <c r="B1449" t="s">
        <v>55</v>
      </c>
      <c r="C1449" s="95">
        <v>45000</v>
      </c>
      <c r="D1449" s="95"/>
      <c r="F1449" s="108" t="s">
        <v>108</v>
      </c>
    </row>
    <row r="1450" spans="1:6" x14ac:dyDescent="0.3">
      <c r="A1450" s="38">
        <v>46250</v>
      </c>
      <c r="B1450" t="s">
        <v>55</v>
      </c>
      <c r="C1450" s="95">
        <v>3230</v>
      </c>
      <c r="D1450" s="95"/>
      <c r="F1450" s="108" t="s">
        <v>108</v>
      </c>
    </row>
    <row r="1451" spans="1:6" x14ac:dyDescent="0.3">
      <c r="A1451" s="38">
        <v>46251</v>
      </c>
      <c r="B1451" t="s">
        <v>357</v>
      </c>
      <c r="C1451" s="95">
        <v>3500</v>
      </c>
      <c r="D1451" s="95"/>
      <c r="E1451" t="s">
        <v>535</v>
      </c>
      <c r="F1451" s="108" t="s">
        <v>108</v>
      </c>
    </row>
    <row r="1452" spans="1:6" x14ac:dyDescent="0.3">
      <c r="A1452" s="38">
        <v>46251</v>
      </c>
      <c r="B1452" t="s">
        <v>386</v>
      </c>
      <c r="C1452" s="95">
        <v>600</v>
      </c>
      <c r="D1452" s="95"/>
      <c r="E1452" t="s">
        <v>1096</v>
      </c>
      <c r="F1452" s="108" t="s">
        <v>108</v>
      </c>
    </row>
    <row r="1453" spans="1:6" x14ac:dyDescent="0.3">
      <c r="A1453" s="38">
        <v>46251</v>
      </c>
      <c r="B1453" t="s">
        <v>246</v>
      </c>
      <c r="C1453" s="95">
        <v>33000</v>
      </c>
      <c r="D1453" s="95"/>
      <c r="E1453" t="s">
        <v>1097</v>
      </c>
      <c r="F1453" s="108" t="s">
        <v>108</v>
      </c>
    </row>
    <row r="1454" spans="1:6" x14ac:dyDescent="0.3">
      <c r="A1454" s="38">
        <v>46251</v>
      </c>
      <c r="B1454" t="s">
        <v>219</v>
      </c>
      <c r="C1454" s="95"/>
      <c r="D1454" s="95">
        <v>33000</v>
      </c>
      <c r="E1454" t="s">
        <v>1097</v>
      </c>
      <c r="F1454" s="108" t="s">
        <v>108</v>
      </c>
    </row>
    <row r="1455" spans="1:6" x14ac:dyDescent="0.3">
      <c r="A1455" s="38">
        <v>46251</v>
      </c>
      <c r="B1455" t="s">
        <v>55</v>
      </c>
      <c r="C1455" s="95">
        <v>150</v>
      </c>
      <c r="D1455" s="95"/>
      <c r="F1455" s="108" t="s">
        <v>108</v>
      </c>
    </row>
    <row r="1456" spans="1:6" x14ac:dyDescent="0.3">
      <c r="A1456" s="111">
        <v>46251</v>
      </c>
      <c r="B1456" t="s">
        <v>488</v>
      </c>
      <c r="C1456" s="95">
        <v>1500</v>
      </c>
      <c r="D1456" s="95"/>
      <c r="E1456" t="s">
        <v>963</v>
      </c>
      <c r="F1456" s="108" t="s">
        <v>108</v>
      </c>
    </row>
    <row r="1457" spans="1:6" x14ac:dyDescent="0.3">
      <c r="A1457" s="111">
        <v>46251</v>
      </c>
      <c r="B1457" t="s">
        <v>386</v>
      </c>
      <c r="C1457" s="95">
        <v>900</v>
      </c>
      <c r="D1457" s="95"/>
      <c r="F1457" s="108" t="s">
        <v>108</v>
      </c>
    </row>
    <row r="1458" spans="1:6" x14ac:dyDescent="0.3">
      <c r="A1458" s="111">
        <v>46251</v>
      </c>
      <c r="B1458" t="s">
        <v>55</v>
      </c>
      <c r="C1458" s="95">
        <v>800</v>
      </c>
      <c r="D1458" s="95"/>
      <c r="F1458" s="108" t="s">
        <v>108</v>
      </c>
    </row>
    <row r="1459" spans="1:6" x14ac:dyDescent="0.3">
      <c r="A1459" s="111">
        <v>46246</v>
      </c>
      <c r="B1459" t="s">
        <v>219</v>
      </c>
      <c r="C1459" s="11"/>
      <c r="D1459" s="11">
        <v>25000</v>
      </c>
      <c r="E1459" t="s">
        <v>1102</v>
      </c>
      <c r="F1459" s="108" t="s">
        <v>108</v>
      </c>
    </row>
    <row r="1460" spans="1:6" x14ac:dyDescent="0.3">
      <c r="A1460" s="111">
        <v>46246</v>
      </c>
      <c r="B1460" t="s">
        <v>246</v>
      </c>
      <c r="C1460" s="11">
        <v>1500</v>
      </c>
      <c r="D1460" s="11"/>
      <c r="F1460" s="108" t="s">
        <v>108</v>
      </c>
    </row>
    <row r="1461" spans="1:6" x14ac:dyDescent="0.3">
      <c r="A1461" s="111">
        <v>46246</v>
      </c>
      <c r="B1461" t="s">
        <v>244</v>
      </c>
      <c r="C1461" s="11">
        <v>1780</v>
      </c>
      <c r="D1461" s="11"/>
      <c r="F1461" s="108" t="s">
        <v>108</v>
      </c>
    </row>
    <row r="1462" spans="1:6" x14ac:dyDescent="0.3">
      <c r="A1462" s="111">
        <v>46246</v>
      </c>
      <c r="B1462" t="s">
        <v>488</v>
      </c>
      <c r="C1462" s="11">
        <v>800</v>
      </c>
      <c r="D1462" s="11"/>
      <c r="F1462" s="108" t="s">
        <v>108</v>
      </c>
    </row>
    <row r="1463" spans="1:6" x14ac:dyDescent="0.3">
      <c r="A1463" s="111">
        <v>46246</v>
      </c>
      <c r="B1463" t="s">
        <v>211</v>
      </c>
      <c r="C1463" s="11">
        <v>800</v>
      </c>
      <c r="D1463" s="11"/>
      <c r="F1463" s="108" t="s">
        <v>108</v>
      </c>
    </row>
    <row r="1464" spans="1:6" x14ac:dyDescent="0.3">
      <c r="A1464" s="111">
        <v>46246</v>
      </c>
      <c r="B1464" t="s">
        <v>386</v>
      </c>
      <c r="C1464" s="11">
        <v>1900</v>
      </c>
      <c r="D1464" s="11"/>
      <c r="E1464" t="s">
        <v>1103</v>
      </c>
      <c r="F1464" s="108" t="s">
        <v>108</v>
      </c>
    </row>
    <row r="1465" spans="1:6" x14ac:dyDescent="0.3">
      <c r="A1465" s="111">
        <v>46246</v>
      </c>
      <c r="B1465" t="s">
        <v>488</v>
      </c>
      <c r="C1465" s="11">
        <v>5500</v>
      </c>
      <c r="D1465" s="11"/>
      <c r="E1465">
        <v>464</v>
      </c>
      <c r="F1465" s="108" t="s">
        <v>108</v>
      </c>
    </row>
    <row r="1466" spans="1:6" x14ac:dyDescent="0.3">
      <c r="A1466" s="111">
        <v>46249</v>
      </c>
      <c r="B1466" t="s">
        <v>269</v>
      </c>
      <c r="C1466" s="11">
        <v>43320</v>
      </c>
      <c r="D1466" s="11"/>
      <c r="E1466" t="s">
        <v>1063</v>
      </c>
      <c r="F1466" s="108" t="s">
        <v>108</v>
      </c>
    </row>
    <row r="1467" spans="1:6" x14ac:dyDescent="0.3">
      <c r="A1467" s="111">
        <v>46249</v>
      </c>
      <c r="B1467" t="s">
        <v>269</v>
      </c>
      <c r="C1467" s="11">
        <v>25500</v>
      </c>
      <c r="D1467" s="11"/>
      <c r="E1467" t="s">
        <v>1104</v>
      </c>
      <c r="F1467" s="108" t="s">
        <v>108</v>
      </c>
    </row>
    <row r="1468" spans="1:6" x14ac:dyDescent="0.3">
      <c r="A1468" s="111">
        <v>46249</v>
      </c>
      <c r="B1468" t="s">
        <v>269</v>
      </c>
      <c r="C1468" s="11">
        <v>25000</v>
      </c>
      <c r="D1468" s="11"/>
      <c r="E1468" t="s">
        <v>665</v>
      </c>
      <c r="F1468" s="108" t="s">
        <v>108</v>
      </c>
    </row>
    <row r="1469" spans="1:6" x14ac:dyDescent="0.3">
      <c r="A1469" s="111">
        <v>46245</v>
      </c>
      <c r="B1469" t="s">
        <v>219</v>
      </c>
      <c r="C1469" s="11"/>
      <c r="D1469" s="11">
        <v>36000</v>
      </c>
      <c r="E1469" t="s">
        <v>318</v>
      </c>
      <c r="F1469" s="108" t="s">
        <v>108</v>
      </c>
    </row>
    <row r="1470" spans="1:6" x14ac:dyDescent="0.3">
      <c r="A1470" s="111">
        <v>46245</v>
      </c>
      <c r="B1470" t="s">
        <v>219</v>
      </c>
      <c r="C1470" s="11"/>
      <c r="D1470" s="11">
        <v>10000</v>
      </c>
      <c r="E1470" s="117" t="s">
        <v>318</v>
      </c>
      <c r="F1470" s="108" t="s">
        <v>108</v>
      </c>
    </row>
    <row r="1471" spans="1:6" x14ac:dyDescent="0.3">
      <c r="A1471" s="111">
        <v>46244</v>
      </c>
      <c r="B1471" t="s">
        <v>219</v>
      </c>
      <c r="C1471" s="11"/>
      <c r="D1471" s="11">
        <v>29000</v>
      </c>
      <c r="E1471" t="s">
        <v>318</v>
      </c>
      <c r="F1471" s="108" t="s">
        <v>108</v>
      </c>
    </row>
    <row r="1472" spans="1:6" x14ac:dyDescent="0.3">
      <c r="A1472" s="111">
        <v>46251</v>
      </c>
      <c r="B1472" t="s">
        <v>386</v>
      </c>
      <c r="C1472" s="11">
        <v>1273</v>
      </c>
      <c r="D1472" s="11"/>
      <c r="E1472" t="s">
        <v>1105</v>
      </c>
      <c r="F1472" s="108" t="s">
        <v>108</v>
      </c>
    </row>
    <row r="1473" spans="1:6" x14ac:dyDescent="0.3">
      <c r="A1473" s="111">
        <v>46250</v>
      </c>
      <c r="B1473" t="s">
        <v>211</v>
      </c>
      <c r="C1473" s="11">
        <v>780</v>
      </c>
      <c r="D1473" s="11"/>
      <c r="F1473" s="108" t="s">
        <v>108</v>
      </c>
    </row>
    <row r="1474" spans="1:6" x14ac:dyDescent="0.3">
      <c r="A1474" s="111">
        <v>46250</v>
      </c>
      <c r="B1474" t="s">
        <v>211</v>
      </c>
      <c r="C1474" s="11">
        <v>2240</v>
      </c>
      <c r="D1474" s="11"/>
      <c r="F1474" s="108" t="s">
        <v>108</v>
      </c>
    </row>
    <row r="1475" spans="1:6" x14ac:dyDescent="0.3">
      <c r="A1475" s="111">
        <v>46250</v>
      </c>
      <c r="B1475" t="s">
        <v>211</v>
      </c>
      <c r="C1475" s="11"/>
      <c r="D1475" s="11">
        <v>4000</v>
      </c>
      <c r="F1475" s="108" t="s">
        <v>108</v>
      </c>
    </row>
    <row r="1476" spans="1:6" x14ac:dyDescent="0.3">
      <c r="A1476" s="111">
        <v>46244</v>
      </c>
      <c r="B1476" t="s">
        <v>386</v>
      </c>
      <c r="C1476" s="11">
        <v>1190</v>
      </c>
      <c r="D1476" s="11"/>
      <c r="E1476" t="s">
        <v>387</v>
      </c>
      <c r="F1476" s="108" t="s">
        <v>108</v>
      </c>
    </row>
    <row r="1477" spans="1:6" x14ac:dyDescent="0.3">
      <c r="A1477" s="111">
        <v>46242</v>
      </c>
      <c r="B1477" t="s">
        <v>219</v>
      </c>
      <c r="C1477" s="11">
        <v>100000</v>
      </c>
      <c r="D1477" s="11"/>
      <c r="E1477" t="s">
        <v>1106</v>
      </c>
      <c r="F1477" s="108" t="s">
        <v>108</v>
      </c>
    </row>
    <row r="1478" spans="1:6" x14ac:dyDescent="0.3">
      <c r="A1478" s="111">
        <v>46242</v>
      </c>
      <c r="B1478" t="s">
        <v>280</v>
      </c>
      <c r="C1478" s="11"/>
      <c r="D1478" s="11">
        <v>100000</v>
      </c>
      <c r="E1478" t="s">
        <v>271</v>
      </c>
      <c r="F1478" s="108" t="s">
        <v>108</v>
      </c>
    </row>
    <row r="1479" spans="1:6" x14ac:dyDescent="0.3">
      <c r="A1479" s="111">
        <v>46244</v>
      </c>
      <c r="B1479" t="s">
        <v>55</v>
      </c>
      <c r="C1479" s="11">
        <v>2500</v>
      </c>
      <c r="D1479" s="11"/>
      <c r="E1479" t="s">
        <v>1107</v>
      </c>
      <c r="F1479" s="108" t="s">
        <v>108</v>
      </c>
    </row>
    <row r="1480" spans="1:6" x14ac:dyDescent="0.3">
      <c r="A1480" s="111">
        <v>46244</v>
      </c>
      <c r="B1480" t="s">
        <v>219</v>
      </c>
      <c r="C1480" s="11"/>
      <c r="D1480" s="11">
        <v>2500</v>
      </c>
      <c r="E1480" t="s">
        <v>1107</v>
      </c>
      <c r="F1480" s="108" t="s">
        <v>108</v>
      </c>
    </row>
    <row r="1481" spans="1:6" x14ac:dyDescent="0.3">
      <c r="A1481" s="111">
        <v>46244</v>
      </c>
      <c r="B1481" t="s">
        <v>219</v>
      </c>
      <c r="C1481" s="11"/>
      <c r="D1481" s="11">
        <v>10000</v>
      </c>
      <c r="E1481" t="s">
        <v>1108</v>
      </c>
      <c r="F1481" s="108" t="s">
        <v>108</v>
      </c>
    </row>
    <row r="1482" spans="1:6" x14ac:dyDescent="0.3">
      <c r="A1482" s="111">
        <v>46244</v>
      </c>
      <c r="B1482" t="s">
        <v>269</v>
      </c>
      <c r="C1482" s="11">
        <v>10000</v>
      </c>
      <c r="D1482" s="11"/>
      <c r="E1482" t="s">
        <v>1108</v>
      </c>
      <c r="F1482" s="108" t="s">
        <v>108</v>
      </c>
    </row>
    <row r="1483" spans="1:6" x14ac:dyDescent="0.3">
      <c r="A1483" s="111">
        <v>46247</v>
      </c>
      <c r="B1483" t="s">
        <v>219</v>
      </c>
      <c r="C1483" s="11">
        <v>100000</v>
      </c>
      <c r="D1483" s="11"/>
      <c r="E1483" t="s">
        <v>243</v>
      </c>
      <c r="F1483" s="108" t="s">
        <v>108</v>
      </c>
    </row>
    <row r="1484" spans="1:6" x14ac:dyDescent="0.3">
      <c r="A1484" s="111">
        <v>46247</v>
      </c>
      <c r="B1484" t="s">
        <v>27</v>
      </c>
      <c r="C1484" s="11"/>
      <c r="D1484" s="11">
        <v>100000</v>
      </c>
      <c r="E1484" t="s">
        <v>109</v>
      </c>
      <c r="F1484" s="108" t="s">
        <v>108</v>
      </c>
    </row>
    <row r="1485" spans="1:6" x14ac:dyDescent="0.3">
      <c r="A1485" s="111">
        <v>46239</v>
      </c>
      <c r="B1485" t="s">
        <v>219</v>
      </c>
      <c r="C1485" s="11"/>
      <c r="D1485" s="11">
        <v>32600</v>
      </c>
      <c r="E1485" t="s">
        <v>163</v>
      </c>
      <c r="F1485" s="108" t="s">
        <v>108</v>
      </c>
    </row>
    <row r="1486" spans="1:6" x14ac:dyDescent="0.3">
      <c r="A1486" s="111">
        <v>46239</v>
      </c>
      <c r="B1486" t="s">
        <v>116</v>
      </c>
      <c r="C1486" s="11">
        <v>32600</v>
      </c>
      <c r="D1486" s="11"/>
      <c r="E1486" t="s">
        <v>163</v>
      </c>
      <c r="F1486" s="108" t="s">
        <v>108</v>
      </c>
    </row>
    <row r="1487" spans="1:6" x14ac:dyDescent="0.3">
      <c r="A1487" s="111">
        <v>46241</v>
      </c>
      <c r="B1487" t="s">
        <v>219</v>
      </c>
      <c r="C1487" s="11"/>
      <c r="D1487" s="11">
        <v>10600</v>
      </c>
      <c r="E1487" t="s">
        <v>1109</v>
      </c>
      <c r="F1487" s="108" t="s">
        <v>108</v>
      </c>
    </row>
    <row r="1488" spans="1:6" x14ac:dyDescent="0.3">
      <c r="A1488" s="111">
        <v>46241</v>
      </c>
      <c r="B1488" t="s">
        <v>55</v>
      </c>
      <c r="C1488" s="11">
        <v>10600</v>
      </c>
      <c r="D1488" s="11"/>
      <c r="E1488" t="s">
        <v>1109</v>
      </c>
      <c r="F1488" s="108" t="s">
        <v>108</v>
      </c>
    </row>
    <row r="1489" spans="1:6" x14ac:dyDescent="0.3">
      <c r="A1489" s="111">
        <v>46241</v>
      </c>
      <c r="B1489" t="s">
        <v>488</v>
      </c>
      <c r="C1489" s="11">
        <v>5000</v>
      </c>
      <c r="D1489" s="11"/>
      <c r="E1489" t="s">
        <v>712</v>
      </c>
      <c r="F1489" s="108" t="s">
        <v>108</v>
      </c>
    </row>
    <row r="1490" spans="1:6" x14ac:dyDescent="0.3">
      <c r="A1490" s="111">
        <v>46245</v>
      </c>
      <c r="B1490" t="s">
        <v>211</v>
      </c>
      <c r="C1490" s="11">
        <v>1490</v>
      </c>
      <c r="D1490" s="11"/>
      <c r="F1490" s="108" t="s">
        <v>108</v>
      </c>
    </row>
    <row r="1491" spans="1:6" x14ac:dyDescent="0.3">
      <c r="A1491" s="111">
        <v>46247</v>
      </c>
      <c r="B1491" t="s">
        <v>211</v>
      </c>
      <c r="C1491" s="11">
        <v>780</v>
      </c>
      <c r="D1491" s="11"/>
      <c r="F1491" s="108" t="s">
        <v>108</v>
      </c>
    </row>
    <row r="1492" spans="1:6" x14ac:dyDescent="0.3">
      <c r="A1492" s="111">
        <v>46248</v>
      </c>
      <c r="B1492" t="s">
        <v>211</v>
      </c>
      <c r="C1492" s="11">
        <v>780</v>
      </c>
      <c r="D1492" s="11"/>
      <c r="F1492" s="108" t="s">
        <v>108</v>
      </c>
    </row>
    <row r="1493" spans="1:6" x14ac:dyDescent="0.3">
      <c r="A1493" s="111">
        <v>46242</v>
      </c>
      <c r="B1493" t="s">
        <v>386</v>
      </c>
      <c r="C1493" s="11">
        <v>2660</v>
      </c>
      <c r="D1493" s="11"/>
      <c r="E1493" t="s">
        <v>1112</v>
      </c>
      <c r="F1493" s="108" t="s">
        <v>108</v>
      </c>
    </row>
    <row r="1494" spans="1:6" x14ac:dyDescent="0.3">
      <c r="A1494" s="111">
        <v>46251</v>
      </c>
      <c r="B1494" t="s">
        <v>386</v>
      </c>
      <c r="C1494" s="11">
        <v>510</v>
      </c>
      <c r="D1494" s="11"/>
      <c r="F1494" s="108" t="s">
        <v>108</v>
      </c>
    </row>
    <row r="1495" spans="1:6" x14ac:dyDescent="0.3">
      <c r="A1495" s="111">
        <v>46252</v>
      </c>
      <c r="B1495" t="s">
        <v>636</v>
      </c>
      <c r="C1495" s="11"/>
      <c r="D1495" s="11">
        <f>36789*59</f>
        <v>2170551</v>
      </c>
      <c r="E1495" s="176" t="s">
        <v>1121</v>
      </c>
      <c r="F1495" s="108" t="s">
        <v>108</v>
      </c>
    </row>
    <row r="1496" spans="1:6" x14ac:dyDescent="0.3">
      <c r="A1496" s="111">
        <v>46252</v>
      </c>
      <c r="B1496" t="s">
        <v>219</v>
      </c>
      <c r="C1496" s="11">
        <f>36789*59</f>
        <v>2170551</v>
      </c>
      <c r="D1496" s="11"/>
      <c r="E1496" t="s">
        <v>1122</v>
      </c>
      <c r="F1496" s="108" t="s">
        <v>108</v>
      </c>
    </row>
    <row r="1497" spans="1:6" x14ac:dyDescent="0.3">
      <c r="A1497" s="38">
        <v>46252</v>
      </c>
      <c r="B1497" t="s">
        <v>211</v>
      </c>
      <c r="C1497" s="95">
        <v>3000</v>
      </c>
      <c r="D1497" s="95"/>
      <c r="F1497" s="108" t="s">
        <v>108</v>
      </c>
    </row>
    <row r="1498" spans="1:6" x14ac:dyDescent="0.3">
      <c r="A1498" s="111">
        <v>46252</v>
      </c>
      <c r="B1498" t="s">
        <v>357</v>
      </c>
      <c r="C1498" s="11">
        <v>2900</v>
      </c>
      <c r="D1498" s="11"/>
      <c r="F1498" s="108" t="s">
        <v>108</v>
      </c>
    </row>
    <row r="1499" spans="1:6" x14ac:dyDescent="0.3">
      <c r="A1499" s="38">
        <v>46252</v>
      </c>
      <c r="B1499" t="s">
        <v>244</v>
      </c>
      <c r="C1499" s="11">
        <v>4044</v>
      </c>
      <c r="D1499" s="11"/>
      <c r="E1499" t="s">
        <v>920</v>
      </c>
      <c r="F1499" s="108" t="s">
        <v>108</v>
      </c>
    </row>
    <row r="1500" spans="1:6" x14ac:dyDescent="0.3">
      <c r="A1500" s="111">
        <v>46252</v>
      </c>
      <c r="B1500" t="s">
        <v>367</v>
      </c>
      <c r="C1500" s="11"/>
      <c r="D1500" s="11">
        <v>500000</v>
      </c>
      <c r="E1500" t="s">
        <v>1123</v>
      </c>
      <c r="F1500" s="108" t="s">
        <v>108</v>
      </c>
    </row>
    <row r="1501" spans="1:6" x14ac:dyDescent="0.3">
      <c r="A1501" s="38">
        <v>46252</v>
      </c>
      <c r="B1501" t="s">
        <v>488</v>
      </c>
      <c r="C1501" s="11">
        <v>1010</v>
      </c>
      <c r="D1501" s="11"/>
      <c r="E1501" t="s">
        <v>541</v>
      </c>
      <c r="F1501" s="108" t="s">
        <v>108</v>
      </c>
    </row>
    <row r="1502" spans="1:6" x14ac:dyDescent="0.3">
      <c r="A1502" s="111">
        <v>46252</v>
      </c>
      <c r="B1502" t="s">
        <v>269</v>
      </c>
      <c r="C1502" s="11">
        <v>15000</v>
      </c>
      <c r="D1502" s="11"/>
      <c r="E1502" t="s">
        <v>1124</v>
      </c>
      <c r="F1502" s="108" t="s">
        <v>108</v>
      </c>
    </row>
    <row r="1503" spans="1:6" x14ac:dyDescent="0.3">
      <c r="A1503" s="38">
        <v>46252</v>
      </c>
      <c r="B1503" t="s">
        <v>488</v>
      </c>
      <c r="C1503" s="11">
        <v>1000</v>
      </c>
      <c r="D1503" s="11"/>
      <c r="E1503" t="s">
        <v>1125</v>
      </c>
      <c r="F1503" s="108" t="s">
        <v>108</v>
      </c>
    </row>
    <row r="1504" spans="1:6" x14ac:dyDescent="0.3">
      <c r="A1504" s="111">
        <v>46252</v>
      </c>
      <c r="B1504" t="s">
        <v>244</v>
      </c>
      <c r="C1504" s="11">
        <v>290</v>
      </c>
      <c r="D1504" s="11"/>
      <c r="F1504" s="108" t="s">
        <v>108</v>
      </c>
    </row>
    <row r="1505" spans="1:6" x14ac:dyDescent="0.3">
      <c r="A1505" s="38">
        <v>46253</v>
      </c>
      <c r="B1505" t="s">
        <v>488</v>
      </c>
      <c r="C1505" s="11">
        <v>1500</v>
      </c>
      <c r="D1505" s="11"/>
      <c r="E1505" t="s">
        <v>885</v>
      </c>
      <c r="F1505" s="108" t="s">
        <v>108</v>
      </c>
    </row>
    <row r="1506" spans="1:6" x14ac:dyDescent="0.3">
      <c r="A1506" s="111">
        <v>46253</v>
      </c>
      <c r="B1506" t="s">
        <v>219</v>
      </c>
      <c r="C1506" s="11"/>
      <c r="D1506" s="11">
        <v>940</v>
      </c>
      <c r="E1506" t="s">
        <v>1126</v>
      </c>
      <c r="F1506" s="108" t="s">
        <v>108</v>
      </c>
    </row>
    <row r="1507" spans="1:6" x14ac:dyDescent="0.3">
      <c r="A1507" s="111">
        <v>46253</v>
      </c>
      <c r="B1507" t="s">
        <v>55</v>
      </c>
      <c r="C1507" s="11">
        <v>940</v>
      </c>
      <c r="D1507" s="11"/>
      <c r="E1507" t="s">
        <v>1126</v>
      </c>
      <c r="F1507" s="108" t="s">
        <v>108</v>
      </c>
    </row>
    <row r="1508" spans="1:6" x14ac:dyDescent="0.3">
      <c r="A1508" s="38">
        <v>46253</v>
      </c>
      <c r="B1508" t="s">
        <v>219</v>
      </c>
      <c r="C1508" s="95"/>
      <c r="D1508" s="95">
        <v>4162</v>
      </c>
      <c r="E1508" t="s">
        <v>1127</v>
      </c>
      <c r="F1508" s="108" t="s">
        <v>108</v>
      </c>
    </row>
    <row r="1509" spans="1:6" x14ac:dyDescent="0.3">
      <c r="A1509" s="38">
        <v>46253</v>
      </c>
      <c r="B1509" t="s">
        <v>55</v>
      </c>
      <c r="C1509" s="95">
        <v>4162</v>
      </c>
      <c r="D1509" s="95"/>
      <c r="E1509" t="s">
        <v>1127</v>
      </c>
      <c r="F1509" s="108" t="s">
        <v>108</v>
      </c>
    </row>
    <row r="1510" spans="1:6" x14ac:dyDescent="0.3">
      <c r="A1510" s="38">
        <v>46253</v>
      </c>
      <c r="B1510" t="s">
        <v>269</v>
      </c>
      <c r="C1510" s="95">
        <v>5000</v>
      </c>
      <c r="D1510" s="95"/>
      <c r="E1510" t="s">
        <v>580</v>
      </c>
      <c r="F1510" s="108" t="s">
        <v>108</v>
      </c>
    </row>
    <row r="1511" spans="1:6" x14ac:dyDescent="0.3">
      <c r="A1511" s="38">
        <v>46253</v>
      </c>
      <c r="B1511" t="s">
        <v>55</v>
      </c>
      <c r="C1511" s="11">
        <v>3750</v>
      </c>
      <c r="D1511" s="11"/>
      <c r="E1511" t="s">
        <v>1128</v>
      </c>
      <c r="F1511" s="108" t="s">
        <v>108</v>
      </c>
    </row>
    <row r="1512" spans="1:6" x14ac:dyDescent="0.3">
      <c r="A1512" s="38">
        <v>46253</v>
      </c>
      <c r="B1512" t="s">
        <v>219</v>
      </c>
      <c r="C1512" s="11"/>
      <c r="D1512" s="11">
        <v>3750</v>
      </c>
      <c r="E1512" t="s">
        <v>1128</v>
      </c>
      <c r="F1512" s="108" t="s">
        <v>108</v>
      </c>
    </row>
    <row r="1513" spans="1:6" x14ac:dyDescent="0.3">
      <c r="A1513" s="38">
        <v>46253</v>
      </c>
      <c r="B1513" t="s">
        <v>222</v>
      </c>
      <c r="C1513" s="11">
        <v>200000</v>
      </c>
      <c r="D1513" s="11"/>
      <c r="E1513" t="s">
        <v>540</v>
      </c>
      <c r="F1513" s="108" t="s">
        <v>108</v>
      </c>
    </row>
    <row r="1514" spans="1:6" x14ac:dyDescent="0.3">
      <c r="A1514" s="38">
        <v>46253</v>
      </c>
      <c r="B1514" t="s">
        <v>219</v>
      </c>
      <c r="C1514" s="11"/>
      <c r="D1514" s="11">
        <v>200000</v>
      </c>
      <c r="E1514" t="s">
        <v>1129</v>
      </c>
      <c r="F1514" s="108" t="s">
        <v>108</v>
      </c>
    </row>
    <row r="1515" spans="1:6" x14ac:dyDescent="0.3">
      <c r="A1515" s="38">
        <v>46253</v>
      </c>
      <c r="B1515" t="s">
        <v>219</v>
      </c>
      <c r="C1515" s="11"/>
      <c r="D1515" s="11">
        <v>6500</v>
      </c>
      <c r="E1515" t="s">
        <v>1130</v>
      </c>
      <c r="F1515" s="108" t="s">
        <v>108</v>
      </c>
    </row>
    <row r="1516" spans="1:6" x14ac:dyDescent="0.3">
      <c r="A1516" s="38">
        <v>46253</v>
      </c>
      <c r="B1516" t="s">
        <v>219</v>
      </c>
      <c r="C1516" s="11"/>
      <c r="D1516" s="11">
        <v>5100</v>
      </c>
      <c r="E1516" t="s">
        <v>1131</v>
      </c>
      <c r="F1516" s="108" t="s">
        <v>108</v>
      </c>
    </row>
    <row r="1517" spans="1:6" x14ac:dyDescent="0.3">
      <c r="A1517" s="38">
        <v>46253</v>
      </c>
      <c r="B1517" t="s">
        <v>55</v>
      </c>
      <c r="C1517" s="11">
        <f>6500+5100</f>
        <v>11600</v>
      </c>
      <c r="D1517" s="11"/>
      <c r="E1517" t="s">
        <v>1132</v>
      </c>
      <c r="F1517" s="108" t="s">
        <v>108</v>
      </c>
    </row>
    <row r="1518" spans="1:6" x14ac:dyDescent="0.3">
      <c r="A1518" s="38">
        <v>46253</v>
      </c>
      <c r="B1518" t="s">
        <v>219</v>
      </c>
      <c r="C1518" s="11"/>
      <c r="D1518" s="11">
        <v>84000</v>
      </c>
      <c r="E1518" t="s">
        <v>1133</v>
      </c>
      <c r="F1518" s="108" t="s">
        <v>108</v>
      </c>
    </row>
    <row r="1519" spans="1:6" x14ac:dyDescent="0.3">
      <c r="A1519" s="38">
        <v>46253</v>
      </c>
      <c r="B1519" t="s">
        <v>55</v>
      </c>
      <c r="C1519" s="11">
        <v>84000</v>
      </c>
      <c r="D1519" s="11"/>
      <c r="E1519" t="s">
        <v>1133</v>
      </c>
      <c r="F1519" s="108" t="s">
        <v>108</v>
      </c>
    </row>
    <row r="1520" spans="1:6" x14ac:dyDescent="0.3">
      <c r="A1520" s="38">
        <v>46253</v>
      </c>
      <c r="B1520" t="s">
        <v>244</v>
      </c>
      <c r="C1520" s="11">
        <v>650</v>
      </c>
      <c r="D1520" s="11"/>
      <c r="F1520" s="108" t="s">
        <v>108</v>
      </c>
    </row>
    <row r="1521" spans="1:11" x14ac:dyDescent="0.3">
      <c r="A1521" s="38">
        <v>46253</v>
      </c>
      <c r="B1521" t="s">
        <v>488</v>
      </c>
      <c r="C1521" s="11">
        <v>2500</v>
      </c>
      <c r="D1521" s="11"/>
      <c r="E1521" t="s">
        <v>287</v>
      </c>
      <c r="F1521" s="108" t="s">
        <v>108</v>
      </c>
    </row>
    <row r="1522" spans="1:11" x14ac:dyDescent="0.3">
      <c r="A1522" s="38">
        <v>46253</v>
      </c>
      <c r="B1522" t="s">
        <v>488</v>
      </c>
      <c r="C1522" s="11">
        <v>5000</v>
      </c>
      <c r="D1522" s="11"/>
      <c r="E1522" t="s">
        <v>872</v>
      </c>
      <c r="F1522" s="108" t="s">
        <v>108</v>
      </c>
    </row>
    <row r="1523" spans="1:11" x14ac:dyDescent="0.3">
      <c r="A1523" s="38">
        <v>46253</v>
      </c>
      <c r="B1523" t="s">
        <v>219</v>
      </c>
      <c r="C1523" s="11"/>
      <c r="D1523" s="11">
        <v>150000</v>
      </c>
      <c r="E1523" t="s">
        <v>1134</v>
      </c>
      <c r="F1523" s="108" t="s">
        <v>108</v>
      </c>
    </row>
    <row r="1524" spans="1:11" x14ac:dyDescent="0.3">
      <c r="A1524" s="38">
        <v>46253</v>
      </c>
      <c r="B1524" t="s">
        <v>246</v>
      </c>
      <c r="C1524" s="11">
        <v>13300</v>
      </c>
      <c r="D1524" s="11"/>
      <c r="E1524" t="s">
        <v>1135</v>
      </c>
      <c r="F1524" s="108" t="s">
        <v>108</v>
      </c>
      <c r="I1524" s="177">
        <v>37408</v>
      </c>
      <c r="J1524" s="177">
        <v>37073</v>
      </c>
      <c r="K1524" s="177">
        <v>37438</v>
      </c>
    </row>
    <row r="1525" spans="1:11" x14ac:dyDescent="0.3">
      <c r="A1525" s="38">
        <v>46253</v>
      </c>
      <c r="B1525" t="s">
        <v>244</v>
      </c>
      <c r="C1525" s="11">
        <v>1500</v>
      </c>
      <c r="D1525" s="11"/>
      <c r="E1525" t="s">
        <v>1136</v>
      </c>
      <c r="F1525" s="108" t="s">
        <v>108</v>
      </c>
      <c r="I1525">
        <v>5000</v>
      </c>
      <c r="J1525">
        <v>13400</v>
      </c>
      <c r="K1525">
        <v>8800</v>
      </c>
    </row>
    <row r="1526" spans="1:11" x14ac:dyDescent="0.3">
      <c r="A1526" s="38">
        <v>46253</v>
      </c>
      <c r="B1526" t="s">
        <v>244</v>
      </c>
      <c r="C1526" s="11">
        <v>900</v>
      </c>
      <c r="D1526" s="11"/>
      <c r="E1526" t="s">
        <v>920</v>
      </c>
      <c r="F1526" s="108" t="s">
        <v>108</v>
      </c>
      <c r="I1526">
        <v>5640</v>
      </c>
      <c r="J1526">
        <v>14400</v>
      </c>
      <c r="K1526">
        <v>6800</v>
      </c>
    </row>
    <row r="1527" spans="1:11" x14ac:dyDescent="0.3">
      <c r="A1527" s="38">
        <v>46253</v>
      </c>
      <c r="B1527" t="s">
        <v>269</v>
      </c>
      <c r="C1527" s="11"/>
      <c r="D1527" s="11"/>
      <c r="E1527" t="s">
        <v>1142</v>
      </c>
      <c r="F1527" s="108" t="s">
        <v>108</v>
      </c>
      <c r="I1527">
        <v>7200</v>
      </c>
      <c r="J1527">
        <v>22650</v>
      </c>
      <c r="K1527">
        <v>8800</v>
      </c>
    </row>
    <row r="1528" spans="1:11" x14ac:dyDescent="0.3">
      <c r="A1528" s="38">
        <v>46253</v>
      </c>
      <c r="B1528" t="s">
        <v>269</v>
      </c>
      <c r="C1528" s="11">
        <v>20000</v>
      </c>
      <c r="D1528" s="11"/>
      <c r="E1528" t="s">
        <v>1143</v>
      </c>
      <c r="F1528" s="108" t="s">
        <v>108</v>
      </c>
      <c r="I1528">
        <v>15000</v>
      </c>
      <c r="J1528">
        <v>10000</v>
      </c>
      <c r="K1528">
        <v>8800</v>
      </c>
    </row>
    <row r="1529" spans="1:11" x14ac:dyDescent="0.3">
      <c r="A1529" s="38">
        <v>46253</v>
      </c>
      <c r="B1529" t="s">
        <v>269</v>
      </c>
      <c r="C1529" s="11">
        <v>50000</v>
      </c>
      <c r="D1529" s="11"/>
      <c r="E1529" t="s">
        <v>1144</v>
      </c>
      <c r="F1529" s="108" t="s">
        <v>108</v>
      </c>
      <c r="I1529">
        <v>14500</v>
      </c>
      <c r="J1529">
        <v>20000</v>
      </c>
      <c r="K1529">
        <v>6600</v>
      </c>
    </row>
    <row r="1530" spans="1:11" x14ac:dyDescent="0.3">
      <c r="A1530" s="38">
        <v>46253</v>
      </c>
      <c r="B1530" t="s">
        <v>253</v>
      </c>
      <c r="C1530" s="11">
        <v>50000</v>
      </c>
      <c r="D1530" s="11"/>
      <c r="E1530" t="s">
        <v>1145</v>
      </c>
      <c r="F1530" s="108" t="s">
        <v>108</v>
      </c>
      <c r="I1530">
        <v>35000</v>
      </c>
      <c r="J1530">
        <v>9300</v>
      </c>
    </row>
    <row r="1531" spans="1:11" x14ac:dyDescent="0.3">
      <c r="A1531" s="38">
        <v>46253</v>
      </c>
      <c r="B1531" t="s">
        <v>253</v>
      </c>
      <c r="C1531" s="95">
        <v>440340</v>
      </c>
      <c r="D1531" s="95"/>
      <c r="E1531" t="s">
        <v>268</v>
      </c>
      <c r="F1531" s="108" t="s">
        <v>108</v>
      </c>
      <c r="I1531">
        <v>8350</v>
      </c>
      <c r="J1531">
        <v>35000</v>
      </c>
    </row>
    <row r="1532" spans="1:11" x14ac:dyDescent="0.3">
      <c r="A1532" s="38">
        <v>46254</v>
      </c>
      <c r="B1532" t="s">
        <v>269</v>
      </c>
      <c r="C1532" s="95">
        <v>2500</v>
      </c>
      <c r="D1532" s="95"/>
      <c r="E1532" t="s">
        <v>1146</v>
      </c>
      <c r="F1532" s="108" t="s">
        <v>108</v>
      </c>
      <c r="J1532">
        <v>29800</v>
      </c>
    </row>
    <row r="1533" spans="1:11" x14ac:dyDescent="0.3">
      <c r="A1533" s="38">
        <v>46253</v>
      </c>
      <c r="B1533" t="s">
        <v>211</v>
      </c>
      <c r="C1533" s="95">
        <v>50000</v>
      </c>
      <c r="D1533" s="95"/>
      <c r="E1533" t="s">
        <v>1147</v>
      </c>
      <c r="F1533" s="108" t="s">
        <v>108</v>
      </c>
      <c r="J1533">
        <v>4150</v>
      </c>
    </row>
    <row r="1534" spans="1:11" x14ac:dyDescent="0.3">
      <c r="A1534" s="178"/>
      <c r="B1534" s="179"/>
      <c r="C1534" s="95"/>
      <c r="D1534" s="95"/>
      <c r="E1534" s="179"/>
      <c r="F1534" s="180"/>
      <c r="G1534" s="179"/>
      <c r="J1534">
        <v>18150</v>
      </c>
    </row>
    <row r="1535" spans="1:11" x14ac:dyDescent="0.3">
      <c r="A1535" s="38"/>
      <c r="C1535" s="14">
        <f>SUBTOTAL(109,Table14[Debit])</f>
        <v>52662471.68</v>
      </c>
      <c r="D1535" s="14">
        <f>SUBTOTAL(109,Table14[Credit])</f>
        <v>52693165.229517192</v>
      </c>
      <c r="F1535" s="54">
        <f>(Table14[[#Totals],[Credit]]-Table14[[#Totals],[Debit]])</f>
        <v>30693.549517191947</v>
      </c>
      <c r="J1535">
        <v>50000</v>
      </c>
    </row>
    <row r="1536" spans="1:11" x14ac:dyDescent="0.3">
      <c r="J1536">
        <v>50000</v>
      </c>
    </row>
    <row r="1537" spans="10:12" x14ac:dyDescent="0.3">
      <c r="J1537">
        <v>25000</v>
      </c>
    </row>
    <row r="1538" spans="10:12" x14ac:dyDescent="0.3">
      <c r="J1538">
        <v>8000</v>
      </c>
      <c r="L1538">
        <f>SUM(I1525:K1538)</f>
        <v>440340</v>
      </c>
    </row>
  </sheetData>
  <phoneticPr fontId="4" type="noConversion"/>
  <hyperlinks>
    <hyperlink ref="E1495" r:id="rId2" display="36789@59" xr:uid="{8ACC0E2A-7C04-4185-A297-1504BB49A097}"/>
  </hyperlinks>
  <pageMargins left="0.7" right="0.7" top="0.75" bottom="0.75" header="0.3" footer="0.3"/>
  <pageSetup paperSize="34" scale="10" orientation="portrait" r:id="rId3"/>
  <drawing r:id="rId4"/>
  <tableParts count="3">
    <tablePart r:id="rId5"/>
    <tablePart r:id="rId6"/>
    <tablePart r:id="rId7"/>
  </tableParts>
  <extLst>
    <ext xmlns:x15="http://schemas.microsoft.com/office/spreadsheetml/2010/11/main" uri="{3A4CF648-6AED-40f4-86FF-DC5316D8AED3}">
      <x14:slicerList xmlns:x14="http://schemas.microsoft.com/office/spreadsheetml/2009/9/main">
        <x14:slicer r:id="rId8"/>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92"/>
  <sheetViews>
    <sheetView topLeftCell="A31" zoomScale="107" zoomScaleNormal="210" workbookViewId="0">
      <selection activeCell="C47" sqref="C47"/>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119</v>
      </c>
      <c r="C1" s="2" t="s">
        <v>120</v>
      </c>
      <c r="D1" s="8" t="s">
        <v>4</v>
      </c>
      <c r="E1" s="8" t="s">
        <v>121</v>
      </c>
      <c r="F1" s="8" t="s">
        <v>110</v>
      </c>
      <c r="G1" s="8" t="s">
        <v>92</v>
      </c>
      <c r="H1" s="8" t="s">
        <v>18</v>
      </c>
      <c r="I1" s="8" t="s">
        <v>122</v>
      </c>
    </row>
    <row r="2" spans="1:14" x14ac:dyDescent="0.3">
      <c r="A2" s="84">
        <v>46111</v>
      </c>
      <c r="B2" s="81" t="s">
        <v>64</v>
      </c>
      <c r="C2" s="81"/>
      <c r="D2" s="81"/>
      <c r="E2" s="81"/>
      <c r="F2" s="96" t="s">
        <v>115</v>
      </c>
      <c r="G2" s="81">
        <f>SUMIFS(Table14[Debit], Table14[Date], Table8[[#This Row],[Date]], Table14[Party], Table8[[#This Row],[Party]])</f>
        <v>0</v>
      </c>
      <c r="H2" s="81">
        <v>264250</v>
      </c>
      <c r="I2" s="81" t="s">
        <v>185</v>
      </c>
      <c r="K2" t="s">
        <v>75</v>
      </c>
      <c r="L2" t="s">
        <v>45</v>
      </c>
      <c r="M2" t="s">
        <v>36</v>
      </c>
      <c r="N2" t="s">
        <v>5</v>
      </c>
    </row>
    <row r="3" spans="1:14" x14ac:dyDescent="0.3">
      <c r="A3" s="94">
        <v>46111</v>
      </c>
      <c r="B3" s="81" t="s">
        <v>64</v>
      </c>
      <c r="C3" s="80"/>
      <c r="D3" s="80"/>
      <c r="E3" s="80"/>
      <c r="F3" s="80" t="s">
        <v>175</v>
      </c>
      <c r="G3" s="81">
        <f>SUMIFS(Table14[Debit], Table14[Date], Table8[[#This Row],[Date]], Table14[Party], Table8[[#This Row],[Party]])</f>
        <v>0</v>
      </c>
      <c r="H3" s="81">
        <v>0</v>
      </c>
      <c r="I3" s="81" t="s">
        <v>185</v>
      </c>
      <c r="K3" s="1"/>
      <c r="L3" t="s">
        <v>123</v>
      </c>
      <c r="N3" s="11">
        <f t="shared" ref="N3" si="0">47000+28750</f>
        <v>75750</v>
      </c>
    </row>
    <row r="4" spans="1:14" x14ac:dyDescent="0.3">
      <c r="A4" s="84">
        <v>46111</v>
      </c>
      <c r="B4" s="81" t="s">
        <v>64</v>
      </c>
      <c r="F4" s="80" t="s">
        <v>181</v>
      </c>
      <c r="G4" s="81">
        <f>SUMIFS(Table14[Debit], Table14[Date], Table8[[#This Row],[Date]], Table14[Party], Table8[[#This Row],[Party]])</f>
        <v>0</v>
      </c>
      <c r="H4" s="81">
        <v>0</v>
      </c>
      <c r="I4" s="81" t="s">
        <v>185</v>
      </c>
      <c r="K4" s="1"/>
      <c r="N4" s="11"/>
    </row>
    <row r="5" spans="1:14" x14ac:dyDescent="0.3">
      <c r="A5" s="94">
        <v>46111</v>
      </c>
      <c r="B5" s="81" t="s">
        <v>64</v>
      </c>
      <c r="F5" s="80" t="s">
        <v>193</v>
      </c>
      <c r="G5" s="81">
        <f>SUMIFS(Table14[Debit], Table14[Date], Table8[[#This Row],[Date]], Table14[Party], Table8[[#This Row],[Party]])</f>
        <v>0</v>
      </c>
      <c r="H5" s="81">
        <v>0</v>
      </c>
      <c r="I5" s="81" t="s">
        <v>185</v>
      </c>
      <c r="K5" s="1"/>
      <c r="N5" s="14">
        <f>SUM(Table7[Total])</f>
        <v>75750</v>
      </c>
    </row>
    <row r="6" spans="1:14" x14ac:dyDescent="0.3">
      <c r="A6" s="84">
        <v>46111</v>
      </c>
      <c r="B6" s="81" t="s">
        <v>64</v>
      </c>
      <c r="F6" s="80" t="s">
        <v>227</v>
      </c>
      <c r="G6" s="81">
        <f>SUMIFS(Table14[Debit], Table14[Date], Table8[[#This Row],[Date]], Table14[Party], Table8[[#This Row],[Party]])</f>
        <v>0</v>
      </c>
      <c r="H6" s="80">
        <v>801875</v>
      </c>
      <c r="I6" s="81" t="s">
        <v>185</v>
      </c>
    </row>
    <row r="7" spans="1:14" x14ac:dyDescent="0.3">
      <c r="A7" s="94">
        <v>46111</v>
      </c>
      <c r="B7" s="81" t="s">
        <v>64</v>
      </c>
      <c r="F7" s="80" t="s">
        <v>247</v>
      </c>
      <c r="G7" s="81">
        <f>SUMIFS(Table14[Debit], Table14[Date], Table8[[#This Row],[Date]], Table14[Party], Table8[[#This Row],[Party]])</f>
        <v>0</v>
      </c>
      <c r="H7" s="80">
        <v>0</v>
      </c>
      <c r="I7" s="81" t="s">
        <v>185</v>
      </c>
      <c r="K7" s="3" t="s">
        <v>110</v>
      </c>
      <c r="L7" t="s">
        <v>227</v>
      </c>
    </row>
    <row r="8" spans="1:14" x14ac:dyDescent="0.3">
      <c r="A8" s="84">
        <v>46111</v>
      </c>
      <c r="B8" s="81" t="s">
        <v>64</v>
      </c>
      <c r="F8" s="80" t="s">
        <v>248</v>
      </c>
      <c r="G8" s="81">
        <f>SUMIFS(Table14[Debit], Table14[Date], Table8[[#This Row],[Date]], Table14[Party], Table8[[#This Row],[Party]])</f>
        <v>0</v>
      </c>
      <c r="H8" s="80">
        <v>0</v>
      </c>
      <c r="I8" s="81" t="s">
        <v>185</v>
      </c>
    </row>
    <row r="9" spans="1:14" x14ac:dyDescent="0.3">
      <c r="A9" s="94">
        <v>46111</v>
      </c>
      <c r="B9" s="81" t="s">
        <v>64</v>
      </c>
      <c r="F9" s="80" t="s">
        <v>241</v>
      </c>
      <c r="G9" s="81">
        <f>SUMIFS(Table14[Debit], Table14[Date], Table8[[#This Row],[Date]], Table14[Party], Table8[[#This Row],[Party]])</f>
        <v>0</v>
      </c>
      <c r="H9" s="80">
        <v>0</v>
      </c>
      <c r="I9" s="81" t="s">
        <v>185</v>
      </c>
      <c r="K9" s="3" t="s">
        <v>6</v>
      </c>
      <c r="L9" t="s">
        <v>126</v>
      </c>
      <c r="M9" t="s">
        <v>127</v>
      </c>
    </row>
    <row r="10" spans="1:14" x14ac:dyDescent="0.3">
      <c r="A10" s="117">
        <v>46073</v>
      </c>
      <c r="B10" t="s">
        <v>64</v>
      </c>
      <c r="E10">
        <f>SUMIFS(Table14[Debit], Table14[Date], Table8[[#This Row],[Date]], Table14[Party], Table8[[#This Row],[Party]])</f>
        <v>0</v>
      </c>
      <c r="F10" t="s">
        <v>248</v>
      </c>
      <c r="G10">
        <f>SUMIFS(Table14[Debit], Table14[Date], Table8[[#This Row],[Date]], Table14[Party], Table8[[#This Row],[Party]])</f>
        <v>0</v>
      </c>
      <c r="H10">
        <f>Table8[[#This Row],[Price]]-Table8[[#This Row],[Paid]]</f>
        <v>0</v>
      </c>
      <c r="K10" s="26">
        <v>46127</v>
      </c>
      <c r="M10">
        <v>-400000</v>
      </c>
    </row>
    <row r="11" spans="1:14" x14ac:dyDescent="0.3">
      <c r="A11" s="117">
        <v>46116</v>
      </c>
      <c r="B11" t="s">
        <v>264</v>
      </c>
      <c r="F11" t="s">
        <v>115</v>
      </c>
      <c r="G11">
        <f>SUMIFS(Table14[Debit], Table14[Date], Table8[[#This Row],[Date]], Table14[Party], Table8[[#This Row],[Party]])</f>
        <v>100000</v>
      </c>
      <c r="H11">
        <f>Table8[[#This Row],[Price]]-Table8[[#This Row],[Paid]]</f>
        <v>-100000</v>
      </c>
      <c r="K11" s="26">
        <v>46111</v>
      </c>
      <c r="M11">
        <v>801875</v>
      </c>
    </row>
    <row r="12" spans="1:14" x14ac:dyDescent="0.3">
      <c r="A12" s="117">
        <v>46120</v>
      </c>
      <c r="B12" t="s">
        <v>256</v>
      </c>
      <c r="E12">
        <v>74380</v>
      </c>
      <c r="F12" t="s">
        <v>175</v>
      </c>
      <c r="G12">
        <f>SUMIFS(Table14[Debit], Table14[Date], Table8[[#This Row],[Date]], Table14[Party], Table8[[#This Row],[Party]])</f>
        <v>74380</v>
      </c>
      <c r="H12">
        <f>Table8[[#This Row],[Price]]-Table8[[#This Row],[Paid]]</f>
        <v>0</v>
      </c>
      <c r="K12" s="26">
        <v>46227</v>
      </c>
      <c r="M12">
        <v>-406000</v>
      </c>
    </row>
    <row r="13" spans="1:14" x14ac:dyDescent="0.3">
      <c r="A13" s="117">
        <v>46120</v>
      </c>
      <c r="B13" t="s">
        <v>609</v>
      </c>
      <c r="C13">
        <v>10</v>
      </c>
      <c r="E13" s="130">
        <f>290000-(50*75)</f>
        <v>286250</v>
      </c>
      <c r="F13" t="s">
        <v>115</v>
      </c>
      <c r="G13">
        <f>SUMIFS(Table14[Debit], Table14[Date], Table8[[#This Row],[Date]], Table14[Party], Table8[[#This Row],[Party]])</f>
        <v>0</v>
      </c>
      <c r="H13">
        <f>Table8[[#This Row],[Price]]-Table8[[#This Row],[Paid]]</f>
        <v>286250</v>
      </c>
      <c r="K13" s="4" t="s">
        <v>28</v>
      </c>
      <c r="M13">
        <v>-4125</v>
      </c>
    </row>
    <row r="14" spans="1:14" x14ac:dyDescent="0.3">
      <c r="A14" s="117">
        <v>46127</v>
      </c>
      <c r="B14" t="s">
        <v>264</v>
      </c>
      <c r="F14" t="s">
        <v>227</v>
      </c>
      <c r="G14">
        <f>SUMIFS(Table14[Debit], Table14[Date], Table8[[#This Row],[Date]], Table14[Party], Table8[[#This Row],[Party]])</f>
        <v>400000</v>
      </c>
      <c r="H14">
        <f>Table8[[#This Row],[Price]]-Table8[[#This Row],[Paid]]</f>
        <v>-400000</v>
      </c>
    </row>
    <row r="15" spans="1:14" x14ac:dyDescent="0.3">
      <c r="A15" s="117">
        <v>46130</v>
      </c>
      <c r="B15" t="s">
        <v>606</v>
      </c>
      <c r="C15">
        <v>5</v>
      </c>
      <c r="E15" s="130">
        <f>181250-(50*75)</f>
        <v>177500</v>
      </c>
      <c r="F15" t="s">
        <v>115</v>
      </c>
      <c r="G15">
        <f>SUMIFS(Table14[Debit], Table14[Date], Table8[[#This Row],[Date]], Table14[Party], Table8[[#This Row],[Party]])</f>
        <v>100000</v>
      </c>
      <c r="H15">
        <f>Table8[[#This Row],[Price]]-Table8[[#This Row],[Paid]]</f>
        <v>77500</v>
      </c>
    </row>
    <row r="16" spans="1:14" x14ac:dyDescent="0.3">
      <c r="A16" s="1">
        <v>46134</v>
      </c>
      <c r="B16" t="s">
        <v>418</v>
      </c>
      <c r="E16">
        <v>136375</v>
      </c>
      <c r="F16" t="s">
        <v>175</v>
      </c>
      <c r="G16">
        <f>SUMIFS(Table14[Debit], Table14[Date], Table8[[#This Row],[Date]], Table14[Party], Table8[[#This Row],[Party]])</f>
        <v>136375</v>
      </c>
      <c r="H16">
        <f>Table8[[#This Row],[Price]]-Table8[[#This Row],[Paid]]</f>
        <v>0</v>
      </c>
    </row>
    <row r="17" spans="1:12" x14ac:dyDescent="0.3">
      <c r="A17" s="1">
        <v>46134</v>
      </c>
      <c r="B17" t="s">
        <v>608</v>
      </c>
      <c r="C17">
        <v>7</v>
      </c>
      <c r="E17" s="130">
        <f>254375-(50*75)</f>
        <v>250625</v>
      </c>
      <c r="F17" t="s">
        <v>115</v>
      </c>
      <c r="G17">
        <f>SUMIFS(Table14[Debit], Table14[Date], Table8[[#This Row],[Date]], Table14[Party], Table8[[#This Row],[Party]])</f>
        <v>0</v>
      </c>
      <c r="H17">
        <f>Table8[[#This Row],[Price]]-Table8[[#This Row],[Paid]]</f>
        <v>250625</v>
      </c>
    </row>
    <row r="18" spans="1:12" x14ac:dyDescent="0.3">
      <c r="A18" s="1">
        <v>46134</v>
      </c>
      <c r="B18" t="s">
        <v>114</v>
      </c>
      <c r="E18">
        <v>60000</v>
      </c>
      <c r="F18" t="s">
        <v>256</v>
      </c>
      <c r="G18">
        <f>SUMIFS(Table14[Debit], Table14[Date], Table8[[#This Row],[Date]], Table14[Party], Table8[[#This Row],[Party]])</f>
        <v>60000</v>
      </c>
      <c r="H18">
        <f>Table8[[#This Row],[Price]]-Table8[[#This Row],[Paid]]</f>
        <v>0</v>
      </c>
    </row>
    <row r="19" spans="1:12" x14ac:dyDescent="0.3">
      <c r="A19" s="1">
        <v>46135</v>
      </c>
      <c r="B19" t="s">
        <v>125</v>
      </c>
      <c r="E19">
        <v>30000</v>
      </c>
      <c r="F19" t="s">
        <v>175</v>
      </c>
      <c r="G19">
        <f>SUMIFS(Table14[Debit], Table14[Date], Table8[[#This Row],[Date]], Table14[Party], Table8[[#This Row],[Party]])</f>
        <v>30000</v>
      </c>
      <c r="H19">
        <f>Table8[[#This Row],[Price]]-Table8[[#This Row],[Paid]]</f>
        <v>0</v>
      </c>
    </row>
    <row r="20" spans="1:12" x14ac:dyDescent="0.3">
      <c r="A20" s="117"/>
      <c r="G20">
        <f>SUMIFS(Table14[Debit], Table14[Date], Table8[[#This Row],[Date]], Table14[Party], Table8[[#This Row],[Party]])</f>
        <v>0</v>
      </c>
      <c r="H20">
        <f>Table8[[#This Row],[Price]]-Table8[[#This Row],[Paid]]</f>
        <v>0</v>
      </c>
    </row>
    <row r="21" spans="1:12" x14ac:dyDescent="0.3">
      <c r="A21" s="117">
        <v>46139</v>
      </c>
      <c r="B21" t="s">
        <v>607</v>
      </c>
      <c r="C21">
        <v>8</v>
      </c>
      <c r="E21" s="130">
        <f>271500-(50*55)</f>
        <v>268750</v>
      </c>
      <c r="F21" t="s">
        <v>115</v>
      </c>
      <c r="G21">
        <f>SUMIFS(Table14[Debit], Table14[Date], Table8[[#This Row],[Date]], Table14[Party], Table8[[#This Row],[Party]])</f>
        <v>200000</v>
      </c>
      <c r="H21">
        <f>Table8[[#This Row],[Price]]-Table8[[#This Row],[Paid]]</f>
        <v>68750</v>
      </c>
    </row>
    <row r="22" spans="1:12" x14ac:dyDescent="0.3">
      <c r="A22" s="117">
        <v>46144</v>
      </c>
      <c r="B22" t="s">
        <v>158</v>
      </c>
      <c r="E22">
        <v>56000</v>
      </c>
      <c r="F22" t="s">
        <v>175</v>
      </c>
      <c r="G22">
        <f>SUMIFS(Table14[Debit], Table14[Date], Table8[[#This Row],[Date]], Table14[Party], Table8[[#This Row],[Party]])</f>
        <v>56000</v>
      </c>
      <c r="H22">
        <f>Table8[[#This Row],[Price]]-Table8[[#This Row],[Paid]]</f>
        <v>0</v>
      </c>
    </row>
    <row r="23" spans="1:12" x14ac:dyDescent="0.3">
      <c r="A23" s="117">
        <v>46148</v>
      </c>
      <c r="B23" t="s">
        <v>610</v>
      </c>
      <c r="E23">
        <v>542500</v>
      </c>
      <c r="F23" t="s">
        <v>115</v>
      </c>
      <c r="G23">
        <f>SUMIFS(Table14[Debit], Table14[Date], Table8[[#This Row],[Date]], Table14[Party], Table8[[#This Row],[Party]])</f>
        <v>0</v>
      </c>
      <c r="H23">
        <f>Table8[[#This Row],[Price]]-Table8[[#This Row],[Paid]]</f>
        <v>542500</v>
      </c>
    </row>
    <row r="24" spans="1:12" x14ac:dyDescent="0.3">
      <c r="A24" s="117">
        <v>46151</v>
      </c>
      <c r="B24" t="s">
        <v>158</v>
      </c>
      <c r="E24">
        <v>55000</v>
      </c>
      <c r="F24" t="s">
        <v>175</v>
      </c>
      <c r="G24">
        <f>SUMIFS(Table14[Debit], Table14[Date], Table8[[#This Row],[Date]], Table14[Party], Table8[[#This Row],[Party]])</f>
        <v>55000</v>
      </c>
      <c r="H24">
        <f>Table8[[#This Row],[Price]]-Table8[[#This Row],[Paid]]</f>
        <v>0</v>
      </c>
    </row>
    <row r="25" spans="1:12" x14ac:dyDescent="0.3">
      <c r="A25" s="117">
        <v>46156</v>
      </c>
      <c r="B25" t="s">
        <v>64</v>
      </c>
      <c r="E25">
        <v>74125</v>
      </c>
      <c r="F25" t="s">
        <v>175</v>
      </c>
      <c r="G25">
        <f>SUMIFS(Table14[Debit], Table14[Date], Table8[[#This Row],[Date]], Table14[Party], Table8[[#This Row],[Party]])</f>
        <v>74125</v>
      </c>
      <c r="H25">
        <f>Table8[[#This Row],[Price]]-Table8[[#This Row],[Paid]]</f>
        <v>0</v>
      </c>
    </row>
    <row r="26" spans="1:12" x14ac:dyDescent="0.3">
      <c r="A26" s="117">
        <v>46153</v>
      </c>
      <c r="B26" t="s">
        <v>264</v>
      </c>
      <c r="F26" t="s">
        <v>115</v>
      </c>
      <c r="G26">
        <f>SUMIFS(Table14[Debit], Table14[Date], Table8[[#This Row],[Date]], Table14[Party], Table8[[#This Row],[Party]])</f>
        <v>100000</v>
      </c>
      <c r="H26">
        <f>Table8[[#This Row],[Price]]-Table8[[#This Row],[Paid]]</f>
        <v>-100000</v>
      </c>
    </row>
    <row r="27" spans="1:12" x14ac:dyDescent="0.3">
      <c r="A27" s="117">
        <v>46161</v>
      </c>
      <c r="B27" t="s">
        <v>64</v>
      </c>
      <c r="C27">
        <v>3</v>
      </c>
      <c r="E27">
        <v>95000</v>
      </c>
      <c r="F27" t="s">
        <v>115</v>
      </c>
      <c r="G27">
        <f>SUMIFS(Table14[Debit], Table14[Date], Table8[[#This Row],[Date]], Table14[Party], Table8[[#This Row],[Party]])</f>
        <v>0</v>
      </c>
      <c r="H27">
        <f>Table8[[#This Row],[Price]]-Table8[[#This Row],[Paid]]</f>
        <v>95000</v>
      </c>
    </row>
    <row r="28" spans="1:12" x14ac:dyDescent="0.3">
      <c r="A28" s="117">
        <v>46163</v>
      </c>
      <c r="B28" t="s">
        <v>64</v>
      </c>
      <c r="E28">
        <v>35500</v>
      </c>
      <c r="F28" t="s">
        <v>175</v>
      </c>
      <c r="G28">
        <f>SUMIFS(Table14[Debit], Table14[Date], Table8[[#This Row],[Date]], Table14[Party], Table8[[#This Row],[Party]])</f>
        <v>35500</v>
      </c>
      <c r="H28">
        <f>Table8[[#This Row],[Price]]-Table8[[#This Row],[Paid]]</f>
        <v>0</v>
      </c>
    </row>
    <row r="29" spans="1:12" x14ac:dyDescent="0.3">
      <c r="A29" s="117">
        <v>46164</v>
      </c>
      <c r="B29" t="s">
        <v>64</v>
      </c>
      <c r="G29">
        <f>SUMIFS(Table14[Debit], Table14[Date], Table8[[#This Row],[Date]], Table14[Party], Table8[[#This Row],[Party]])</f>
        <v>0</v>
      </c>
      <c r="H29">
        <f>Table8[[#This Row],[Price]]-Table8[[#This Row],[Paid]]</f>
        <v>0</v>
      </c>
    </row>
    <row r="30" spans="1:12" x14ac:dyDescent="0.3">
      <c r="A30" s="117">
        <v>46165</v>
      </c>
      <c r="B30" t="s">
        <v>264</v>
      </c>
      <c r="F30" t="s">
        <v>115</v>
      </c>
      <c r="G30">
        <f>SUMIFS(Table14[Debit], Table14[Date], Table8[[#This Row],[Date]], Table14[Party], Table8[[#This Row],[Party]])</f>
        <v>200000</v>
      </c>
      <c r="H30">
        <f>Table8[[#This Row],[Price]]-Table8[[#This Row],[Paid]]</f>
        <v>-200000</v>
      </c>
    </row>
    <row r="31" spans="1:12" x14ac:dyDescent="0.3">
      <c r="A31" s="117">
        <v>46181</v>
      </c>
      <c r="B31" t="s">
        <v>893</v>
      </c>
      <c r="C31">
        <v>8</v>
      </c>
      <c r="E31">
        <v>263125</v>
      </c>
      <c r="F31" t="s">
        <v>115</v>
      </c>
      <c r="G31">
        <f>SUMIFS(Table14[Debit], Table14[Date], Table8[[#This Row],[Date]], Table14[Party], Table8[[#This Row],[Party]])</f>
        <v>200000</v>
      </c>
      <c r="H31">
        <f>Table8[[#This Row],[Price]]-Table8[[#This Row],[Paid]]</f>
        <v>63125</v>
      </c>
    </row>
    <row r="32" spans="1:12" x14ac:dyDescent="0.3">
      <c r="A32" s="117">
        <v>46182</v>
      </c>
      <c r="B32" t="s">
        <v>64</v>
      </c>
      <c r="C32" t="s">
        <v>682</v>
      </c>
      <c r="F32" t="s">
        <v>115</v>
      </c>
      <c r="G32">
        <f>SUMIFS(Table14[Debit], Table14[Date], Table8[[#This Row],[Date]], Table14[Party], Table8[[#This Row],[Party]])</f>
        <v>0</v>
      </c>
      <c r="H32">
        <f>Table8[[#This Row],[Price]]-Table8[[#This Row],[Paid]]</f>
        <v>0</v>
      </c>
      <c r="L32" t="s">
        <v>162</v>
      </c>
    </row>
    <row r="33" spans="1:16" x14ac:dyDescent="0.3">
      <c r="A33" s="117">
        <v>46182</v>
      </c>
      <c r="B33" t="s">
        <v>64</v>
      </c>
      <c r="E33">
        <v>110000</v>
      </c>
      <c r="F33" t="s">
        <v>175</v>
      </c>
      <c r="G33">
        <f>SUMIFS(Table14[Debit], Table14[Date], Table8[[#This Row],[Date]], Table14[Party], Table8[[#This Row],[Party]])</f>
        <v>110000</v>
      </c>
      <c r="H33">
        <f>Table8[[#This Row],[Price]]-Table8[[#This Row],[Paid]]</f>
        <v>0</v>
      </c>
      <c r="L33" t="s">
        <v>57</v>
      </c>
      <c r="M33" t="s">
        <v>155</v>
      </c>
      <c r="N33" t="s">
        <v>156</v>
      </c>
      <c r="O33" t="s">
        <v>4</v>
      </c>
      <c r="P33" t="s">
        <v>157</v>
      </c>
    </row>
    <row r="34" spans="1:16" x14ac:dyDescent="0.3">
      <c r="A34" s="117">
        <v>46189</v>
      </c>
      <c r="B34" t="s">
        <v>714</v>
      </c>
      <c r="E34">
        <v>94500</v>
      </c>
      <c r="F34" t="s">
        <v>175</v>
      </c>
      <c r="G34">
        <f>SUMIFS(Table14[Debit], Table14[Date], Table8[[#This Row],[Date]], Table14[Party], Table8[[#This Row],[Party]])</f>
        <v>94500</v>
      </c>
      <c r="H34">
        <f>Table8[[#This Row],[Price]]-Table8[[#This Row],[Paid]]</f>
        <v>0</v>
      </c>
      <c r="L34" t="s">
        <v>130</v>
      </c>
      <c r="M34">
        <v>1</v>
      </c>
      <c r="N34">
        <v>5</v>
      </c>
      <c r="O34">
        <v>1400</v>
      </c>
      <c r="P34">
        <f>Table23[[#This Row],[boxes]]*Table23[[#This Row],[kgs]]*Table23[[#This Row],[Rate]]</f>
        <v>7000</v>
      </c>
    </row>
    <row r="35" spans="1:16" x14ac:dyDescent="0.3">
      <c r="A35" s="117">
        <v>46192</v>
      </c>
      <c r="B35" t="s">
        <v>64</v>
      </c>
      <c r="E35">
        <v>97250</v>
      </c>
      <c r="F35" t="s">
        <v>175</v>
      </c>
      <c r="G35">
        <f>SUMIFS(Table14[Debit], Table14[Date], Table8[[#This Row],[Date]], Table14[Party], Table8[[#This Row],[Party]])</f>
        <v>70250</v>
      </c>
      <c r="H35">
        <f>Table8[[#This Row],[Price]]-Table8[[#This Row],[Paid]]</f>
        <v>27000</v>
      </c>
      <c r="L35" t="s">
        <v>128</v>
      </c>
      <c r="M35">
        <v>1</v>
      </c>
      <c r="N35">
        <v>30</v>
      </c>
      <c r="O35">
        <v>1340</v>
      </c>
      <c r="P35">
        <f>Table23[[#This Row],[boxes]]*Table23[[#This Row],[kgs]]*Table23[[#This Row],[Rate]]</f>
        <v>40200</v>
      </c>
    </row>
    <row r="36" spans="1:16" x14ac:dyDescent="0.3">
      <c r="A36" s="117">
        <v>46195</v>
      </c>
      <c r="F36" t="s">
        <v>115</v>
      </c>
      <c r="G36">
        <f>SUMIFS(Table14[Debit], Table14[Date], Table8[[#This Row],[Date]], Table14[Party], Table8[[#This Row],[Party]])</f>
        <v>200000</v>
      </c>
      <c r="H36">
        <f>Table8[[#This Row],[Price]]-Table8[[#This Row],[Paid]]</f>
        <v>-200000</v>
      </c>
      <c r="L36" t="s">
        <v>146</v>
      </c>
      <c r="M36">
        <v>1</v>
      </c>
      <c r="O36">
        <v>1140</v>
      </c>
      <c r="P36">
        <f>Table23[[#This Row],[boxes]]*Table23[[#This Row],[kgs]]*Table23[[#This Row],[Rate]]</f>
        <v>0</v>
      </c>
    </row>
    <row r="37" spans="1:16" x14ac:dyDescent="0.3">
      <c r="A37" s="117">
        <v>46196</v>
      </c>
      <c r="F37" t="s">
        <v>175</v>
      </c>
      <c r="G37">
        <f>SUMIFS(Table14[Debit], Table14[Date], Table8[[#This Row],[Date]], Table14[Party], Table8[[#This Row],[Party]])</f>
        <v>27000</v>
      </c>
      <c r="H37">
        <f>Table8[[#This Row],[Price]]-Table8[[#This Row],[Paid]]</f>
        <v>-27000</v>
      </c>
      <c r="L37" t="s">
        <v>125</v>
      </c>
      <c r="M37">
        <v>1</v>
      </c>
      <c r="N37">
        <v>28</v>
      </c>
      <c r="O37">
        <v>1140</v>
      </c>
      <c r="P37">
        <f>Table23[[#This Row],[boxes]]*Table23[[#This Row],[kgs]]*Table23[[#This Row],[Rate]]</f>
        <v>31920</v>
      </c>
    </row>
    <row r="38" spans="1:16" x14ac:dyDescent="0.3">
      <c r="G38">
        <f>SUMIFS(Table14[Debit], Table14[Date], Table8[[#This Row],[Date]], Table14[Party], Table8[[#This Row],[Party]])</f>
        <v>0</v>
      </c>
      <c r="H38">
        <f>Table8[[#This Row],[Price]]-Table8[[#This Row],[Paid]]</f>
        <v>0</v>
      </c>
      <c r="L38" t="s">
        <v>124</v>
      </c>
      <c r="M38">
        <v>1</v>
      </c>
      <c r="N38">
        <v>8</v>
      </c>
      <c r="O38">
        <v>1130</v>
      </c>
      <c r="P38">
        <f>Table23[[#This Row],[boxes]]*Table23[[#This Row],[kgs]]*Table23[[#This Row],[Rate]]</f>
        <v>9040</v>
      </c>
    </row>
    <row r="39" spans="1:16" x14ac:dyDescent="0.3">
      <c r="A39" s="117">
        <v>46207</v>
      </c>
      <c r="B39" t="s">
        <v>838</v>
      </c>
      <c r="C39">
        <v>8</v>
      </c>
      <c r="E39">
        <v>255750</v>
      </c>
      <c r="F39" t="s">
        <v>905</v>
      </c>
      <c r="G39">
        <f>SUMIFS(Table14[Debit], Table14[Date], Table8[[#This Row],[Date]], Table14[Party], Table8[[#This Row],[Party]])</f>
        <v>0</v>
      </c>
      <c r="H39">
        <f>Table8[[#This Row],[Price]]-Table8[[#This Row],[Paid]]</f>
        <v>255750</v>
      </c>
      <c r="L39" t="s">
        <v>145</v>
      </c>
      <c r="M39">
        <v>1</v>
      </c>
      <c r="O39">
        <v>1300</v>
      </c>
      <c r="P39">
        <f>Table23[[#This Row],[boxes]]*Table23[[#This Row],[kgs]]*Table23[[#This Row],[Rate]]</f>
        <v>0</v>
      </c>
    </row>
    <row r="40" spans="1:16" x14ac:dyDescent="0.3">
      <c r="A40" s="117">
        <v>46208</v>
      </c>
      <c r="B40" t="s">
        <v>256</v>
      </c>
      <c r="C40">
        <v>3</v>
      </c>
      <c r="E40">
        <v>96250</v>
      </c>
      <c r="F40" t="s">
        <v>905</v>
      </c>
      <c r="G40">
        <f>SUMIFS(Table14[Debit], Table14[Date], Table8[[#This Row],[Date]], Table14[Party], Table8[[#This Row],[Party]])</f>
        <v>0</v>
      </c>
      <c r="H40">
        <f>Table8[[#This Row],[Price]]-Table8[[#This Row],[Paid]]</f>
        <v>96250</v>
      </c>
      <c r="L40" t="s">
        <v>131</v>
      </c>
      <c r="M40">
        <v>1</v>
      </c>
      <c r="N40">
        <v>30</v>
      </c>
      <c r="O40">
        <v>1450</v>
      </c>
      <c r="P40">
        <f>Table23[[#This Row],[boxes]]*Table23[[#This Row],[kgs]]*Table23[[#This Row],[Rate]]</f>
        <v>43500</v>
      </c>
    </row>
    <row r="41" spans="1:16" x14ac:dyDescent="0.3">
      <c r="A41" s="117">
        <v>46212</v>
      </c>
      <c r="B41" t="s">
        <v>256</v>
      </c>
      <c r="C41">
        <v>7</v>
      </c>
      <c r="E41">
        <v>206325</v>
      </c>
      <c r="F41" t="s">
        <v>905</v>
      </c>
      <c r="G41">
        <f>SUMIFS(Table14[Debit], Table14[Date], Table8[[#This Row],[Date]], Table14[Party], Table8[[#This Row],[Party]])</f>
        <v>0</v>
      </c>
      <c r="H41">
        <f>Table8[[#This Row],[Price]]-Table8[[#This Row],[Paid]]</f>
        <v>206325</v>
      </c>
      <c r="L41" t="s">
        <v>158</v>
      </c>
      <c r="M41">
        <v>1</v>
      </c>
      <c r="N41">
        <v>40</v>
      </c>
      <c r="O41">
        <v>910</v>
      </c>
      <c r="P41">
        <f>Table23[[#This Row],[boxes]]*Table23[[#This Row],[kgs]]*Table23[[#This Row],[Rate]]</f>
        <v>36400</v>
      </c>
    </row>
    <row r="42" spans="1:16" x14ac:dyDescent="0.3">
      <c r="A42" s="117">
        <v>46219</v>
      </c>
      <c r="B42" t="s">
        <v>964</v>
      </c>
      <c r="F42" t="s">
        <v>905</v>
      </c>
      <c r="G42">
        <f>SUMIFS(Table14[Debit], Table14[Date], Table8[[#This Row],[Date]], Table14[Party], Table8[[#This Row],[Party]])</f>
        <v>255750</v>
      </c>
      <c r="H42">
        <f>Table8[[#This Row],[Price]]-Table8[[#This Row],[Paid]]</f>
        <v>-255750</v>
      </c>
      <c r="L42" t="s">
        <v>124</v>
      </c>
      <c r="M42">
        <v>1</v>
      </c>
      <c r="O42">
        <v>1130</v>
      </c>
      <c r="P42">
        <f>Table23[[#This Row],[boxes]]*Table23[[#This Row],[kgs]]*Table23[[#This Row],[Rate]]</f>
        <v>0</v>
      </c>
    </row>
    <row r="43" spans="1:16" x14ac:dyDescent="0.3">
      <c r="A43" s="117">
        <v>46227</v>
      </c>
      <c r="B43" t="s">
        <v>264</v>
      </c>
      <c r="F43" t="s">
        <v>227</v>
      </c>
      <c r="G43">
        <f>SUMIFS(Table14[Debit], Table14[Date], Table8[[#This Row],[Date]], Table14[Party], Table8[[#This Row],[Party]])</f>
        <v>406000</v>
      </c>
      <c r="H43">
        <f>Table8[[#This Row],[Price]]-Table8[[#This Row],[Paid]]</f>
        <v>-406000</v>
      </c>
      <c r="L43" t="s">
        <v>145</v>
      </c>
      <c r="M43">
        <v>1</v>
      </c>
      <c r="N43">
        <v>10</v>
      </c>
      <c r="O43">
        <v>1300</v>
      </c>
      <c r="P43">
        <f>Table23[[#This Row],[boxes]]*Table23[[#This Row],[kgs]]*Table23[[#This Row],[Rate]]</f>
        <v>13000</v>
      </c>
    </row>
    <row r="44" spans="1:16" x14ac:dyDescent="0.3">
      <c r="A44" s="117">
        <v>46235</v>
      </c>
      <c r="B44" t="s">
        <v>256</v>
      </c>
      <c r="C44">
        <v>10</v>
      </c>
      <c r="F44" t="s">
        <v>905</v>
      </c>
      <c r="G44">
        <f>SUMIFS(Table14[Debit], Table14[Date], Table8[[#This Row],[Date]], Table14[Party], Table8[[#This Row],[Party]])</f>
        <v>0</v>
      </c>
      <c r="H44">
        <f>Table8[[#This Row],[Price]]-Table8[[#This Row],[Paid]]</f>
        <v>0</v>
      </c>
      <c r="L44" t="s">
        <v>132</v>
      </c>
      <c r="M44">
        <v>1</v>
      </c>
      <c r="N44">
        <v>4</v>
      </c>
      <c r="O44">
        <v>1650</v>
      </c>
      <c r="P44">
        <f>Table23[[#This Row],[boxes]]*Table23[[#This Row],[kgs]]*Table23[[#This Row],[Rate]]</f>
        <v>6600</v>
      </c>
    </row>
    <row r="45" spans="1:16" x14ac:dyDescent="0.3">
      <c r="A45" s="117">
        <v>46237</v>
      </c>
      <c r="B45" t="s">
        <v>264</v>
      </c>
      <c r="F45" t="s">
        <v>115</v>
      </c>
      <c r="G45">
        <f>SUMIFS(Table14[Debit], Table14[Date], Table8[[#This Row],[Date]], Table14[Party], Table8[[#This Row],[Party]])</f>
        <v>250000</v>
      </c>
      <c r="H45">
        <f>Table8[[#This Row],[Price]]-Table8[[#This Row],[Paid]]</f>
        <v>-250000</v>
      </c>
      <c r="L45" t="s">
        <v>128</v>
      </c>
      <c r="M45">
        <v>1</v>
      </c>
      <c r="O45">
        <v>1340</v>
      </c>
      <c r="P45">
        <f>Table23[[#This Row],[boxes]]*Table23[[#This Row],[kgs]]*Table23[[#This Row],[Rate]]</f>
        <v>0</v>
      </c>
    </row>
    <row r="46" spans="1:16" x14ac:dyDescent="0.3">
      <c r="B46" t="s">
        <v>256</v>
      </c>
      <c r="F46" t="s">
        <v>905</v>
      </c>
      <c r="G46">
        <f>SUMIFS(Table14[Debit], Table14[Date], Table8[[#This Row],[Date]], Table14[Party], Table8[[#This Row],[Party]])</f>
        <v>0</v>
      </c>
      <c r="H46">
        <f>Table8[[#This Row],[Price]]-Table8[[#This Row],[Paid]]</f>
        <v>0</v>
      </c>
      <c r="L46" t="s">
        <v>131</v>
      </c>
      <c r="M46">
        <v>1</v>
      </c>
      <c r="O46">
        <v>1450</v>
      </c>
      <c r="P46">
        <f>Table23[[#This Row],[boxes]]*Table23[[#This Row],[kgs]]*Table23[[#This Row],[Rate]]</f>
        <v>0</v>
      </c>
    </row>
    <row r="47" spans="1:16" x14ac:dyDescent="0.3">
      <c r="B47" t="s">
        <v>256</v>
      </c>
      <c r="F47" t="s">
        <v>905</v>
      </c>
      <c r="G47">
        <f>SUMIFS(Table14[Debit], Table14[Date], Table8[[#This Row],[Date]], Table14[Party], Table8[[#This Row],[Party]])</f>
        <v>0</v>
      </c>
      <c r="H47">
        <f>Table8[[#This Row],[Price]]-Table8[[#This Row],[Paid]]</f>
        <v>0</v>
      </c>
      <c r="L47" t="s">
        <v>130</v>
      </c>
      <c r="M47">
        <v>1</v>
      </c>
      <c r="O47">
        <v>1400</v>
      </c>
      <c r="P47">
        <f>Table23[[#This Row],[boxes]]*Table23[[#This Row],[kgs]]*Table23[[#This Row],[Rate]]</f>
        <v>0</v>
      </c>
    </row>
    <row r="48" spans="1:16" x14ac:dyDescent="0.3">
      <c r="G48">
        <f>SUMIFS(Table14[Debit], Table14[Date], Table8[[#This Row],[Date]], Table14[Party], Table8[[#This Row],[Party]])</f>
        <v>0</v>
      </c>
      <c r="H48">
        <f>Table8[[#This Row],[Price]]-Table8[[#This Row],[Paid]]</f>
        <v>0</v>
      </c>
      <c r="L48" t="s">
        <v>159</v>
      </c>
      <c r="M48">
        <v>1</v>
      </c>
      <c r="O48">
        <v>1000</v>
      </c>
      <c r="P48">
        <f>Table23[[#This Row],[boxes]]*Table23[[#This Row],[kgs]]*Table23[[#This Row],[Rate]]</f>
        <v>0</v>
      </c>
    </row>
    <row r="49" spans="5:16" x14ac:dyDescent="0.3">
      <c r="E49">
        <f>SUBTOTAL(109,Table8[Price])</f>
        <v>3265205</v>
      </c>
      <c r="G49">
        <f>SUBTOTAL(109,Table8[Paid])</f>
        <v>3234880</v>
      </c>
      <c r="H49">
        <f>SUBTOTAL(109,Table8[Balance])</f>
        <v>1096450</v>
      </c>
      <c r="L49" t="s">
        <v>129</v>
      </c>
      <c r="M49">
        <v>1</v>
      </c>
      <c r="N49">
        <v>5</v>
      </c>
      <c r="O49">
        <v>1650</v>
      </c>
      <c r="P49">
        <f>Table23[[#This Row],[boxes]]*Table23[[#This Row],[kgs]]*Table23[[#This Row],[Rate]]</f>
        <v>8250</v>
      </c>
    </row>
    <row r="50" spans="5:16" x14ac:dyDescent="0.3">
      <c r="L50" t="s">
        <v>114</v>
      </c>
      <c r="M50">
        <v>1</v>
      </c>
      <c r="N50">
        <v>20</v>
      </c>
      <c r="O50">
        <v>1130</v>
      </c>
      <c r="P50">
        <f>Table23[[#This Row],[boxes]]*Table23[[#This Row],[kgs]]*Table23[[#This Row],[Rate]]</f>
        <v>22600</v>
      </c>
    </row>
    <row r="51" spans="5:16" x14ac:dyDescent="0.3">
      <c r="L51" t="s">
        <v>152</v>
      </c>
      <c r="M51">
        <v>1</v>
      </c>
      <c r="O51">
        <v>3100</v>
      </c>
      <c r="P51">
        <f>Table23[[#This Row],[boxes]]*Table23[[#This Row],[kgs]]*Table23[[#This Row],[Rate]]</f>
        <v>0</v>
      </c>
    </row>
    <row r="52" spans="5:16" x14ac:dyDescent="0.3">
      <c r="L52" t="s">
        <v>125</v>
      </c>
      <c r="M52">
        <v>1</v>
      </c>
      <c r="O52">
        <v>1140</v>
      </c>
      <c r="P52">
        <f>Table23[[#This Row],[boxes]]*Table23[[#This Row],[kgs]]*Table23[[#This Row],[Rate]]</f>
        <v>0</v>
      </c>
    </row>
    <row r="53" spans="5:16" x14ac:dyDescent="0.3">
      <c r="L53" t="s">
        <v>146</v>
      </c>
      <c r="M53">
        <v>1</v>
      </c>
      <c r="N53">
        <v>10</v>
      </c>
      <c r="O53">
        <v>1140</v>
      </c>
      <c r="P53">
        <f>Table23[[#This Row],[boxes]]*Table23[[#This Row],[kgs]]*Table23[[#This Row],[Rate]]</f>
        <v>11400</v>
      </c>
    </row>
    <row r="54" spans="5:16" x14ac:dyDescent="0.3">
      <c r="L54" t="s">
        <v>160</v>
      </c>
      <c r="M54">
        <v>1</v>
      </c>
      <c r="N54">
        <v>10</v>
      </c>
      <c r="O54">
        <v>1000</v>
      </c>
      <c r="P54">
        <f>Table23[[#This Row],[boxes]]*Table23[[#This Row],[kgs]]*Table23[[#This Row],[Rate]]</f>
        <v>10000</v>
      </c>
    </row>
    <row r="55" spans="5:16" x14ac:dyDescent="0.3">
      <c r="L55" t="s">
        <v>161</v>
      </c>
      <c r="M55">
        <v>1</v>
      </c>
      <c r="N55">
        <v>5</v>
      </c>
      <c r="O55">
        <v>1000</v>
      </c>
      <c r="P55">
        <f>Table23[[#This Row],[boxes]]*Table23[[#This Row],[kgs]]*Table23[[#This Row],[Rate]]</f>
        <v>5000</v>
      </c>
    </row>
    <row r="56" spans="5:16" x14ac:dyDescent="0.3">
      <c r="L56" t="s">
        <v>5</v>
      </c>
      <c r="P56">
        <f>SUM(P34:P55)</f>
        <v>244910</v>
      </c>
    </row>
    <row r="65" spans="1:5" x14ac:dyDescent="0.3">
      <c r="A65" t="s">
        <v>57</v>
      </c>
      <c r="B65" t="s">
        <v>155</v>
      </c>
      <c r="C65" t="s">
        <v>156</v>
      </c>
      <c r="D65" t="s">
        <v>4</v>
      </c>
      <c r="E65" t="s">
        <v>157</v>
      </c>
    </row>
    <row r="66" spans="1:5" x14ac:dyDescent="0.3">
      <c r="A66" t="s">
        <v>130</v>
      </c>
      <c r="B66">
        <v>1</v>
      </c>
      <c r="C66">
        <v>25</v>
      </c>
      <c r="D66">
        <v>1400</v>
      </c>
      <c r="E66">
        <f>Table2325[[#This Row],[boxes]]*Table2325[[#This Row],[kgs]]*Table2325[[#This Row],[Rate]]</f>
        <v>35000</v>
      </c>
    </row>
    <row r="67" spans="1:5" x14ac:dyDescent="0.3">
      <c r="A67" t="s">
        <v>128</v>
      </c>
      <c r="B67">
        <v>1</v>
      </c>
      <c r="C67">
        <v>3</v>
      </c>
      <c r="D67">
        <v>1340</v>
      </c>
      <c r="E67">
        <f>Table2325[[#This Row],[boxes]]*Table2325[[#This Row],[kgs]]*Table2325[[#This Row],[Rate]]</f>
        <v>4020</v>
      </c>
    </row>
    <row r="68" spans="1:5" x14ac:dyDescent="0.3">
      <c r="A68" t="s">
        <v>146</v>
      </c>
      <c r="B68">
        <v>1</v>
      </c>
      <c r="D68">
        <v>1120</v>
      </c>
      <c r="E68">
        <f>Table2325[[#This Row],[boxes]]*Table2325[[#This Row],[kgs]]*Table2325[[#This Row],[Rate]]</f>
        <v>0</v>
      </c>
    </row>
    <row r="69" spans="1:5" x14ac:dyDescent="0.3">
      <c r="A69" t="s">
        <v>125</v>
      </c>
      <c r="B69">
        <v>1</v>
      </c>
      <c r="C69">
        <v>25</v>
      </c>
      <c r="D69">
        <v>1120</v>
      </c>
      <c r="E69">
        <f>Table2325[[#This Row],[boxes]]*Table2325[[#This Row],[kgs]]*Table2325[[#This Row],[Rate]]</f>
        <v>28000</v>
      </c>
    </row>
    <row r="70" spans="1:5" x14ac:dyDescent="0.3">
      <c r="A70" t="s">
        <v>124</v>
      </c>
      <c r="B70">
        <v>1</v>
      </c>
      <c r="C70">
        <v>25</v>
      </c>
      <c r="D70">
        <v>1120</v>
      </c>
      <c r="E70">
        <f>Table2325[[#This Row],[boxes]]*Table2325[[#This Row],[kgs]]*Table2325[[#This Row],[Rate]]</f>
        <v>28000</v>
      </c>
    </row>
    <row r="71" spans="1:5" x14ac:dyDescent="0.3">
      <c r="A71" t="s">
        <v>145</v>
      </c>
      <c r="B71">
        <v>1</v>
      </c>
      <c r="D71">
        <v>1300</v>
      </c>
      <c r="E71">
        <f>Table2325[[#This Row],[boxes]]*Table2325[[#This Row],[kgs]]*Table2325[[#This Row],[Rate]]</f>
        <v>0</v>
      </c>
    </row>
    <row r="72" spans="1:5" x14ac:dyDescent="0.3">
      <c r="A72" t="s">
        <v>131</v>
      </c>
      <c r="B72">
        <v>1</v>
      </c>
      <c r="C72">
        <v>25</v>
      </c>
      <c r="D72">
        <v>1450</v>
      </c>
      <c r="E72">
        <f>Table2325[[#This Row],[boxes]]*Table2325[[#This Row],[kgs]]*Table2325[[#This Row],[Rate]]</f>
        <v>36250</v>
      </c>
    </row>
    <row r="73" spans="1:5" x14ac:dyDescent="0.3">
      <c r="A73" t="s">
        <v>158</v>
      </c>
      <c r="B73">
        <v>1</v>
      </c>
      <c r="C73">
        <v>25</v>
      </c>
      <c r="D73">
        <v>940</v>
      </c>
      <c r="E73">
        <f>Table2325[[#This Row],[boxes]]*Table2325[[#This Row],[kgs]]*Table2325[[#This Row],[Rate]]</f>
        <v>23500</v>
      </c>
    </row>
    <row r="74" spans="1:5" x14ac:dyDescent="0.3">
      <c r="A74" t="s">
        <v>124</v>
      </c>
      <c r="D74">
        <v>1130</v>
      </c>
      <c r="E74">
        <f>Table2325[[#This Row],[boxes]]*Table2325[[#This Row],[kgs]]*Table2325[[#This Row],[Rate]]</f>
        <v>0</v>
      </c>
    </row>
    <row r="75" spans="1:5" x14ac:dyDescent="0.3">
      <c r="A75" t="s">
        <v>145</v>
      </c>
      <c r="B75">
        <v>1</v>
      </c>
      <c r="C75">
        <v>12</v>
      </c>
      <c r="D75">
        <v>1300</v>
      </c>
      <c r="E75">
        <f>Table2325[[#This Row],[boxes]]*Table2325[[#This Row],[kgs]]*Table2325[[#This Row],[Rate]]</f>
        <v>15600</v>
      </c>
    </row>
    <row r="76" spans="1:5" x14ac:dyDescent="0.3">
      <c r="A76" t="s">
        <v>132</v>
      </c>
      <c r="B76">
        <v>1</v>
      </c>
      <c r="C76">
        <v>8</v>
      </c>
      <c r="D76">
        <v>1650</v>
      </c>
      <c r="E76">
        <f>Table2325[[#This Row],[boxes]]*Table2325[[#This Row],[kgs]]*Table2325[[#This Row],[Rate]]</f>
        <v>13200</v>
      </c>
    </row>
    <row r="77" spans="1:5" x14ac:dyDescent="0.3">
      <c r="A77" t="s">
        <v>128</v>
      </c>
      <c r="D77">
        <v>1340</v>
      </c>
      <c r="E77">
        <f>Table2325[[#This Row],[boxes]]*Table2325[[#This Row],[kgs]]*Table2325[[#This Row],[Rate]]</f>
        <v>0</v>
      </c>
    </row>
    <row r="78" spans="1:5" x14ac:dyDescent="0.3">
      <c r="A78" t="s">
        <v>131</v>
      </c>
      <c r="B78">
        <v>1</v>
      </c>
      <c r="C78">
        <v>12</v>
      </c>
      <c r="D78">
        <v>1450</v>
      </c>
      <c r="E78">
        <f>Table2325[[#This Row],[boxes]]*Table2325[[#This Row],[kgs]]*Table2325[[#This Row],[Rate]]</f>
        <v>17400</v>
      </c>
    </row>
    <row r="79" spans="1:5" x14ac:dyDescent="0.3">
      <c r="A79" t="s">
        <v>130</v>
      </c>
      <c r="B79">
        <v>1</v>
      </c>
      <c r="C79">
        <v>4</v>
      </c>
      <c r="D79">
        <v>1400</v>
      </c>
      <c r="E79">
        <f>Table2325[[#This Row],[boxes]]*Table2325[[#This Row],[kgs]]*Table2325[[#This Row],[Rate]]</f>
        <v>5600</v>
      </c>
    </row>
    <row r="80" spans="1:5" x14ac:dyDescent="0.3">
      <c r="A80" t="s">
        <v>159</v>
      </c>
      <c r="D80">
        <v>1000</v>
      </c>
      <c r="E80">
        <f>Table2325[[#This Row],[boxes]]*Table2325[[#This Row],[kgs]]*Table2325[[#This Row],[Rate]]</f>
        <v>0</v>
      </c>
    </row>
    <row r="81" spans="1:5" x14ac:dyDescent="0.3">
      <c r="A81" t="s">
        <v>129</v>
      </c>
      <c r="B81">
        <v>1</v>
      </c>
      <c r="C81">
        <v>12</v>
      </c>
      <c r="D81">
        <v>1650</v>
      </c>
      <c r="E81">
        <f>Table2325[[#This Row],[boxes]]*Table2325[[#This Row],[kgs]]*Table2325[[#This Row],[Rate]]</f>
        <v>19800</v>
      </c>
    </row>
    <row r="82" spans="1:5" x14ac:dyDescent="0.3">
      <c r="A82" t="s">
        <v>114</v>
      </c>
      <c r="D82">
        <v>1130</v>
      </c>
      <c r="E82">
        <f>Table2325[[#This Row],[boxes]]*Table2325[[#This Row],[kgs]]*Table2325[[#This Row],[Rate]]</f>
        <v>0</v>
      </c>
    </row>
    <row r="83" spans="1:5" x14ac:dyDescent="0.3">
      <c r="A83" t="s">
        <v>152</v>
      </c>
      <c r="B83">
        <v>1</v>
      </c>
      <c r="C83">
        <v>5</v>
      </c>
      <c r="D83">
        <v>3100</v>
      </c>
      <c r="E83">
        <f>Table2325[[#This Row],[boxes]]*Table2325[[#This Row],[kgs]]*Table2325[[#This Row],[Rate]]</f>
        <v>15500</v>
      </c>
    </row>
    <row r="84" spans="1:5" x14ac:dyDescent="0.3">
      <c r="A84" t="s">
        <v>125</v>
      </c>
      <c r="B84">
        <v>1</v>
      </c>
      <c r="C84">
        <v>8</v>
      </c>
      <c r="D84">
        <v>1140</v>
      </c>
      <c r="E84">
        <f>Table2325[[#This Row],[boxes]]*Table2325[[#This Row],[kgs]]*Table2325[[#This Row],[Rate]]</f>
        <v>9120</v>
      </c>
    </row>
    <row r="85" spans="1:5" x14ac:dyDescent="0.3">
      <c r="A85" t="s">
        <v>146</v>
      </c>
      <c r="B85">
        <v>1</v>
      </c>
      <c r="C85">
        <v>6</v>
      </c>
      <c r="D85">
        <v>1140</v>
      </c>
      <c r="E85">
        <f>Table2325[[#This Row],[boxes]]*Table2325[[#This Row],[kgs]]*Table2325[[#This Row],[Rate]]</f>
        <v>6840</v>
      </c>
    </row>
    <row r="86" spans="1:5" x14ac:dyDescent="0.3">
      <c r="A86" t="s">
        <v>160</v>
      </c>
      <c r="D86">
        <v>1000</v>
      </c>
      <c r="E86">
        <f>Table2325[[#This Row],[boxes]]*Table2325[[#This Row],[kgs]]*Table2325[[#This Row],[Rate]]</f>
        <v>0</v>
      </c>
    </row>
    <row r="87" spans="1:5" x14ac:dyDescent="0.3">
      <c r="A87" t="s">
        <v>161</v>
      </c>
      <c r="B87">
        <v>1</v>
      </c>
      <c r="C87">
        <v>10</v>
      </c>
      <c r="D87">
        <v>1600</v>
      </c>
      <c r="E87">
        <f>Table2325[[#This Row],[boxes]]*Table2325[[#This Row],[kgs]]*Table2325[[#This Row],[Rate]]</f>
        <v>16000</v>
      </c>
    </row>
    <row r="88" spans="1:5" x14ac:dyDescent="0.3">
      <c r="A88" t="s">
        <v>114</v>
      </c>
      <c r="B88">
        <v>1</v>
      </c>
      <c r="C88">
        <v>3</v>
      </c>
      <c r="D88">
        <v>1120</v>
      </c>
      <c r="E88">
        <f>Table2325[[#This Row],[boxes]]*Table2325[[#This Row],[kgs]]*Table2325[[#This Row],[Rate]]</f>
        <v>3360</v>
      </c>
    </row>
    <row r="89" spans="1:5" x14ac:dyDescent="0.3">
      <c r="A89" t="s">
        <v>186</v>
      </c>
      <c r="B89">
        <v>1</v>
      </c>
      <c r="C89">
        <v>4</v>
      </c>
      <c r="D89">
        <v>920</v>
      </c>
      <c r="E89">
        <f>Table2325[[#This Row],[boxes]]*Table2325[[#This Row],[kgs]]*Table2325[[#This Row],[Rate]]</f>
        <v>3680</v>
      </c>
    </row>
    <row r="92" spans="1:5" x14ac:dyDescent="0.3">
      <c r="E92">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50"/>
  <sheetViews>
    <sheetView topLeftCell="A31" zoomScale="104" workbookViewId="0">
      <selection activeCell="A50" sqref="A50"/>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133</v>
      </c>
      <c r="D4" s="2" t="s">
        <v>120</v>
      </c>
      <c r="E4" s="8" t="s">
        <v>134</v>
      </c>
      <c r="F4" s="8" t="s">
        <v>121</v>
      </c>
      <c r="G4" s="8" t="s">
        <v>92</v>
      </c>
      <c r="H4" s="8" t="s">
        <v>18</v>
      </c>
      <c r="J4" s="3" t="s">
        <v>6</v>
      </c>
      <c r="K4" t="s">
        <v>126</v>
      </c>
      <c r="L4" t="s">
        <v>101</v>
      </c>
      <c r="M4" t="s">
        <v>127</v>
      </c>
    </row>
    <row r="5" spans="1:13" x14ac:dyDescent="0.3">
      <c r="A5" s="84">
        <v>46111</v>
      </c>
      <c r="B5" s="84" t="s">
        <v>116</v>
      </c>
      <c r="C5" s="81" t="s">
        <v>210</v>
      </c>
      <c r="D5" s="81"/>
      <c r="E5" s="81"/>
      <c r="F5" s="81">
        <f>Table2[[#This Row],[Quantity]]*200*Table2[[#This Row],[Boxes]]</f>
        <v>0</v>
      </c>
      <c r="G5" s="81">
        <f>SUMIFS(Table14[Debit], Table14[Date], Table2[[#This Row],[Date]], Table14[Party], Table2[[#This Row],[Party Name]])</f>
        <v>0</v>
      </c>
      <c r="H5" s="81">
        <v>0</v>
      </c>
      <c r="J5" s="4" t="s">
        <v>103</v>
      </c>
      <c r="K5">
        <v>0</v>
      </c>
      <c r="L5">
        <v>0</v>
      </c>
      <c r="M5">
        <v>0</v>
      </c>
    </row>
    <row r="6" spans="1:13" x14ac:dyDescent="0.3">
      <c r="A6" s="84">
        <v>46111</v>
      </c>
      <c r="B6" s="84"/>
      <c r="C6" s="81" t="s">
        <v>210</v>
      </c>
      <c r="D6" s="81"/>
      <c r="E6" s="81"/>
      <c r="F6" s="81">
        <f>Table2[[#This Row],[Quantity]]*200*Table2[[#This Row],[Boxes]]</f>
        <v>0</v>
      </c>
      <c r="G6" s="81">
        <f>SUMIFS(Table14[Debit], Table14[Date], Table2[[#This Row],[Date]], Table14[Party], Table2[[#This Row],[Party Name]])</f>
        <v>0</v>
      </c>
      <c r="H6" s="81">
        <v>0</v>
      </c>
      <c r="J6" s="4" t="s">
        <v>116</v>
      </c>
      <c r="K6">
        <v>716100</v>
      </c>
      <c r="L6">
        <v>716100</v>
      </c>
      <c r="M6">
        <v>0</v>
      </c>
    </row>
    <row r="7" spans="1:13" x14ac:dyDescent="0.3">
      <c r="A7" s="84">
        <v>46111</v>
      </c>
      <c r="B7" s="84" t="s">
        <v>164</v>
      </c>
      <c r="C7" s="81" t="s">
        <v>210</v>
      </c>
      <c r="F7" s="81">
        <f>Table2[[#This Row],[Quantity]]*200*Table2[[#This Row],[Boxes]]</f>
        <v>0</v>
      </c>
      <c r="G7" s="81">
        <f>SUMIFS(Table14[Debit], Table14[Date], Table2[[#This Row],[Date]], Table14[Party], Table2[[#This Row],[Party Name]])</f>
        <v>0</v>
      </c>
      <c r="H7" s="80">
        <v>55000</v>
      </c>
      <c r="J7" s="4" t="s">
        <v>164</v>
      </c>
      <c r="K7">
        <v>0</v>
      </c>
      <c r="L7">
        <v>55000</v>
      </c>
      <c r="M7">
        <v>0</v>
      </c>
    </row>
    <row r="8" spans="1:13" x14ac:dyDescent="0.3">
      <c r="A8" s="84">
        <v>46111</v>
      </c>
      <c r="B8" s="94" t="s">
        <v>190</v>
      </c>
      <c r="C8" s="81" t="s">
        <v>210</v>
      </c>
      <c r="F8" s="81">
        <f>Table2[[#This Row],[Quantity]]*200*Table2[[#This Row],[Boxes]]</f>
        <v>0</v>
      </c>
      <c r="G8" s="81">
        <f>SUMIFS(Table14[Debit], Table14[Date], Table2[[#This Row],[Date]], Table14[Party], Table2[[#This Row],[Party Name]])</f>
        <v>0</v>
      </c>
      <c r="H8" s="80">
        <v>312000</v>
      </c>
      <c r="J8" s="4" t="s">
        <v>190</v>
      </c>
      <c r="K8">
        <v>0</v>
      </c>
      <c r="L8">
        <v>312000</v>
      </c>
      <c r="M8">
        <v>0</v>
      </c>
    </row>
    <row r="9" spans="1:13" x14ac:dyDescent="0.3">
      <c r="A9" s="84">
        <v>46111</v>
      </c>
      <c r="B9" s="112" t="s">
        <v>194</v>
      </c>
      <c r="C9" s="87" t="s">
        <v>210</v>
      </c>
      <c r="F9" s="81">
        <f>Table2[[#This Row],[Quantity]]*200*Table2[[#This Row],[Boxes]]</f>
        <v>0</v>
      </c>
      <c r="G9" s="81">
        <f>SUMIFS(Table14[Debit], Table14[Date], Table2[[#This Row],[Date]], Table14[Party], Table2[[#This Row],[Party Name]])</f>
        <v>0</v>
      </c>
      <c r="H9" s="80"/>
      <c r="J9" s="4" t="s">
        <v>194</v>
      </c>
      <c r="K9">
        <v>230700</v>
      </c>
      <c r="L9">
        <v>230700</v>
      </c>
      <c r="M9">
        <v>0</v>
      </c>
    </row>
    <row r="10" spans="1:13" x14ac:dyDescent="0.3">
      <c r="A10" s="84">
        <v>46111</v>
      </c>
      <c r="B10" s="94" t="s">
        <v>224</v>
      </c>
      <c r="C10" s="80" t="s">
        <v>210</v>
      </c>
      <c r="D10" s="80"/>
      <c r="E10" s="80"/>
      <c r="F10" s="81">
        <f>Table2[[#This Row],[Quantity]]*200*Table2[[#This Row],[Boxes]]</f>
        <v>0</v>
      </c>
      <c r="G10" s="81">
        <f>SUMIFS(Table14[Debit], Table14[Date], Table2[[#This Row],[Date]], Table14[Party], Table2[[#This Row],[Party Name]])</f>
        <v>0</v>
      </c>
      <c r="H10" s="80">
        <f>58000-4000</f>
        <v>54000</v>
      </c>
      <c r="J10" s="4" t="s">
        <v>224</v>
      </c>
      <c r="K10">
        <v>0</v>
      </c>
      <c r="L10">
        <v>54000</v>
      </c>
      <c r="M10">
        <v>0</v>
      </c>
    </row>
    <row r="11" spans="1:13" x14ac:dyDescent="0.3">
      <c r="A11" s="1">
        <v>46121</v>
      </c>
      <c r="B11" s="1" t="s">
        <v>194</v>
      </c>
      <c r="C11" t="s">
        <v>352</v>
      </c>
      <c r="F11">
        <v>27000</v>
      </c>
      <c r="G11">
        <f>SUMIFS(Table14[Debit], Table14[Date], Table2[[#This Row],[Date]], Table14[Party], Table2[[#This Row],[Party Name]])</f>
        <v>27000</v>
      </c>
      <c r="H11">
        <f>Table2[[#This Row],[Price]]-Table2[[#This Row],[Paid]]</f>
        <v>0</v>
      </c>
      <c r="J11" s="4" t="s">
        <v>456</v>
      </c>
      <c r="K11">
        <v>35000</v>
      </c>
      <c r="L11">
        <v>35000</v>
      </c>
      <c r="M11">
        <v>0</v>
      </c>
    </row>
    <row r="12" spans="1:13" x14ac:dyDescent="0.3">
      <c r="A12" s="1">
        <v>46119</v>
      </c>
      <c r="B12" s="1" t="s">
        <v>190</v>
      </c>
      <c r="F12">
        <f>Table2[[#This Row],[Quantity]]*200*Table2[[#This Row],[Boxes]]</f>
        <v>0</v>
      </c>
      <c r="G12">
        <f>SUMIFS(Table14[Debit], Table14[Date], Table2[[#This Row],[Date]], Table14[Party], Table2[[#This Row],[Party Name]])</f>
        <v>312000</v>
      </c>
      <c r="H12">
        <f>Table2[[#This Row],[Price]]-Table2[[#This Row],[Paid]]</f>
        <v>-312000</v>
      </c>
      <c r="J12" s="4" t="s">
        <v>691</v>
      </c>
      <c r="K12">
        <v>170500</v>
      </c>
      <c r="L12">
        <v>3000</v>
      </c>
      <c r="M12">
        <v>167500</v>
      </c>
    </row>
    <row r="13" spans="1:13" x14ac:dyDescent="0.3">
      <c r="A13" s="1">
        <v>46125</v>
      </c>
      <c r="B13" s="1" t="s">
        <v>194</v>
      </c>
      <c r="F13">
        <v>98950</v>
      </c>
      <c r="G13">
        <f>SUMIFS(Table14[Debit], Table14[Date], Table2[[#This Row],[Date]], Table14[Party], Table2[[#This Row],[Party Name]])</f>
        <v>98950</v>
      </c>
      <c r="H13">
        <f>Table2[[#This Row],[Price]]-Table2[[#This Row],[Paid]]</f>
        <v>0</v>
      </c>
      <c r="J13" s="4" t="s">
        <v>28</v>
      </c>
      <c r="K13">
        <v>1152300</v>
      </c>
      <c r="L13">
        <v>1405800</v>
      </c>
      <c r="M13">
        <v>167500</v>
      </c>
    </row>
    <row r="14" spans="1:13" x14ac:dyDescent="0.3">
      <c r="A14" s="1"/>
      <c r="B14" s="1"/>
      <c r="F14">
        <f>Table2[[#This Row],[Quantity]]*200*Table2[[#This Row],[Boxes]]</f>
        <v>0</v>
      </c>
      <c r="G14">
        <f>SUMIFS(Table14[Debit], Table14[Date], Table2[[#This Row],[Date]], Table14[Party], Table2[[#This Row],[Party Name]])</f>
        <v>0</v>
      </c>
      <c r="H14">
        <f>Table2[[#This Row],[Price]]-Table2[[#This Row],[Paid]]</f>
        <v>0</v>
      </c>
    </row>
    <row r="15" spans="1:13" x14ac:dyDescent="0.3">
      <c r="A15" s="1">
        <v>46126</v>
      </c>
      <c r="B15" s="1" t="s">
        <v>224</v>
      </c>
      <c r="C15" t="s">
        <v>371</v>
      </c>
      <c r="F15">
        <f>Table2[[#This Row],[Quantity]]*200*Table2[[#This Row],[Boxes]]</f>
        <v>0</v>
      </c>
      <c r="G15">
        <f>SUMIFS(Table14[Debit], Table14[Date], Table2[[#This Row],[Date]], Table14[Party], Table2[[#This Row],[Party Name]])</f>
        <v>4000</v>
      </c>
      <c r="H15">
        <f>Table2[[#This Row],[Price]]-Table2[[#This Row],[Paid]]</f>
        <v>-4000</v>
      </c>
    </row>
    <row r="16" spans="1:13" x14ac:dyDescent="0.3">
      <c r="A16" s="1">
        <v>46128</v>
      </c>
      <c r="B16" s="1" t="s">
        <v>116</v>
      </c>
      <c r="F16">
        <v>38800</v>
      </c>
      <c r="G16">
        <f>SUMIFS(Table14[Debit], Table14[Date], Table2[[#This Row],[Date]], Table14[Party], Table2[[#This Row],[Party Name]])</f>
        <v>38800</v>
      </c>
      <c r="H16">
        <f>Table2[[#This Row],[Price]]-Table2[[#This Row],[Paid]]</f>
        <v>0</v>
      </c>
    </row>
    <row r="17" spans="1:11" x14ac:dyDescent="0.3">
      <c r="A17" s="1">
        <v>46131</v>
      </c>
      <c r="B17" s="1" t="s">
        <v>116</v>
      </c>
      <c r="F17">
        <v>31000</v>
      </c>
      <c r="G17">
        <f>SUMIFS(Table14[Debit], Table14[Date], Table2[[#This Row],[Date]], Table14[Party], Table2[[#This Row],[Party Name]])</f>
        <v>31000</v>
      </c>
      <c r="H17">
        <f>Table2[[#This Row],[Price]]-Table2[[#This Row],[Paid]]</f>
        <v>0</v>
      </c>
    </row>
    <row r="18" spans="1:11" x14ac:dyDescent="0.3">
      <c r="A18" s="1">
        <v>46132</v>
      </c>
      <c r="B18" s="1" t="s">
        <v>116</v>
      </c>
      <c r="F18">
        <v>31200</v>
      </c>
      <c r="G18">
        <f>SUMIFS(Table14[Debit], Table14[Date], Table2[[#This Row],[Date]], Table14[Party], Table2[[#This Row],[Party Name]])</f>
        <v>31200</v>
      </c>
      <c r="H18">
        <f>Table2[[#This Row],[Price]]-Table2[[#This Row],[Paid]]</f>
        <v>0</v>
      </c>
    </row>
    <row r="19" spans="1:11" x14ac:dyDescent="0.3">
      <c r="A19" s="1">
        <v>46121</v>
      </c>
      <c r="B19" s="1" t="s">
        <v>194</v>
      </c>
      <c r="F19">
        <v>27000</v>
      </c>
      <c r="G19">
        <f>SUMIFS(Table14[Debit], Table14[Date], Table2[[#This Row],[Date]], Table14[Party], Table2[[#This Row],[Party Name]])</f>
        <v>27000</v>
      </c>
      <c r="H19">
        <f>Table2[[#This Row],[Price]]-Table2[[#This Row],[Paid]]</f>
        <v>0</v>
      </c>
    </row>
    <row r="20" spans="1:11" x14ac:dyDescent="0.3">
      <c r="A20" s="1">
        <v>46133</v>
      </c>
      <c r="B20" s="1" t="s">
        <v>224</v>
      </c>
      <c r="C20" t="s">
        <v>267</v>
      </c>
      <c r="F20">
        <f>Table2[[#This Row],[Quantity]]*200*Table2[[#This Row],[Boxes]]</f>
        <v>0</v>
      </c>
      <c r="G20">
        <f>SUMIFS(Table14[Debit], Table14[Date], Table2[[#This Row],[Date]], Table14[Party], Table2[[#This Row],[Party Name]])</f>
        <v>50000</v>
      </c>
      <c r="H20">
        <f>Table2[[#This Row],[Price]]-Table2[[#This Row],[Paid]]</f>
        <v>-50000</v>
      </c>
    </row>
    <row r="21" spans="1:11" x14ac:dyDescent="0.3">
      <c r="A21" s="1">
        <v>46136</v>
      </c>
      <c r="B21" s="1" t="s">
        <v>116</v>
      </c>
      <c r="F21">
        <v>47400</v>
      </c>
      <c r="G21">
        <f>SUMIFS(Table14[Debit], Table14[Date], Table2[[#This Row],[Date]], Table14[Party], Table2[[#This Row],[Party Name]])</f>
        <v>47400</v>
      </c>
      <c r="H21">
        <f>Table2[[#This Row],[Price]]-Table2[[#This Row],[Paid]]</f>
        <v>0</v>
      </c>
    </row>
    <row r="22" spans="1:11" x14ac:dyDescent="0.3">
      <c r="A22" s="1">
        <v>46137</v>
      </c>
      <c r="B22" s="1" t="s">
        <v>116</v>
      </c>
      <c r="F22">
        <v>55000</v>
      </c>
      <c r="G22">
        <f>SUMIFS(Table14[Debit], Table14[Date], Table2[[#This Row],[Date]], Table14[Party], Table2[[#This Row],[Party Name]])</f>
        <v>55000</v>
      </c>
      <c r="H22">
        <f>Table2[[#This Row],[Price]]-Table2[[#This Row],[Paid]]</f>
        <v>0</v>
      </c>
    </row>
    <row r="23" spans="1:11" x14ac:dyDescent="0.3">
      <c r="A23" s="1">
        <v>46137</v>
      </c>
      <c r="B23" s="1" t="s">
        <v>456</v>
      </c>
      <c r="C23" t="s">
        <v>213</v>
      </c>
      <c r="F23">
        <v>35000</v>
      </c>
      <c r="G23">
        <f>SUMIFS(Table14[Debit], Table14[Date], Table2[[#This Row],[Date]], Table14[Party], Table2[[#This Row],[Party Name]])</f>
        <v>0</v>
      </c>
      <c r="H23">
        <f>Table2[[#This Row],[Price]]-Table2[[#This Row],[Paid]]</f>
        <v>35000</v>
      </c>
    </row>
    <row r="24" spans="1:11" x14ac:dyDescent="0.3">
      <c r="A24" s="1">
        <v>46140</v>
      </c>
      <c r="B24" s="1" t="s">
        <v>116</v>
      </c>
      <c r="C24" t="s">
        <v>61</v>
      </c>
      <c r="F24">
        <v>39000</v>
      </c>
      <c r="G24">
        <f>SUMIFS(Table14[Debit], Table14[Date], Table2[[#This Row],[Date]], Table14[Party], Table2[[#This Row],[Party Name]])</f>
        <v>39000</v>
      </c>
      <c r="H24">
        <f>Table2[[#This Row],[Price]]-Table2[[#This Row],[Paid]]</f>
        <v>0</v>
      </c>
      <c r="I24" t="s">
        <v>57</v>
      </c>
      <c r="J24" t="s">
        <v>173</v>
      </c>
      <c r="K24" t="s">
        <v>202</v>
      </c>
    </row>
    <row r="25" spans="1:11" x14ac:dyDescent="0.3">
      <c r="A25" s="1">
        <v>46143</v>
      </c>
      <c r="B25" s="1" t="s">
        <v>116</v>
      </c>
      <c r="C25" t="s">
        <v>61</v>
      </c>
      <c r="F25">
        <v>39000</v>
      </c>
      <c r="G25">
        <f>SUMIFS(Table14[Debit], Table14[Date], Table2[[#This Row],[Date]], Table14[Party], Table2[[#This Row],[Party Name]])</f>
        <v>39000</v>
      </c>
      <c r="H25">
        <f>Table2[[#This Row],[Price]]-Table2[[#This Row],[Paid]]</f>
        <v>0</v>
      </c>
      <c r="I25" t="s">
        <v>61</v>
      </c>
      <c r="J25">
        <f>7800*60</f>
        <v>468000</v>
      </c>
      <c r="K25">
        <f>2*7800</f>
        <v>15600</v>
      </c>
    </row>
    <row r="26" spans="1:11" x14ac:dyDescent="0.3">
      <c r="A26" s="1">
        <v>46144</v>
      </c>
      <c r="B26" s="1" t="s">
        <v>116</v>
      </c>
      <c r="F26">
        <v>52400</v>
      </c>
      <c r="G26">
        <f>SUMIFS(Table14[Debit], Table14[Date], Table2[[#This Row],[Date]], Table14[Party], Table2[[#This Row],[Party Name]])</f>
        <v>52400</v>
      </c>
      <c r="H26">
        <f>Table2[[#This Row],[Price]]-Table2[[#This Row],[Paid]]</f>
        <v>0</v>
      </c>
      <c r="I26" t="s">
        <v>61</v>
      </c>
      <c r="K26">
        <f>13*4000</f>
        <v>52000</v>
      </c>
    </row>
    <row r="27" spans="1:11" x14ac:dyDescent="0.3">
      <c r="A27" s="1">
        <v>46141</v>
      </c>
      <c r="B27" s="1" t="s">
        <v>456</v>
      </c>
      <c r="F27">
        <f>Table2[[#This Row],[Quantity]]*200*Table2[[#This Row],[Boxes]]</f>
        <v>0</v>
      </c>
      <c r="G27">
        <f>SUMIFS(Table14[Debit], Table14[Date], Table2[[#This Row],[Date]], Table14[Party], Table2[[#This Row],[Party Name]])</f>
        <v>3000</v>
      </c>
      <c r="H27">
        <f>Table2[[#This Row],[Price]]-Table2[[#This Row],[Paid]]</f>
        <v>-3000</v>
      </c>
      <c r="I27" t="s">
        <v>163</v>
      </c>
      <c r="J27">
        <f>13000*3</f>
        <v>39000</v>
      </c>
      <c r="K27">
        <f>13000*3</f>
        <v>39000</v>
      </c>
    </row>
    <row r="28" spans="1:11" x14ac:dyDescent="0.3">
      <c r="A28" s="1">
        <v>46146</v>
      </c>
      <c r="B28" s="1" t="s">
        <v>116</v>
      </c>
      <c r="F28">
        <v>39000</v>
      </c>
      <c r="G28">
        <f>SUMIFS(Table14[Debit], Table14[Date], Table2[[#This Row],[Date]], Table14[Party], Table2[[#This Row],[Party Name]])</f>
        <v>39000</v>
      </c>
      <c r="H28">
        <f>Table2[[#This Row],[Price]]-Table2[[#This Row],[Paid]]</f>
        <v>0</v>
      </c>
    </row>
    <row r="29" spans="1:11" x14ac:dyDescent="0.3">
      <c r="A29" s="1">
        <v>46149</v>
      </c>
      <c r="B29" s="1" t="s">
        <v>164</v>
      </c>
      <c r="C29" t="s">
        <v>215</v>
      </c>
      <c r="F29">
        <f>Table2[[#This Row],[Quantity]]*200*Table2[[#This Row],[Boxes]]</f>
        <v>0</v>
      </c>
      <c r="G29">
        <f>SUMIFS(Table14[Debit], Table14[Date], Table2[[#This Row],[Date]], Table14[Party], Table2[[#This Row],[Party Name]])</f>
        <v>55000</v>
      </c>
      <c r="H29">
        <f>Table2[[#This Row],[Price]]-Table2[[#This Row],[Paid]]</f>
        <v>-55000</v>
      </c>
    </row>
    <row r="30" spans="1:11" x14ac:dyDescent="0.3">
      <c r="A30" s="1">
        <v>46148</v>
      </c>
      <c r="B30" s="1" t="s">
        <v>116</v>
      </c>
      <c r="F30">
        <v>58500</v>
      </c>
      <c r="G30">
        <f>SUMIFS(Table14[Debit], Table14[Date], Table2[[#This Row],[Date]], Table14[Party], Table2[[#This Row],[Party Name]])</f>
        <v>58500</v>
      </c>
      <c r="H30">
        <f>Table2[[#This Row],[Price]]-Table2[[#This Row],[Paid]]</f>
        <v>0</v>
      </c>
      <c r="I30" t="s">
        <v>157</v>
      </c>
      <c r="J30">
        <f>SUM(J25:J27)</f>
        <v>507000</v>
      </c>
      <c r="K30">
        <f>SUM(K25:K27)</f>
        <v>106600</v>
      </c>
    </row>
    <row r="31" spans="1:11" x14ac:dyDescent="0.3">
      <c r="A31" s="1">
        <v>46147</v>
      </c>
      <c r="B31" s="1" t="s">
        <v>456</v>
      </c>
      <c r="F31">
        <f>Table2[[#This Row],[Quantity]]*200*Table2[[#This Row],[Boxes]]</f>
        <v>0</v>
      </c>
      <c r="G31">
        <f>SUMIFS(Table14[Debit], Table14[Date], Table2[[#This Row],[Date]], Table14[Party], Table2[[#This Row],[Party Name]])</f>
        <v>32000</v>
      </c>
      <c r="H31">
        <f>Table2[[#This Row],[Price]]-Table2[[#This Row],[Paid]]</f>
        <v>-32000</v>
      </c>
    </row>
    <row r="32" spans="1:11" x14ac:dyDescent="0.3">
      <c r="A32" s="1">
        <v>46150</v>
      </c>
      <c r="B32" s="1" t="s">
        <v>116</v>
      </c>
      <c r="F32">
        <v>46800</v>
      </c>
      <c r="G32">
        <f>SUMIFS(Table14[Debit], Table14[Date], Table2[[#This Row],[Date]], Table14[Party], Table2[[#This Row],[Party Name]])</f>
        <v>46800</v>
      </c>
      <c r="H32">
        <f>Table2[[#This Row],[Price]]-Table2[[#This Row],[Paid]]</f>
        <v>0</v>
      </c>
    </row>
    <row r="33" spans="1:8" x14ac:dyDescent="0.3">
      <c r="A33" s="1">
        <v>46155</v>
      </c>
      <c r="B33" s="1" t="s">
        <v>116</v>
      </c>
      <c r="F33">
        <v>18000</v>
      </c>
      <c r="G33">
        <f>SUMIFS(Table14[Debit], Table14[Date], Table2[[#This Row],[Date]], Table14[Party], Table2[[#This Row],[Party Name]])</f>
        <v>18000</v>
      </c>
      <c r="H33">
        <f>Table2[[#This Row],[Price]]-Table2[[#This Row],[Paid]]</f>
        <v>0</v>
      </c>
    </row>
    <row r="34" spans="1:8" x14ac:dyDescent="0.3">
      <c r="A34" s="1">
        <v>46158</v>
      </c>
      <c r="B34" s="1" t="s">
        <v>116</v>
      </c>
      <c r="F34">
        <v>18000</v>
      </c>
      <c r="G34">
        <f>SUMIFS(Table14[Debit], Table14[Date], Table2[[#This Row],[Date]], Table14[Party], Table2[[#This Row],[Party Name]])</f>
        <v>18000</v>
      </c>
      <c r="H34">
        <f>Table2[[#This Row],[Price]]-Table2[[#This Row],[Paid]]</f>
        <v>0</v>
      </c>
    </row>
    <row r="35" spans="1:8" x14ac:dyDescent="0.3">
      <c r="A35" s="1">
        <v>46150</v>
      </c>
      <c r="B35" s="1" t="s">
        <v>194</v>
      </c>
      <c r="F35">
        <v>36000</v>
      </c>
      <c r="G35">
        <f>SUMIFS(Table14[Debit], Table14[Date], Table2[[#This Row],[Date]], Table14[Party], Table2[[#This Row],[Party Name]])</f>
        <v>36000</v>
      </c>
      <c r="H35">
        <f>Table2[[#This Row],[Price]]-Table2[[#This Row],[Paid]]</f>
        <v>0</v>
      </c>
    </row>
    <row r="36" spans="1:8" x14ac:dyDescent="0.3">
      <c r="A36" s="1">
        <v>46137</v>
      </c>
      <c r="B36" s="1" t="s">
        <v>194</v>
      </c>
      <c r="F36">
        <v>18000</v>
      </c>
      <c r="G36">
        <f>SUMIFS(Table14[Debit], Table14[Date], Table2[[#This Row],[Date]], Table14[Party], Table2[[#This Row],[Party Name]])</f>
        <v>18000</v>
      </c>
      <c r="H36">
        <f>Table2[[#This Row],[Price]]-Table2[[#This Row],[Paid]]</f>
        <v>0</v>
      </c>
    </row>
    <row r="37" spans="1:8" x14ac:dyDescent="0.3">
      <c r="A37" s="1">
        <v>46162</v>
      </c>
      <c r="B37" s="1" t="s">
        <v>116</v>
      </c>
      <c r="F37">
        <v>16000</v>
      </c>
      <c r="G37">
        <f>SUMIFS(Table14[Debit], Table14[Date], Table2[[#This Row],[Date]], Table14[Party], Table2[[#This Row],[Party Name]])</f>
        <v>16000</v>
      </c>
      <c r="H37">
        <f>Table2[[#This Row],[Price]]-Table2[[#This Row],[Paid]]</f>
        <v>0</v>
      </c>
    </row>
    <row r="38" spans="1:8" x14ac:dyDescent="0.3">
      <c r="A38" s="1">
        <v>46165</v>
      </c>
      <c r="B38" s="1" t="s">
        <v>116</v>
      </c>
      <c r="F38">
        <v>37000</v>
      </c>
      <c r="G38">
        <f>SUMIFS(Table14[Debit], Table14[Date], Table2[[#This Row],[Date]], Table14[Party], Table2[[#This Row],[Party Name]])</f>
        <v>37000</v>
      </c>
      <c r="H38">
        <f>Table2[[#This Row],[Price]]-Table2[[#This Row],[Paid]]</f>
        <v>0</v>
      </c>
    </row>
    <row r="39" spans="1:8" x14ac:dyDescent="0.3">
      <c r="A39" s="1">
        <v>46166</v>
      </c>
      <c r="B39" s="1" t="s">
        <v>116</v>
      </c>
      <c r="F39">
        <v>39000</v>
      </c>
      <c r="G39">
        <f>SUMIFS(Table14[Debit], Table14[Date], Table2[[#This Row],[Date]], Table14[Party], Table2[[#This Row],[Party Name]])</f>
        <v>39000</v>
      </c>
      <c r="H39">
        <f>Table2[[#This Row],[Price]]-Table2[[#This Row],[Paid]]</f>
        <v>0</v>
      </c>
    </row>
    <row r="40" spans="1:8" x14ac:dyDescent="0.3">
      <c r="A40" s="1">
        <v>46182</v>
      </c>
      <c r="B40" s="1" t="s">
        <v>116</v>
      </c>
      <c r="F40">
        <v>19500</v>
      </c>
      <c r="G40">
        <f>SUMIFS(Table14[Debit], Table14[Date], Table2[[#This Row],[Date]], Table14[Party], Table2[[#This Row],[Party Name]])</f>
        <v>19500</v>
      </c>
      <c r="H40">
        <f>Table2[[#This Row],[Price]]-Table2[[#This Row],[Paid]]</f>
        <v>0</v>
      </c>
    </row>
    <row r="41" spans="1:8" x14ac:dyDescent="0.3">
      <c r="A41" s="1">
        <v>46182</v>
      </c>
      <c r="B41" s="1" t="s">
        <v>691</v>
      </c>
      <c r="F41">
        <f>775*220</f>
        <v>170500</v>
      </c>
      <c r="G41">
        <f>SUMIFS(Table14[Debit], Table14[Date], Table2[[#This Row],[Date]], Table14[Party], Table2[[#This Row],[Party Name]])</f>
        <v>3000</v>
      </c>
      <c r="H41">
        <f>Table2[[#This Row],[Price]]-Table2[[#This Row],[Paid]]</f>
        <v>167500</v>
      </c>
    </row>
    <row r="42" spans="1:8" x14ac:dyDescent="0.3">
      <c r="A42" s="1">
        <v>46183</v>
      </c>
      <c r="B42" s="1" t="s">
        <v>116</v>
      </c>
      <c r="F42">
        <v>19500</v>
      </c>
      <c r="G42">
        <f>SUMIFS(Table14[Debit], Table14[Date], Table2[[#This Row],[Date]], Table14[Party], Table2[[#This Row],[Party Name]])</f>
        <v>19500</v>
      </c>
      <c r="H42">
        <f>Table2[[#This Row],[Price]]-Table2[[#This Row],[Paid]]</f>
        <v>0</v>
      </c>
    </row>
    <row r="43" spans="1:8" x14ac:dyDescent="0.3">
      <c r="A43" s="1">
        <v>46186</v>
      </c>
      <c r="B43" s="1" t="s">
        <v>116</v>
      </c>
      <c r="C43" t="s">
        <v>705</v>
      </c>
      <c r="F43">
        <f>Table2[[#This Row],[Quantity]]*200*Table2[[#This Row],[Boxes]]</f>
        <v>0</v>
      </c>
      <c r="G43">
        <f>SUMIFS(Table14[Debit], Table14[Date], Table2[[#This Row],[Date]], Table14[Party], Table2[[#This Row],[Party Name]])</f>
        <v>0</v>
      </c>
      <c r="H43">
        <f>Table2[[#This Row],[Price]]-Table2[[#This Row],[Paid]]</f>
        <v>0</v>
      </c>
    </row>
    <row r="44" spans="1:8" x14ac:dyDescent="0.3">
      <c r="A44" s="1">
        <v>46193</v>
      </c>
      <c r="B44" s="1" t="s">
        <v>116</v>
      </c>
      <c r="F44">
        <v>18500</v>
      </c>
      <c r="G44">
        <f>SUMIFS(Table14[Debit], Table14[Date], Table2[[#This Row],[Date]], Table14[Party], Table2[[#This Row],[Party Name]])</f>
        <v>18500</v>
      </c>
      <c r="H44">
        <f>Table2[[#This Row],[Price]]-Table2[[#This Row],[Paid]]</f>
        <v>0</v>
      </c>
    </row>
    <row r="45" spans="1:8" x14ac:dyDescent="0.3">
      <c r="A45" s="1">
        <v>46196</v>
      </c>
      <c r="B45" s="1" t="s">
        <v>116</v>
      </c>
      <c r="F45">
        <v>18500</v>
      </c>
      <c r="G45">
        <f>SUMIFS(Table14[Debit], Table14[Date], Table2[[#This Row],[Date]], Table14[Party], Table2[[#This Row],[Party Name]])</f>
        <v>18500</v>
      </c>
      <c r="H45">
        <f>Table2[[#This Row],[Price]]-Table2[[#This Row],[Paid]]</f>
        <v>0</v>
      </c>
    </row>
    <row r="46" spans="1:8" x14ac:dyDescent="0.3">
      <c r="A46" s="1">
        <v>46204</v>
      </c>
      <c r="B46" s="1" t="s">
        <v>194</v>
      </c>
      <c r="F46">
        <v>23750</v>
      </c>
      <c r="G46">
        <f>SUMIFS(Table14[Debit], Table14[Date], Table2[[#This Row],[Date]], Table14[Party], Table2[[#This Row],[Party Name]])</f>
        <v>23750</v>
      </c>
      <c r="H46">
        <f>Table2[[#This Row],[Price]]-Table2[[#This Row],[Paid]]</f>
        <v>0</v>
      </c>
    </row>
    <row r="47" spans="1:8" x14ac:dyDescent="0.3">
      <c r="A47" s="1">
        <v>46210</v>
      </c>
      <c r="B47" s="1" t="s">
        <v>116</v>
      </c>
      <c r="F47">
        <v>18500</v>
      </c>
      <c r="G47">
        <f>SUMIFS(Table14[Debit], Table14[Date], Table2[[#This Row],[Date]], Table14[Party], Table2[[#This Row],[Party Name]])</f>
        <v>18500</v>
      </c>
      <c r="H47">
        <f>Table2[[#This Row],[Price]]-Table2[[#This Row],[Paid]]</f>
        <v>0</v>
      </c>
    </row>
    <row r="48" spans="1:8" x14ac:dyDescent="0.3">
      <c r="A48" s="1">
        <v>46219</v>
      </c>
      <c r="B48" s="1" t="s">
        <v>116</v>
      </c>
      <c r="F48">
        <v>15500</v>
      </c>
      <c r="G48">
        <f>SUMIFS(Table14[Debit], Table14[Date], Table2[[#This Row],[Date]], Table14[Party], Table2[[#This Row],[Party Name]])</f>
        <v>15500</v>
      </c>
      <c r="H48">
        <f>Table2[[#This Row],[Price]]-Table2[[#This Row],[Paid]]</f>
        <v>0</v>
      </c>
    </row>
    <row r="49" spans="1:8" x14ac:dyDescent="0.3">
      <c r="A49" s="1">
        <v>46239</v>
      </c>
      <c r="B49" s="1" t="s">
        <v>116</v>
      </c>
      <c r="F49">
        <v>32600</v>
      </c>
      <c r="G49">
        <f>SUMIFS(Table14[Debit], Table14[Date], Table2[[#This Row],[Date]], Table14[Party], Table2[[#This Row],[Party Name]])</f>
        <v>32600</v>
      </c>
      <c r="H49">
        <f>Table2[[#This Row],[Price]]-Table2[[#This Row],[Paid]]</f>
        <v>0</v>
      </c>
    </row>
    <row r="50" spans="1:8" x14ac:dyDescent="0.3">
      <c r="A50" s="1"/>
      <c r="F50">
        <f>SUBTOTAL(109,Table2[Price])</f>
        <v>1184900</v>
      </c>
      <c r="G50">
        <f>SUBTOTAL(109,Table2[Paid])</f>
        <v>1438400</v>
      </c>
      <c r="H50">
        <f>SUBTOTAL(109,Table2[Balance])</f>
        <v>167500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6"/>
  <sheetViews>
    <sheetView workbookViewId="0">
      <selection activeCell="E7" sqref="E7"/>
    </sheetView>
  </sheetViews>
  <sheetFormatPr defaultRowHeight="14.4" x14ac:dyDescent="0.3"/>
  <cols>
    <col min="3" max="3" width="12.33203125" customWidth="1"/>
    <col min="5" max="5" width="11.44140625" bestFit="1" customWidth="1"/>
  </cols>
  <sheetData>
    <row r="2" spans="2:5" x14ac:dyDescent="0.3">
      <c r="B2" t="s">
        <v>75</v>
      </c>
      <c r="C2" t="s">
        <v>135</v>
      </c>
      <c r="D2" t="s">
        <v>136</v>
      </c>
      <c r="E2" t="s">
        <v>5</v>
      </c>
    </row>
    <row r="3" spans="2:5" x14ac:dyDescent="0.3">
      <c r="B3" s="19" t="s">
        <v>214</v>
      </c>
      <c r="C3" s="19" t="s">
        <v>97</v>
      </c>
      <c r="D3" s="19" t="s">
        <v>97</v>
      </c>
      <c r="E3" s="20">
        <v>1467298</v>
      </c>
    </row>
    <row r="4" spans="2:5" x14ac:dyDescent="0.3">
      <c r="E4">
        <f>1440059</f>
        <v>1440059</v>
      </c>
    </row>
    <row r="5" spans="2:5" x14ac:dyDescent="0.3">
      <c r="E5">
        <v>1066588</v>
      </c>
    </row>
    <row r="6" spans="2:5" x14ac:dyDescent="0.3">
      <c r="E6" s="14">
        <f>SUM(E3:E5)</f>
        <v>3973945</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137</v>
      </c>
      <c r="J2" t="s">
        <v>138</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0268E-BF14-4804-BC45-B0E2F833E7C7}">
  <dimension ref="A1:M116"/>
  <sheetViews>
    <sheetView topLeftCell="A91" workbookViewId="0">
      <selection activeCell="C116" sqref="C116"/>
    </sheetView>
  </sheetViews>
  <sheetFormatPr defaultRowHeight="14.4" x14ac:dyDescent="0.3"/>
  <cols>
    <col min="1" max="1" width="10.44140625" customWidth="1"/>
    <col min="2" max="2" width="14.88671875" customWidth="1"/>
    <col min="3" max="3" width="10.109375" customWidth="1"/>
    <col min="4" max="4" width="12" customWidth="1"/>
  </cols>
  <sheetData>
    <row r="1" spans="1:13" x14ac:dyDescent="0.3">
      <c r="A1" t="s">
        <v>501</v>
      </c>
      <c r="I1" t="s">
        <v>64</v>
      </c>
      <c r="J1" t="s">
        <v>4</v>
      </c>
    </row>
    <row r="2" spans="1:13" x14ac:dyDescent="0.3">
      <c r="I2" t="s">
        <v>158</v>
      </c>
      <c r="J2">
        <v>1125</v>
      </c>
      <c r="L2" t="s">
        <v>158</v>
      </c>
      <c r="M2">
        <v>1125</v>
      </c>
    </row>
    <row r="3" spans="1:13" x14ac:dyDescent="0.3">
      <c r="A3" t="s">
        <v>2</v>
      </c>
      <c r="B3" t="s">
        <v>500</v>
      </c>
      <c r="C3" t="s">
        <v>512</v>
      </c>
      <c r="D3">
        <v>2186</v>
      </c>
      <c r="I3" t="s">
        <v>502</v>
      </c>
      <c r="J3">
        <v>1280</v>
      </c>
      <c r="L3" t="s">
        <v>502</v>
      </c>
      <c r="M3">
        <v>1280</v>
      </c>
    </row>
    <row r="4" spans="1:13" x14ac:dyDescent="0.3">
      <c r="I4" t="s">
        <v>503</v>
      </c>
      <c r="J4">
        <v>1425</v>
      </c>
      <c r="L4" t="s">
        <v>503</v>
      </c>
      <c r="M4">
        <v>1425</v>
      </c>
    </row>
    <row r="5" spans="1:13" x14ac:dyDescent="0.3">
      <c r="A5" t="s">
        <v>64</v>
      </c>
      <c r="B5" t="s">
        <v>90</v>
      </c>
      <c r="C5" t="s">
        <v>144</v>
      </c>
      <c r="D5" t="s">
        <v>66</v>
      </c>
      <c r="I5" t="s">
        <v>504</v>
      </c>
      <c r="J5">
        <v>1750</v>
      </c>
      <c r="L5" t="s">
        <v>504</v>
      </c>
      <c r="M5">
        <v>1750</v>
      </c>
    </row>
    <row r="6" spans="1:13" x14ac:dyDescent="0.3">
      <c r="A6" t="s">
        <v>158</v>
      </c>
      <c r="B6">
        <v>7.74</v>
      </c>
      <c r="C6">
        <f>_xlfn.XLOOKUP(Table30[[#This Row],[Dyes]],Table27[Dyes],Table27[Rate],"NF")*Table30[[#This Row],[Weight]]</f>
        <v>8707.5</v>
      </c>
      <c r="I6" t="s">
        <v>505</v>
      </c>
      <c r="J6">
        <v>1500</v>
      </c>
      <c r="L6" t="s">
        <v>505</v>
      </c>
      <c r="M6">
        <v>1500</v>
      </c>
    </row>
    <row r="7" spans="1:13" x14ac:dyDescent="0.3">
      <c r="A7" t="s">
        <v>502</v>
      </c>
      <c r="B7">
        <v>0.73</v>
      </c>
      <c r="C7">
        <f>_xlfn.XLOOKUP(Table30[[#This Row],[Dyes]],Table27[Dyes],Table27[Rate],"NF")*Table30[[#This Row],[Weight]]</f>
        <v>934.4</v>
      </c>
      <c r="I7" t="s">
        <v>506</v>
      </c>
      <c r="J7">
        <v>1300</v>
      </c>
      <c r="L7" t="s">
        <v>506</v>
      </c>
      <c r="M7">
        <v>1300</v>
      </c>
    </row>
    <row r="8" spans="1:13" x14ac:dyDescent="0.3">
      <c r="A8" t="s">
        <v>503</v>
      </c>
      <c r="B8">
        <v>0.93600000000000005</v>
      </c>
      <c r="C8">
        <f>_xlfn.XLOOKUP(Table30[[#This Row],[Dyes]],Table27[Dyes],Table27[Rate],"NF")*Table30[[#This Row],[Weight]]</f>
        <v>1333.8000000000002</v>
      </c>
      <c r="I8" t="s">
        <v>507</v>
      </c>
      <c r="J8">
        <v>1450</v>
      </c>
      <c r="L8" t="s">
        <v>507</v>
      </c>
      <c r="M8">
        <v>1450</v>
      </c>
    </row>
    <row r="9" spans="1:13" x14ac:dyDescent="0.3">
      <c r="A9" t="s">
        <v>504</v>
      </c>
      <c r="B9">
        <v>1.76</v>
      </c>
      <c r="C9">
        <f>_xlfn.XLOOKUP(Table30[[#This Row],[Dyes]],Table27[Dyes],Table27[Rate],"NF")*Table30[[#This Row],[Weight]]</f>
        <v>3080</v>
      </c>
      <c r="I9" t="s">
        <v>508</v>
      </c>
      <c r="J9">
        <v>1450</v>
      </c>
      <c r="L9" t="s">
        <v>508</v>
      </c>
      <c r="M9">
        <v>1450</v>
      </c>
    </row>
    <row r="10" spans="1:13" x14ac:dyDescent="0.3">
      <c r="A10" t="s">
        <v>505</v>
      </c>
      <c r="B10">
        <v>2.226</v>
      </c>
      <c r="C10">
        <f>_xlfn.XLOOKUP(Table30[[#This Row],[Dyes]],Table27[Dyes],Table27[Rate],"NF")*Table30[[#This Row],[Weight]]</f>
        <v>3339</v>
      </c>
      <c r="I10" t="s">
        <v>161</v>
      </c>
      <c r="J10">
        <v>1800</v>
      </c>
      <c r="L10" t="s">
        <v>161</v>
      </c>
      <c r="M10">
        <v>1800</v>
      </c>
    </row>
    <row r="11" spans="1:13" x14ac:dyDescent="0.3">
      <c r="A11" t="s">
        <v>506</v>
      </c>
      <c r="B11">
        <v>0.55000000000000004</v>
      </c>
      <c r="C11">
        <f>_xlfn.XLOOKUP(Table30[[#This Row],[Dyes]],Table27[Dyes],Table27[Rate],"NF")*Table30[[#This Row],[Weight]]</f>
        <v>715.00000000000011</v>
      </c>
      <c r="I11" t="s">
        <v>114</v>
      </c>
      <c r="J11">
        <v>1300</v>
      </c>
      <c r="L11" t="s">
        <v>114</v>
      </c>
      <c r="M11">
        <v>1300</v>
      </c>
    </row>
    <row r="12" spans="1:13" x14ac:dyDescent="0.3">
      <c r="A12" t="s">
        <v>507</v>
      </c>
      <c r="B12">
        <v>3.2959999999999998</v>
      </c>
      <c r="C12">
        <f>_xlfn.XLOOKUP(Table30[[#This Row],[Dyes]],Table27[Dyes],Table27[Rate],"NF")*Table30[[#This Row],[Weight]]</f>
        <v>4779.2</v>
      </c>
      <c r="I12" t="s">
        <v>509</v>
      </c>
      <c r="J12">
        <v>1450</v>
      </c>
      <c r="L12" t="s">
        <v>509</v>
      </c>
      <c r="M12">
        <v>1450</v>
      </c>
    </row>
    <row r="13" spans="1:13" x14ac:dyDescent="0.3">
      <c r="A13" t="s">
        <v>508</v>
      </c>
      <c r="B13">
        <v>0.95</v>
      </c>
      <c r="C13">
        <f>_xlfn.XLOOKUP(Table30[[#This Row],[Dyes]],Table27[Dyes],Table27[Rate],"NF")*Table30[[#This Row],[Weight]]</f>
        <v>1377.5</v>
      </c>
      <c r="I13" t="s">
        <v>510</v>
      </c>
      <c r="J13">
        <v>3100</v>
      </c>
      <c r="L13" t="s">
        <v>510</v>
      </c>
      <c r="M13">
        <v>3100</v>
      </c>
    </row>
    <row r="14" spans="1:13" x14ac:dyDescent="0.3">
      <c r="A14" t="s">
        <v>161</v>
      </c>
      <c r="B14">
        <v>0</v>
      </c>
      <c r="C14">
        <f>_xlfn.XLOOKUP(Table30[[#This Row],[Dyes]],Table27[Dyes],Table27[Rate],"NF")*Table30[[#This Row],[Weight]]</f>
        <v>0</v>
      </c>
      <c r="I14" t="s">
        <v>511</v>
      </c>
      <c r="J14">
        <v>1650</v>
      </c>
      <c r="L14" t="s">
        <v>511</v>
      </c>
      <c r="M14">
        <v>1650</v>
      </c>
    </row>
    <row r="15" spans="1:13" x14ac:dyDescent="0.3">
      <c r="A15" t="s">
        <v>114</v>
      </c>
      <c r="B15">
        <v>2.3039999999999998</v>
      </c>
      <c r="C15">
        <f>_xlfn.XLOOKUP(Table30[[#This Row],[Dyes]],Table27[Dyes],Table27[Rate],"NF")*Table30[[#This Row],[Weight]]</f>
        <v>2995.2</v>
      </c>
      <c r="I15" t="s">
        <v>513</v>
      </c>
      <c r="J15">
        <v>1600</v>
      </c>
      <c r="L15" t="s">
        <v>513</v>
      </c>
      <c r="M15">
        <v>1600</v>
      </c>
    </row>
    <row r="16" spans="1:13" x14ac:dyDescent="0.3">
      <c r="A16" t="s">
        <v>509</v>
      </c>
      <c r="B16">
        <v>0.35</v>
      </c>
      <c r="C16">
        <f>_xlfn.XLOOKUP(Table30[[#This Row],[Dyes]],Table27[Dyes],Table27[Rate],"NF")*Table30[[#This Row],[Weight]]</f>
        <v>507.49999999999994</v>
      </c>
    </row>
    <row r="17" spans="1:4" x14ac:dyDescent="0.3">
      <c r="A17" t="s">
        <v>510</v>
      </c>
      <c r="B17">
        <v>0</v>
      </c>
      <c r="C17">
        <f>_xlfn.XLOOKUP(Table30[[#This Row],[Dyes]],Table27[Dyes],Table27[Rate],"NF")*Table30[[#This Row],[Weight]]</f>
        <v>0</v>
      </c>
    </row>
    <row r="18" spans="1:4" x14ac:dyDescent="0.3">
      <c r="A18" t="s">
        <v>511</v>
      </c>
      <c r="B18">
        <v>0.126</v>
      </c>
      <c r="C18">
        <f>_xlfn.XLOOKUP(Table30[[#This Row],[Dyes]],Table27[Dyes],Table27[Rate],"NF")*Table30[[#This Row],[Weight]]</f>
        <v>207.9</v>
      </c>
    </row>
    <row r="19" spans="1:4" x14ac:dyDescent="0.3">
      <c r="A19" t="s">
        <v>513</v>
      </c>
      <c r="B19">
        <v>0.52</v>
      </c>
      <c r="C19">
        <f>_xlfn.XLOOKUP(Table30[[#This Row],[Dyes]],Table27[Dyes],Table27[Rate],"NF")*Table30[[#This Row],[Weight]]</f>
        <v>832</v>
      </c>
    </row>
    <row r="21" spans="1:4" ht="15" thickBot="1" x14ac:dyDescent="0.35">
      <c r="B21">
        <f>SUBTOTAL(109,Table30[Weight])</f>
        <v>21.488</v>
      </c>
      <c r="C21">
        <f>SUBTOTAL(9,C6:C19)</f>
        <v>28809.000000000004</v>
      </c>
    </row>
    <row r="22" spans="1:4" ht="15" thickTop="1" x14ac:dyDescent="0.3">
      <c r="B22" t="s">
        <v>514</v>
      </c>
      <c r="C22" s="132">
        <f>_xlfn.XLOOKUP(D3,'pivot '!A:A,'pivot '!H:H,"NA")</f>
        <v>35395.940014630578</v>
      </c>
    </row>
    <row r="23" spans="1:4" x14ac:dyDescent="0.3">
      <c r="B23" t="s">
        <v>515</v>
      </c>
      <c r="C23" s="80">
        <f>Table30[[#Totals],[Cost]]/C22</f>
        <v>0.81390690537084409</v>
      </c>
    </row>
    <row r="28" spans="1:4" x14ac:dyDescent="0.3">
      <c r="A28" t="s">
        <v>2</v>
      </c>
      <c r="B28" t="s">
        <v>500</v>
      </c>
      <c r="C28" t="s">
        <v>512</v>
      </c>
      <c r="D28" t="s">
        <v>516</v>
      </c>
    </row>
    <row r="30" spans="1:4" x14ac:dyDescent="0.3">
      <c r="A30" t="s">
        <v>64</v>
      </c>
      <c r="B30" t="s">
        <v>90</v>
      </c>
      <c r="C30" t="s">
        <v>144</v>
      </c>
      <c r="D30" t="s">
        <v>66</v>
      </c>
    </row>
    <row r="31" spans="1:4" x14ac:dyDescent="0.3">
      <c r="A31" t="s">
        <v>158</v>
      </c>
      <c r="B31">
        <v>1.96</v>
      </c>
      <c r="C31">
        <f>_xlfn.XLOOKUP(Table3032[[#This Row],[Dyes]],Table27[Dyes],Table27[Rate],"NF")*Table3032[[#This Row],[Weight]]</f>
        <v>2205</v>
      </c>
    </row>
    <row r="32" spans="1:4" x14ac:dyDescent="0.3">
      <c r="A32" t="s">
        <v>502</v>
      </c>
      <c r="B32">
        <v>7.2</v>
      </c>
      <c r="C32">
        <f>_xlfn.XLOOKUP(Table3032[[#This Row],[Dyes]],Table27[Dyes],Table27[Rate],"NF")*Table3032[[#This Row],[Weight]]</f>
        <v>9216</v>
      </c>
    </row>
    <row r="33" spans="1:3" x14ac:dyDescent="0.3">
      <c r="A33" t="s">
        <v>503</v>
      </c>
      <c r="B33">
        <v>5.09</v>
      </c>
      <c r="C33">
        <f>_xlfn.XLOOKUP(Table3032[[#This Row],[Dyes]],Table27[Dyes],Table27[Rate],"NF")*Table3032[[#This Row],[Weight]]</f>
        <v>7253.25</v>
      </c>
    </row>
    <row r="34" spans="1:3" x14ac:dyDescent="0.3">
      <c r="A34" t="s">
        <v>504</v>
      </c>
      <c r="B34">
        <v>5.5019999999999998</v>
      </c>
      <c r="C34">
        <f>_xlfn.XLOOKUP(Table3032[[#This Row],[Dyes]],Table27[Dyes],Table27[Rate],"NF")*Table3032[[#This Row],[Weight]]</f>
        <v>9628.5</v>
      </c>
    </row>
    <row r="35" spans="1:3" x14ac:dyDescent="0.3">
      <c r="A35" t="s">
        <v>505</v>
      </c>
      <c r="B35">
        <v>2.72</v>
      </c>
      <c r="C35">
        <f>_xlfn.XLOOKUP(Table3032[[#This Row],[Dyes]],Table27[Dyes],Table27[Rate],"NF")*Table3032[[#This Row],[Weight]]</f>
        <v>4080.0000000000005</v>
      </c>
    </row>
    <row r="36" spans="1:3" x14ac:dyDescent="0.3">
      <c r="A36" t="s">
        <v>506</v>
      </c>
      <c r="B36">
        <v>8.3059999999999992</v>
      </c>
      <c r="C36">
        <f>_xlfn.XLOOKUP(Table3032[[#This Row],[Dyes]],Table27[Dyes],Table27[Rate],"NF")*Table3032[[#This Row],[Weight]]</f>
        <v>10797.8</v>
      </c>
    </row>
    <row r="37" spans="1:3" x14ac:dyDescent="0.3">
      <c r="A37" t="s">
        <v>507</v>
      </c>
      <c r="B37">
        <v>9.09</v>
      </c>
      <c r="C37">
        <f>_xlfn.XLOOKUP(Table3032[[#This Row],[Dyes]],Table27[Dyes],Table27[Rate],"NF")*Table3032[[#This Row],[Weight]]</f>
        <v>13180.5</v>
      </c>
    </row>
    <row r="38" spans="1:3" x14ac:dyDescent="0.3">
      <c r="A38" t="s">
        <v>508</v>
      </c>
      <c r="B38">
        <v>2.81</v>
      </c>
      <c r="C38">
        <f>_xlfn.XLOOKUP(Table3032[[#This Row],[Dyes]],Table27[Dyes],Table27[Rate],"NF")*Table3032[[#This Row],[Weight]]</f>
        <v>4074.5</v>
      </c>
    </row>
    <row r="39" spans="1:3" x14ac:dyDescent="0.3">
      <c r="A39" t="s">
        <v>161</v>
      </c>
      <c r="B39">
        <v>1.2</v>
      </c>
      <c r="C39">
        <f>_xlfn.XLOOKUP(Table3032[[#This Row],[Dyes]],Table27[Dyes],Table27[Rate],"NF")*Table3032[[#This Row],[Weight]]</f>
        <v>2160</v>
      </c>
    </row>
    <row r="40" spans="1:3" x14ac:dyDescent="0.3">
      <c r="A40" t="s">
        <v>114</v>
      </c>
      <c r="B40">
        <v>5.492</v>
      </c>
      <c r="C40">
        <f>_xlfn.XLOOKUP(Table3032[[#This Row],[Dyes]],Table27[Dyes],Table27[Rate],"NF")*Table3032[[#This Row],[Weight]]</f>
        <v>7139.6</v>
      </c>
    </row>
    <row r="41" spans="1:3" x14ac:dyDescent="0.3">
      <c r="A41" t="s">
        <v>509</v>
      </c>
      <c r="B41">
        <v>0.31</v>
      </c>
      <c r="C41">
        <f>_xlfn.XLOOKUP(Table3032[[#This Row],[Dyes]],Table27[Dyes],Table27[Rate],"NF")*Table3032[[#This Row],[Weight]]</f>
        <v>449.5</v>
      </c>
    </row>
    <row r="42" spans="1:3" x14ac:dyDescent="0.3">
      <c r="A42" t="s">
        <v>510</v>
      </c>
      <c r="C42">
        <f>_xlfn.XLOOKUP(Table3032[[#This Row],[Dyes]],Table27[Dyes],Table27[Rate],"NF")*Table3032[[#This Row],[Weight]]</f>
        <v>0</v>
      </c>
    </row>
    <row r="43" spans="1:3" x14ac:dyDescent="0.3">
      <c r="A43" t="s">
        <v>511</v>
      </c>
      <c r="B43">
        <v>0.216</v>
      </c>
      <c r="C43">
        <f>_xlfn.XLOOKUP(Table3032[[#This Row],[Dyes]],Table27[Dyes],Table27[Rate],"NF")*Table3032[[#This Row],[Weight]]</f>
        <v>356.4</v>
      </c>
    </row>
    <row r="44" spans="1:3" x14ac:dyDescent="0.3">
      <c r="A44" t="s">
        <v>513</v>
      </c>
      <c r="B44">
        <v>0.13</v>
      </c>
      <c r="C44">
        <f>_xlfn.XLOOKUP(Table3032[[#This Row],[Dyes]],Table27[Dyes],Table27[Rate],"NF")*Table3032[[#This Row],[Weight]]</f>
        <v>208</v>
      </c>
    </row>
    <row r="46" spans="1:3" ht="15" thickBot="1" x14ac:dyDescent="0.35">
      <c r="B46">
        <f>SUBTOTAL(109,Table3032[Weight])</f>
        <v>50.026000000000003</v>
      </c>
      <c r="C46">
        <f>SUBTOTAL(9,C31:C44)</f>
        <v>70749.05</v>
      </c>
    </row>
    <row r="47" spans="1:3" ht="15" thickTop="1" x14ac:dyDescent="0.3">
      <c r="B47" t="s">
        <v>514</v>
      </c>
      <c r="C47" s="132">
        <v>76898.320000000007</v>
      </c>
    </row>
    <row r="48" spans="1:3" x14ac:dyDescent="0.3">
      <c r="B48" t="s">
        <v>515</v>
      </c>
      <c r="C48" s="80">
        <f>Table3032[[#Totals],[Cost]]/C47</f>
        <v>0.920033753663279</v>
      </c>
    </row>
    <row r="51" spans="1:4" x14ac:dyDescent="0.3">
      <c r="A51" t="s">
        <v>2</v>
      </c>
      <c r="B51" t="s">
        <v>367</v>
      </c>
      <c r="C51" t="s">
        <v>512</v>
      </c>
      <c r="D51">
        <v>2164</v>
      </c>
    </row>
    <row r="53" spans="1:4" x14ac:dyDescent="0.3">
      <c r="A53" t="s">
        <v>64</v>
      </c>
      <c r="B53" t="s">
        <v>90</v>
      </c>
      <c r="C53" t="s">
        <v>144</v>
      </c>
      <c r="D53" t="s">
        <v>66</v>
      </c>
    </row>
    <row r="54" spans="1:4" x14ac:dyDescent="0.3">
      <c r="A54" t="s">
        <v>158</v>
      </c>
      <c r="B54">
        <v>6.9820000000000002</v>
      </c>
      <c r="C54">
        <f>_xlfn.XLOOKUP(Table3033[[#This Row],[Dyes]],Table27[Dyes],Table27[Rate],"NF")*Table3033[[#This Row],[Weight]]</f>
        <v>7854.75</v>
      </c>
    </row>
    <row r="55" spans="1:4" x14ac:dyDescent="0.3">
      <c r="A55" t="s">
        <v>502</v>
      </c>
      <c r="B55">
        <v>4.9800000000000004</v>
      </c>
      <c r="C55">
        <f>_xlfn.XLOOKUP(Table3033[[#This Row],[Dyes]],Table27[Dyes],Table27[Rate],"NF")*Table3033[[#This Row],[Weight]]</f>
        <v>6374.4000000000005</v>
      </c>
    </row>
    <row r="56" spans="1:4" x14ac:dyDescent="0.3">
      <c r="A56" t="s">
        <v>503</v>
      </c>
      <c r="B56">
        <v>4.5359999999999996</v>
      </c>
      <c r="C56">
        <f>_xlfn.XLOOKUP(Table3033[[#This Row],[Dyes]],Table27[Dyes],Table27[Rate],"NF")*Table3033[[#This Row],[Weight]]</f>
        <v>6463.7999999999993</v>
      </c>
    </row>
    <row r="57" spans="1:4" x14ac:dyDescent="0.3">
      <c r="A57" t="s">
        <v>504</v>
      </c>
      <c r="B57">
        <v>0.12</v>
      </c>
      <c r="C57">
        <f>_xlfn.XLOOKUP(Table3033[[#This Row],[Dyes]],Table27[Dyes],Table27[Rate],"NF")*Table3033[[#This Row],[Weight]]</f>
        <v>210</v>
      </c>
    </row>
    <row r="58" spans="1:4" x14ac:dyDescent="0.3">
      <c r="A58" t="s">
        <v>505</v>
      </c>
      <c r="B58">
        <v>2.0099999999999998</v>
      </c>
      <c r="C58">
        <f>_xlfn.XLOOKUP(Table3033[[#This Row],[Dyes]],Table27[Dyes],Table27[Rate],"NF")*Table3033[[#This Row],[Weight]]</f>
        <v>3014.9999999999995</v>
      </c>
    </row>
    <row r="59" spans="1:4" x14ac:dyDescent="0.3">
      <c r="A59" t="s">
        <v>506</v>
      </c>
      <c r="B59">
        <v>3.72</v>
      </c>
      <c r="C59">
        <f>_xlfn.XLOOKUP(Table3033[[#This Row],[Dyes]],Table27[Dyes],Table27[Rate],"NF")*Table3033[[#This Row],[Weight]]</f>
        <v>4836</v>
      </c>
    </row>
    <row r="60" spans="1:4" x14ac:dyDescent="0.3">
      <c r="A60" t="s">
        <v>507</v>
      </c>
      <c r="B60">
        <v>3.74</v>
      </c>
      <c r="C60">
        <f>_xlfn.XLOOKUP(Table3033[[#This Row],[Dyes]],Table27[Dyes],Table27[Rate],"NF")*Table3033[[#This Row],[Weight]]</f>
        <v>5423</v>
      </c>
    </row>
    <row r="61" spans="1:4" x14ac:dyDescent="0.3">
      <c r="A61" t="s">
        <v>508</v>
      </c>
      <c r="C61">
        <f>_xlfn.XLOOKUP(Table3033[[#This Row],[Dyes]],Table27[Dyes],Table27[Rate],"NF")*Table3033[[#This Row],[Weight]]</f>
        <v>0</v>
      </c>
    </row>
    <row r="62" spans="1:4" x14ac:dyDescent="0.3">
      <c r="A62" t="s">
        <v>161</v>
      </c>
      <c r="C62">
        <f>_xlfn.XLOOKUP(Table3033[[#This Row],[Dyes]],Table27[Dyes],Table27[Rate],"NF")*Table3033[[#This Row],[Weight]]</f>
        <v>0</v>
      </c>
    </row>
    <row r="63" spans="1:4" x14ac:dyDescent="0.3">
      <c r="A63" t="s">
        <v>114</v>
      </c>
      <c r="B63">
        <v>2.4900000000000002</v>
      </c>
      <c r="C63">
        <f>_xlfn.XLOOKUP(Table3033[[#This Row],[Dyes]],Table27[Dyes],Table27[Rate],"NF")*Table3033[[#This Row],[Weight]]</f>
        <v>3237.0000000000005</v>
      </c>
    </row>
    <row r="64" spans="1:4" x14ac:dyDescent="0.3">
      <c r="A64" t="s">
        <v>509</v>
      </c>
      <c r="B64">
        <v>7.0000000000000007E-2</v>
      </c>
      <c r="C64">
        <f>_xlfn.XLOOKUP(Table3033[[#This Row],[Dyes]],Table27[Dyes],Table27[Rate],"NF")*Table3033[[#This Row],[Weight]]</f>
        <v>101.50000000000001</v>
      </c>
    </row>
    <row r="65" spans="1:4" x14ac:dyDescent="0.3">
      <c r="A65" t="s">
        <v>510</v>
      </c>
      <c r="C65">
        <f>_xlfn.XLOOKUP(Table3033[[#This Row],[Dyes]],Table27[Dyes],Table27[Rate],"NF")*Table3033[[#This Row],[Weight]]</f>
        <v>0</v>
      </c>
    </row>
    <row r="66" spans="1:4" x14ac:dyDescent="0.3">
      <c r="A66" t="s">
        <v>511</v>
      </c>
      <c r="C66">
        <f>_xlfn.XLOOKUP(Table3033[[#This Row],[Dyes]],Table27[Dyes],Table27[Rate],"NF")*Table3033[[#This Row],[Weight]]</f>
        <v>0</v>
      </c>
    </row>
    <row r="67" spans="1:4" x14ac:dyDescent="0.3">
      <c r="A67" t="s">
        <v>513</v>
      </c>
      <c r="B67">
        <v>0.13</v>
      </c>
      <c r="C67">
        <f>_xlfn.XLOOKUP(Table3033[[#This Row],[Dyes]],Table27[Dyes],Table27[Rate],"NF")*Table3033[[#This Row],[Weight]]</f>
        <v>208</v>
      </c>
    </row>
    <row r="69" spans="1:4" ht="15" thickBot="1" x14ac:dyDescent="0.35">
      <c r="B69">
        <f>SUBTOTAL(109,Table3033[Weight])</f>
        <v>28.778000000000002</v>
      </c>
      <c r="C69">
        <f>SUBTOTAL(9,C54:C67)</f>
        <v>37723.449999999997</v>
      </c>
    </row>
    <row r="70" spans="1:4" ht="15" thickTop="1" x14ac:dyDescent="0.3">
      <c r="B70" t="s">
        <v>514</v>
      </c>
      <c r="C70" s="132">
        <f>_xlfn.XLOOKUP(D51,'pivot '!A:A,'pivot '!H:H,"NA")</f>
        <v>44161.485003657646</v>
      </c>
    </row>
    <row r="71" spans="1:4" x14ac:dyDescent="0.3">
      <c r="B71" t="s">
        <v>515</v>
      </c>
      <c r="C71" s="80">
        <f>Table3033[[#Totals],[Cost]]/C70</f>
        <v>0.85421606625944702</v>
      </c>
    </row>
    <row r="75" spans="1:4" x14ac:dyDescent="0.3">
      <c r="A75" s="80" t="s">
        <v>2</v>
      </c>
      <c r="B75" t="s">
        <v>189</v>
      </c>
      <c r="C75" t="s">
        <v>512</v>
      </c>
      <c r="D75">
        <v>2172</v>
      </c>
    </row>
    <row r="76" spans="1:4" x14ac:dyDescent="0.3">
      <c r="A76" t="s">
        <v>64</v>
      </c>
      <c r="B76" t="s">
        <v>90</v>
      </c>
      <c r="C76" t="s">
        <v>144</v>
      </c>
      <c r="D76" t="s">
        <v>66</v>
      </c>
    </row>
    <row r="77" spans="1:4" x14ac:dyDescent="0.3">
      <c r="A77" t="s">
        <v>507</v>
      </c>
      <c r="B77">
        <v>3.7879999999999998</v>
      </c>
      <c r="C77">
        <f>_xlfn.XLOOKUP(Table303334[[#This Row],[Dyes]],Table27[Dyes],Table27[Rate],"NF")*Table303334[[#This Row],[Weight]]</f>
        <v>5492.5999999999995</v>
      </c>
    </row>
    <row r="78" spans="1:4" x14ac:dyDescent="0.3">
      <c r="A78" t="s">
        <v>158</v>
      </c>
      <c r="B78">
        <v>22.812000000000001</v>
      </c>
      <c r="C78">
        <f>_xlfn.XLOOKUP(Table303334[[#This Row],[Dyes]],Table27[Dyes],Table27[Rate],"NF")*Table303334[[#This Row],[Weight]]</f>
        <v>25663.5</v>
      </c>
    </row>
    <row r="79" spans="1:4" x14ac:dyDescent="0.3">
      <c r="A79" t="s">
        <v>502</v>
      </c>
      <c r="B79">
        <v>11.64</v>
      </c>
      <c r="C79">
        <f>_xlfn.XLOOKUP(Table303334[[#This Row],[Dyes]],Table27[Dyes],Table27[Rate],"NF")*Table303334[[#This Row],[Weight]]</f>
        <v>14899.2</v>
      </c>
    </row>
    <row r="80" spans="1:4" x14ac:dyDescent="0.3">
      <c r="A80" t="s">
        <v>503</v>
      </c>
      <c r="B80">
        <v>6.48</v>
      </c>
      <c r="C80">
        <f>_xlfn.XLOOKUP(Table303334[[#This Row],[Dyes]],Table27[Dyes],Table27[Rate],"NF")*Table303334[[#This Row],[Weight]]</f>
        <v>9234</v>
      </c>
    </row>
    <row r="81" spans="1:3" x14ac:dyDescent="0.3">
      <c r="A81" t="s">
        <v>504</v>
      </c>
      <c r="B81">
        <v>2.46</v>
      </c>
      <c r="C81">
        <f>_xlfn.XLOOKUP(Table303334[[#This Row],[Dyes]],Table27[Dyes],Table27[Rate],"NF")*Table303334[[#This Row],[Weight]]</f>
        <v>4305</v>
      </c>
    </row>
    <row r="82" spans="1:3" x14ac:dyDescent="0.3">
      <c r="A82" t="s">
        <v>505</v>
      </c>
      <c r="B82">
        <v>1.43</v>
      </c>
      <c r="C82">
        <f>_xlfn.XLOOKUP(Table303334[[#This Row],[Dyes]],Table27[Dyes],Table27[Rate],"NF")*Table303334[[#This Row],[Weight]]</f>
        <v>2145</v>
      </c>
    </row>
    <row r="83" spans="1:3" x14ac:dyDescent="0.3">
      <c r="A83" t="s">
        <v>506</v>
      </c>
      <c r="B83">
        <v>6.274</v>
      </c>
      <c r="C83">
        <f>_xlfn.XLOOKUP(Table303334[[#This Row],[Dyes]],Table27[Dyes],Table27[Rate],"NF")*Table303334[[#This Row],[Weight]]</f>
        <v>8156.2</v>
      </c>
    </row>
    <row r="84" spans="1:3" x14ac:dyDescent="0.3">
      <c r="A84" t="s">
        <v>508</v>
      </c>
      <c r="B84">
        <v>1.9</v>
      </c>
      <c r="C84">
        <f>_xlfn.XLOOKUP(Table303334[[#This Row],[Dyes]],Table27[Dyes],Table27[Rate],"NF")*Table303334[[#This Row],[Weight]]</f>
        <v>2755</v>
      </c>
    </row>
    <row r="85" spans="1:3" x14ac:dyDescent="0.3">
      <c r="A85" t="s">
        <v>161</v>
      </c>
      <c r="B85">
        <v>1.3</v>
      </c>
      <c r="C85">
        <f>_xlfn.XLOOKUP(Table303334[[#This Row],[Dyes]],Table27[Dyes],Table27[Rate],"NF")*Table303334[[#This Row],[Weight]]</f>
        <v>2340</v>
      </c>
    </row>
    <row r="86" spans="1:3" x14ac:dyDescent="0.3">
      <c r="A86" t="s">
        <v>114</v>
      </c>
      <c r="B86">
        <v>2.5</v>
      </c>
      <c r="C86">
        <f>_xlfn.XLOOKUP(Table303334[[#This Row],[Dyes]],Table27[Dyes],Table27[Rate],"NF")*Table303334[[#This Row],[Weight]]</f>
        <v>3250</v>
      </c>
    </row>
    <row r="87" spans="1:3" x14ac:dyDescent="0.3">
      <c r="A87" t="s">
        <v>509</v>
      </c>
      <c r="B87">
        <v>0.308</v>
      </c>
      <c r="C87">
        <f>_xlfn.XLOOKUP(Table303334[[#This Row],[Dyes]],Table27[Dyes],Table27[Rate],"NF")*Table303334[[#This Row],[Weight]]</f>
        <v>446.59999999999997</v>
      </c>
    </row>
    <row r="88" spans="1:3" x14ac:dyDescent="0.3">
      <c r="A88" t="s">
        <v>510</v>
      </c>
      <c r="C88">
        <f>_xlfn.XLOOKUP(Table303334[[#This Row],[Dyes]],Table27[Dyes],Table27[Rate],"NF")*Table303334[[#This Row],[Weight]]</f>
        <v>0</v>
      </c>
    </row>
    <row r="89" spans="1:3" x14ac:dyDescent="0.3">
      <c r="A89" t="s">
        <v>511</v>
      </c>
      <c r="B89">
        <v>0.21</v>
      </c>
      <c r="C89">
        <f>_xlfn.XLOOKUP(Table303334[[#This Row],[Dyes]],Table27[Dyes],Table27[Rate],"NF")*Table303334[[#This Row],[Weight]]</f>
        <v>346.5</v>
      </c>
    </row>
    <row r="90" spans="1:3" x14ac:dyDescent="0.3">
      <c r="A90" t="s">
        <v>513</v>
      </c>
      <c r="B90">
        <v>0.01</v>
      </c>
      <c r="C90">
        <f>_xlfn.XLOOKUP(Table303334[[#This Row],[Dyes]],Table27[Dyes],Table27[Rate],"NF")*Table303334[[#This Row],[Weight]]</f>
        <v>16</v>
      </c>
    </row>
    <row r="92" spans="1:3" ht="15" thickBot="1" x14ac:dyDescent="0.35">
      <c r="B92">
        <f>SUBTOTAL(109,Table303334[Weight])</f>
        <v>61.111999999999995</v>
      </c>
      <c r="C92">
        <f>SUBTOTAL(9,C78:C90)</f>
        <v>73557</v>
      </c>
    </row>
    <row r="93" spans="1:3" ht="15" thickTop="1" x14ac:dyDescent="0.3">
      <c r="B93" t="s">
        <v>514</v>
      </c>
      <c r="C93" s="132">
        <f>_xlfn.XLOOKUP(D75,'pivot '!A:A,'pivot '!H:H,"NA")</f>
        <v>76513.350402340904</v>
      </c>
    </row>
    <row r="94" spans="1:3" x14ac:dyDescent="0.3">
      <c r="B94" t="s">
        <v>515</v>
      </c>
      <c r="C94" s="80">
        <f>Table303334[[#Totals],[Cost]]/C93</f>
        <v>0.9613616396773228</v>
      </c>
    </row>
    <row r="97" spans="1:4" x14ac:dyDescent="0.3">
      <c r="A97" s="80" t="s">
        <v>2</v>
      </c>
      <c r="B97" t="s">
        <v>258</v>
      </c>
      <c r="C97" t="s">
        <v>512</v>
      </c>
      <c r="D97" t="s">
        <v>531</v>
      </c>
    </row>
    <row r="98" spans="1:4" x14ac:dyDescent="0.3">
      <c r="A98" t="s">
        <v>64</v>
      </c>
      <c r="B98" t="s">
        <v>90</v>
      </c>
      <c r="C98" t="s">
        <v>144</v>
      </c>
      <c r="D98" t="s">
        <v>66</v>
      </c>
    </row>
    <row r="99" spans="1:4" x14ac:dyDescent="0.3">
      <c r="A99" t="s">
        <v>507</v>
      </c>
      <c r="B99">
        <v>4.75</v>
      </c>
      <c r="C99">
        <f>_xlfn.XLOOKUP(Table30333429[[#This Row],[Dyes]],Table27[Dyes],Table27[Rate],"NF")*Table30333429[[#This Row],[Weight]]</f>
        <v>6887.5</v>
      </c>
    </row>
    <row r="100" spans="1:4" x14ac:dyDescent="0.3">
      <c r="A100" t="s">
        <v>114</v>
      </c>
      <c r="B100">
        <v>4.8499999999999996</v>
      </c>
      <c r="C100">
        <f>_xlfn.XLOOKUP(Table30333429[[#This Row],[Dyes]],Table27[Dyes],Table27[Rate],"NF")*Table30333429[[#This Row],[Weight]]</f>
        <v>6304.9999999999991</v>
      </c>
    </row>
    <row r="101" spans="1:4" x14ac:dyDescent="0.3">
      <c r="A101" t="s">
        <v>158</v>
      </c>
      <c r="B101">
        <v>11.9</v>
      </c>
      <c r="C101">
        <f>_xlfn.XLOOKUP(Table30333429[[#This Row],[Dyes]],Table27[Dyes],Table27[Rate],"NF")*Table30333429[[#This Row],[Weight]]</f>
        <v>13387.5</v>
      </c>
    </row>
    <row r="102" spans="1:4" x14ac:dyDescent="0.3">
      <c r="A102" t="s">
        <v>502</v>
      </c>
      <c r="B102">
        <v>6</v>
      </c>
      <c r="C102">
        <f>_xlfn.XLOOKUP(Table30333429[[#This Row],[Dyes]],Table27[Dyes],Table27[Rate],"NF")*Table30333429[[#This Row],[Weight]]</f>
        <v>7680</v>
      </c>
    </row>
    <row r="103" spans="1:4" x14ac:dyDescent="0.3">
      <c r="A103" t="s">
        <v>503</v>
      </c>
      <c r="B103">
        <v>5.8760000000000003</v>
      </c>
      <c r="C103">
        <f>_xlfn.XLOOKUP(Table30333429[[#This Row],[Dyes]],Table27[Dyes],Table27[Rate],"NF")*Table30333429[[#This Row],[Weight]]</f>
        <v>8373.3000000000011</v>
      </c>
    </row>
    <row r="104" spans="1:4" x14ac:dyDescent="0.3">
      <c r="A104" t="s">
        <v>504</v>
      </c>
      <c r="B104">
        <v>4.5</v>
      </c>
      <c r="C104">
        <f>_xlfn.XLOOKUP(Table30333429[[#This Row],[Dyes]],Table27[Dyes],Table27[Rate],"NF")*Table30333429[[#This Row],[Weight]]</f>
        <v>7875</v>
      </c>
    </row>
    <row r="105" spans="1:4" x14ac:dyDescent="0.3">
      <c r="A105" t="s">
        <v>505</v>
      </c>
      <c r="B105">
        <v>1.234</v>
      </c>
      <c r="C105">
        <f>_xlfn.XLOOKUP(Table30333429[[#This Row],[Dyes]],Table27[Dyes],Table27[Rate],"NF")*Table30333429[[#This Row],[Weight]]</f>
        <v>1851</v>
      </c>
    </row>
    <row r="106" spans="1:4" x14ac:dyDescent="0.3">
      <c r="A106" t="s">
        <v>506</v>
      </c>
      <c r="B106">
        <v>4</v>
      </c>
      <c r="C106">
        <f>_xlfn.XLOOKUP(Table30333429[[#This Row],[Dyes]],Table27[Dyes],Table27[Rate],"NF")*Table30333429[[#This Row],[Weight]]</f>
        <v>5200</v>
      </c>
    </row>
    <row r="107" spans="1:4" x14ac:dyDescent="0.3">
      <c r="A107" t="s">
        <v>508</v>
      </c>
      <c r="B107">
        <v>0.04</v>
      </c>
      <c r="C107">
        <f>_xlfn.XLOOKUP(Table30333429[[#This Row],[Dyes]],Table27[Dyes],Table27[Rate],"NF")*Table30333429[[#This Row],[Weight]]</f>
        <v>58</v>
      </c>
    </row>
    <row r="108" spans="1:4" x14ac:dyDescent="0.3">
      <c r="A108" t="s">
        <v>161</v>
      </c>
      <c r="C108">
        <f>_xlfn.XLOOKUP(Table30333429[[#This Row],[Dyes]],Table27[Dyes],Table27[Rate],"NF")*Table30333429[[#This Row],[Weight]]</f>
        <v>0</v>
      </c>
    </row>
    <row r="109" spans="1:4" x14ac:dyDescent="0.3">
      <c r="A109" t="s">
        <v>509</v>
      </c>
      <c r="B109">
        <v>0.6</v>
      </c>
      <c r="C109">
        <f>_xlfn.XLOOKUP(Table30333429[[#This Row],[Dyes]],Table27[Dyes],Table27[Rate],"NF")*Table30333429[[#This Row],[Weight]]</f>
        <v>870</v>
      </c>
    </row>
    <row r="110" spans="1:4" x14ac:dyDescent="0.3">
      <c r="A110" t="s">
        <v>510</v>
      </c>
      <c r="C110">
        <f>_xlfn.XLOOKUP(Table30333429[[#This Row],[Dyes]],Table27[Dyes],Table27[Rate],"NF")*Table30333429[[#This Row],[Weight]]</f>
        <v>0</v>
      </c>
    </row>
    <row r="111" spans="1:4" x14ac:dyDescent="0.3">
      <c r="A111" t="s">
        <v>511</v>
      </c>
      <c r="B111">
        <v>0.53</v>
      </c>
      <c r="C111">
        <f>_xlfn.XLOOKUP(Table30333429[[#This Row],[Dyes]],Table27[Dyes],Table27[Rate],"NF")*Table30333429[[#This Row],[Weight]]</f>
        <v>874.5</v>
      </c>
    </row>
    <row r="112" spans="1:4" x14ac:dyDescent="0.3">
      <c r="A112" t="s">
        <v>513</v>
      </c>
      <c r="C112">
        <f>_xlfn.XLOOKUP(Table30333429[[#This Row],[Dyes]],Table27[Dyes],Table27[Rate],"NF")*Table30333429[[#This Row],[Weight]]</f>
        <v>0</v>
      </c>
    </row>
    <row r="114" spans="2:3" ht="15" thickBot="1" x14ac:dyDescent="0.35">
      <c r="B114">
        <f>SUBTOTAL(109,Table30333429[Weight])</f>
        <v>44.28</v>
      </c>
      <c r="C114">
        <f>SUBTOTAL(9,C101:C112)</f>
        <v>46169.3</v>
      </c>
    </row>
    <row r="115" spans="2:3" ht="15" thickTop="1" x14ac:dyDescent="0.3">
      <c r="B115" t="s">
        <v>514</v>
      </c>
      <c r="C115" s="132">
        <v>39274</v>
      </c>
    </row>
    <row r="116" spans="2:3" x14ac:dyDescent="0.3">
      <c r="B116" t="s">
        <v>515</v>
      </c>
      <c r="C116" s="80">
        <f>Table30333429[[#Totals],[Cost]]/C115</f>
        <v>1.1755690787798545</v>
      </c>
    </row>
  </sheetData>
  <pageMargins left="0.7" right="0.7" top="0.75" bottom="0.75" header="0.3" footer="0.3"/>
  <tableParts count="6">
    <tablePart r:id="rId1"/>
    <tablePart r:id="rId2"/>
    <tablePart r:id="rId3"/>
    <tablePart r:id="rId4"/>
    <tablePart r:id="rId5"/>
    <tablePart r:id="rId6"/>
  </tableParts>
  <extLst>
    <ext xmlns:x14="http://schemas.microsoft.com/office/spreadsheetml/2009/9/main" uri="{CCE6A557-97BC-4b89-ADB6-D9C93CAAB3DF}">
      <x14:dataValidations xmlns:xm="http://schemas.microsoft.com/office/excel/2006/main" count="1">
        <x14:dataValidation type="list" allowBlank="1" showInputMessage="1" showErrorMessage="1" xr:uid="{840F8CFF-587E-426A-9D89-A55391CC1A87}">
          <x14:formula1>
            <xm:f>ledger!$B$93:$B$252</xm:f>
          </x14:formula1>
          <xm:sqref>B3</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91"/>
  <sheetViews>
    <sheetView topLeftCell="A137" zoomScale="90" workbookViewId="0">
      <selection activeCell="I5" sqref="I5"/>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3765684</v>
      </c>
      <c r="C2" s="32">
        <f>GETPIVOTDATA("Sum of Tiyaar/gaz",$A$3)</f>
        <v>3670178</v>
      </c>
      <c r="D2" s="31">
        <f>((B2*48)+((C2/1.0936)*10))/C2</f>
        <v>58.393175406716303</v>
      </c>
      <c r="J2">
        <v>48</v>
      </c>
    </row>
    <row r="3" spans="1:12" x14ac:dyDescent="0.3">
      <c r="A3" s="34" t="s">
        <v>139</v>
      </c>
      <c r="B3" s="35" t="s">
        <v>140</v>
      </c>
      <c r="C3" s="36" t="s">
        <v>88</v>
      </c>
      <c r="D3" s="32" t="s">
        <v>141</v>
      </c>
      <c r="E3" s="11" t="s">
        <v>142</v>
      </c>
      <c r="F3" s="11" t="str">
        <f t="shared" ref="F3:F38" si="0">C3</f>
        <v>Sum of Tiyaar/gaz</v>
      </c>
      <c r="G3" s="77" t="s">
        <v>82</v>
      </c>
      <c r="H3" s="11" t="s">
        <v>143</v>
      </c>
      <c r="I3" s="29" t="s">
        <v>144</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2109</v>
      </c>
      <c r="B5" s="14"/>
      <c r="C5" s="14">
        <v>2870</v>
      </c>
      <c r="D5" s="28">
        <f t="shared" ref="D5:D38" si="1">I5</f>
        <v>9.144111192392101</v>
      </c>
      <c r="E5" s="11">
        <f t="shared" ref="E5:E38" si="2">B5 * 1.0936</f>
        <v>0</v>
      </c>
      <c r="F5" s="11">
        <f t="shared" si="0"/>
        <v>2870</v>
      </c>
      <c r="G5" s="78" t="e">
        <f>100- (F5/E5 *100)</f>
        <v>#DIV/0!</v>
      </c>
      <c r="H5" s="28">
        <f t="shared" ref="H5:H38" si="3">F5/1.0936</f>
        <v>2624.3599122165328</v>
      </c>
      <c r="I5" s="28">
        <f>((B5*48)+(H5*10))/C5</f>
        <v>9.144111192392101</v>
      </c>
      <c r="J5" s="28"/>
      <c r="K5" s="28"/>
      <c r="L5" s="28"/>
    </row>
    <row r="6" spans="1:12" x14ac:dyDescent="0.3">
      <c r="A6" s="16">
        <v>2128</v>
      </c>
      <c r="B6" s="14">
        <v>50106</v>
      </c>
      <c r="C6" s="14">
        <v>600</v>
      </c>
      <c r="D6" s="28">
        <f t="shared" si="1"/>
        <v>4017.6241111923919</v>
      </c>
      <c r="E6" s="11">
        <f t="shared" si="2"/>
        <v>54795.921599999994</v>
      </c>
      <c r="F6" s="11">
        <f t="shared" si="0"/>
        <v>600</v>
      </c>
      <c r="G6" s="78">
        <f t="shared" ref="G6:G18" si="4">100- (F6/E6 *100)</f>
        <v>98.905027997558122</v>
      </c>
      <c r="H6" s="28">
        <f t="shared" si="3"/>
        <v>548.64667154352605</v>
      </c>
      <c r="I6" s="28">
        <f>((B6*48)+(H6*10))/C6</f>
        <v>4017.6241111923919</v>
      </c>
      <c r="J6" s="28"/>
      <c r="K6" s="28"/>
      <c r="L6" s="28"/>
    </row>
    <row r="7" spans="1:12" x14ac:dyDescent="0.3">
      <c r="A7" s="16" t="s">
        <v>354</v>
      </c>
      <c r="B7" s="14">
        <v>78365</v>
      </c>
      <c r="C7" s="14">
        <v>84193</v>
      </c>
      <c r="D7" s="28">
        <f t="shared" si="1"/>
        <v>53.821459665543074</v>
      </c>
      <c r="E7" s="11">
        <f t="shared" si="2"/>
        <v>85699.963999999993</v>
      </c>
      <c r="F7" s="11">
        <f t="shared" si="0"/>
        <v>84193</v>
      </c>
      <c r="G7" s="78">
        <f t="shared" si="4"/>
        <v>1.7584184749482432</v>
      </c>
      <c r="H7" s="28">
        <f t="shared" si="3"/>
        <v>76987.015362106817</v>
      </c>
      <c r="I7" s="28">
        <f>((B7*48)+(H7*10))/C7</f>
        <v>53.821459665543074</v>
      </c>
      <c r="J7" s="28"/>
      <c r="K7" s="28"/>
      <c r="L7" s="28"/>
    </row>
    <row r="8" spans="1:12" x14ac:dyDescent="0.3">
      <c r="A8" s="16">
        <v>2151</v>
      </c>
      <c r="B8" s="14">
        <v>61027</v>
      </c>
      <c r="C8" s="14">
        <v>63341</v>
      </c>
      <c r="D8" s="28">
        <f t="shared" si="1"/>
        <v>55.390555043925858</v>
      </c>
      <c r="E8" s="11">
        <f t="shared" si="2"/>
        <v>66739.127199999988</v>
      </c>
      <c r="F8" s="11">
        <f t="shared" si="0"/>
        <v>63341</v>
      </c>
      <c r="G8" s="78">
        <f t="shared" si="4"/>
        <v>5.0916566376672563</v>
      </c>
      <c r="H8" s="28">
        <f t="shared" si="3"/>
        <v>57919.714703730802</v>
      </c>
      <c r="I8" s="28">
        <f t="shared" ref="I8:I38" si="5">((B8*48)+(H8*10))/C8</f>
        <v>55.390555043925858</v>
      </c>
      <c r="J8" s="28"/>
      <c r="K8" s="28"/>
      <c r="L8" s="28"/>
    </row>
    <row r="9" spans="1:12" x14ac:dyDescent="0.3">
      <c r="A9" s="16">
        <v>2153</v>
      </c>
      <c r="B9" s="14">
        <v>20212</v>
      </c>
      <c r="C9" s="14">
        <v>21525</v>
      </c>
      <c r="D9" s="28">
        <f t="shared" si="1"/>
        <v>54.216166941521024</v>
      </c>
      <c r="E9" s="11">
        <f t="shared" si="2"/>
        <v>22103.843199999999</v>
      </c>
      <c r="F9" s="11">
        <f t="shared" si="0"/>
        <v>21525</v>
      </c>
      <c r="G9" s="78">
        <f t="shared" si="4"/>
        <v>2.6187445991292577</v>
      </c>
      <c r="H9" s="28">
        <f t="shared" si="3"/>
        <v>19682.699341623997</v>
      </c>
      <c r="I9" s="28">
        <f t="shared" si="5"/>
        <v>54.216166941521024</v>
      </c>
      <c r="J9" s="28"/>
      <c r="K9" s="28"/>
      <c r="L9" s="28"/>
    </row>
    <row r="10" spans="1:12" x14ac:dyDescent="0.3">
      <c r="A10" s="16">
        <v>2148</v>
      </c>
      <c r="B10" s="14">
        <v>28859</v>
      </c>
      <c r="C10" s="14">
        <v>30894</v>
      </c>
      <c r="D10" s="28">
        <f t="shared" si="1"/>
        <v>53.982332206181191</v>
      </c>
      <c r="E10" s="11">
        <f t="shared" si="2"/>
        <v>31560.202399999998</v>
      </c>
      <c r="F10" s="11">
        <f t="shared" si="0"/>
        <v>30894</v>
      </c>
      <c r="G10" s="78">
        <f t="shared" si="4"/>
        <v>2.1108939402745932</v>
      </c>
      <c r="H10" s="28">
        <f t="shared" si="3"/>
        <v>28249.817117776154</v>
      </c>
      <c r="I10" s="28">
        <f t="shared" si="5"/>
        <v>53.982332206181191</v>
      </c>
      <c r="J10" s="28"/>
      <c r="K10" s="28"/>
      <c r="L10" s="28"/>
    </row>
    <row r="11" spans="1:12" x14ac:dyDescent="0.3">
      <c r="A11" s="16">
        <v>2136</v>
      </c>
      <c r="B11" s="14">
        <v>24072</v>
      </c>
      <c r="C11" s="14">
        <v>25757</v>
      </c>
      <c r="D11" s="28"/>
      <c r="E11" s="11">
        <f t="shared" si="2"/>
        <v>26325.139199999998</v>
      </c>
      <c r="F11" s="11">
        <f t="shared" si="0"/>
        <v>25757</v>
      </c>
      <c r="G11" s="78">
        <f t="shared" si="4"/>
        <v>2.1581621874196912</v>
      </c>
      <c r="H11" s="28">
        <f t="shared" si="3"/>
        <v>23552.487198244333</v>
      </c>
      <c r="I11" s="28">
        <f t="shared" si="5"/>
        <v>54.003993942712405</v>
      </c>
      <c r="J11" s="28"/>
      <c r="K11" s="28"/>
      <c r="L11" s="28"/>
    </row>
    <row r="12" spans="1:12" x14ac:dyDescent="0.3">
      <c r="A12" s="16">
        <v>2134</v>
      </c>
      <c r="B12" s="14">
        <v>45364</v>
      </c>
      <c r="C12" s="14">
        <v>48061</v>
      </c>
      <c r="D12" s="28">
        <f t="shared" si="1"/>
        <v>54.450534279718624</v>
      </c>
      <c r="E12" s="11">
        <f t="shared" si="2"/>
        <v>49610.070399999997</v>
      </c>
      <c r="F12" s="11">
        <f t="shared" si="0"/>
        <v>48061</v>
      </c>
      <c r="G12" s="78">
        <f t="shared" si="4"/>
        <v>3.1224918398825707</v>
      </c>
      <c r="H12" s="28">
        <f t="shared" si="3"/>
        <v>43947.512801755671</v>
      </c>
      <c r="I12" s="28">
        <f t="shared" si="5"/>
        <v>54.450534279718624</v>
      </c>
    </row>
    <row r="13" spans="1:12" x14ac:dyDescent="0.3">
      <c r="A13" s="16">
        <v>2117</v>
      </c>
      <c r="B13" s="14">
        <v>16284</v>
      </c>
      <c r="C13" s="14">
        <v>17178</v>
      </c>
      <c r="D13" s="28">
        <f t="shared" si="1"/>
        <v>54.646032254215356</v>
      </c>
      <c r="E13" s="11">
        <f t="shared" si="2"/>
        <v>17808.182399999998</v>
      </c>
      <c r="F13" s="11">
        <f t="shared" si="0"/>
        <v>17178</v>
      </c>
      <c r="G13" s="78">
        <f t="shared" si="4"/>
        <v>3.5387238621275401</v>
      </c>
      <c r="H13" s="28">
        <f t="shared" si="3"/>
        <v>15707.754206291151</v>
      </c>
      <c r="I13" s="28">
        <f t="shared" si="5"/>
        <v>54.646032254215356</v>
      </c>
    </row>
    <row r="14" spans="1:12" x14ac:dyDescent="0.3">
      <c r="A14" s="16">
        <v>2131</v>
      </c>
      <c r="B14" s="14">
        <v>25617</v>
      </c>
      <c r="C14" s="14">
        <v>27435</v>
      </c>
      <c r="D14" s="28">
        <f t="shared" si="1"/>
        <v>53.963356681730538</v>
      </c>
      <c r="E14" s="11">
        <f t="shared" si="2"/>
        <v>28014.751199999999</v>
      </c>
      <c r="F14" s="11">
        <f t="shared" si="0"/>
        <v>27435</v>
      </c>
      <c r="G14" s="78">
        <f t="shared" si="4"/>
        <v>2.0694497547420525</v>
      </c>
      <c r="H14" s="28">
        <f t="shared" si="3"/>
        <v>25086.869056327727</v>
      </c>
      <c r="I14" s="28">
        <f t="shared" si="5"/>
        <v>53.963356681730538</v>
      </c>
    </row>
    <row r="15" spans="1:12" x14ac:dyDescent="0.3">
      <c r="A15" s="16">
        <v>2146</v>
      </c>
      <c r="B15" s="14">
        <v>20038</v>
      </c>
      <c r="C15" s="14">
        <v>21222</v>
      </c>
      <c r="D15" s="28">
        <f t="shared" si="1"/>
        <v>54.466135506782834</v>
      </c>
      <c r="E15" s="11">
        <f>B15 * 1.0936</f>
        <v>21913.556799999998</v>
      </c>
      <c r="F15" s="11">
        <f t="shared" si="0"/>
        <v>21222</v>
      </c>
      <c r="G15" s="78">
        <f t="shared" si="4"/>
        <v>3.1558400414486698</v>
      </c>
      <c r="H15" s="28">
        <f t="shared" si="3"/>
        <v>19405.632772494515</v>
      </c>
      <c r="I15" s="28">
        <f>((B15*48)+(H15*10))/C15</f>
        <v>54.466135506782834</v>
      </c>
    </row>
    <row r="16" spans="1:12" x14ac:dyDescent="0.3">
      <c r="A16" s="16">
        <v>2152</v>
      </c>
      <c r="B16" s="14">
        <v>22707</v>
      </c>
      <c r="C16" s="14">
        <v>23910</v>
      </c>
      <c r="D16" s="28">
        <f t="shared" si="1"/>
        <v>54.729054730660607</v>
      </c>
      <c r="E16" s="11">
        <f t="shared" si="2"/>
        <v>24832.375199999999</v>
      </c>
      <c r="F16" s="11">
        <f t="shared" si="0"/>
        <v>23910</v>
      </c>
      <c r="G16" s="78">
        <f t="shared" si="4"/>
        <v>3.714405861586684</v>
      </c>
      <c r="H16" s="28">
        <f t="shared" si="3"/>
        <v>21863.569861009513</v>
      </c>
      <c r="I16" s="28">
        <f>((B16*48)+(H16*10))/C16</f>
        <v>54.729054730660607</v>
      </c>
    </row>
    <row r="17" spans="1:9" x14ac:dyDescent="0.3">
      <c r="A17" s="16">
        <v>2162</v>
      </c>
      <c r="B17" s="14">
        <v>3017</v>
      </c>
      <c r="C17" s="14">
        <v>3252</v>
      </c>
      <c r="D17" s="28">
        <f t="shared" si="1"/>
        <v>53.675476506045243</v>
      </c>
      <c r="E17" s="11">
        <f t="shared" si="2"/>
        <v>3299.3911999999996</v>
      </c>
      <c r="F17" s="11">
        <f t="shared" si="0"/>
        <v>3252</v>
      </c>
      <c r="G17" s="78">
        <f t="shared" si="4"/>
        <v>1.4363619567149186</v>
      </c>
      <c r="H17" s="28">
        <f t="shared" si="3"/>
        <v>2973.6649597659111</v>
      </c>
      <c r="I17" s="28">
        <f>((B17*48)+(H17*10))/C17</f>
        <v>53.675476506045243</v>
      </c>
    </row>
    <row r="18" spans="1:9" x14ac:dyDescent="0.3">
      <c r="A18" s="16">
        <v>2135</v>
      </c>
      <c r="B18" s="14">
        <v>14433</v>
      </c>
      <c r="C18" s="14">
        <v>15267</v>
      </c>
      <c r="D18" s="28">
        <f t="shared" si="1"/>
        <v>54.521985037941327</v>
      </c>
      <c r="E18" s="11">
        <f t="shared" si="2"/>
        <v>15783.928799999998</v>
      </c>
      <c r="F18" s="11">
        <f t="shared" si="0"/>
        <v>15267</v>
      </c>
      <c r="G18" s="78">
        <f t="shared" si="4"/>
        <v>3.2750325128177167</v>
      </c>
      <c r="H18" s="28">
        <f t="shared" si="3"/>
        <v>13960.314557425019</v>
      </c>
      <c r="I18" s="28">
        <f>((B18*48)+(H18*10))/C18</f>
        <v>54.521985037941327</v>
      </c>
    </row>
    <row r="19" spans="1:9" x14ac:dyDescent="0.3">
      <c r="A19" s="16">
        <v>2154</v>
      </c>
      <c r="B19" s="14">
        <v>10364</v>
      </c>
      <c r="C19" s="14">
        <v>11077</v>
      </c>
      <c r="D19" s="28">
        <f t="shared" si="1"/>
        <v>54.054465981594952</v>
      </c>
      <c r="E19" s="11">
        <f t="shared" si="2"/>
        <v>11334.070399999999</v>
      </c>
      <c r="F19" s="11">
        <f t="shared" si="0"/>
        <v>11077</v>
      </c>
      <c r="G19" s="78">
        <f t="shared" ref="G19:G38" si="6">100- (F19/E19 *100)</f>
        <v>2.2681207273955124</v>
      </c>
      <c r="H19" s="28">
        <f t="shared" si="3"/>
        <v>10128.93196781273</v>
      </c>
      <c r="I19" s="28">
        <f t="shared" si="5"/>
        <v>54.054465981594952</v>
      </c>
    </row>
    <row r="20" spans="1:9" x14ac:dyDescent="0.3">
      <c r="A20" s="16">
        <v>2158</v>
      </c>
      <c r="B20" s="14">
        <v>29532</v>
      </c>
      <c r="C20" s="14">
        <v>31473</v>
      </c>
      <c r="D20" s="28">
        <f t="shared" si="1"/>
        <v>54.183859548125582</v>
      </c>
      <c r="E20" s="11">
        <f>B20 * 1.0936</f>
        <v>32296.195199999998</v>
      </c>
      <c r="F20" s="11">
        <f t="shared" si="0"/>
        <v>31473</v>
      </c>
      <c r="G20" s="78">
        <f t="shared" si="6"/>
        <v>2.5488921989175992</v>
      </c>
      <c r="H20" s="28">
        <f t="shared" si="3"/>
        <v>28779.261155815657</v>
      </c>
      <c r="I20" s="28">
        <f t="shared" si="5"/>
        <v>54.183859548125582</v>
      </c>
    </row>
    <row r="21" spans="1:9" x14ac:dyDescent="0.3">
      <c r="A21" s="16">
        <v>2155</v>
      </c>
      <c r="B21" s="14">
        <v>44910</v>
      </c>
      <c r="C21" s="14">
        <v>46219</v>
      </c>
      <c r="D21" s="28">
        <f t="shared" si="1"/>
        <v>55.784670269827792</v>
      </c>
      <c r="E21" s="11">
        <f t="shared" si="2"/>
        <v>49113.575999999994</v>
      </c>
      <c r="F21" s="11">
        <f t="shared" si="0"/>
        <v>46219</v>
      </c>
      <c r="G21" s="78">
        <f t="shared" si="6"/>
        <v>5.8936372297549582</v>
      </c>
      <c r="H21" s="28">
        <f t="shared" si="3"/>
        <v>42263.167520117051</v>
      </c>
      <c r="I21" s="28">
        <f t="shared" si="5"/>
        <v>55.784670269827792</v>
      </c>
    </row>
    <row r="22" spans="1:9" x14ac:dyDescent="0.3">
      <c r="A22" s="16">
        <v>2166</v>
      </c>
      <c r="B22" s="14">
        <v>16758</v>
      </c>
      <c r="C22" s="14">
        <v>16705</v>
      </c>
      <c r="D22" s="28">
        <f t="shared" si="1"/>
        <v>57.296400926004793</v>
      </c>
      <c r="E22" s="11">
        <f t="shared" si="2"/>
        <v>18326.548799999997</v>
      </c>
      <c r="F22" s="11">
        <f t="shared" si="0"/>
        <v>16705</v>
      </c>
      <c r="G22" s="78">
        <f t="shared" si="6"/>
        <v>8.8480860073337766</v>
      </c>
      <c r="H22" s="28">
        <f t="shared" si="3"/>
        <v>15275.237746891004</v>
      </c>
      <c r="I22" s="28">
        <f t="shared" si="5"/>
        <v>57.296400926004793</v>
      </c>
    </row>
    <row r="23" spans="1:9" x14ac:dyDescent="0.3">
      <c r="A23" s="16">
        <v>2165</v>
      </c>
      <c r="B23" s="14">
        <v>5601</v>
      </c>
      <c r="C23" s="14">
        <v>5649</v>
      </c>
      <c r="D23" s="28">
        <f t="shared" si="1"/>
        <v>56.73625139419773</v>
      </c>
      <c r="E23" s="11">
        <f t="shared" si="2"/>
        <v>6125.2535999999991</v>
      </c>
      <c r="F23" s="11">
        <f t="shared" si="0"/>
        <v>5649</v>
      </c>
      <c r="G23" s="78">
        <f t="shared" si="6"/>
        <v>7.7752470526281456</v>
      </c>
      <c r="H23" s="28">
        <f t="shared" si="3"/>
        <v>5165.5084125822978</v>
      </c>
      <c r="I23" s="28">
        <f t="shared" si="5"/>
        <v>56.73625139419773</v>
      </c>
    </row>
    <row r="24" spans="1:9" x14ac:dyDescent="0.3">
      <c r="A24" s="16" t="s">
        <v>442</v>
      </c>
      <c r="B24" s="14">
        <v>23377</v>
      </c>
      <c r="C24" s="14">
        <v>12483</v>
      </c>
      <c r="D24" s="28">
        <f t="shared" si="1"/>
        <v>99.034041497607191</v>
      </c>
      <c r="E24" s="11">
        <f t="shared" si="2"/>
        <v>25565.087199999998</v>
      </c>
      <c r="F24" s="11">
        <f t="shared" si="0"/>
        <v>12483</v>
      </c>
      <c r="G24" s="78">
        <f t="shared" si="6"/>
        <v>51.171690116511705</v>
      </c>
      <c r="H24" s="28">
        <f t="shared" si="3"/>
        <v>11414.59400146306</v>
      </c>
      <c r="I24" s="28">
        <f t="shared" si="5"/>
        <v>99.034041497607191</v>
      </c>
    </row>
    <row r="25" spans="1:9" x14ac:dyDescent="0.3">
      <c r="A25" s="16">
        <v>2147</v>
      </c>
      <c r="B25" s="14">
        <v>37086</v>
      </c>
      <c r="C25" s="14">
        <v>39631</v>
      </c>
      <c r="D25" s="28">
        <f t="shared" si="1"/>
        <v>54.061675725207316</v>
      </c>
      <c r="E25" s="11">
        <f t="shared" si="2"/>
        <v>40557.249599999996</v>
      </c>
      <c r="F25" s="11">
        <f t="shared" si="0"/>
        <v>39631</v>
      </c>
      <c r="G25" s="78">
        <f t="shared" si="6"/>
        <v>2.2838077264489698</v>
      </c>
      <c r="H25" s="28">
        <f t="shared" si="3"/>
        <v>36239.027066569135</v>
      </c>
      <c r="I25" s="28">
        <f t="shared" si="5"/>
        <v>54.061675725207316</v>
      </c>
    </row>
    <row r="26" spans="1:9" x14ac:dyDescent="0.3">
      <c r="A26" s="16">
        <v>2144</v>
      </c>
      <c r="B26" s="14">
        <v>2940</v>
      </c>
      <c r="C26" s="14">
        <v>3292</v>
      </c>
      <c r="D26" s="28">
        <f t="shared" si="1"/>
        <v>52.011668908066461</v>
      </c>
      <c r="E26" s="11">
        <f t="shared" si="2"/>
        <v>3215.1839999999997</v>
      </c>
      <c r="F26" s="11">
        <f t="shared" si="0"/>
        <v>3292</v>
      </c>
      <c r="G26" s="78">
        <f t="shared" si="6"/>
        <v>-2.3891634195741318</v>
      </c>
      <c r="H26" s="28">
        <f t="shared" si="3"/>
        <v>3010.2414045354794</v>
      </c>
      <c r="I26" s="28">
        <f t="shared" si="5"/>
        <v>52.011668908066461</v>
      </c>
    </row>
    <row r="27" spans="1:9" x14ac:dyDescent="0.3">
      <c r="A27" s="16">
        <v>2143</v>
      </c>
      <c r="B27" s="14">
        <v>5180</v>
      </c>
      <c r="C27" s="14">
        <v>5214</v>
      </c>
      <c r="D27" s="28">
        <f t="shared" si="1"/>
        <v>56.831107740148134</v>
      </c>
      <c r="E27" s="11">
        <f t="shared" si="2"/>
        <v>5664.848</v>
      </c>
      <c r="F27" s="11">
        <f t="shared" si="0"/>
        <v>5214</v>
      </c>
      <c r="G27" s="78">
        <f t="shared" si="6"/>
        <v>7.9586954495513282</v>
      </c>
      <c r="H27" s="28">
        <f t="shared" si="3"/>
        <v>4767.7395757132408</v>
      </c>
      <c r="I27" s="28">
        <f t="shared" si="5"/>
        <v>56.831107740148134</v>
      </c>
    </row>
    <row r="28" spans="1:9" x14ac:dyDescent="0.3">
      <c r="A28" s="16">
        <v>2142</v>
      </c>
      <c r="B28" s="14">
        <v>4200</v>
      </c>
      <c r="C28" s="14">
        <v>4467</v>
      </c>
      <c r="D28" s="28">
        <f t="shared" si="1"/>
        <v>54.275071568483433</v>
      </c>
      <c r="E28" s="11">
        <f t="shared" si="2"/>
        <v>4593.12</v>
      </c>
      <c r="F28" s="11">
        <f t="shared" si="0"/>
        <v>4467</v>
      </c>
      <c r="G28" s="78">
        <f t="shared" si="6"/>
        <v>2.745845960915446</v>
      </c>
      <c r="H28" s="28">
        <f t="shared" si="3"/>
        <v>4084.6744696415512</v>
      </c>
      <c r="I28" s="28">
        <f t="shared" si="5"/>
        <v>54.275071568483433</v>
      </c>
    </row>
    <row r="29" spans="1:9" x14ac:dyDescent="0.3">
      <c r="A29" s="16">
        <v>2140</v>
      </c>
      <c r="B29" s="14">
        <v>4200</v>
      </c>
      <c r="C29" s="14">
        <v>4253</v>
      </c>
      <c r="D29" s="28">
        <f t="shared" si="1"/>
        <v>56.545945191921845</v>
      </c>
      <c r="E29" s="11">
        <f t="shared" si="2"/>
        <v>4593.12</v>
      </c>
      <c r="F29" s="11">
        <f t="shared" si="0"/>
        <v>4253</v>
      </c>
      <c r="G29" s="78">
        <f t="shared" si="6"/>
        <v>7.4049883303723902</v>
      </c>
      <c r="H29" s="28">
        <f t="shared" si="3"/>
        <v>3888.9904901243603</v>
      </c>
      <c r="I29" s="28">
        <f t="shared" si="5"/>
        <v>56.545945191921845</v>
      </c>
    </row>
    <row r="30" spans="1:9" x14ac:dyDescent="0.3">
      <c r="A30" s="16">
        <v>2141</v>
      </c>
      <c r="B30" s="14">
        <v>2968</v>
      </c>
      <c r="C30" s="14">
        <v>3096</v>
      </c>
      <c r="D30" s="28">
        <f t="shared" si="1"/>
        <v>55.159615068361084</v>
      </c>
      <c r="E30" s="11">
        <f t="shared" si="2"/>
        <v>3245.8047999999999</v>
      </c>
      <c r="F30" s="11">
        <f t="shared" si="0"/>
        <v>3096</v>
      </c>
      <c r="G30" s="78">
        <f t="shared" si="6"/>
        <v>4.6153360793600342</v>
      </c>
      <c r="H30" s="28">
        <f t="shared" si="3"/>
        <v>2831.0168251645941</v>
      </c>
      <c r="I30" s="28">
        <f t="shared" si="5"/>
        <v>55.159615068361084</v>
      </c>
    </row>
    <row r="31" spans="1:9" x14ac:dyDescent="0.3">
      <c r="A31" s="16" t="s">
        <v>443</v>
      </c>
      <c r="B31" s="14">
        <v>3710</v>
      </c>
      <c r="C31" s="14">
        <v>3636</v>
      </c>
      <c r="D31" s="28">
        <f t="shared" si="1"/>
        <v>58.121008882161078</v>
      </c>
      <c r="E31" s="11">
        <f t="shared" si="2"/>
        <v>4057.2559999999999</v>
      </c>
      <c r="F31" s="11">
        <f t="shared" si="0"/>
        <v>3636</v>
      </c>
      <c r="G31" s="78">
        <f t="shared" si="6"/>
        <v>10.382780874561519</v>
      </c>
      <c r="H31" s="28">
        <f t="shared" si="3"/>
        <v>3324.7988295537675</v>
      </c>
      <c r="I31" s="28">
        <f t="shared" si="5"/>
        <v>58.121008882161078</v>
      </c>
    </row>
    <row r="32" spans="1:9" x14ac:dyDescent="0.3">
      <c r="A32" s="16" t="s">
        <v>444</v>
      </c>
      <c r="B32" s="14">
        <v>5362</v>
      </c>
      <c r="C32" s="14">
        <v>5154</v>
      </c>
      <c r="D32" s="28">
        <f t="shared" si="1"/>
        <v>59.081247397281508</v>
      </c>
      <c r="E32" s="11">
        <f t="shared" si="2"/>
        <v>5863.8831999999993</v>
      </c>
      <c r="F32" s="11">
        <f t="shared" si="0"/>
        <v>5154</v>
      </c>
      <c r="G32" s="78">
        <f t="shared" si="6"/>
        <v>12.106025577044221</v>
      </c>
      <c r="H32" s="28">
        <f t="shared" si="3"/>
        <v>4712.8749085588888</v>
      </c>
      <c r="I32" s="28">
        <f t="shared" si="5"/>
        <v>59.081247397281508</v>
      </c>
    </row>
    <row r="33" spans="1:9" x14ac:dyDescent="0.3">
      <c r="A33" s="16">
        <v>2167</v>
      </c>
      <c r="B33" s="14">
        <v>47687</v>
      </c>
      <c r="C33" s="14">
        <v>49771</v>
      </c>
      <c r="D33" s="28">
        <f t="shared" ref="D33:D37" si="7">I33</f>
        <v>55.134266101877543</v>
      </c>
      <c r="E33" s="11">
        <f t="shared" ref="E33:E37" si="8">B33 * 1.0936</f>
        <v>52150.503199999992</v>
      </c>
      <c r="F33" s="11">
        <f t="shared" ref="F33:F37" si="9">C33</f>
        <v>49771</v>
      </c>
      <c r="G33" s="78">
        <f t="shared" ref="G33:G37" si="10">100- (F33/E33 *100)</f>
        <v>4.562761726141872</v>
      </c>
      <c r="H33" s="28">
        <f t="shared" ref="H33:H37" si="11">F33/1.0936</f>
        <v>45511.155815654725</v>
      </c>
      <c r="I33" s="28">
        <f t="shared" ref="I33:I37" si="12">((B33*48)+(H33*10))/C33</f>
        <v>55.134266101877543</v>
      </c>
    </row>
    <row r="34" spans="1:9" x14ac:dyDescent="0.3">
      <c r="A34" s="16">
        <v>2171</v>
      </c>
      <c r="B34" s="14">
        <v>15000</v>
      </c>
      <c r="C34" s="14">
        <v>1535</v>
      </c>
      <c r="D34" s="28">
        <f t="shared" si="7"/>
        <v>478.19948578522599</v>
      </c>
      <c r="E34" s="11">
        <f t="shared" si="8"/>
        <v>16404</v>
      </c>
      <c r="F34" s="11">
        <f t="shared" si="9"/>
        <v>1535</v>
      </c>
      <c r="G34" s="78">
        <f t="shared" si="10"/>
        <v>90.642526213118757</v>
      </c>
      <c r="H34" s="28">
        <f t="shared" si="11"/>
        <v>1403.6210680321874</v>
      </c>
      <c r="I34" s="28">
        <f t="shared" si="12"/>
        <v>478.19948578522599</v>
      </c>
    </row>
    <row r="35" spans="1:9" x14ac:dyDescent="0.3">
      <c r="A35" s="16">
        <v>2178</v>
      </c>
      <c r="B35" s="14">
        <v>15645</v>
      </c>
      <c r="C35" s="14">
        <v>12240</v>
      </c>
      <c r="D35" s="28">
        <f t="shared" si="7"/>
        <v>70.497052368862697</v>
      </c>
      <c r="E35" s="11">
        <f t="shared" si="8"/>
        <v>17109.371999999999</v>
      </c>
      <c r="F35" s="11">
        <f t="shared" si="9"/>
        <v>12240</v>
      </c>
      <c r="G35" s="78">
        <f t="shared" si="10"/>
        <v>28.460261428648579</v>
      </c>
      <c r="H35" s="28">
        <f t="shared" si="11"/>
        <v>11192.39209948793</v>
      </c>
      <c r="I35" s="28">
        <f t="shared" si="12"/>
        <v>70.497052368862697</v>
      </c>
    </row>
    <row r="36" spans="1:9" x14ac:dyDescent="0.3">
      <c r="A36" s="16">
        <v>2150</v>
      </c>
      <c r="B36" s="14">
        <v>14993</v>
      </c>
      <c r="C36" s="14">
        <v>16237</v>
      </c>
      <c r="D36" s="28">
        <f t="shared" si="7"/>
        <v>53.466584555698127</v>
      </c>
      <c r="E36" s="11">
        <f t="shared" si="8"/>
        <v>16396.344799999999</v>
      </c>
      <c r="F36" s="11">
        <f t="shared" si="9"/>
        <v>16237</v>
      </c>
      <c r="G36" s="78">
        <f t="shared" si="10"/>
        <v>0.97183123399551619</v>
      </c>
      <c r="H36" s="28">
        <f t="shared" si="11"/>
        <v>14847.293343087053</v>
      </c>
      <c r="I36" s="28">
        <f t="shared" si="12"/>
        <v>53.466584555698127</v>
      </c>
    </row>
    <row r="37" spans="1:9" x14ac:dyDescent="0.3">
      <c r="A37" s="16">
        <v>2172</v>
      </c>
      <c r="B37" s="14">
        <v>78482</v>
      </c>
      <c r="C37" s="14">
        <v>83675</v>
      </c>
      <c r="D37" s="28">
        <f t="shared" si="7"/>
        <v>54.165156904970523</v>
      </c>
      <c r="E37" s="11">
        <f t="shared" si="8"/>
        <v>85827.915199999989</v>
      </c>
      <c r="F37" s="11">
        <f t="shared" si="9"/>
        <v>83675</v>
      </c>
      <c r="G37" s="78">
        <f t="shared" si="10"/>
        <v>2.5084090589677857</v>
      </c>
      <c r="H37" s="28">
        <f t="shared" si="11"/>
        <v>76513.350402340904</v>
      </c>
      <c r="I37" s="28">
        <f t="shared" si="12"/>
        <v>54.165156904970523</v>
      </c>
    </row>
    <row r="38" spans="1:9" x14ac:dyDescent="0.3">
      <c r="A38" s="16">
        <v>2170</v>
      </c>
      <c r="B38" s="14">
        <v>83592</v>
      </c>
      <c r="C38" s="14">
        <v>88631</v>
      </c>
      <c r="D38" s="28">
        <f t="shared" si="1"/>
        <v>54.415133746577432</v>
      </c>
      <c r="E38" s="11">
        <f t="shared" si="2"/>
        <v>91416.211199999991</v>
      </c>
      <c r="F38" s="11">
        <f t="shared" si="0"/>
        <v>88631</v>
      </c>
      <c r="G38" s="78">
        <f t="shared" si="6"/>
        <v>3.0467366383261378</v>
      </c>
      <c r="H38" s="28">
        <f t="shared" si="3"/>
        <v>81045.171909290424</v>
      </c>
      <c r="I38" s="28">
        <f t="shared" si="5"/>
        <v>54.415133746577432</v>
      </c>
    </row>
    <row r="39" spans="1:9" x14ac:dyDescent="0.3">
      <c r="A39" s="16">
        <v>2157</v>
      </c>
      <c r="B39" s="14">
        <v>50133</v>
      </c>
      <c r="C39" s="14">
        <v>51781</v>
      </c>
      <c r="D39" s="28">
        <f t="shared" ref="D39:D44" si="13">I39</f>
        <v>55.616446604995176</v>
      </c>
      <c r="E39" s="11">
        <f t="shared" ref="E39:E44" si="14">B39 * 1.0936</f>
        <v>54825.448799999998</v>
      </c>
      <c r="F39" s="11">
        <f t="shared" ref="F39:F44" si="15">C39</f>
        <v>51781</v>
      </c>
      <c r="G39" s="78">
        <f t="shared" ref="G39:G44" si="16">100- (F39/E39 *100)</f>
        <v>5.5529847299672213</v>
      </c>
      <c r="H39" s="28">
        <f t="shared" ref="H39:H44" si="17">F39/1.0936</f>
        <v>47349.122165325534</v>
      </c>
      <c r="I39" s="28">
        <f t="shared" ref="I39:I44" si="18">((B39*48)+(H39*10))/C39</f>
        <v>55.616446604995176</v>
      </c>
    </row>
    <row r="40" spans="1:9" x14ac:dyDescent="0.3">
      <c r="A40" s="16">
        <v>2177</v>
      </c>
      <c r="B40" s="14">
        <v>7882</v>
      </c>
      <c r="C40" s="14">
        <v>8164</v>
      </c>
      <c r="D40" s="28">
        <f t="shared" si="13"/>
        <v>55.486100413362216</v>
      </c>
      <c r="E40" s="11">
        <f t="shared" si="14"/>
        <v>8619.7551999999996</v>
      </c>
      <c r="F40" s="11">
        <f t="shared" si="15"/>
        <v>8164</v>
      </c>
      <c r="G40" s="78">
        <f t="shared" si="16"/>
        <v>5.2873334500265088</v>
      </c>
      <c r="H40" s="28">
        <f t="shared" si="17"/>
        <v>7465.2523774689107</v>
      </c>
      <c r="I40" s="28">
        <f t="shared" si="18"/>
        <v>55.486100413362216</v>
      </c>
    </row>
    <row r="41" spans="1:9" x14ac:dyDescent="0.3">
      <c r="A41" s="16">
        <v>2180</v>
      </c>
      <c r="B41" s="14">
        <v>34252</v>
      </c>
      <c r="C41" s="14">
        <v>34786</v>
      </c>
      <c r="D41" s="28">
        <f t="shared" si="13"/>
        <v>56.407263035087432</v>
      </c>
      <c r="E41" s="11">
        <f t="shared" si="14"/>
        <v>37457.987199999996</v>
      </c>
      <c r="F41" s="11">
        <f t="shared" si="15"/>
        <v>34786</v>
      </c>
      <c r="G41" s="78">
        <f t="shared" si="16"/>
        <v>7.1332909206610964</v>
      </c>
      <c r="H41" s="28">
        <f t="shared" si="17"/>
        <v>31808.705193855159</v>
      </c>
      <c r="I41" s="28">
        <f t="shared" si="18"/>
        <v>56.407263035087432</v>
      </c>
    </row>
    <row r="42" spans="1:9" x14ac:dyDescent="0.3">
      <c r="A42" s="16">
        <v>2156</v>
      </c>
      <c r="B42" s="14">
        <v>23596</v>
      </c>
      <c r="C42" s="14">
        <v>25362</v>
      </c>
      <c r="D42" s="28">
        <f t="shared" si="13"/>
        <v>53.801788031758086</v>
      </c>
      <c r="E42" s="11">
        <f t="shared" si="14"/>
        <v>25804.585599999999</v>
      </c>
      <c r="F42" s="11">
        <f t="shared" si="15"/>
        <v>25362</v>
      </c>
      <c r="G42" s="78">
        <f t="shared" si="16"/>
        <v>1.7151432185758466</v>
      </c>
      <c r="H42" s="28">
        <f t="shared" si="17"/>
        <v>23191.294806144844</v>
      </c>
      <c r="I42" s="28">
        <f t="shared" si="18"/>
        <v>53.801788031758086</v>
      </c>
    </row>
    <row r="43" spans="1:9" x14ac:dyDescent="0.3">
      <c r="A43" s="16">
        <v>2168</v>
      </c>
      <c r="B43" s="14">
        <v>22019</v>
      </c>
      <c r="C43" s="14">
        <v>23463</v>
      </c>
      <c r="D43" s="28">
        <f t="shared" si="13"/>
        <v>54.19001325095239</v>
      </c>
      <c r="E43" s="11">
        <f t="shared" si="14"/>
        <v>24079.978399999996</v>
      </c>
      <c r="F43" s="11">
        <f t="shared" si="15"/>
        <v>23463</v>
      </c>
      <c r="G43" s="78">
        <f t="shared" si="16"/>
        <v>2.562204956130671</v>
      </c>
      <c r="H43" s="28">
        <f t="shared" si="17"/>
        <v>21454.828090709583</v>
      </c>
      <c r="I43" s="28">
        <f t="shared" si="18"/>
        <v>54.19001325095239</v>
      </c>
    </row>
    <row r="44" spans="1:9" x14ac:dyDescent="0.3">
      <c r="A44" s="16">
        <v>2149</v>
      </c>
      <c r="B44" s="14">
        <v>16408</v>
      </c>
      <c r="C44" s="14">
        <v>10093</v>
      </c>
      <c r="D44" s="28">
        <f t="shared" si="13"/>
        <v>87.176807120262907</v>
      </c>
      <c r="E44" s="11">
        <f t="shared" si="14"/>
        <v>17943.788799999998</v>
      </c>
      <c r="F44" s="11">
        <f t="shared" si="15"/>
        <v>10093</v>
      </c>
      <c r="G44" s="78">
        <f t="shared" si="16"/>
        <v>43.752124411985939</v>
      </c>
      <c r="H44" s="28">
        <f t="shared" si="17"/>
        <v>9229.1514264813468</v>
      </c>
      <c r="I44" s="28">
        <f t="shared" si="18"/>
        <v>87.176807120262907</v>
      </c>
    </row>
    <row r="45" spans="1:9" x14ac:dyDescent="0.3">
      <c r="A45" s="16">
        <v>2164</v>
      </c>
      <c r="B45" s="14">
        <v>45908</v>
      </c>
      <c r="C45" s="14">
        <v>48295</v>
      </c>
      <c r="D45" s="28">
        <f t="shared" ref="D45:D58" si="19">I45</f>
        <v>54.771691687267342</v>
      </c>
      <c r="E45" s="11">
        <f t="shared" ref="E45:E58" si="20">B45 * 1.0936</f>
        <v>50204.988799999999</v>
      </c>
      <c r="F45" s="11">
        <f t="shared" ref="F45:F58" si="21">C45</f>
        <v>48295</v>
      </c>
      <c r="G45" s="78">
        <f t="shared" ref="G45:G58" si="22">100- (F45/E45 *100)</f>
        <v>3.8043804921633608</v>
      </c>
      <c r="H45" s="28">
        <f t="shared" ref="H45:H58" si="23">F45/1.0936</f>
        <v>44161.485003657646</v>
      </c>
      <c r="I45" s="28">
        <f t="shared" ref="I45:I58" si="24">((B45*48)+(H45*10))/C45</f>
        <v>54.771691687267342</v>
      </c>
    </row>
    <row r="46" spans="1:9" x14ac:dyDescent="0.3">
      <c r="A46" s="16">
        <v>2185</v>
      </c>
      <c r="B46" s="14">
        <v>50029</v>
      </c>
      <c r="C46" s="14">
        <v>52044</v>
      </c>
      <c r="D46" s="28">
        <f t="shared" si="19"/>
        <v>55.285683707955847</v>
      </c>
      <c r="E46" s="11">
        <f t="shared" si="20"/>
        <v>54711.714399999997</v>
      </c>
      <c r="F46" s="11">
        <f t="shared" si="21"/>
        <v>52044</v>
      </c>
      <c r="G46" s="78">
        <f t="shared" si="22"/>
        <v>4.8759473711538419</v>
      </c>
      <c r="H46" s="28">
        <f t="shared" si="23"/>
        <v>47589.612289685443</v>
      </c>
      <c r="I46" s="28">
        <f t="shared" si="24"/>
        <v>55.285683707955847</v>
      </c>
    </row>
    <row r="47" spans="1:9" x14ac:dyDescent="0.3">
      <c r="A47" s="16">
        <v>2186</v>
      </c>
      <c r="B47" s="14">
        <v>36740</v>
      </c>
      <c r="C47" s="14">
        <v>38709</v>
      </c>
      <c r="D47" s="28">
        <f t="shared" si="19"/>
        <v>54.702508464344355</v>
      </c>
      <c r="E47" s="11">
        <f t="shared" si="20"/>
        <v>40178.863999999994</v>
      </c>
      <c r="F47" s="11">
        <f t="shared" si="21"/>
        <v>38709</v>
      </c>
      <c r="G47" s="78">
        <f t="shared" si="22"/>
        <v>3.6583015388389128</v>
      </c>
      <c r="H47" s="28">
        <f t="shared" si="23"/>
        <v>35395.940014630578</v>
      </c>
      <c r="I47" s="28">
        <f t="shared" si="24"/>
        <v>54.702508464344355</v>
      </c>
    </row>
    <row r="48" spans="1:9" x14ac:dyDescent="0.3">
      <c r="A48" s="16">
        <v>2190</v>
      </c>
      <c r="B48" s="14">
        <v>39984</v>
      </c>
      <c r="C48" s="14">
        <v>41078</v>
      </c>
      <c r="D48" s="28">
        <f t="shared" si="19"/>
        <v>55.865762684675076</v>
      </c>
      <c r="E48" s="11">
        <f t="shared" si="20"/>
        <v>43726.502399999998</v>
      </c>
      <c r="F48" s="11">
        <f t="shared" si="21"/>
        <v>41078</v>
      </c>
      <c r="G48" s="78">
        <f t="shared" si="22"/>
        <v>6.0569728988888727</v>
      </c>
      <c r="H48" s="28">
        <f t="shared" si="23"/>
        <v>37562.179956108266</v>
      </c>
      <c r="I48" s="28">
        <f t="shared" si="24"/>
        <v>55.865762684675076</v>
      </c>
    </row>
    <row r="49" spans="1:9" x14ac:dyDescent="0.3">
      <c r="A49" s="16">
        <v>2187</v>
      </c>
      <c r="B49" s="14">
        <v>30346</v>
      </c>
      <c r="C49" s="14">
        <v>32052</v>
      </c>
      <c r="D49" s="28">
        <f t="shared" si="19"/>
        <v>54.589262820995614</v>
      </c>
      <c r="E49" s="11">
        <f t="shared" si="20"/>
        <v>33186.385599999994</v>
      </c>
      <c r="F49" s="11">
        <f t="shared" si="21"/>
        <v>32052</v>
      </c>
      <c r="G49" s="78">
        <f t="shared" si="22"/>
        <v>3.4182258160707732</v>
      </c>
      <c r="H49" s="28">
        <f t="shared" si="23"/>
        <v>29308.705193855159</v>
      </c>
      <c r="I49" s="28">
        <f t="shared" si="24"/>
        <v>54.589262820995614</v>
      </c>
    </row>
    <row r="50" spans="1:9" x14ac:dyDescent="0.3">
      <c r="A50" s="16">
        <v>2169</v>
      </c>
      <c r="B50" s="14">
        <v>38665</v>
      </c>
      <c r="C50" s="14">
        <v>41074</v>
      </c>
      <c r="D50" s="28">
        <f t="shared" si="19"/>
        <v>54.328899623029486</v>
      </c>
      <c r="E50" s="11">
        <f t="shared" si="20"/>
        <v>42284.043999999994</v>
      </c>
      <c r="F50" s="11">
        <f t="shared" si="21"/>
        <v>41074</v>
      </c>
      <c r="G50" s="78">
        <f t="shared" si="22"/>
        <v>2.8617035778318467</v>
      </c>
      <c r="H50" s="28">
        <f t="shared" si="23"/>
        <v>37558.522311631314</v>
      </c>
      <c r="I50" s="28">
        <f t="shared" si="24"/>
        <v>54.328899623029486</v>
      </c>
    </row>
    <row r="51" spans="1:9" x14ac:dyDescent="0.3">
      <c r="A51" s="16">
        <v>2191</v>
      </c>
      <c r="B51" s="14">
        <v>107006</v>
      </c>
      <c r="C51" s="14">
        <v>114657</v>
      </c>
      <c r="D51" s="28">
        <f t="shared" si="19"/>
        <v>53.941096984799017</v>
      </c>
      <c r="E51" s="11">
        <f t="shared" si="20"/>
        <v>117021.76159999998</v>
      </c>
      <c r="F51" s="11">
        <f t="shared" si="21"/>
        <v>114657</v>
      </c>
      <c r="G51" s="78">
        <f t="shared" si="22"/>
        <v>2.0207879010428371</v>
      </c>
      <c r="H51" s="28">
        <f t="shared" si="23"/>
        <v>104843.6356986101</v>
      </c>
      <c r="I51" s="28">
        <f t="shared" si="24"/>
        <v>53.941096984799017</v>
      </c>
    </row>
    <row r="52" spans="1:9" x14ac:dyDescent="0.3">
      <c r="A52" s="16">
        <v>2188</v>
      </c>
      <c r="B52" s="14">
        <v>19276</v>
      </c>
      <c r="C52" s="14">
        <v>20731</v>
      </c>
      <c r="D52" s="28">
        <f t="shared" si="19"/>
        <v>53.775243313370339</v>
      </c>
      <c r="E52" s="11">
        <f t="shared" si="20"/>
        <v>21080.2336</v>
      </c>
      <c r="F52" s="11">
        <f t="shared" si="21"/>
        <v>20731</v>
      </c>
      <c r="G52" s="78">
        <f t="shared" si="22"/>
        <v>1.6566875236145364</v>
      </c>
      <c r="H52" s="28">
        <f t="shared" si="23"/>
        <v>18956.656912948063</v>
      </c>
      <c r="I52" s="28">
        <f t="shared" si="24"/>
        <v>53.775243313370339</v>
      </c>
    </row>
    <row r="53" spans="1:9" x14ac:dyDescent="0.3">
      <c r="A53" s="16">
        <v>2193</v>
      </c>
      <c r="B53" s="14">
        <v>61241</v>
      </c>
      <c r="C53" s="14">
        <v>66125</v>
      </c>
      <c r="D53" s="28">
        <f t="shared" si="19"/>
        <v>53.598825748157694</v>
      </c>
      <c r="E53" s="11">
        <f t="shared" si="20"/>
        <v>66973.157599999991</v>
      </c>
      <c r="F53" s="11">
        <f t="shared" si="21"/>
        <v>66125</v>
      </c>
      <c r="G53" s="78">
        <f t="shared" si="22"/>
        <v>1.2664142327970467</v>
      </c>
      <c r="H53" s="28">
        <f t="shared" si="23"/>
        <v>60465.435259692764</v>
      </c>
      <c r="I53" s="28">
        <f t="shared" si="24"/>
        <v>53.598825748157694</v>
      </c>
    </row>
    <row r="54" spans="1:9" x14ac:dyDescent="0.3">
      <c r="A54" s="16">
        <v>2194</v>
      </c>
      <c r="B54" s="14">
        <v>30184</v>
      </c>
      <c r="C54" s="14">
        <v>31810</v>
      </c>
      <c r="D54" s="28">
        <f t="shared" si="19"/>
        <v>54.690543132033724</v>
      </c>
      <c r="E54" s="11">
        <f t="shared" si="20"/>
        <v>33009.222399999999</v>
      </c>
      <c r="F54" s="11">
        <f t="shared" si="21"/>
        <v>31810</v>
      </c>
      <c r="G54" s="78">
        <f t="shared" si="22"/>
        <v>3.6329919725706645</v>
      </c>
      <c r="H54" s="28">
        <f t="shared" si="23"/>
        <v>29087.417702999272</v>
      </c>
      <c r="I54" s="28">
        <f t="shared" si="24"/>
        <v>54.690543132033724</v>
      </c>
    </row>
    <row r="55" spans="1:9" x14ac:dyDescent="0.3">
      <c r="A55" s="16">
        <v>2181</v>
      </c>
      <c r="B55" s="14">
        <v>9943</v>
      </c>
      <c r="C55" s="14">
        <v>10720</v>
      </c>
      <c r="D55" s="28">
        <f t="shared" si="19"/>
        <v>53.665006714780155</v>
      </c>
      <c r="E55" s="11">
        <f t="shared" si="20"/>
        <v>10873.664799999999</v>
      </c>
      <c r="F55" s="11">
        <f t="shared" si="21"/>
        <v>10720</v>
      </c>
      <c r="G55" s="78">
        <f t="shared" si="22"/>
        <v>1.4131831615776633</v>
      </c>
      <c r="H55" s="28">
        <f t="shared" si="23"/>
        <v>9802.487198244331</v>
      </c>
      <c r="I55" s="28">
        <f t="shared" si="24"/>
        <v>53.665006714780155</v>
      </c>
    </row>
    <row r="56" spans="1:9" x14ac:dyDescent="0.3">
      <c r="A56" s="16">
        <v>2195</v>
      </c>
      <c r="B56" s="14">
        <v>17930</v>
      </c>
      <c r="C56" s="14">
        <v>19428</v>
      </c>
      <c r="D56" s="28">
        <f t="shared" si="19"/>
        <v>53.443061161508837</v>
      </c>
      <c r="E56" s="11">
        <f t="shared" si="20"/>
        <v>19608.248</v>
      </c>
      <c r="F56" s="11">
        <f t="shared" si="21"/>
        <v>19428</v>
      </c>
      <c r="G56" s="78">
        <f t="shared" si="22"/>
        <v>0.91924581941231054</v>
      </c>
      <c r="H56" s="28">
        <f t="shared" si="23"/>
        <v>17765.179224579373</v>
      </c>
      <c r="I56" s="28">
        <f t="shared" si="24"/>
        <v>53.443061161508837</v>
      </c>
    </row>
    <row r="57" spans="1:9" x14ac:dyDescent="0.3">
      <c r="A57" s="16">
        <v>2192</v>
      </c>
      <c r="B57" s="14">
        <v>57164</v>
      </c>
      <c r="C57" s="14">
        <v>61735</v>
      </c>
      <c r="D57" s="28">
        <f t="shared" si="19"/>
        <v>53.590081873529215</v>
      </c>
      <c r="E57" s="11">
        <f t="shared" si="20"/>
        <v>62514.550399999993</v>
      </c>
      <c r="F57" s="11">
        <f t="shared" si="21"/>
        <v>61735</v>
      </c>
      <c r="G57" s="78">
        <f t="shared" si="22"/>
        <v>1.2469903326698102</v>
      </c>
      <c r="H57" s="28">
        <f t="shared" si="23"/>
        <v>56451.170446232631</v>
      </c>
      <c r="I57" s="28">
        <f t="shared" si="24"/>
        <v>53.590081873529215</v>
      </c>
    </row>
    <row r="58" spans="1:9" x14ac:dyDescent="0.3">
      <c r="A58" s="16">
        <v>2182</v>
      </c>
      <c r="B58" s="14">
        <v>99404</v>
      </c>
      <c r="C58" s="14">
        <v>101431</v>
      </c>
      <c r="D58" s="28">
        <f t="shared" si="19"/>
        <v>56.184877821923507</v>
      </c>
      <c r="E58" s="11">
        <f t="shared" si="20"/>
        <v>108708.2144</v>
      </c>
      <c r="F58" s="11">
        <f t="shared" si="21"/>
        <v>101431</v>
      </c>
      <c r="G58" s="78">
        <f t="shared" si="22"/>
        <v>6.694263575356814</v>
      </c>
      <c r="H58" s="28">
        <f t="shared" si="23"/>
        <v>92749.634235552308</v>
      </c>
      <c r="I58" s="28">
        <f t="shared" si="24"/>
        <v>56.184877821923507</v>
      </c>
    </row>
    <row r="59" spans="1:9" x14ac:dyDescent="0.3">
      <c r="A59" s="16">
        <v>2176</v>
      </c>
      <c r="B59" s="14">
        <v>17218</v>
      </c>
      <c r="C59" s="14">
        <v>18230</v>
      </c>
      <c r="D59" s="28">
        <f t="shared" ref="D59:D73" si="25">I59</f>
        <v>54.479492432106852</v>
      </c>
      <c r="E59" s="11">
        <f t="shared" ref="E59:E73" si="26">B59 * 1.0936</f>
        <v>18829.604799999997</v>
      </c>
      <c r="F59" s="11">
        <f t="shared" ref="F59:F73" si="27">C59</f>
        <v>18230</v>
      </c>
      <c r="G59" s="78">
        <f t="shared" ref="G59:G73" si="28">100- (F59/E59 *100)</f>
        <v>3.1843727277802287</v>
      </c>
      <c r="H59" s="28">
        <f t="shared" ref="H59:H73" si="29">F59/1.0936</f>
        <v>16669.714703730799</v>
      </c>
      <c r="I59" s="28">
        <f t="shared" ref="I59:I73" si="30">((B59*48)+(H59*10))/C59</f>
        <v>54.479492432106852</v>
      </c>
    </row>
    <row r="60" spans="1:9" x14ac:dyDescent="0.3">
      <c r="A60" s="16">
        <v>2173</v>
      </c>
      <c r="B60" s="14">
        <v>46820</v>
      </c>
      <c r="C60" s="14">
        <v>49012</v>
      </c>
      <c r="D60" s="28">
        <f t="shared" si="25"/>
        <v>54.99737161841022</v>
      </c>
      <c r="E60" s="11">
        <f t="shared" si="26"/>
        <v>51202.351999999999</v>
      </c>
      <c r="F60" s="11">
        <f t="shared" si="27"/>
        <v>49012</v>
      </c>
      <c r="G60" s="78">
        <f t="shared" si="28"/>
        <v>4.2778347369667671</v>
      </c>
      <c r="H60" s="28">
        <f t="shared" si="29"/>
        <v>44817.117776152161</v>
      </c>
      <c r="I60" s="28">
        <f t="shared" si="30"/>
        <v>54.99737161841022</v>
      </c>
    </row>
    <row r="61" spans="1:9" x14ac:dyDescent="0.3">
      <c r="A61" s="16">
        <v>2200</v>
      </c>
      <c r="B61" s="14">
        <v>37514</v>
      </c>
      <c r="C61" s="14">
        <v>40509</v>
      </c>
      <c r="D61" s="28">
        <f t="shared" si="25"/>
        <v>53.595270194095427</v>
      </c>
      <c r="E61" s="11">
        <f t="shared" si="26"/>
        <v>41025.310399999995</v>
      </c>
      <c r="F61" s="11">
        <f t="shared" si="27"/>
        <v>40509</v>
      </c>
      <c r="G61" s="78">
        <f t="shared" si="28"/>
        <v>1.2585167423864192</v>
      </c>
      <c r="H61" s="28">
        <f t="shared" si="29"/>
        <v>37041.880029261156</v>
      </c>
      <c r="I61" s="28">
        <f t="shared" si="30"/>
        <v>53.595270194095427</v>
      </c>
    </row>
    <row r="62" spans="1:9" x14ac:dyDescent="0.3">
      <c r="A62" s="16" t="s">
        <v>574</v>
      </c>
      <c r="B62" s="14">
        <v>7846</v>
      </c>
      <c r="C62" s="14">
        <v>8229</v>
      </c>
      <c r="D62" s="28">
        <f t="shared" si="25"/>
        <v>54.910060882512411</v>
      </c>
      <c r="E62" s="11">
        <f t="shared" si="26"/>
        <v>8580.3855999999996</v>
      </c>
      <c r="F62" s="11">
        <f t="shared" si="27"/>
        <v>8229</v>
      </c>
      <c r="G62" s="78">
        <f t="shared" si="28"/>
        <v>4.0952192171876334</v>
      </c>
      <c r="H62" s="28">
        <f t="shared" si="29"/>
        <v>7524.6891002194598</v>
      </c>
      <c r="I62" s="28">
        <f t="shared" si="30"/>
        <v>54.910060882512411</v>
      </c>
    </row>
    <row r="63" spans="1:9" x14ac:dyDescent="0.3">
      <c r="A63" s="16">
        <v>2198</v>
      </c>
      <c r="B63" s="14">
        <v>29612</v>
      </c>
      <c r="C63" s="14">
        <v>31719</v>
      </c>
      <c r="D63" s="28">
        <f t="shared" si="25"/>
        <v>53.955612185487723</v>
      </c>
      <c r="E63" s="11">
        <f t="shared" si="26"/>
        <v>32383.683199999996</v>
      </c>
      <c r="F63" s="11">
        <f t="shared" si="27"/>
        <v>31719</v>
      </c>
      <c r="G63" s="78">
        <f t="shared" si="28"/>
        <v>2.0525250197605516</v>
      </c>
      <c r="H63" s="28">
        <f t="shared" si="29"/>
        <v>29004.206291148505</v>
      </c>
      <c r="I63" s="28">
        <f t="shared" si="30"/>
        <v>53.955612185487723</v>
      </c>
    </row>
    <row r="64" spans="1:9" x14ac:dyDescent="0.3">
      <c r="A64" s="16">
        <v>2197</v>
      </c>
      <c r="B64" s="14">
        <v>9641</v>
      </c>
      <c r="C64" s="14">
        <v>10359</v>
      </c>
      <c r="D64" s="28">
        <f t="shared" si="25"/>
        <v>53.817149130417</v>
      </c>
      <c r="E64" s="11">
        <f t="shared" si="26"/>
        <v>10543.397599999998</v>
      </c>
      <c r="F64" s="11">
        <f t="shared" si="27"/>
        <v>10359</v>
      </c>
      <c r="G64" s="78">
        <f t="shared" si="28"/>
        <v>1.7489390706464434</v>
      </c>
      <c r="H64" s="28">
        <f t="shared" si="29"/>
        <v>9472.3847841989773</v>
      </c>
      <c r="I64" s="28">
        <f t="shared" si="30"/>
        <v>53.817149130417</v>
      </c>
    </row>
    <row r="65" spans="1:9" x14ac:dyDescent="0.3">
      <c r="A65" s="16">
        <v>2161</v>
      </c>
      <c r="B65" s="14">
        <v>4032</v>
      </c>
      <c r="C65" s="14">
        <v>4192</v>
      </c>
      <c r="D65" s="28">
        <f t="shared" si="25"/>
        <v>55.312050123689808</v>
      </c>
      <c r="E65" s="11">
        <f t="shared" si="26"/>
        <v>4409.3951999999999</v>
      </c>
      <c r="F65" s="11">
        <f t="shared" si="27"/>
        <v>4192</v>
      </c>
      <c r="G65" s="78">
        <f t="shared" si="28"/>
        <v>4.930272523542456</v>
      </c>
      <c r="H65" s="28">
        <f t="shared" si="29"/>
        <v>3833.2114118507684</v>
      </c>
      <c r="I65" s="28">
        <f t="shared" si="30"/>
        <v>55.312050123689808</v>
      </c>
    </row>
    <row r="66" spans="1:9" x14ac:dyDescent="0.3">
      <c r="A66" s="16">
        <v>2175</v>
      </c>
      <c r="B66" s="14">
        <v>6003</v>
      </c>
      <c r="C66" s="14">
        <v>5324</v>
      </c>
      <c r="D66" s="28">
        <f t="shared" si="25"/>
        <v>63.265824190138161</v>
      </c>
      <c r="E66" s="11">
        <f t="shared" si="26"/>
        <v>6564.880799999999</v>
      </c>
      <c r="F66" s="11">
        <f t="shared" si="27"/>
        <v>5324</v>
      </c>
      <c r="G66" s="78">
        <f t="shared" si="28"/>
        <v>18.901802451614941</v>
      </c>
      <c r="H66" s="28">
        <f t="shared" si="29"/>
        <v>4868.3247988295543</v>
      </c>
      <c r="I66" s="28">
        <f t="shared" si="30"/>
        <v>63.265824190138161</v>
      </c>
    </row>
    <row r="67" spans="1:9" x14ac:dyDescent="0.3">
      <c r="A67" s="16">
        <v>2163</v>
      </c>
      <c r="B67" s="14">
        <v>4051</v>
      </c>
      <c r="C67" s="14">
        <v>4170</v>
      </c>
      <c r="D67" s="28">
        <f t="shared" si="25"/>
        <v>55.774327019730229</v>
      </c>
      <c r="E67" s="11">
        <f t="shared" si="26"/>
        <v>4430.1735999999992</v>
      </c>
      <c r="F67" s="11">
        <f t="shared" si="27"/>
        <v>4170</v>
      </c>
      <c r="G67" s="78">
        <f t="shared" si="28"/>
        <v>5.8727630899159209</v>
      </c>
      <c r="H67" s="28">
        <f t="shared" si="29"/>
        <v>3813.0943672275057</v>
      </c>
      <c r="I67" s="28">
        <f t="shared" si="30"/>
        <v>55.774327019730229</v>
      </c>
    </row>
    <row r="68" spans="1:9" x14ac:dyDescent="0.3">
      <c r="A68" s="16">
        <v>2160</v>
      </c>
      <c r="B68" s="14">
        <v>2810</v>
      </c>
      <c r="C68" s="14">
        <v>2704</v>
      </c>
      <c r="D68" s="28">
        <f t="shared" si="25"/>
        <v>59.025767997125826</v>
      </c>
      <c r="E68" s="11">
        <f t="shared" si="26"/>
        <v>3073.0159999999996</v>
      </c>
      <c r="F68" s="11">
        <f t="shared" si="27"/>
        <v>2704</v>
      </c>
      <c r="G68" s="78">
        <f t="shared" si="28"/>
        <v>12.008268098831891</v>
      </c>
      <c r="H68" s="28">
        <f t="shared" si="29"/>
        <v>2472.567666422824</v>
      </c>
      <c r="I68" s="28">
        <f t="shared" si="30"/>
        <v>59.025767997125826</v>
      </c>
    </row>
    <row r="69" spans="1:9" x14ac:dyDescent="0.3">
      <c r="A69" s="16" t="s">
        <v>611</v>
      </c>
      <c r="B69" s="14">
        <v>2308</v>
      </c>
      <c r="C69" s="14">
        <v>2238</v>
      </c>
      <c r="D69" s="28">
        <f t="shared" si="25"/>
        <v>58.645451674965834</v>
      </c>
      <c r="E69" s="11">
        <f t="shared" si="26"/>
        <v>2524.0287999999996</v>
      </c>
      <c r="F69" s="11">
        <f t="shared" si="27"/>
        <v>2238</v>
      </c>
      <c r="G69" s="78">
        <f t="shared" si="28"/>
        <v>11.332232025244707</v>
      </c>
      <c r="H69" s="28">
        <f t="shared" si="29"/>
        <v>2046.452084857352</v>
      </c>
      <c r="I69" s="28">
        <f t="shared" si="30"/>
        <v>58.645451674965834</v>
      </c>
    </row>
    <row r="70" spans="1:9" x14ac:dyDescent="0.3">
      <c r="A70" s="16" t="s">
        <v>97</v>
      </c>
      <c r="B70" s="14">
        <v>2087</v>
      </c>
      <c r="C70" s="14">
        <v>2398</v>
      </c>
      <c r="D70" s="28">
        <f t="shared" si="25"/>
        <v>50.918923536011782</v>
      </c>
      <c r="E70" s="11">
        <f t="shared" si="26"/>
        <v>2282.3431999999998</v>
      </c>
      <c r="F70" s="11">
        <f t="shared" si="27"/>
        <v>2398</v>
      </c>
      <c r="G70" s="78">
        <f t="shared" si="28"/>
        <v>-5.0674587415249448</v>
      </c>
      <c r="H70" s="28">
        <f t="shared" si="29"/>
        <v>2192.7578639356257</v>
      </c>
      <c r="I70" s="28">
        <f t="shared" si="30"/>
        <v>50.918923536011782</v>
      </c>
    </row>
    <row r="71" spans="1:9" x14ac:dyDescent="0.3">
      <c r="A71" s="16">
        <v>2179</v>
      </c>
      <c r="B71" s="14">
        <v>35766</v>
      </c>
      <c r="C71" s="14">
        <v>36604</v>
      </c>
      <c r="D71" s="28">
        <f t="shared" si="25"/>
        <v>56.045214896905264</v>
      </c>
      <c r="E71" s="11">
        <f t="shared" si="26"/>
        <v>39113.6976</v>
      </c>
      <c r="F71" s="11">
        <f t="shared" si="27"/>
        <v>36604</v>
      </c>
      <c r="G71" s="78">
        <f t="shared" si="28"/>
        <v>6.4164161252808753</v>
      </c>
      <c r="H71" s="28">
        <f t="shared" si="29"/>
        <v>33471.104608632042</v>
      </c>
      <c r="I71" s="28">
        <f t="shared" si="30"/>
        <v>56.045214896905264</v>
      </c>
    </row>
    <row r="72" spans="1:9" x14ac:dyDescent="0.3">
      <c r="A72" s="16">
        <v>2196</v>
      </c>
      <c r="B72" s="14">
        <v>5782</v>
      </c>
      <c r="C72" s="14">
        <v>5794</v>
      </c>
      <c r="D72" s="28">
        <f t="shared" si="25"/>
        <v>57.044698006337555</v>
      </c>
      <c r="E72" s="11">
        <f t="shared" si="26"/>
        <v>6323.1951999999992</v>
      </c>
      <c r="F72" s="11">
        <f t="shared" si="27"/>
        <v>5794</v>
      </c>
      <c r="G72" s="78">
        <f t="shared" si="28"/>
        <v>8.369110604081925</v>
      </c>
      <c r="H72" s="28">
        <f t="shared" si="29"/>
        <v>5298.0980248719825</v>
      </c>
      <c r="I72" s="28">
        <f t="shared" si="30"/>
        <v>57.044698006337555</v>
      </c>
    </row>
    <row r="73" spans="1:9" x14ac:dyDescent="0.3">
      <c r="A73" s="16">
        <v>2202</v>
      </c>
      <c r="B73" s="14">
        <v>30431</v>
      </c>
      <c r="C73" s="14">
        <v>31404</v>
      </c>
      <c r="D73" s="28">
        <f t="shared" si="25"/>
        <v>55.656912109472721</v>
      </c>
      <c r="E73" s="11">
        <f t="shared" si="26"/>
        <v>33279.3416</v>
      </c>
      <c r="F73" s="11">
        <f t="shared" si="27"/>
        <v>31404</v>
      </c>
      <c r="G73" s="78">
        <f t="shared" si="28"/>
        <v>5.6351523492880631</v>
      </c>
      <c r="H73" s="28">
        <f t="shared" si="29"/>
        <v>28716.166788588151</v>
      </c>
      <c r="I73" s="28">
        <f t="shared" si="30"/>
        <v>55.656912109472721</v>
      </c>
    </row>
    <row r="74" spans="1:9" x14ac:dyDescent="0.3">
      <c r="A74" s="16">
        <v>2199</v>
      </c>
      <c r="B74" s="14">
        <v>2332</v>
      </c>
      <c r="C74" s="14">
        <v>2498</v>
      </c>
      <c r="D74" s="28">
        <f t="shared" ref="D74:D84" si="31">I74</f>
        <v>53.954359390950948</v>
      </c>
      <c r="E74" s="11">
        <f t="shared" ref="E74:E84" si="32">B74 * 1.0936</f>
        <v>2550.2751999999996</v>
      </c>
      <c r="F74" s="11">
        <f t="shared" ref="F74:F84" si="33">C74</f>
        <v>2498</v>
      </c>
      <c r="G74" s="78">
        <f t="shared" ref="G74:G84" si="34">100- (F74/E74 *100)</f>
        <v>2.0497866269490999</v>
      </c>
      <c r="H74" s="28">
        <f t="shared" ref="H74:H84" si="35">F74/1.0936</f>
        <v>2284.1989758595469</v>
      </c>
      <c r="I74" s="28">
        <f t="shared" ref="I74:I84" si="36">((B74*48)+(H74*10))/C74</f>
        <v>53.954359390950948</v>
      </c>
    </row>
    <row r="75" spans="1:9" x14ac:dyDescent="0.3">
      <c r="A75" s="16" t="s">
        <v>612</v>
      </c>
      <c r="B75" s="14"/>
      <c r="C75" s="14">
        <v>7955</v>
      </c>
      <c r="D75" s="28">
        <f t="shared" si="31"/>
        <v>9.144111192392101</v>
      </c>
      <c r="E75" s="11">
        <f t="shared" si="32"/>
        <v>0</v>
      </c>
      <c r="F75" s="11">
        <f t="shared" si="33"/>
        <v>7955</v>
      </c>
      <c r="G75" s="78" t="e">
        <f t="shared" si="34"/>
        <v>#DIV/0!</v>
      </c>
      <c r="H75" s="28">
        <f t="shared" si="35"/>
        <v>7274.140453547916</v>
      </c>
      <c r="I75" s="28">
        <f t="shared" si="36"/>
        <v>9.144111192392101</v>
      </c>
    </row>
    <row r="76" spans="1:9" x14ac:dyDescent="0.3">
      <c r="A76" s="16" t="s">
        <v>613</v>
      </c>
      <c r="B76" s="14">
        <v>4165</v>
      </c>
      <c r="C76" s="14">
        <v>4446</v>
      </c>
      <c r="D76" s="28">
        <f t="shared" si="31"/>
        <v>54.110373000759168</v>
      </c>
      <c r="E76" s="11">
        <f t="shared" si="32"/>
        <v>4554.8440000000001</v>
      </c>
      <c r="F76" s="11">
        <f t="shared" si="33"/>
        <v>4446</v>
      </c>
      <c r="G76" s="78">
        <f t="shared" si="34"/>
        <v>2.3896317854134992</v>
      </c>
      <c r="H76" s="28">
        <f t="shared" si="35"/>
        <v>4065.4718361375276</v>
      </c>
      <c r="I76" s="28">
        <f t="shared" si="36"/>
        <v>54.110373000759168</v>
      </c>
    </row>
    <row r="77" spans="1:9" x14ac:dyDescent="0.3">
      <c r="A77" s="16" t="s">
        <v>614</v>
      </c>
      <c r="B77" s="14">
        <v>30095</v>
      </c>
      <c r="C77" s="14">
        <v>32028</v>
      </c>
      <c r="D77" s="28">
        <f t="shared" si="31"/>
        <v>54.247146036903153</v>
      </c>
      <c r="E77" s="11">
        <f t="shared" si="32"/>
        <v>32911.892</v>
      </c>
      <c r="F77" s="11">
        <f t="shared" si="33"/>
        <v>32028</v>
      </c>
      <c r="G77" s="78">
        <f t="shared" si="34"/>
        <v>2.6856310782740707</v>
      </c>
      <c r="H77" s="28">
        <f t="shared" si="35"/>
        <v>29286.759326993419</v>
      </c>
      <c r="I77" s="28">
        <f t="shared" si="36"/>
        <v>54.247146036903153</v>
      </c>
    </row>
    <row r="78" spans="1:9" x14ac:dyDescent="0.3">
      <c r="A78" s="16">
        <v>2500</v>
      </c>
      <c r="B78" s="14">
        <v>18246</v>
      </c>
      <c r="C78" s="14">
        <v>19353</v>
      </c>
      <c r="D78" s="28">
        <f t="shared" si="31"/>
        <v>54.398490358412872</v>
      </c>
      <c r="E78" s="11">
        <f t="shared" si="32"/>
        <v>19953.825599999996</v>
      </c>
      <c r="F78" s="11">
        <f t="shared" si="33"/>
        <v>19353</v>
      </c>
      <c r="G78" s="78">
        <f t="shared" si="34"/>
        <v>3.011079740017351</v>
      </c>
      <c r="H78" s="28">
        <f t="shared" si="35"/>
        <v>17696.598390636431</v>
      </c>
      <c r="I78" s="28">
        <f t="shared" si="36"/>
        <v>54.398490358412872</v>
      </c>
    </row>
    <row r="79" spans="1:9" x14ac:dyDescent="0.3">
      <c r="A79" s="16">
        <v>2205</v>
      </c>
      <c r="B79" s="14">
        <v>14922</v>
      </c>
      <c r="C79" s="14">
        <v>14491</v>
      </c>
      <c r="D79" s="28">
        <f t="shared" si="31"/>
        <v>58.571755937406252</v>
      </c>
      <c r="E79" s="11">
        <f t="shared" si="32"/>
        <v>16318.699199999999</v>
      </c>
      <c r="F79" s="11">
        <f t="shared" si="33"/>
        <v>14491</v>
      </c>
      <c r="G79" s="78">
        <f t="shared" si="34"/>
        <v>11.200029963172554</v>
      </c>
      <c r="H79" s="28">
        <f t="shared" si="35"/>
        <v>13250.731528895392</v>
      </c>
      <c r="I79" s="28">
        <f t="shared" si="36"/>
        <v>58.571755937406252</v>
      </c>
    </row>
    <row r="80" spans="1:9" x14ac:dyDescent="0.3">
      <c r="A80" s="16">
        <v>2207</v>
      </c>
      <c r="B80" s="14">
        <v>27810</v>
      </c>
      <c r="C80" s="14">
        <v>29585</v>
      </c>
      <c r="D80" s="28">
        <f t="shared" si="31"/>
        <v>54.264273436772697</v>
      </c>
      <c r="E80" s="11">
        <f t="shared" si="32"/>
        <v>30413.015999999996</v>
      </c>
      <c r="F80" s="11">
        <f t="shared" si="33"/>
        <v>29585</v>
      </c>
      <c r="G80" s="78">
        <f t="shared" si="34"/>
        <v>2.722571151772641</v>
      </c>
      <c r="H80" s="28">
        <f t="shared" si="35"/>
        <v>27052.852962692028</v>
      </c>
      <c r="I80" s="28">
        <f t="shared" si="36"/>
        <v>54.264273436772697</v>
      </c>
    </row>
    <row r="81" spans="1:9" x14ac:dyDescent="0.3">
      <c r="A81" s="16" t="s">
        <v>615</v>
      </c>
      <c r="B81" s="14">
        <v>3244</v>
      </c>
      <c r="C81" s="14">
        <v>3296</v>
      </c>
      <c r="D81" s="28">
        <f t="shared" si="31"/>
        <v>56.386829638994037</v>
      </c>
      <c r="E81" s="11">
        <f t="shared" si="32"/>
        <v>3547.6383999999998</v>
      </c>
      <c r="F81" s="11">
        <f t="shared" si="33"/>
        <v>3296</v>
      </c>
      <c r="G81" s="78">
        <f t="shared" si="34"/>
        <v>7.0931242597892634</v>
      </c>
      <c r="H81" s="28">
        <f t="shared" si="35"/>
        <v>3013.8990490124361</v>
      </c>
      <c r="I81" s="28">
        <f t="shared" si="36"/>
        <v>56.386829638994037</v>
      </c>
    </row>
    <row r="82" spans="1:9" x14ac:dyDescent="0.3">
      <c r="A82" s="16">
        <v>2203</v>
      </c>
      <c r="B82" s="14">
        <v>9612</v>
      </c>
      <c r="C82" s="14">
        <v>10216</v>
      </c>
      <c r="D82" s="28">
        <f t="shared" si="31"/>
        <v>54.306209861146989</v>
      </c>
      <c r="E82" s="11">
        <f t="shared" si="32"/>
        <v>10511.683199999999</v>
      </c>
      <c r="F82" s="11">
        <f t="shared" si="33"/>
        <v>10216</v>
      </c>
      <c r="G82" s="78">
        <f t="shared" si="34"/>
        <v>2.8129006018750573</v>
      </c>
      <c r="H82" s="28">
        <f t="shared" si="35"/>
        <v>9341.6239941477688</v>
      </c>
      <c r="I82" s="28">
        <f t="shared" si="36"/>
        <v>54.306209861146989</v>
      </c>
    </row>
    <row r="83" spans="1:9" x14ac:dyDescent="0.3">
      <c r="A83" s="16">
        <v>2210</v>
      </c>
      <c r="B83" s="14">
        <v>53625</v>
      </c>
      <c r="C83" s="14">
        <v>56939</v>
      </c>
      <c r="D83" s="28">
        <f t="shared" si="31"/>
        <v>54.350384572676262</v>
      </c>
      <c r="E83" s="11">
        <f t="shared" si="32"/>
        <v>58644.299999999996</v>
      </c>
      <c r="F83" s="11">
        <f t="shared" si="33"/>
        <v>56939</v>
      </c>
      <c r="G83" s="78">
        <f t="shared" si="34"/>
        <v>2.9078699890696953</v>
      </c>
      <c r="H83" s="28">
        <f t="shared" si="35"/>
        <v>52065.65471836138</v>
      </c>
      <c r="I83" s="28">
        <f t="shared" si="36"/>
        <v>54.350384572676262</v>
      </c>
    </row>
    <row r="84" spans="1:9" x14ac:dyDescent="0.3">
      <c r="A84" s="16">
        <v>2214</v>
      </c>
      <c r="B84" s="14">
        <v>44943</v>
      </c>
      <c r="C84" s="14">
        <v>47476</v>
      </c>
      <c r="D84" s="28">
        <f t="shared" si="31"/>
        <v>54.583154077218119</v>
      </c>
      <c r="E84" s="11">
        <f t="shared" si="32"/>
        <v>49149.664799999999</v>
      </c>
      <c r="F84" s="11">
        <f t="shared" si="33"/>
        <v>47476</v>
      </c>
      <c r="G84" s="78">
        <f t="shared" si="34"/>
        <v>3.4052415348313758</v>
      </c>
      <c r="H84" s="28">
        <f t="shared" si="35"/>
        <v>43412.582297000736</v>
      </c>
      <c r="I84" s="28">
        <f t="shared" si="36"/>
        <v>54.583154077218119</v>
      </c>
    </row>
    <row r="85" spans="1:9" x14ac:dyDescent="0.3">
      <c r="A85" s="16">
        <v>2215</v>
      </c>
      <c r="B85" s="14">
        <v>3800</v>
      </c>
      <c r="C85" s="14">
        <v>4120</v>
      </c>
      <c r="D85" s="28">
        <f t="shared" ref="D85:D118" si="37">I85</f>
        <v>53.415955852586279</v>
      </c>
      <c r="E85" s="11">
        <f t="shared" ref="E85:E118" si="38">B85 * 1.0936</f>
        <v>4155.6799999999994</v>
      </c>
      <c r="F85" s="11">
        <f t="shared" ref="F85:F118" si="39">C85</f>
        <v>4120</v>
      </c>
      <c r="G85" s="78">
        <f t="shared" ref="G85:G118" si="40">100- (F85/E85 *100)</f>
        <v>0.85858391406459589</v>
      </c>
      <c r="H85" s="28">
        <f t="shared" ref="H85:H118" si="41">F85/1.0936</f>
        <v>3767.3738112655451</v>
      </c>
      <c r="I85" s="28">
        <f t="shared" ref="I85:I118" si="42">((B85*48)+(H85*10))/C85</f>
        <v>53.415955852586279</v>
      </c>
    </row>
    <row r="86" spans="1:9" x14ac:dyDescent="0.3">
      <c r="A86" s="16">
        <v>2213</v>
      </c>
      <c r="B86" s="14">
        <v>24903</v>
      </c>
      <c r="C86" s="14">
        <v>24785</v>
      </c>
      <c r="D86" s="28">
        <f t="shared" si="37"/>
        <v>57.3726365101246</v>
      </c>
      <c r="E86" s="11">
        <f t="shared" si="38"/>
        <v>27233.920799999996</v>
      </c>
      <c r="F86" s="11">
        <f t="shared" si="39"/>
        <v>24785</v>
      </c>
      <c r="G86" s="78">
        <f t="shared" si="40"/>
        <v>8.9921712631256412</v>
      </c>
      <c r="H86" s="28">
        <f t="shared" si="41"/>
        <v>22663.679590343821</v>
      </c>
      <c r="I86" s="28">
        <f t="shared" si="42"/>
        <v>57.3726365101246</v>
      </c>
    </row>
    <row r="87" spans="1:9" x14ac:dyDescent="0.3">
      <c r="A87" s="16">
        <v>1639</v>
      </c>
      <c r="B87" s="14">
        <v>26048</v>
      </c>
      <c r="C87" s="14">
        <v>27444</v>
      </c>
      <c r="D87" s="28">
        <f t="shared" si="37"/>
        <v>54.702484607346186</v>
      </c>
      <c r="E87" s="11">
        <f t="shared" si="38"/>
        <v>28486.092799999999</v>
      </c>
      <c r="F87" s="11">
        <f t="shared" si="39"/>
        <v>27444</v>
      </c>
      <c r="G87" s="78">
        <f t="shared" si="40"/>
        <v>3.6582510887558328</v>
      </c>
      <c r="H87" s="28">
        <f t="shared" si="41"/>
        <v>25095.098756400879</v>
      </c>
      <c r="I87" s="28">
        <f t="shared" si="42"/>
        <v>54.702484607346186</v>
      </c>
    </row>
    <row r="88" spans="1:9" x14ac:dyDescent="0.3">
      <c r="A88" s="16">
        <v>1636</v>
      </c>
      <c r="B88" s="14">
        <v>26025</v>
      </c>
      <c r="C88" s="14">
        <v>27459</v>
      </c>
      <c r="D88" s="28">
        <f t="shared" si="37"/>
        <v>54.63739208390308</v>
      </c>
      <c r="E88" s="11">
        <f t="shared" si="38"/>
        <v>28460.94</v>
      </c>
      <c r="F88" s="11">
        <f t="shared" si="39"/>
        <v>27459</v>
      </c>
      <c r="G88" s="78">
        <f t="shared" si="40"/>
        <v>3.5204037533546</v>
      </c>
      <c r="H88" s="28">
        <f t="shared" si="41"/>
        <v>25108.814923189468</v>
      </c>
      <c r="I88" s="28">
        <f t="shared" si="42"/>
        <v>54.63739208390308</v>
      </c>
    </row>
    <row r="89" spans="1:9" x14ac:dyDescent="0.3">
      <c r="A89" s="16">
        <v>2208</v>
      </c>
      <c r="B89" s="14">
        <v>73515</v>
      </c>
      <c r="C89" s="14">
        <v>77212</v>
      </c>
      <c r="D89" s="28">
        <f t="shared" si="37"/>
        <v>54.845815590672167</v>
      </c>
      <c r="E89" s="11">
        <f t="shared" si="38"/>
        <v>80396.003999999986</v>
      </c>
      <c r="F89" s="11">
        <f t="shared" si="39"/>
        <v>77212</v>
      </c>
      <c r="G89" s="78">
        <f t="shared" si="40"/>
        <v>3.9604008179311876</v>
      </c>
      <c r="H89" s="28">
        <f t="shared" si="41"/>
        <v>70603.511338697892</v>
      </c>
      <c r="I89" s="28">
        <f t="shared" si="42"/>
        <v>54.845815590672167</v>
      </c>
    </row>
    <row r="90" spans="1:9" x14ac:dyDescent="0.3">
      <c r="A90" s="16">
        <v>2201</v>
      </c>
      <c r="B90" s="14">
        <v>83485</v>
      </c>
      <c r="C90" s="14">
        <v>87170</v>
      </c>
      <c r="D90" s="28">
        <f t="shared" si="37"/>
        <v>55.114972727323838</v>
      </c>
      <c r="E90" s="11">
        <f t="shared" si="38"/>
        <v>91299.195999999996</v>
      </c>
      <c r="F90" s="11">
        <f t="shared" si="39"/>
        <v>87170</v>
      </c>
      <c r="G90" s="78">
        <f t="shared" si="40"/>
        <v>4.5227079546242663</v>
      </c>
      <c r="H90" s="28">
        <f t="shared" si="41"/>
        <v>79709.217264081934</v>
      </c>
      <c r="I90" s="28">
        <f t="shared" si="42"/>
        <v>55.114972727323838</v>
      </c>
    </row>
    <row r="91" spans="1:9" x14ac:dyDescent="0.3">
      <c r="A91" s="16" t="s">
        <v>726</v>
      </c>
      <c r="B91" s="14">
        <v>33085</v>
      </c>
      <c r="C91" s="14">
        <v>31683</v>
      </c>
      <c r="D91" s="28">
        <f t="shared" si="37"/>
        <v>59.268152476361422</v>
      </c>
      <c r="E91" s="11">
        <f t="shared" si="38"/>
        <v>36181.755999999994</v>
      </c>
      <c r="F91" s="11">
        <f t="shared" si="39"/>
        <v>31683</v>
      </c>
      <c r="G91" s="78">
        <f t="shared" si="40"/>
        <v>12.433769107281563</v>
      </c>
      <c r="H91" s="28">
        <f t="shared" si="41"/>
        <v>28971.287490855892</v>
      </c>
      <c r="I91" s="28">
        <f t="shared" si="42"/>
        <v>59.268152476361422</v>
      </c>
    </row>
    <row r="92" spans="1:9" x14ac:dyDescent="0.3">
      <c r="A92" s="16">
        <v>2211</v>
      </c>
      <c r="B92" s="14">
        <v>7182</v>
      </c>
      <c r="C92" s="14">
        <v>7337</v>
      </c>
      <c r="D92" s="28">
        <f t="shared" si="37"/>
        <v>56.130072757064312</v>
      </c>
      <c r="E92" s="11">
        <f t="shared" si="38"/>
        <v>7854.2351999999992</v>
      </c>
      <c r="F92" s="11">
        <f t="shared" si="39"/>
        <v>7337</v>
      </c>
      <c r="G92" s="78">
        <f t="shared" si="40"/>
        <v>6.5854304948749132</v>
      </c>
      <c r="H92" s="28">
        <f t="shared" si="41"/>
        <v>6709.0343818580841</v>
      </c>
      <c r="I92" s="28">
        <f t="shared" si="42"/>
        <v>56.130072757064312</v>
      </c>
    </row>
    <row r="93" spans="1:9" x14ac:dyDescent="0.3">
      <c r="A93" s="16">
        <v>2212</v>
      </c>
      <c r="B93" s="14">
        <v>1558</v>
      </c>
      <c r="C93" s="14">
        <v>1527</v>
      </c>
      <c r="D93" s="28">
        <f t="shared" si="37"/>
        <v>58.118570917342986</v>
      </c>
      <c r="E93" s="11">
        <f t="shared" si="38"/>
        <v>1703.8287999999998</v>
      </c>
      <c r="F93" s="11">
        <f t="shared" si="39"/>
        <v>1527</v>
      </c>
      <c r="G93" s="78">
        <f t="shared" si="40"/>
        <v>10.378319699725694</v>
      </c>
      <c r="H93" s="28">
        <f t="shared" si="41"/>
        <v>1396.3057790782736</v>
      </c>
      <c r="I93" s="28">
        <f t="shared" si="42"/>
        <v>58.118570917342986</v>
      </c>
    </row>
    <row r="94" spans="1:9" x14ac:dyDescent="0.3">
      <c r="A94" s="16">
        <v>2220</v>
      </c>
      <c r="B94" s="14">
        <v>24199</v>
      </c>
      <c r="C94" s="14">
        <v>25514</v>
      </c>
      <c r="D94" s="28">
        <f t="shared" si="37"/>
        <v>54.670175314050795</v>
      </c>
      <c r="E94" s="11">
        <f t="shared" si="38"/>
        <v>26464.026399999999</v>
      </c>
      <c r="F94" s="11">
        <f t="shared" si="39"/>
        <v>25514</v>
      </c>
      <c r="G94" s="78">
        <f t="shared" si="40"/>
        <v>3.5898785227934837</v>
      </c>
      <c r="H94" s="28">
        <f t="shared" si="41"/>
        <v>23330.285296269205</v>
      </c>
      <c r="I94" s="28">
        <f t="shared" si="42"/>
        <v>54.670175314050795</v>
      </c>
    </row>
    <row r="95" spans="1:9" x14ac:dyDescent="0.3">
      <c r="A95" s="16">
        <v>2219</v>
      </c>
      <c r="B95" s="14">
        <v>23675</v>
      </c>
      <c r="C95" s="14">
        <v>24836</v>
      </c>
      <c r="D95" s="28">
        <f t="shared" si="37"/>
        <v>54.900271604696819</v>
      </c>
      <c r="E95" s="11">
        <f t="shared" si="38"/>
        <v>25890.98</v>
      </c>
      <c r="F95" s="11">
        <f t="shared" si="39"/>
        <v>24836</v>
      </c>
      <c r="G95" s="78">
        <f t="shared" si="40"/>
        <v>4.0747009190073129</v>
      </c>
      <c r="H95" s="28">
        <f t="shared" si="41"/>
        <v>22710.314557425019</v>
      </c>
      <c r="I95" s="28">
        <f t="shared" si="42"/>
        <v>54.900271604696819</v>
      </c>
    </row>
    <row r="96" spans="1:9" x14ac:dyDescent="0.3">
      <c r="A96" s="16">
        <v>2222</v>
      </c>
      <c r="B96" s="14">
        <v>9409</v>
      </c>
      <c r="C96" s="14">
        <v>10097</v>
      </c>
      <c r="D96" s="28">
        <f t="shared" si="37"/>
        <v>53.873436734632371</v>
      </c>
      <c r="E96" s="11">
        <f t="shared" si="38"/>
        <v>10289.6824</v>
      </c>
      <c r="F96" s="11">
        <f t="shared" si="39"/>
        <v>10097</v>
      </c>
      <c r="G96" s="78">
        <f t="shared" si="40"/>
        <v>1.8725786910585214</v>
      </c>
      <c r="H96" s="28">
        <f t="shared" si="41"/>
        <v>9232.809070958303</v>
      </c>
      <c r="I96" s="28">
        <f t="shared" si="42"/>
        <v>53.873436734632371</v>
      </c>
    </row>
    <row r="97" spans="1:9" x14ac:dyDescent="0.3">
      <c r="A97" s="16" t="s">
        <v>727</v>
      </c>
      <c r="B97" s="14">
        <v>4471</v>
      </c>
      <c r="C97" s="14">
        <v>4765</v>
      </c>
      <c r="D97" s="28">
        <f t="shared" si="37"/>
        <v>54.182516229118228</v>
      </c>
      <c r="E97" s="11">
        <f t="shared" si="38"/>
        <v>4889.4856</v>
      </c>
      <c r="F97" s="11">
        <f t="shared" si="39"/>
        <v>4765</v>
      </c>
      <c r="G97" s="78">
        <f t="shared" si="40"/>
        <v>2.5459856145194522</v>
      </c>
      <c r="H97" s="28">
        <f t="shared" si="41"/>
        <v>4357.1689831748354</v>
      </c>
      <c r="I97" s="28">
        <f t="shared" si="42"/>
        <v>54.182516229118228</v>
      </c>
    </row>
    <row r="98" spans="1:9" x14ac:dyDescent="0.3">
      <c r="A98" s="16">
        <v>2216</v>
      </c>
      <c r="B98" s="14">
        <v>12883</v>
      </c>
      <c r="C98" s="14">
        <v>13549</v>
      </c>
      <c r="D98" s="28">
        <f t="shared" si="37"/>
        <v>54.784675071645182</v>
      </c>
      <c r="E98" s="11">
        <f t="shared" si="38"/>
        <v>14088.848799999998</v>
      </c>
      <c r="F98" s="11">
        <f t="shared" si="39"/>
        <v>13549</v>
      </c>
      <c r="G98" s="78">
        <f t="shared" si="40"/>
        <v>3.831745287805191</v>
      </c>
      <c r="H98" s="28">
        <f t="shared" si="41"/>
        <v>12389.356254572056</v>
      </c>
      <c r="I98" s="28">
        <f t="shared" si="42"/>
        <v>54.784675071645182</v>
      </c>
    </row>
    <row r="99" spans="1:9" x14ac:dyDescent="0.3">
      <c r="A99" s="16">
        <v>2227</v>
      </c>
      <c r="B99" s="14">
        <v>12403</v>
      </c>
      <c r="C99" s="14">
        <v>11349</v>
      </c>
      <c r="D99" s="28">
        <f t="shared" si="37"/>
        <v>61.601948887343205</v>
      </c>
      <c r="E99" s="11">
        <f t="shared" si="38"/>
        <v>13563.920799999998</v>
      </c>
      <c r="F99" s="11">
        <f t="shared" si="39"/>
        <v>11349</v>
      </c>
      <c r="G99" s="78">
        <f t="shared" si="40"/>
        <v>16.329502602226924</v>
      </c>
      <c r="H99" s="28">
        <f t="shared" si="41"/>
        <v>10377.651792245795</v>
      </c>
      <c r="I99" s="28">
        <f t="shared" si="42"/>
        <v>61.601948887343205</v>
      </c>
    </row>
    <row r="100" spans="1:9" x14ac:dyDescent="0.3">
      <c r="A100" s="16">
        <v>2217</v>
      </c>
      <c r="B100" s="14">
        <v>30502</v>
      </c>
      <c r="C100" s="14">
        <v>32920</v>
      </c>
      <c r="D100" s="28">
        <f t="shared" si="37"/>
        <v>53.618473282307043</v>
      </c>
      <c r="E100" s="11">
        <f t="shared" si="38"/>
        <v>33356.987199999996</v>
      </c>
      <c r="F100" s="11">
        <f t="shared" si="39"/>
        <v>32920</v>
      </c>
      <c r="G100" s="78">
        <f t="shared" si="40"/>
        <v>1.3100319803462241</v>
      </c>
      <c r="H100" s="28">
        <f t="shared" si="41"/>
        <v>30102.414045354795</v>
      </c>
      <c r="I100" s="28">
        <f t="shared" si="42"/>
        <v>53.618473282307043</v>
      </c>
    </row>
    <row r="101" spans="1:9" x14ac:dyDescent="0.3">
      <c r="A101" s="16" t="s">
        <v>728</v>
      </c>
      <c r="B101" s="14">
        <v>39273</v>
      </c>
      <c r="C101" s="14">
        <v>9874</v>
      </c>
      <c r="D101" s="28">
        <f t="shared" si="37"/>
        <v>200.0600520471622</v>
      </c>
      <c r="E101" s="11">
        <f t="shared" si="38"/>
        <v>42948.952799999999</v>
      </c>
      <c r="F101" s="11">
        <f t="shared" si="39"/>
        <v>9874</v>
      </c>
      <c r="G101" s="78">
        <f t="shared" si="40"/>
        <v>77.009916758668908</v>
      </c>
      <c r="H101" s="28">
        <f t="shared" si="41"/>
        <v>9028.8953913679597</v>
      </c>
      <c r="I101" s="28">
        <f t="shared" si="42"/>
        <v>200.0600520471622</v>
      </c>
    </row>
    <row r="102" spans="1:9" x14ac:dyDescent="0.3">
      <c r="A102" s="16">
        <v>2225</v>
      </c>
      <c r="B102" s="14">
        <v>52646</v>
      </c>
      <c r="C102" s="14">
        <v>6914</v>
      </c>
      <c r="D102" s="28">
        <f t="shared" si="37"/>
        <v>374.63557778192057</v>
      </c>
      <c r="E102" s="11">
        <f t="shared" si="38"/>
        <v>57573.665599999993</v>
      </c>
      <c r="F102" s="11">
        <f t="shared" si="39"/>
        <v>6914</v>
      </c>
      <c r="G102" s="78">
        <f t="shared" si="40"/>
        <v>87.991037346769176</v>
      </c>
      <c r="H102" s="28">
        <f t="shared" si="41"/>
        <v>6322.2384784198985</v>
      </c>
      <c r="I102" s="28">
        <f t="shared" si="42"/>
        <v>374.63557778192057</v>
      </c>
    </row>
    <row r="103" spans="1:9" x14ac:dyDescent="0.3">
      <c r="A103" s="16" t="s">
        <v>731</v>
      </c>
      <c r="B103" s="14">
        <v>11205</v>
      </c>
      <c r="C103" s="14">
        <v>11205</v>
      </c>
      <c r="D103" s="28">
        <f t="shared" si="37"/>
        <v>57.144111192392103</v>
      </c>
      <c r="E103" s="11">
        <f t="shared" si="38"/>
        <v>12253.787999999999</v>
      </c>
      <c r="F103" s="11">
        <f t="shared" si="39"/>
        <v>11205</v>
      </c>
      <c r="G103" s="78">
        <f t="shared" si="40"/>
        <v>8.5588880760790005</v>
      </c>
      <c r="H103" s="28">
        <f t="shared" si="41"/>
        <v>10245.976591075349</v>
      </c>
      <c r="I103" s="28">
        <f t="shared" si="42"/>
        <v>57.144111192392103</v>
      </c>
    </row>
    <row r="104" spans="1:9" x14ac:dyDescent="0.3">
      <c r="A104" s="16">
        <v>2209</v>
      </c>
      <c r="B104" s="14">
        <v>5702</v>
      </c>
      <c r="C104" s="14">
        <v>5958</v>
      </c>
      <c r="D104" s="28">
        <f t="shared" si="37"/>
        <v>55.08167413297619</v>
      </c>
      <c r="E104" s="11">
        <f t="shared" si="38"/>
        <v>6235.7071999999998</v>
      </c>
      <c r="F104" s="11">
        <f t="shared" si="39"/>
        <v>5958</v>
      </c>
      <c r="G104" s="78">
        <f t="shared" si="40"/>
        <v>4.4534996768289545</v>
      </c>
      <c r="H104" s="28">
        <f t="shared" si="41"/>
        <v>5448.0614484272137</v>
      </c>
      <c r="I104" s="28">
        <f t="shared" si="42"/>
        <v>55.08167413297619</v>
      </c>
    </row>
    <row r="105" spans="1:9" x14ac:dyDescent="0.3">
      <c r="A105" s="16">
        <v>2223</v>
      </c>
      <c r="B105" s="14">
        <v>14949</v>
      </c>
      <c r="C105" s="14">
        <v>16190</v>
      </c>
      <c r="D105" s="28">
        <f t="shared" si="37"/>
        <v>53.464802977444606</v>
      </c>
      <c r="E105" s="11">
        <f t="shared" si="38"/>
        <v>16348.226399999998</v>
      </c>
      <c r="F105" s="11">
        <f t="shared" si="39"/>
        <v>16190</v>
      </c>
      <c r="G105" s="78">
        <f t="shared" si="40"/>
        <v>0.96785055533607078</v>
      </c>
      <c r="H105" s="28">
        <f t="shared" si="41"/>
        <v>14804.316020482811</v>
      </c>
      <c r="I105" s="28">
        <f t="shared" si="42"/>
        <v>53.464802977444606</v>
      </c>
    </row>
    <row r="106" spans="1:9" x14ac:dyDescent="0.3">
      <c r="A106" s="16">
        <v>2242</v>
      </c>
      <c r="B106" s="14">
        <v>24854</v>
      </c>
      <c r="C106" s="14">
        <v>25714</v>
      </c>
      <c r="D106" s="28">
        <f t="shared" si="37"/>
        <v>55.538760021823535</v>
      </c>
      <c r="E106" s="11">
        <f t="shared" si="38"/>
        <v>27180.334399999996</v>
      </c>
      <c r="F106" s="11">
        <f t="shared" si="39"/>
        <v>25714</v>
      </c>
      <c r="G106" s="78">
        <f t="shared" si="40"/>
        <v>5.3948357603723878</v>
      </c>
      <c r="H106" s="28">
        <f t="shared" si="41"/>
        <v>23513.167520117047</v>
      </c>
      <c r="I106" s="28">
        <f t="shared" si="42"/>
        <v>55.538760021823535</v>
      </c>
    </row>
    <row r="107" spans="1:9" x14ac:dyDescent="0.3">
      <c r="A107" s="16">
        <v>2232</v>
      </c>
      <c r="B107" s="14">
        <v>12052</v>
      </c>
      <c r="C107" s="14">
        <v>13016</v>
      </c>
      <c r="D107" s="28">
        <f t="shared" si="37"/>
        <v>53.58910197296985</v>
      </c>
      <c r="E107" s="11">
        <f t="shared" si="38"/>
        <v>13180.0672</v>
      </c>
      <c r="F107" s="11">
        <f t="shared" si="39"/>
        <v>13016</v>
      </c>
      <c r="G107" s="78">
        <f t="shared" si="40"/>
        <v>1.2448130765221066</v>
      </c>
      <c r="H107" s="28">
        <f t="shared" si="41"/>
        <v>11901.975128017557</v>
      </c>
      <c r="I107" s="28">
        <f t="shared" si="42"/>
        <v>53.58910197296985</v>
      </c>
    </row>
    <row r="108" spans="1:9" x14ac:dyDescent="0.3">
      <c r="A108" s="16">
        <v>2221</v>
      </c>
      <c r="B108" s="14">
        <v>11026</v>
      </c>
      <c r="C108" s="14">
        <v>11640</v>
      </c>
      <c r="D108" s="28">
        <f t="shared" si="37"/>
        <v>54.612152429505507</v>
      </c>
      <c r="E108" s="11">
        <f t="shared" si="38"/>
        <v>12058.033599999999</v>
      </c>
      <c r="F108" s="11">
        <f t="shared" si="39"/>
        <v>11640</v>
      </c>
      <c r="G108" s="78">
        <f t="shared" si="40"/>
        <v>3.4668471980373283</v>
      </c>
      <c r="H108" s="28">
        <f t="shared" si="41"/>
        <v>10643.745427944405</v>
      </c>
      <c r="I108" s="28">
        <f t="shared" si="42"/>
        <v>54.612152429505507</v>
      </c>
    </row>
    <row r="109" spans="1:9" x14ac:dyDescent="0.3">
      <c r="A109" s="16">
        <v>2230</v>
      </c>
      <c r="B109" s="14">
        <v>20189</v>
      </c>
      <c r="C109" s="14">
        <v>22169</v>
      </c>
      <c r="D109" s="28">
        <f t="shared" si="37"/>
        <v>52.857043665665586</v>
      </c>
      <c r="E109" s="11">
        <f t="shared" si="38"/>
        <v>22078.690399999999</v>
      </c>
      <c r="F109" s="11">
        <f t="shared" si="39"/>
        <v>22169</v>
      </c>
      <c r="G109" s="78">
        <f t="shared" si="40"/>
        <v>-0.40903513009087078</v>
      </c>
      <c r="H109" s="28">
        <f t="shared" si="41"/>
        <v>20271.580102414046</v>
      </c>
      <c r="I109" s="28">
        <f t="shared" si="42"/>
        <v>52.857043665665586</v>
      </c>
    </row>
    <row r="110" spans="1:9" x14ac:dyDescent="0.3">
      <c r="A110" s="16">
        <v>2231</v>
      </c>
      <c r="B110" s="14">
        <v>25816</v>
      </c>
      <c r="C110" s="14">
        <v>27352</v>
      </c>
      <c r="D110" s="28">
        <f t="shared" si="37"/>
        <v>54.448586185080025</v>
      </c>
      <c r="E110" s="11">
        <f t="shared" si="38"/>
        <v>28232.377599999996</v>
      </c>
      <c r="F110" s="11">
        <f t="shared" si="39"/>
        <v>27352</v>
      </c>
      <c r="G110" s="78">
        <f t="shared" si="40"/>
        <v>3.1183261022975017</v>
      </c>
      <c r="H110" s="28">
        <f t="shared" si="41"/>
        <v>25010.972933430872</v>
      </c>
      <c r="I110" s="28">
        <f t="shared" si="42"/>
        <v>54.448586185080025</v>
      </c>
    </row>
    <row r="111" spans="1:9" x14ac:dyDescent="0.3">
      <c r="A111" s="16">
        <v>1965</v>
      </c>
      <c r="B111" s="14">
        <v>24024</v>
      </c>
      <c r="C111" s="14">
        <v>25488</v>
      </c>
      <c r="D111" s="28">
        <f t="shared" si="37"/>
        <v>54.387049045499445</v>
      </c>
      <c r="E111" s="11">
        <f t="shared" si="38"/>
        <v>26272.646399999998</v>
      </c>
      <c r="F111" s="11">
        <f t="shared" si="39"/>
        <v>25488</v>
      </c>
      <c r="G111" s="78">
        <f t="shared" si="40"/>
        <v>2.9865525842116938</v>
      </c>
      <c r="H111" s="28">
        <f t="shared" si="41"/>
        <v>23306.510607168984</v>
      </c>
      <c r="I111" s="28">
        <f t="shared" si="42"/>
        <v>54.387049045499445</v>
      </c>
    </row>
    <row r="112" spans="1:9" x14ac:dyDescent="0.3">
      <c r="A112" s="16">
        <v>2243</v>
      </c>
      <c r="B112" s="14">
        <v>100115</v>
      </c>
      <c r="C112" s="14">
        <v>105290</v>
      </c>
      <c r="D112" s="28">
        <f t="shared" si="37"/>
        <v>54.78491278798522</v>
      </c>
      <c r="E112" s="11">
        <f t="shared" si="38"/>
        <v>109485.764</v>
      </c>
      <c r="F112" s="11">
        <f t="shared" si="39"/>
        <v>105290</v>
      </c>
      <c r="G112" s="78">
        <f t="shared" si="40"/>
        <v>3.8322461722055436</v>
      </c>
      <c r="H112" s="28">
        <f t="shared" si="41"/>
        <v>96278.346744696421</v>
      </c>
      <c r="I112" s="28">
        <f t="shared" si="42"/>
        <v>54.78491278798522</v>
      </c>
    </row>
    <row r="113" spans="1:9" x14ac:dyDescent="0.3">
      <c r="A113" s="16">
        <v>2237</v>
      </c>
      <c r="B113" s="14">
        <v>25929</v>
      </c>
      <c r="C113" s="14">
        <v>27544</v>
      </c>
      <c r="D113" s="28">
        <f t="shared" si="37"/>
        <v>54.329705151149</v>
      </c>
      <c r="E113" s="11">
        <f t="shared" si="38"/>
        <v>28355.954399999999</v>
      </c>
      <c r="F113" s="11">
        <f t="shared" si="39"/>
        <v>27544</v>
      </c>
      <c r="G113" s="78">
        <f t="shared" si="40"/>
        <v>2.8634352719935237</v>
      </c>
      <c r="H113" s="28">
        <f t="shared" si="41"/>
        <v>25186.539868324802</v>
      </c>
      <c r="I113" s="28">
        <f t="shared" si="42"/>
        <v>54.329705151149</v>
      </c>
    </row>
    <row r="114" spans="1:9" x14ac:dyDescent="0.3">
      <c r="A114" s="16" t="s">
        <v>787</v>
      </c>
      <c r="B114" s="14">
        <v>2750</v>
      </c>
      <c r="C114" s="14">
        <v>3065</v>
      </c>
      <c r="D114" s="28">
        <f t="shared" si="37"/>
        <v>52.210995368574807</v>
      </c>
      <c r="E114" s="11">
        <f t="shared" si="38"/>
        <v>3007.3999999999996</v>
      </c>
      <c r="F114" s="11">
        <f t="shared" si="39"/>
        <v>3065</v>
      </c>
      <c r="G114" s="78">
        <f t="shared" si="40"/>
        <v>-1.9152756533883206</v>
      </c>
      <c r="H114" s="28">
        <f t="shared" si="41"/>
        <v>2802.6700804681786</v>
      </c>
      <c r="I114" s="28">
        <f t="shared" si="42"/>
        <v>52.210995368574807</v>
      </c>
    </row>
    <row r="115" spans="1:9" x14ac:dyDescent="0.3">
      <c r="A115" s="16" t="s">
        <v>852</v>
      </c>
      <c r="B115" s="14">
        <v>30000</v>
      </c>
      <c r="C115" s="14">
        <v>31992</v>
      </c>
      <c r="D115" s="28">
        <f t="shared" si="37"/>
        <v>54.155364005595402</v>
      </c>
      <c r="E115" s="11">
        <f t="shared" si="38"/>
        <v>32808</v>
      </c>
      <c r="F115" s="11">
        <f t="shared" si="39"/>
        <v>31992</v>
      </c>
      <c r="G115" s="78">
        <f t="shared" si="40"/>
        <v>2.4871982443306422</v>
      </c>
      <c r="H115" s="28">
        <f t="shared" si="41"/>
        <v>29253.840526700806</v>
      </c>
      <c r="I115" s="28">
        <f t="shared" si="42"/>
        <v>54.155364005595402</v>
      </c>
    </row>
    <row r="116" spans="1:9" x14ac:dyDescent="0.3">
      <c r="A116" s="16">
        <v>2244</v>
      </c>
      <c r="B116" s="14">
        <v>49912</v>
      </c>
      <c r="C116" s="14">
        <v>52566</v>
      </c>
      <c r="D116" s="28">
        <f t="shared" si="37"/>
        <v>54.720643551711817</v>
      </c>
      <c r="E116" s="11">
        <f t="shared" si="38"/>
        <v>54583.763199999994</v>
      </c>
      <c r="F116" s="11">
        <f t="shared" si="39"/>
        <v>52566</v>
      </c>
      <c r="G116" s="78">
        <f t="shared" si="40"/>
        <v>3.6966362920173168</v>
      </c>
      <c r="H116" s="28">
        <f t="shared" si="41"/>
        <v>48066.934893928315</v>
      </c>
      <c r="I116" s="28">
        <f t="shared" si="42"/>
        <v>54.720643551711817</v>
      </c>
    </row>
    <row r="117" spans="1:9" x14ac:dyDescent="0.3">
      <c r="A117" s="16">
        <v>2238</v>
      </c>
      <c r="B117" s="14">
        <v>50235</v>
      </c>
      <c r="C117" s="14">
        <v>43785</v>
      </c>
      <c r="D117" s="28">
        <f t="shared" si="37"/>
        <v>64.215025889206089</v>
      </c>
      <c r="E117" s="11">
        <f t="shared" si="38"/>
        <v>54936.995999999992</v>
      </c>
      <c r="F117" s="11">
        <f t="shared" si="39"/>
        <v>43785</v>
      </c>
      <c r="G117" s="78">
        <f t="shared" si="40"/>
        <v>20.299610120655302</v>
      </c>
      <c r="H117" s="28">
        <f t="shared" si="41"/>
        <v>40037.490855888813</v>
      </c>
      <c r="I117" s="28">
        <f t="shared" si="42"/>
        <v>64.215025889206089</v>
      </c>
    </row>
    <row r="118" spans="1:9" x14ac:dyDescent="0.3">
      <c r="A118" s="16" t="s">
        <v>890</v>
      </c>
      <c r="B118" s="14">
        <v>28918</v>
      </c>
      <c r="C118" s="14">
        <v>30765</v>
      </c>
      <c r="D118" s="28">
        <f t="shared" si="37"/>
        <v>54.262394956409658</v>
      </c>
      <c r="E118" s="11">
        <f t="shared" si="38"/>
        <v>31624.724799999996</v>
      </c>
      <c r="F118" s="11">
        <f t="shared" si="39"/>
        <v>30765</v>
      </c>
      <c r="G118" s="78">
        <f t="shared" si="40"/>
        <v>2.7185210478100146</v>
      </c>
      <c r="H118" s="28">
        <f t="shared" si="41"/>
        <v>28131.858083394298</v>
      </c>
      <c r="I118" s="28">
        <f t="shared" si="42"/>
        <v>54.262394956409658</v>
      </c>
    </row>
    <row r="119" spans="1:9" x14ac:dyDescent="0.3">
      <c r="A119" s="16" t="s">
        <v>891</v>
      </c>
      <c r="B119" s="14">
        <v>15696</v>
      </c>
      <c r="C119" s="14">
        <v>15803</v>
      </c>
      <c r="D119" s="28">
        <f t="shared" ref="D119:D127" si="43">I119</f>
        <v>56.819109610413996</v>
      </c>
      <c r="E119" s="11">
        <f t="shared" ref="E119:E127" si="44">B119 * 1.0936</f>
        <v>17165.1456</v>
      </c>
      <c r="F119" s="11">
        <f t="shared" ref="F119:F127" si="45">C119</f>
        <v>15803</v>
      </c>
      <c r="G119" s="78">
        <f t="shared" ref="G119:G127" si="46">100- (F119/E119 *100)</f>
        <v>7.9355318722143551</v>
      </c>
      <c r="H119" s="28">
        <f t="shared" ref="H119:H127" si="47">F119/1.0936</f>
        <v>14450.438917337236</v>
      </c>
      <c r="I119" s="28">
        <f t="shared" ref="I119:I127" si="48">((B119*48)+(H119*10))/C119</f>
        <v>56.819109610413996</v>
      </c>
    </row>
    <row r="120" spans="1:9" x14ac:dyDescent="0.3">
      <c r="A120" s="16">
        <v>2184</v>
      </c>
      <c r="B120" s="14">
        <v>4568</v>
      </c>
      <c r="C120" s="14">
        <v>4647</v>
      </c>
      <c r="D120" s="28">
        <f t="shared" si="43"/>
        <v>56.328100863147426</v>
      </c>
      <c r="E120" s="11">
        <f t="shared" si="44"/>
        <v>4995.5647999999992</v>
      </c>
      <c r="F120" s="11">
        <f t="shared" si="45"/>
        <v>4647</v>
      </c>
      <c r="G120" s="78">
        <f t="shared" si="46"/>
        <v>6.9774853085681059</v>
      </c>
      <c r="H120" s="28">
        <f t="shared" si="47"/>
        <v>4249.2684711046086</v>
      </c>
      <c r="I120" s="28">
        <f t="shared" si="48"/>
        <v>56.328100863147426</v>
      </c>
    </row>
    <row r="121" spans="1:9" x14ac:dyDescent="0.3">
      <c r="A121" s="16">
        <v>2247</v>
      </c>
      <c r="B121" s="14">
        <v>9028</v>
      </c>
      <c r="C121" s="14">
        <v>9579</v>
      </c>
      <c r="D121" s="28">
        <f t="shared" si="43"/>
        <v>54.383071417885361</v>
      </c>
      <c r="E121" s="11">
        <f t="shared" si="44"/>
        <v>9873.0207999999984</v>
      </c>
      <c r="F121" s="11">
        <f t="shared" si="45"/>
        <v>9579</v>
      </c>
      <c r="G121" s="78">
        <f t="shared" si="46"/>
        <v>2.978022693925638</v>
      </c>
      <c r="H121" s="28">
        <f t="shared" si="47"/>
        <v>8759.1441111923923</v>
      </c>
      <c r="I121" s="28">
        <f t="shared" si="48"/>
        <v>54.383071417885361</v>
      </c>
    </row>
    <row r="122" spans="1:9" x14ac:dyDescent="0.3">
      <c r="A122" s="16">
        <v>2249</v>
      </c>
      <c r="B122" s="14">
        <v>40536</v>
      </c>
      <c r="C122" s="14">
        <v>42361</v>
      </c>
      <c r="D122" s="28">
        <f t="shared" si="43"/>
        <v>55.076171342058075</v>
      </c>
      <c r="E122" s="11">
        <f t="shared" si="44"/>
        <v>44330.169599999994</v>
      </c>
      <c r="F122" s="11">
        <f t="shared" si="45"/>
        <v>42361</v>
      </c>
      <c r="G122" s="78">
        <f t="shared" si="46"/>
        <v>4.4420529354347309</v>
      </c>
      <c r="H122" s="28">
        <f t="shared" si="47"/>
        <v>38735.369422092175</v>
      </c>
      <c r="I122" s="28">
        <f t="shared" si="48"/>
        <v>55.076171342058075</v>
      </c>
    </row>
    <row r="123" spans="1:9" x14ac:dyDescent="0.3">
      <c r="A123" s="16">
        <v>2236</v>
      </c>
      <c r="B123" s="14">
        <v>47555</v>
      </c>
      <c r="C123" s="14">
        <v>6089</v>
      </c>
      <c r="D123" s="28">
        <f t="shared" si="43"/>
        <v>384.02340171628765</v>
      </c>
      <c r="E123" s="11">
        <f t="shared" si="44"/>
        <v>52006.147999999994</v>
      </c>
      <c r="F123" s="11">
        <f t="shared" si="45"/>
        <v>6089</v>
      </c>
      <c r="G123" s="78">
        <f t="shared" si="46"/>
        <v>88.291768888555254</v>
      </c>
      <c r="H123" s="28">
        <f t="shared" si="47"/>
        <v>5567.8493050475499</v>
      </c>
      <c r="I123" s="28">
        <f t="shared" si="48"/>
        <v>384.02340171628765</v>
      </c>
    </row>
    <row r="124" spans="1:9" x14ac:dyDescent="0.3">
      <c r="A124" s="16">
        <v>2239</v>
      </c>
      <c r="B124" s="14">
        <v>47555</v>
      </c>
      <c r="C124" s="14">
        <v>13484</v>
      </c>
      <c r="D124" s="28">
        <f t="shared" si="43"/>
        <v>178.42918980408004</v>
      </c>
      <c r="E124" s="11">
        <f t="shared" si="44"/>
        <v>52006.147999999994</v>
      </c>
      <c r="F124" s="11">
        <f t="shared" si="45"/>
        <v>13484</v>
      </c>
      <c r="G124" s="78">
        <f t="shared" si="46"/>
        <v>74.072296221592879</v>
      </c>
      <c r="H124" s="28">
        <f t="shared" si="47"/>
        <v>12329.919531821508</v>
      </c>
      <c r="I124" s="28">
        <f t="shared" si="48"/>
        <v>178.42918980408004</v>
      </c>
    </row>
    <row r="125" spans="1:9" x14ac:dyDescent="0.3">
      <c r="A125" s="16">
        <v>2250</v>
      </c>
      <c r="B125" s="14">
        <v>14961</v>
      </c>
      <c r="C125" s="14">
        <v>14807</v>
      </c>
      <c r="D125" s="28">
        <f t="shared" si="43"/>
        <v>57.643334532704117</v>
      </c>
      <c r="E125" s="11">
        <f t="shared" si="44"/>
        <v>16361.349599999998</v>
      </c>
      <c r="F125" s="11">
        <f t="shared" si="45"/>
        <v>14807</v>
      </c>
      <c r="G125" s="78">
        <f t="shared" si="46"/>
        <v>9.5001307227124983</v>
      </c>
      <c r="H125" s="28">
        <f t="shared" si="47"/>
        <v>13539.685442574983</v>
      </c>
      <c r="I125" s="28">
        <f t="shared" si="48"/>
        <v>57.643334532704117</v>
      </c>
    </row>
    <row r="126" spans="1:9" x14ac:dyDescent="0.3">
      <c r="A126" s="16">
        <v>2251</v>
      </c>
      <c r="B126" s="14">
        <v>28877</v>
      </c>
      <c r="C126" s="14">
        <v>28998</v>
      </c>
      <c r="D126" s="28">
        <f t="shared" si="43"/>
        <v>56.943821517242093</v>
      </c>
      <c r="E126" s="11">
        <f t="shared" si="44"/>
        <v>31579.887199999997</v>
      </c>
      <c r="F126" s="11">
        <f t="shared" si="45"/>
        <v>28998</v>
      </c>
      <c r="G126" s="78">
        <f t="shared" si="46"/>
        <v>8.1757328126238491</v>
      </c>
      <c r="H126" s="28">
        <f t="shared" si="47"/>
        <v>26516.093635698613</v>
      </c>
      <c r="I126" s="28">
        <f t="shared" si="48"/>
        <v>56.943821517242093</v>
      </c>
    </row>
    <row r="127" spans="1:9" x14ac:dyDescent="0.3">
      <c r="A127" s="16">
        <v>2252</v>
      </c>
      <c r="B127" s="14">
        <v>10038</v>
      </c>
      <c r="C127" s="14">
        <v>10382</v>
      </c>
      <c r="D127" s="28">
        <f t="shared" si="43"/>
        <v>55.553666191428896</v>
      </c>
      <c r="E127" s="11">
        <f t="shared" si="44"/>
        <v>10977.556799999998</v>
      </c>
      <c r="F127" s="11">
        <f t="shared" si="45"/>
        <v>10382</v>
      </c>
      <c r="G127" s="78">
        <f t="shared" si="46"/>
        <v>5.4252217579051774</v>
      </c>
      <c r="H127" s="28">
        <f t="shared" si="47"/>
        <v>9493.4162399414781</v>
      </c>
      <c r="I127" s="28">
        <f t="shared" si="48"/>
        <v>55.553666191428896</v>
      </c>
    </row>
    <row r="128" spans="1:9" x14ac:dyDescent="0.3">
      <c r="A128" s="16" t="s">
        <v>906</v>
      </c>
      <c r="B128" s="14">
        <v>14953</v>
      </c>
      <c r="C128" s="14">
        <v>8881</v>
      </c>
      <c r="D128" s="28">
        <f t="shared" ref="D128" si="49">I128</f>
        <v>89.962037101636554</v>
      </c>
      <c r="E128" s="11">
        <f t="shared" ref="E128" si="50">B128 * 1.0936</f>
        <v>16352.600799999998</v>
      </c>
      <c r="F128" s="11">
        <f t="shared" ref="F128" si="51">C128</f>
        <v>8881</v>
      </c>
      <c r="G128" s="78">
        <f t="shared" ref="G128" si="52">100- (F128/E128 *100)</f>
        <v>45.69059620167576</v>
      </c>
      <c r="H128" s="28">
        <f t="shared" ref="H128" si="53">F128/1.0936</f>
        <v>8120.8851499634238</v>
      </c>
      <c r="I128" s="28">
        <f t="shared" ref="I128" si="54">((B128*48)+(H128*10))/C128</f>
        <v>89.962037101636554</v>
      </c>
    </row>
    <row r="129" spans="1:9" x14ac:dyDescent="0.3">
      <c r="A129" s="16" t="s">
        <v>907</v>
      </c>
      <c r="B129" s="14">
        <v>12403</v>
      </c>
      <c r="C129" s="14">
        <v>4519</v>
      </c>
      <c r="D129" s="28">
        <f t="shared" ref="D129:D149" si="55">I129</f>
        <v>140.88653208196945</v>
      </c>
      <c r="E129" s="11">
        <f t="shared" ref="E129:E149" si="56">B129 * 1.0936</f>
        <v>13563.920799999998</v>
      </c>
      <c r="F129" s="11">
        <f t="shared" ref="F129:F149" si="57">C129</f>
        <v>4519</v>
      </c>
      <c r="G129" s="78">
        <f t="shared" ref="G129:G149" si="58">100- (F129/E129 *100)</f>
        <v>66.683674531629521</v>
      </c>
      <c r="H129" s="28">
        <f t="shared" ref="H129:H149" si="59">F129/1.0936</f>
        <v>4132.2238478419904</v>
      </c>
      <c r="I129" s="28">
        <f t="shared" ref="I129:I149" si="60">((B129*48)+(H129*10))/C129</f>
        <v>140.88653208196945</v>
      </c>
    </row>
    <row r="130" spans="1:9" x14ac:dyDescent="0.3">
      <c r="A130" s="16">
        <v>2256</v>
      </c>
      <c r="B130" s="14">
        <v>6400</v>
      </c>
      <c r="C130" s="14">
        <v>6660</v>
      </c>
      <c r="D130" s="28">
        <f t="shared" si="55"/>
        <v>55.270237318518227</v>
      </c>
      <c r="E130" s="11">
        <f t="shared" si="56"/>
        <v>6999.0399999999991</v>
      </c>
      <c r="F130" s="11">
        <f t="shared" si="57"/>
        <v>6660</v>
      </c>
      <c r="G130" s="78">
        <f t="shared" si="58"/>
        <v>4.844092904169699</v>
      </c>
      <c r="H130" s="28">
        <f t="shared" si="59"/>
        <v>6089.9780541331384</v>
      </c>
      <c r="I130" s="28">
        <f t="shared" si="60"/>
        <v>55.270237318518227</v>
      </c>
    </row>
    <row r="131" spans="1:9" x14ac:dyDescent="0.3">
      <c r="A131" s="16" t="s">
        <v>929</v>
      </c>
      <c r="B131" s="14">
        <v>50000</v>
      </c>
      <c r="C131" s="14">
        <v>53438</v>
      </c>
      <c r="D131" s="28">
        <f t="shared" si="55"/>
        <v>54.055971666212223</v>
      </c>
      <c r="E131" s="11">
        <f t="shared" si="56"/>
        <v>54679.999999999993</v>
      </c>
      <c r="F131" s="11">
        <f t="shared" si="57"/>
        <v>53438</v>
      </c>
      <c r="G131" s="78">
        <f t="shared" si="58"/>
        <v>2.2713972201901811</v>
      </c>
      <c r="H131" s="28">
        <f t="shared" si="59"/>
        <v>48864.301389904904</v>
      </c>
      <c r="I131" s="28">
        <f t="shared" si="60"/>
        <v>54.055971666212223</v>
      </c>
    </row>
    <row r="132" spans="1:9" x14ac:dyDescent="0.3">
      <c r="A132" s="16">
        <v>2259</v>
      </c>
      <c r="B132" s="14">
        <v>28661</v>
      </c>
      <c r="C132" s="14">
        <v>28761</v>
      </c>
      <c r="D132" s="28">
        <f t="shared" si="55"/>
        <v>56.977218525238662</v>
      </c>
      <c r="E132" s="11">
        <f t="shared" si="56"/>
        <v>31343.669599999997</v>
      </c>
      <c r="F132" s="11">
        <f t="shared" si="57"/>
        <v>28761</v>
      </c>
      <c r="G132" s="78">
        <f t="shared" si="58"/>
        <v>8.2398443863126829</v>
      </c>
      <c r="H132" s="28">
        <f t="shared" si="59"/>
        <v>26299.378200438921</v>
      </c>
      <c r="I132" s="28">
        <f t="shared" si="60"/>
        <v>56.977218525238662</v>
      </c>
    </row>
    <row r="133" spans="1:9" x14ac:dyDescent="0.3">
      <c r="A133" s="16">
        <v>2261</v>
      </c>
      <c r="B133" s="14">
        <v>1209</v>
      </c>
      <c r="C133" s="14">
        <v>1212</v>
      </c>
      <c r="D133" s="28">
        <f t="shared" si="55"/>
        <v>57.02529931120398</v>
      </c>
      <c r="E133" s="11">
        <f t="shared" si="56"/>
        <v>1322.1623999999999</v>
      </c>
      <c r="F133" s="11">
        <f t="shared" si="57"/>
        <v>1212</v>
      </c>
      <c r="G133" s="78">
        <f t="shared" si="58"/>
        <v>8.3319870539352792</v>
      </c>
      <c r="H133" s="28">
        <f t="shared" si="59"/>
        <v>1108.2662765179225</v>
      </c>
      <c r="I133" s="28">
        <f t="shared" si="60"/>
        <v>57.02529931120398</v>
      </c>
    </row>
    <row r="134" spans="1:9" x14ac:dyDescent="0.3">
      <c r="A134" s="16">
        <v>2260</v>
      </c>
      <c r="B134" s="14">
        <v>2441</v>
      </c>
      <c r="C134" s="14">
        <v>2439</v>
      </c>
      <c r="D134" s="28">
        <f t="shared" si="55"/>
        <v>57.183471585996038</v>
      </c>
      <c r="E134" s="11">
        <f t="shared" si="56"/>
        <v>2669.4775999999997</v>
      </c>
      <c r="F134" s="11">
        <f t="shared" si="57"/>
        <v>2439</v>
      </c>
      <c r="G134" s="78">
        <f t="shared" si="58"/>
        <v>8.6338091018257472</v>
      </c>
      <c r="H134" s="28">
        <f t="shared" si="59"/>
        <v>2230.2487198244335</v>
      </c>
      <c r="I134" s="28">
        <f t="shared" si="60"/>
        <v>57.183471585996038</v>
      </c>
    </row>
    <row r="135" spans="1:9" x14ac:dyDescent="0.3">
      <c r="A135" s="16">
        <v>2254</v>
      </c>
      <c r="B135" s="14">
        <v>30184</v>
      </c>
      <c r="C135" s="14">
        <v>31912</v>
      </c>
      <c r="D135" s="28">
        <f t="shared" si="55"/>
        <v>54.544963536337953</v>
      </c>
      <c r="E135" s="11">
        <f t="shared" si="56"/>
        <v>33009.222399999999</v>
      </c>
      <c r="F135" s="11">
        <f t="shared" si="57"/>
        <v>31912</v>
      </c>
      <c r="G135" s="78">
        <f t="shared" si="58"/>
        <v>3.3239874199520614</v>
      </c>
      <c r="H135" s="28">
        <f t="shared" si="59"/>
        <v>29180.687637161671</v>
      </c>
      <c r="I135" s="28">
        <f t="shared" si="60"/>
        <v>54.544963536337953</v>
      </c>
    </row>
    <row r="136" spans="1:9" x14ac:dyDescent="0.3">
      <c r="A136" s="16">
        <v>2253</v>
      </c>
      <c r="B136" s="14">
        <v>9273</v>
      </c>
      <c r="C136" s="14">
        <v>9916</v>
      </c>
      <c r="D136" s="28">
        <f t="shared" si="55"/>
        <v>54.031565811189999</v>
      </c>
      <c r="E136" s="11">
        <f t="shared" si="56"/>
        <v>10140.952799999999</v>
      </c>
      <c r="F136" s="11">
        <f t="shared" si="57"/>
        <v>9916</v>
      </c>
      <c r="G136" s="78">
        <f t="shared" si="58"/>
        <v>2.2182609902296235</v>
      </c>
      <c r="H136" s="28">
        <f t="shared" si="59"/>
        <v>9067.300658376007</v>
      </c>
      <c r="I136" s="28">
        <f t="shared" si="60"/>
        <v>54.031565811189999</v>
      </c>
    </row>
    <row r="137" spans="1:9" x14ac:dyDescent="0.3">
      <c r="A137" s="16">
        <v>2267</v>
      </c>
      <c r="B137" s="14">
        <v>16511</v>
      </c>
      <c r="C137" s="14">
        <v>17763</v>
      </c>
      <c r="D137" s="28">
        <f t="shared" si="55"/>
        <v>53.7608988971717</v>
      </c>
      <c r="E137" s="11">
        <f t="shared" si="56"/>
        <v>18056.429599999999</v>
      </c>
      <c r="F137" s="11">
        <f t="shared" si="57"/>
        <v>17763</v>
      </c>
      <c r="G137" s="78">
        <f t="shared" si="58"/>
        <v>1.6250698864630522</v>
      </c>
      <c r="H137" s="28">
        <f t="shared" si="59"/>
        <v>16242.684711046088</v>
      </c>
      <c r="I137" s="28">
        <f t="shared" si="60"/>
        <v>53.7608988971717</v>
      </c>
    </row>
    <row r="138" spans="1:9" x14ac:dyDescent="0.3">
      <c r="A138" s="16">
        <v>2269</v>
      </c>
      <c r="B138" s="14">
        <v>4869</v>
      </c>
      <c r="C138" s="14">
        <v>5141</v>
      </c>
      <c r="D138" s="28">
        <f t="shared" si="55"/>
        <v>54.604527453819834</v>
      </c>
      <c r="E138" s="11">
        <f t="shared" si="56"/>
        <v>5324.7383999999993</v>
      </c>
      <c r="F138" s="11">
        <f t="shared" si="57"/>
        <v>5141</v>
      </c>
      <c r="G138" s="78">
        <f t="shared" si="58"/>
        <v>3.4506559045229324</v>
      </c>
      <c r="H138" s="28">
        <f t="shared" si="59"/>
        <v>4700.9875640087785</v>
      </c>
      <c r="I138" s="28">
        <f t="shared" si="60"/>
        <v>54.604527453819834</v>
      </c>
    </row>
    <row r="139" spans="1:9" x14ac:dyDescent="0.3">
      <c r="A139" s="16">
        <v>2245</v>
      </c>
      <c r="B139" s="14">
        <v>14953</v>
      </c>
      <c r="C139" s="14">
        <v>7256</v>
      </c>
      <c r="D139" s="28">
        <f t="shared" si="55"/>
        <v>108.06142100496101</v>
      </c>
      <c r="E139" s="11">
        <f t="shared" si="56"/>
        <v>16352.600799999998</v>
      </c>
      <c r="F139" s="11">
        <f t="shared" si="57"/>
        <v>7256</v>
      </c>
      <c r="G139" s="78">
        <f t="shared" si="58"/>
        <v>55.627853399319818</v>
      </c>
      <c r="H139" s="28">
        <f t="shared" si="59"/>
        <v>6634.9670811997075</v>
      </c>
      <c r="I139" s="28">
        <f t="shared" si="60"/>
        <v>108.06142100496101</v>
      </c>
    </row>
    <row r="140" spans="1:9" x14ac:dyDescent="0.3">
      <c r="A140" s="16" t="s">
        <v>1030</v>
      </c>
      <c r="B140" s="14">
        <v>27569</v>
      </c>
      <c r="C140" s="14">
        <v>11620</v>
      </c>
      <c r="D140" s="28">
        <f t="shared" si="55"/>
        <v>123.02638313731464</v>
      </c>
      <c r="E140" s="11">
        <f t="shared" si="56"/>
        <v>30149.458399999996</v>
      </c>
      <c r="F140" s="11">
        <f t="shared" si="57"/>
        <v>11620</v>
      </c>
      <c r="G140" s="78">
        <f t="shared" si="58"/>
        <v>61.458677479924475</v>
      </c>
      <c r="H140" s="28">
        <f t="shared" si="59"/>
        <v>10625.45720555962</v>
      </c>
      <c r="I140" s="28">
        <f t="shared" si="60"/>
        <v>123.02638313731464</v>
      </c>
    </row>
    <row r="141" spans="1:9" x14ac:dyDescent="0.3">
      <c r="A141" s="16">
        <v>2262</v>
      </c>
      <c r="B141" s="14">
        <v>7211</v>
      </c>
      <c r="C141" s="14">
        <v>7480</v>
      </c>
      <c r="D141" s="28">
        <f t="shared" si="55"/>
        <v>55.417907983835953</v>
      </c>
      <c r="E141" s="11">
        <f t="shared" si="56"/>
        <v>7885.949599999999</v>
      </c>
      <c r="F141" s="11">
        <f t="shared" si="57"/>
        <v>7480</v>
      </c>
      <c r="G141" s="78">
        <f t="shared" si="58"/>
        <v>5.1477579821204955</v>
      </c>
      <c r="H141" s="28">
        <f t="shared" si="59"/>
        <v>6839.7951719092907</v>
      </c>
      <c r="I141" s="28">
        <f t="shared" si="60"/>
        <v>55.417907983835953</v>
      </c>
    </row>
    <row r="142" spans="1:9" x14ac:dyDescent="0.3">
      <c r="A142" s="16">
        <v>2257</v>
      </c>
      <c r="B142" s="14">
        <v>2977</v>
      </c>
      <c r="C142" s="14">
        <v>3200</v>
      </c>
      <c r="D142" s="28">
        <f t="shared" si="55"/>
        <v>53.799111192392104</v>
      </c>
      <c r="E142" s="11">
        <f t="shared" si="56"/>
        <v>3255.6471999999999</v>
      </c>
      <c r="F142" s="11">
        <f t="shared" si="57"/>
        <v>3200</v>
      </c>
      <c r="G142" s="78">
        <f t="shared" si="58"/>
        <v>1.7092515429804536</v>
      </c>
      <c r="H142" s="28">
        <f t="shared" si="59"/>
        <v>2926.115581565472</v>
      </c>
      <c r="I142" s="28">
        <f t="shared" si="60"/>
        <v>53.799111192392104</v>
      </c>
    </row>
    <row r="143" spans="1:9" x14ac:dyDescent="0.3">
      <c r="A143" s="16">
        <v>2258</v>
      </c>
      <c r="B143" s="14">
        <v>36789</v>
      </c>
      <c r="C143" s="14">
        <v>38686</v>
      </c>
      <c r="D143" s="28">
        <f t="shared" si="55"/>
        <v>54.790391500513905</v>
      </c>
      <c r="E143" s="11">
        <f t="shared" si="56"/>
        <v>40232.450399999994</v>
      </c>
      <c r="F143" s="11">
        <f t="shared" si="57"/>
        <v>38686</v>
      </c>
      <c r="G143" s="78">
        <f t="shared" si="58"/>
        <v>3.8437887442222376</v>
      </c>
      <c r="H143" s="28">
        <f t="shared" si="59"/>
        <v>35374.908558888077</v>
      </c>
      <c r="I143" s="28">
        <f t="shared" si="60"/>
        <v>54.790391500513905</v>
      </c>
    </row>
    <row r="144" spans="1:9" x14ac:dyDescent="0.3">
      <c r="A144" s="16" t="s">
        <v>1033</v>
      </c>
      <c r="B144" s="14">
        <v>12033</v>
      </c>
      <c r="C144" s="14">
        <v>12741</v>
      </c>
      <c r="D144" s="28">
        <f t="shared" si="55"/>
        <v>54.476816631525608</v>
      </c>
      <c r="E144" s="11">
        <f t="shared" si="56"/>
        <v>13159.288799999998</v>
      </c>
      <c r="F144" s="11">
        <f t="shared" si="57"/>
        <v>12741</v>
      </c>
      <c r="G144" s="78">
        <f t="shared" si="58"/>
        <v>3.178658104988159</v>
      </c>
      <c r="H144" s="28">
        <f t="shared" si="59"/>
        <v>11650.512070226774</v>
      </c>
      <c r="I144" s="28">
        <f t="shared" si="60"/>
        <v>54.476816631525608</v>
      </c>
    </row>
    <row r="145" spans="1:9" x14ac:dyDescent="0.3">
      <c r="A145" s="16">
        <v>2271</v>
      </c>
      <c r="B145" s="14"/>
      <c r="C145" s="14">
        <v>1611</v>
      </c>
      <c r="D145" s="28">
        <f t="shared" si="55"/>
        <v>9.144111192392101</v>
      </c>
      <c r="E145" s="11">
        <f t="shared" si="56"/>
        <v>0</v>
      </c>
      <c r="F145" s="11">
        <f t="shared" si="57"/>
        <v>1611</v>
      </c>
      <c r="G145" s="78" t="e">
        <f t="shared" si="58"/>
        <v>#DIV/0!</v>
      </c>
      <c r="H145" s="28">
        <f t="shared" si="59"/>
        <v>1473.1163130943673</v>
      </c>
      <c r="I145" s="28">
        <f t="shared" si="60"/>
        <v>9.144111192392101</v>
      </c>
    </row>
    <row r="146" spans="1:9" x14ac:dyDescent="0.3">
      <c r="A146" s="16">
        <v>2278</v>
      </c>
      <c r="B146" s="14">
        <v>21989</v>
      </c>
      <c r="C146" s="14">
        <v>23571</v>
      </c>
      <c r="D146" s="28">
        <f t="shared" si="55"/>
        <v>53.922525345376705</v>
      </c>
      <c r="E146" s="11">
        <f t="shared" si="56"/>
        <v>24047.170399999999</v>
      </c>
      <c r="F146" s="11">
        <f t="shared" si="57"/>
        <v>23571</v>
      </c>
      <c r="G146" s="78">
        <f t="shared" si="58"/>
        <v>1.9801514776141715</v>
      </c>
      <c r="H146" s="28">
        <f t="shared" si="59"/>
        <v>21553.584491587419</v>
      </c>
      <c r="I146" s="28">
        <f t="shared" si="60"/>
        <v>53.922525345376705</v>
      </c>
    </row>
    <row r="147" spans="1:9" x14ac:dyDescent="0.3">
      <c r="A147" s="16">
        <v>2276</v>
      </c>
      <c r="B147" s="14">
        <v>14222</v>
      </c>
      <c r="C147" s="14">
        <v>15277</v>
      </c>
      <c r="D147" s="28">
        <f t="shared" si="55"/>
        <v>53.829324257784521</v>
      </c>
      <c r="E147" s="11">
        <f t="shared" si="56"/>
        <v>15553.179199999999</v>
      </c>
      <c r="F147" s="11">
        <f t="shared" si="57"/>
        <v>15277</v>
      </c>
      <c r="G147" s="78">
        <f t="shared" si="58"/>
        <v>1.7757089817366705</v>
      </c>
      <c r="H147" s="28">
        <f t="shared" si="59"/>
        <v>13969.458668617412</v>
      </c>
      <c r="I147" s="28">
        <f t="shared" si="60"/>
        <v>53.829324257784521</v>
      </c>
    </row>
    <row r="148" spans="1:9" x14ac:dyDescent="0.3">
      <c r="A148" s="16">
        <v>2264</v>
      </c>
      <c r="B148" s="14">
        <v>10346</v>
      </c>
      <c r="C148" s="14">
        <v>10516</v>
      </c>
      <c r="D148" s="28">
        <f t="shared" si="55"/>
        <v>56.368150751159689</v>
      </c>
      <c r="E148" s="11">
        <f t="shared" si="56"/>
        <v>11314.3856</v>
      </c>
      <c r="F148" s="11">
        <f t="shared" si="57"/>
        <v>10516</v>
      </c>
      <c r="G148" s="78">
        <f t="shared" si="58"/>
        <v>7.0563760881545363</v>
      </c>
      <c r="H148" s="28">
        <f t="shared" si="59"/>
        <v>9615.9473299195324</v>
      </c>
      <c r="I148" s="28">
        <f t="shared" si="60"/>
        <v>56.368150751159689</v>
      </c>
    </row>
    <row r="149" spans="1:9" x14ac:dyDescent="0.3">
      <c r="A149" s="16">
        <v>2272</v>
      </c>
      <c r="B149" s="14">
        <v>1641</v>
      </c>
      <c r="C149" s="14">
        <v>1730</v>
      </c>
      <c r="D149" s="28">
        <f t="shared" si="55"/>
        <v>54.674747030542392</v>
      </c>
      <c r="E149" s="11">
        <f t="shared" si="56"/>
        <v>1794.5975999999998</v>
      </c>
      <c r="F149" s="11">
        <f t="shared" si="57"/>
        <v>1730</v>
      </c>
      <c r="G149" s="78">
        <f t="shared" si="58"/>
        <v>3.5995590320637803</v>
      </c>
      <c r="H149" s="28">
        <f t="shared" si="59"/>
        <v>1581.9312362838334</v>
      </c>
      <c r="I149" s="28">
        <f t="shared" si="60"/>
        <v>54.674747030542392</v>
      </c>
    </row>
    <row r="150" spans="1:9" x14ac:dyDescent="0.3">
      <c r="A150" s="16">
        <v>2268</v>
      </c>
      <c r="B150" s="14">
        <v>2492</v>
      </c>
      <c r="C150" s="14">
        <v>2582</v>
      </c>
      <c r="D150" s="28">
        <f t="shared" ref="D150:D191" si="61">I150</f>
        <v>55.470989581237951</v>
      </c>
      <c r="E150" s="11">
        <f t="shared" ref="E150:E191" si="62">B150 * 1.0936</f>
        <v>2725.2511999999997</v>
      </c>
      <c r="F150" s="11">
        <f t="shared" ref="F150:F191" si="63">C150</f>
        <v>2582</v>
      </c>
      <c r="G150" s="78">
        <f t="shared" ref="G150:G191" si="64">100- (F150/E150 *100)</f>
        <v>5.256440213658081</v>
      </c>
      <c r="H150" s="28">
        <f t="shared" ref="H150:H191" si="65">F150/1.0936</f>
        <v>2361.0095098756401</v>
      </c>
      <c r="I150" s="28">
        <f t="shared" ref="I150:I191" si="66">((B150*48)+(H150*10))/C150</f>
        <v>55.470989581237951</v>
      </c>
    </row>
    <row r="151" spans="1:9" x14ac:dyDescent="0.3">
      <c r="A151" s="16">
        <v>2277</v>
      </c>
      <c r="B151" s="14">
        <v>7310</v>
      </c>
      <c r="C151" s="14">
        <v>7534</v>
      </c>
      <c r="D151" s="28">
        <f t="shared" si="61"/>
        <v>55.716980849944534</v>
      </c>
      <c r="E151" s="11">
        <f t="shared" si="62"/>
        <v>7994.2159999999994</v>
      </c>
      <c r="F151" s="11">
        <f t="shared" si="63"/>
        <v>7534</v>
      </c>
      <c r="G151" s="78">
        <f t="shared" si="64"/>
        <v>5.7568622113788166</v>
      </c>
      <c r="H151" s="28">
        <f t="shared" si="65"/>
        <v>6889.1733723482084</v>
      </c>
      <c r="I151" s="28">
        <f t="shared" si="66"/>
        <v>55.716980849944534</v>
      </c>
    </row>
    <row r="152" spans="1:9" x14ac:dyDescent="0.3">
      <c r="A152" s="16">
        <v>2266</v>
      </c>
      <c r="B152" s="14">
        <v>13467</v>
      </c>
      <c r="C152" s="14">
        <v>13975</v>
      </c>
      <c r="D152" s="28">
        <f t="shared" si="61"/>
        <v>55.399281138724838</v>
      </c>
      <c r="E152" s="11">
        <f t="shared" si="62"/>
        <v>14727.511199999999</v>
      </c>
      <c r="F152" s="11">
        <f t="shared" si="63"/>
        <v>13975</v>
      </c>
      <c r="G152" s="78">
        <f t="shared" si="64"/>
        <v>5.1095612135742243</v>
      </c>
      <c r="H152" s="28">
        <f t="shared" si="65"/>
        <v>12778.89539136796</v>
      </c>
      <c r="I152" s="28">
        <f t="shared" si="66"/>
        <v>55.399281138724838</v>
      </c>
    </row>
    <row r="153" spans="1:9" x14ac:dyDescent="0.3">
      <c r="A153" s="16">
        <v>2283</v>
      </c>
      <c r="B153" s="14">
        <v>28109</v>
      </c>
      <c r="C153" s="14">
        <v>29828</v>
      </c>
      <c r="D153" s="28">
        <f t="shared" si="61"/>
        <v>54.3778513023559</v>
      </c>
      <c r="E153" s="11">
        <f t="shared" si="62"/>
        <v>30740.002399999998</v>
      </c>
      <c r="F153" s="11">
        <f t="shared" si="63"/>
        <v>29828</v>
      </c>
      <c r="G153" s="78">
        <f t="shared" si="64"/>
        <v>2.966826053338238</v>
      </c>
      <c r="H153" s="28">
        <f t="shared" si="65"/>
        <v>27275.054864667156</v>
      </c>
      <c r="I153" s="28">
        <f t="shared" si="66"/>
        <v>54.3778513023559</v>
      </c>
    </row>
    <row r="154" spans="1:9" x14ac:dyDescent="0.3">
      <c r="A154" s="16">
        <v>2289</v>
      </c>
      <c r="B154" s="14">
        <v>46027</v>
      </c>
      <c r="C154" s="14">
        <v>48728</v>
      </c>
      <c r="D154" s="28">
        <f t="shared" si="61"/>
        <v>54.483464336375029</v>
      </c>
      <c r="E154" s="11">
        <f t="shared" si="62"/>
        <v>50335.127199999995</v>
      </c>
      <c r="F154" s="11">
        <f t="shared" si="63"/>
        <v>48728</v>
      </c>
      <c r="G154" s="78">
        <f t="shared" si="64"/>
        <v>3.192854154543582</v>
      </c>
      <c r="H154" s="28">
        <f t="shared" si="65"/>
        <v>44557.425018288224</v>
      </c>
      <c r="I154" s="28">
        <f t="shared" si="66"/>
        <v>54.483464336375029</v>
      </c>
    </row>
    <row r="155" spans="1:9" x14ac:dyDescent="0.3">
      <c r="A155" s="16">
        <v>2282</v>
      </c>
      <c r="B155" s="14">
        <v>8855</v>
      </c>
      <c r="C155" s="14">
        <v>9093</v>
      </c>
      <c r="D155" s="28">
        <f t="shared" si="61"/>
        <v>55.887760153131133</v>
      </c>
      <c r="E155" s="11">
        <f t="shared" si="62"/>
        <v>9683.8279999999995</v>
      </c>
      <c r="F155" s="11">
        <f t="shared" si="63"/>
        <v>9093</v>
      </c>
      <c r="G155" s="78">
        <f t="shared" si="64"/>
        <v>6.1011823010487092</v>
      </c>
      <c r="H155" s="28">
        <f t="shared" si="65"/>
        <v>8314.7403072421366</v>
      </c>
      <c r="I155" s="28">
        <f t="shared" si="66"/>
        <v>55.887760153131133</v>
      </c>
    </row>
    <row r="156" spans="1:9" x14ac:dyDescent="0.3">
      <c r="A156" s="16">
        <v>2288</v>
      </c>
      <c r="B156" s="14">
        <v>40084</v>
      </c>
      <c r="C156" s="14">
        <v>42814</v>
      </c>
      <c r="D156" s="28">
        <f t="shared" si="61"/>
        <v>54.083430106765903</v>
      </c>
      <c r="E156" s="11">
        <f t="shared" si="62"/>
        <v>43835.862399999998</v>
      </c>
      <c r="F156" s="11">
        <f t="shared" si="63"/>
        <v>42814</v>
      </c>
      <c r="G156" s="78">
        <f t="shared" si="64"/>
        <v>2.3311105201388642</v>
      </c>
      <c r="H156" s="28">
        <f t="shared" si="65"/>
        <v>39149.597659107538</v>
      </c>
      <c r="I156" s="28">
        <f t="shared" si="66"/>
        <v>54.083430106765903</v>
      </c>
    </row>
    <row r="157" spans="1:9" x14ac:dyDescent="0.3">
      <c r="A157" s="16">
        <v>2280</v>
      </c>
      <c r="B157" s="14">
        <v>15066</v>
      </c>
      <c r="C157" s="14">
        <v>15332</v>
      </c>
      <c r="D157" s="28">
        <f t="shared" si="61"/>
        <v>56.311343125603685</v>
      </c>
      <c r="E157" s="11">
        <f t="shared" si="62"/>
        <v>16476.177599999999</v>
      </c>
      <c r="F157" s="11">
        <f t="shared" si="63"/>
        <v>15332</v>
      </c>
      <c r="G157" s="78">
        <f t="shared" si="64"/>
        <v>6.9444359473279746</v>
      </c>
      <c r="H157" s="28">
        <f t="shared" si="65"/>
        <v>14019.751280175567</v>
      </c>
      <c r="I157" s="28">
        <f t="shared" si="66"/>
        <v>56.311343125603685</v>
      </c>
    </row>
    <row r="158" spans="1:9" x14ac:dyDescent="0.3">
      <c r="A158" s="16">
        <v>2273</v>
      </c>
      <c r="B158" s="14">
        <v>21375</v>
      </c>
      <c r="C158" s="14">
        <v>22868</v>
      </c>
      <c r="D158" s="28">
        <f t="shared" si="61"/>
        <v>54.010299752825887</v>
      </c>
      <c r="E158" s="11">
        <f t="shared" si="62"/>
        <v>23375.699999999997</v>
      </c>
      <c r="F158" s="11">
        <f t="shared" si="63"/>
        <v>22868</v>
      </c>
      <c r="G158" s="78">
        <f t="shared" si="64"/>
        <v>2.1719135683637205</v>
      </c>
      <c r="H158" s="28">
        <f t="shared" si="65"/>
        <v>20910.753474762256</v>
      </c>
      <c r="I158" s="28">
        <f t="shared" si="66"/>
        <v>54.010299752825887</v>
      </c>
    </row>
    <row r="159" spans="1:9" x14ac:dyDescent="0.3">
      <c r="A159" s="16" t="s">
        <v>28</v>
      </c>
      <c r="B159" s="30">
        <v>107006</v>
      </c>
      <c r="C159" s="30">
        <v>3670178</v>
      </c>
      <c r="D159" s="28">
        <f t="shared" si="61"/>
        <v>10.543576831388355</v>
      </c>
      <c r="E159" s="11">
        <f t="shared" si="62"/>
        <v>117021.76159999998</v>
      </c>
      <c r="F159" s="11">
        <f t="shared" si="63"/>
        <v>3670178</v>
      </c>
      <c r="G159" s="78">
        <f t="shared" si="64"/>
        <v>-3036.3209285340313</v>
      </c>
      <c r="H159" s="28">
        <f t="shared" si="65"/>
        <v>3356051.5727871256</v>
      </c>
      <c r="I159" s="28">
        <f t="shared" si="66"/>
        <v>10.543576831388355</v>
      </c>
    </row>
    <row r="160" spans="1:9" x14ac:dyDescent="0.3">
      <c r="D160" s="28" t="e">
        <f t="shared" si="61"/>
        <v>#DIV/0!</v>
      </c>
      <c r="E160" s="11">
        <f t="shared" si="62"/>
        <v>0</v>
      </c>
      <c r="F160" s="11">
        <f t="shared" si="63"/>
        <v>0</v>
      </c>
      <c r="G160" s="78" t="e">
        <f t="shared" si="64"/>
        <v>#DIV/0!</v>
      </c>
      <c r="H160" s="28">
        <f t="shared" si="65"/>
        <v>0</v>
      </c>
      <c r="I160" s="28" t="e">
        <f t="shared" si="66"/>
        <v>#DIV/0!</v>
      </c>
    </row>
    <row r="161" spans="4:9" x14ac:dyDescent="0.3">
      <c r="D161" s="28" t="e">
        <f t="shared" si="61"/>
        <v>#DIV/0!</v>
      </c>
      <c r="E161" s="11">
        <f t="shared" si="62"/>
        <v>0</v>
      </c>
      <c r="F161" s="11">
        <f t="shared" si="63"/>
        <v>0</v>
      </c>
      <c r="G161" s="78" t="e">
        <f t="shared" si="64"/>
        <v>#DIV/0!</v>
      </c>
      <c r="H161" s="28">
        <f t="shared" si="65"/>
        <v>0</v>
      </c>
      <c r="I161" s="28" t="e">
        <f t="shared" si="66"/>
        <v>#DIV/0!</v>
      </c>
    </row>
    <row r="162" spans="4:9" x14ac:dyDescent="0.3">
      <c r="D162" s="28" t="e">
        <f t="shared" si="61"/>
        <v>#DIV/0!</v>
      </c>
      <c r="E162" s="11">
        <f t="shared" si="62"/>
        <v>0</v>
      </c>
      <c r="F162" s="11">
        <f t="shared" si="63"/>
        <v>0</v>
      </c>
      <c r="G162" s="78" t="e">
        <f t="shared" si="64"/>
        <v>#DIV/0!</v>
      </c>
      <c r="H162" s="28">
        <f t="shared" si="65"/>
        <v>0</v>
      </c>
      <c r="I162" s="28" t="e">
        <f t="shared" si="66"/>
        <v>#DIV/0!</v>
      </c>
    </row>
    <row r="163" spans="4:9" x14ac:dyDescent="0.3">
      <c r="D163" s="28" t="e">
        <f t="shared" si="61"/>
        <v>#DIV/0!</v>
      </c>
      <c r="E163" s="11">
        <f t="shared" si="62"/>
        <v>0</v>
      </c>
      <c r="F163" s="11">
        <f t="shared" si="63"/>
        <v>0</v>
      </c>
      <c r="G163" s="78" t="e">
        <f t="shared" si="64"/>
        <v>#DIV/0!</v>
      </c>
      <c r="H163" s="28">
        <f t="shared" si="65"/>
        <v>0</v>
      </c>
      <c r="I163" s="28" t="e">
        <f t="shared" si="66"/>
        <v>#DIV/0!</v>
      </c>
    </row>
    <row r="164" spans="4:9" x14ac:dyDescent="0.3">
      <c r="D164" s="28" t="e">
        <f t="shared" si="61"/>
        <v>#DIV/0!</v>
      </c>
      <c r="E164" s="11">
        <f t="shared" si="62"/>
        <v>0</v>
      </c>
      <c r="F164" s="11">
        <f t="shared" si="63"/>
        <v>0</v>
      </c>
      <c r="G164" s="78" t="e">
        <f t="shared" si="64"/>
        <v>#DIV/0!</v>
      </c>
      <c r="H164" s="28">
        <f t="shared" si="65"/>
        <v>0</v>
      </c>
      <c r="I164" s="28" t="e">
        <f t="shared" si="66"/>
        <v>#DIV/0!</v>
      </c>
    </row>
    <row r="165" spans="4:9" x14ac:dyDescent="0.3">
      <c r="D165" s="28" t="e">
        <f t="shared" si="61"/>
        <v>#DIV/0!</v>
      </c>
      <c r="E165" s="11">
        <f t="shared" si="62"/>
        <v>0</v>
      </c>
      <c r="F165" s="11">
        <f t="shared" si="63"/>
        <v>0</v>
      </c>
      <c r="G165" s="78" t="e">
        <f t="shared" si="64"/>
        <v>#DIV/0!</v>
      </c>
      <c r="H165" s="28">
        <f t="shared" si="65"/>
        <v>0</v>
      </c>
      <c r="I165" s="28" t="e">
        <f t="shared" si="66"/>
        <v>#DIV/0!</v>
      </c>
    </row>
    <row r="166" spans="4:9" x14ac:dyDescent="0.3">
      <c r="D166" s="28" t="e">
        <f t="shared" si="61"/>
        <v>#DIV/0!</v>
      </c>
      <c r="E166" s="11">
        <f t="shared" si="62"/>
        <v>0</v>
      </c>
      <c r="F166" s="11">
        <f t="shared" si="63"/>
        <v>0</v>
      </c>
      <c r="G166" s="78" t="e">
        <f t="shared" si="64"/>
        <v>#DIV/0!</v>
      </c>
      <c r="H166" s="28">
        <f t="shared" si="65"/>
        <v>0</v>
      </c>
      <c r="I166" s="28" t="e">
        <f t="shared" si="66"/>
        <v>#DIV/0!</v>
      </c>
    </row>
    <row r="167" spans="4:9" x14ac:dyDescent="0.3">
      <c r="D167" s="28" t="e">
        <f t="shared" si="61"/>
        <v>#DIV/0!</v>
      </c>
      <c r="E167" s="11">
        <f t="shared" si="62"/>
        <v>0</v>
      </c>
      <c r="F167" s="11">
        <f t="shared" si="63"/>
        <v>0</v>
      </c>
      <c r="G167" s="78" t="e">
        <f t="shared" si="64"/>
        <v>#DIV/0!</v>
      </c>
      <c r="H167" s="28">
        <f t="shared" si="65"/>
        <v>0</v>
      </c>
      <c r="I167" s="28" t="e">
        <f t="shared" si="66"/>
        <v>#DIV/0!</v>
      </c>
    </row>
    <row r="168" spans="4:9" x14ac:dyDescent="0.3">
      <c r="D168" s="28" t="e">
        <f t="shared" si="61"/>
        <v>#DIV/0!</v>
      </c>
      <c r="E168" s="11">
        <f t="shared" si="62"/>
        <v>0</v>
      </c>
      <c r="F168" s="11">
        <f t="shared" si="63"/>
        <v>0</v>
      </c>
      <c r="G168" s="78" t="e">
        <f t="shared" si="64"/>
        <v>#DIV/0!</v>
      </c>
      <c r="H168" s="28">
        <f t="shared" si="65"/>
        <v>0</v>
      </c>
      <c r="I168" s="28" t="e">
        <f t="shared" si="66"/>
        <v>#DIV/0!</v>
      </c>
    </row>
    <row r="169" spans="4:9" x14ac:dyDescent="0.3">
      <c r="D169" s="28" t="e">
        <f t="shared" si="61"/>
        <v>#DIV/0!</v>
      </c>
      <c r="E169" s="11">
        <f t="shared" si="62"/>
        <v>0</v>
      </c>
      <c r="F169" s="11">
        <f t="shared" si="63"/>
        <v>0</v>
      </c>
      <c r="G169" s="78" t="e">
        <f t="shared" si="64"/>
        <v>#DIV/0!</v>
      </c>
      <c r="H169" s="28">
        <f t="shared" si="65"/>
        <v>0</v>
      </c>
      <c r="I169" s="28" t="e">
        <f t="shared" si="66"/>
        <v>#DIV/0!</v>
      </c>
    </row>
    <row r="170" spans="4:9" x14ac:dyDescent="0.3">
      <c r="D170" s="28" t="e">
        <f t="shared" si="61"/>
        <v>#DIV/0!</v>
      </c>
      <c r="E170" s="11">
        <f t="shared" si="62"/>
        <v>0</v>
      </c>
      <c r="F170" s="11">
        <f t="shared" si="63"/>
        <v>0</v>
      </c>
      <c r="G170" s="78" t="e">
        <f t="shared" si="64"/>
        <v>#DIV/0!</v>
      </c>
      <c r="H170" s="28">
        <f t="shared" si="65"/>
        <v>0</v>
      </c>
      <c r="I170" s="28" t="e">
        <f t="shared" si="66"/>
        <v>#DIV/0!</v>
      </c>
    </row>
    <row r="171" spans="4:9" x14ac:dyDescent="0.3">
      <c r="D171" s="28" t="e">
        <f t="shared" si="61"/>
        <v>#DIV/0!</v>
      </c>
      <c r="E171" s="11">
        <f t="shared" si="62"/>
        <v>0</v>
      </c>
      <c r="F171" s="11">
        <f t="shared" si="63"/>
        <v>0</v>
      </c>
      <c r="G171" s="78" t="e">
        <f t="shared" si="64"/>
        <v>#DIV/0!</v>
      </c>
      <c r="H171" s="28">
        <f t="shared" si="65"/>
        <v>0</v>
      </c>
      <c r="I171" s="28" t="e">
        <f t="shared" si="66"/>
        <v>#DIV/0!</v>
      </c>
    </row>
    <row r="172" spans="4:9" x14ac:dyDescent="0.3">
      <c r="D172" s="28" t="e">
        <f t="shared" si="61"/>
        <v>#DIV/0!</v>
      </c>
      <c r="E172" s="11">
        <f t="shared" si="62"/>
        <v>0</v>
      </c>
      <c r="F172" s="11">
        <f t="shared" si="63"/>
        <v>0</v>
      </c>
      <c r="G172" s="78" t="e">
        <f t="shared" si="64"/>
        <v>#DIV/0!</v>
      </c>
      <c r="H172" s="28">
        <f t="shared" si="65"/>
        <v>0</v>
      </c>
      <c r="I172" s="28" t="e">
        <f t="shared" si="66"/>
        <v>#DIV/0!</v>
      </c>
    </row>
    <row r="173" spans="4:9" x14ac:dyDescent="0.3">
      <c r="D173" s="28" t="e">
        <f t="shared" si="61"/>
        <v>#DIV/0!</v>
      </c>
      <c r="E173" s="11">
        <f t="shared" si="62"/>
        <v>0</v>
      </c>
      <c r="F173" s="11">
        <f t="shared" si="63"/>
        <v>0</v>
      </c>
      <c r="G173" s="78" t="e">
        <f t="shared" si="64"/>
        <v>#DIV/0!</v>
      </c>
      <c r="H173" s="28">
        <f t="shared" si="65"/>
        <v>0</v>
      </c>
      <c r="I173" s="28" t="e">
        <f t="shared" si="66"/>
        <v>#DIV/0!</v>
      </c>
    </row>
    <row r="174" spans="4:9" x14ac:dyDescent="0.3">
      <c r="D174" s="28" t="e">
        <f t="shared" si="61"/>
        <v>#DIV/0!</v>
      </c>
      <c r="E174" s="11">
        <f t="shared" si="62"/>
        <v>0</v>
      </c>
      <c r="F174" s="11">
        <f t="shared" si="63"/>
        <v>0</v>
      </c>
      <c r="G174" s="78" t="e">
        <f t="shared" si="64"/>
        <v>#DIV/0!</v>
      </c>
      <c r="H174" s="28">
        <f t="shared" si="65"/>
        <v>0</v>
      </c>
      <c r="I174" s="28" t="e">
        <f t="shared" si="66"/>
        <v>#DIV/0!</v>
      </c>
    </row>
    <row r="175" spans="4:9" x14ac:dyDescent="0.3">
      <c r="D175" s="28" t="e">
        <f t="shared" si="61"/>
        <v>#DIV/0!</v>
      </c>
      <c r="E175" s="11">
        <f t="shared" si="62"/>
        <v>0</v>
      </c>
      <c r="F175" s="11">
        <f t="shared" si="63"/>
        <v>0</v>
      </c>
      <c r="G175" s="78" t="e">
        <f t="shared" si="64"/>
        <v>#DIV/0!</v>
      </c>
      <c r="H175" s="28">
        <f t="shared" si="65"/>
        <v>0</v>
      </c>
      <c r="I175" s="28" t="e">
        <f t="shared" si="66"/>
        <v>#DIV/0!</v>
      </c>
    </row>
    <row r="176" spans="4:9" x14ac:dyDescent="0.3">
      <c r="D176" s="28" t="e">
        <f t="shared" si="61"/>
        <v>#DIV/0!</v>
      </c>
      <c r="E176" s="11">
        <f t="shared" si="62"/>
        <v>0</v>
      </c>
      <c r="F176" s="11">
        <f t="shared" si="63"/>
        <v>0</v>
      </c>
      <c r="G176" s="78" t="e">
        <f t="shared" si="64"/>
        <v>#DIV/0!</v>
      </c>
      <c r="H176" s="28">
        <f t="shared" si="65"/>
        <v>0</v>
      </c>
      <c r="I176" s="28" t="e">
        <f t="shared" si="66"/>
        <v>#DIV/0!</v>
      </c>
    </row>
    <row r="177" spans="4:9" x14ac:dyDescent="0.3">
      <c r="D177" s="28" t="e">
        <f t="shared" si="61"/>
        <v>#DIV/0!</v>
      </c>
      <c r="E177" s="11">
        <f t="shared" si="62"/>
        <v>0</v>
      </c>
      <c r="F177" s="11">
        <f t="shared" si="63"/>
        <v>0</v>
      </c>
      <c r="G177" s="78" t="e">
        <f t="shared" si="64"/>
        <v>#DIV/0!</v>
      </c>
      <c r="H177" s="28">
        <f t="shared" si="65"/>
        <v>0</v>
      </c>
      <c r="I177" s="28" t="e">
        <f t="shared" si="66"/>
        <v>#DIV/0!</v>
      </c>
    </row>
    <row r="178" spans="4:9" x14ac:dyDescent="0.3">
      <c r="D178" s="28" t="e">
        <f t="shared" si="61"/>
        <v>#DIV/0!</v>
      </c>
      <c r="E178" s="11">
        <f t="shared" si="62"/>
        <v>0</v>
      </c>
      <c r="F178" s="11">
        <f t="shared" si="63"/>
        <v>0</v>
      </c>
      <c r="G178" s="78" t="e">
        <f t="shared" si="64"/>
        <v>#DIV/0!</v>
      </c>
      <c r="H178" s="28">
        <f t="shared" si="65"/>
        <v>0</v>
      </c>
      <c r="I178" s="28" t="e">
        <f t="shared" si="66"/>
        <v>#DIV/0!</v>
      </c>
    </row>
    <row r="179" spans="4:9" x14ac:dyDescent="0.3">
      <c r="D179" s="28" t="e">
        <f t="shared" si="61"/>
        <v>#DIV/0!</v>
      </c>
      <c r="E179" s="11">
        <f t="shared" si="62"/>
        <v>0</v>
      </c>
      <c r="F179" s="11">
        <f t="shared" si="63"/>
        <v>0</v>
      </c>
      <c r="G179" s="78" t="e">
        <f t="shared" si="64"/>
        <v>#DIV/0!</v>
      </c>
      <c r="H179" s="28">
        <f t="shared" si="65"/>
        <v>0</v>
      </c>
      <c r="I179" s="28" t="e">
        <f t="shared" si="66"/>
        <v>#DIV/0!</v>
      </c>
    </row>
    <row r="180" spans="4:9" x14ac:dyDescent="0.3">
      <c r="D180" s="28" t="e">
        <f t="shared" si="61"/>
        <v>#DIV/0!</v>
      </c>
      <c r="E180" s="11">
        <f t="shared" si="62"/>
        <v>0</v>
      </c>
      <c r="F180" s="11">
        <f t="shared" si="63"/>
        <v>0</v>
      </c>
      <c r="G180" s="78" t="e">
        <f t="shared" si="64"/>
        <v>#DIV/0!</v>
      </c>
      <c r="H180" s="28">
        <f t="shared" si="65"/>
        <v>0</v>
      </c>
      <c r="I180" s="28" t="e">
        <f t="shared" si="66"/>
        <v>#DIV/0!</v>
      </c>
    </row>
    <row r="181" spans="4:9" x14ac:dyDescent="0.3">
      <c r="D181" s="28" t="e">
        <f t="shared" si="61"/>
        <v>#DIV/0!</v>
      </c>
      <c r="E181" s="11">
        <f t="shared" si="62"/>
        <v>0</v>
      </c>
      <c r="F181" s="11">
        <f t="shared" si="63"/>
        <v>0</v>
      </c>
      <c r="G181" s="78" t="e">
        <f t="shared" si="64"/>
        <v>#DIV/0!</v>
      </c>
      <c r="H181" s="28">
        <f t="shared" si="65"/>
        <v>0</v>
      </c>
      <c r="I181" s="28" t="e">
        <f t="shared" si="66"/>
        <v>#DIV/0!</v>
      </c>
    </row>
    <row r="182" spans="4:9" x14ac:dyDescent="0.3">
      <c r="D182" s="28" t="e">
        <f t="shared" si="61"/>
        <v>#DIV/0!</v>
      </c>
      <c r="E182" s="11">
        <f t="shared" si="62"/>
        <v>0</v>
      </c>
      <c r="F182" s="11">
        <f t="shared" si="63"/>
        <v>0</v>
      </c>
      <c r="G182" s="78" t="e">
        <f t="shared" si="64"/>
        <v>#DIV/0!</v>
      </c>
      <c r="H182" s="28">
        <f t="shared" si="65"/>
        <v>0</v>
      </c>
      <c r="I182" s="28" t="e">
        <f t="shared" si="66"/>
        <v>#DIV/0!</v>
      </c>
    </row>
    <row r="183" spans="4:9" x14ac:dyDescent="0.3">
      <c r="D183" s="28" t="e">
        <f t="shared" si="61"/>
        <v>#DIV/0!</v>
      </c>
      <c r="E183" s="11">
        <f t="shared" si="62"/>
        <v>0</v>
      </c>
      <c r="F183" s="11">
        <f t="shared" si="63"/>
        <v>0</v>
      </c>
      <c r="G183" s="78" t="e">
        <f t="shared" si="64"/>
        <v>#DIV/0!</v>
      </c>
      <c r="H183" s="28">
        <f t="shared" si="65"/>
        <v>0</v>
      </c>
      <c r="I183" s="28" t="e">
        <f t="shared" si="66"/>
        <v>#DIV/0!</v>
      </c>
    </row>
    <row r="184" spans="4:9" x14ac:dyDescent="0.3">
      <c r="D184" s="28" t="e">
        <f t="shared" si="61"/>
        <v>#DIV/0!</v>
      </c>
      <c r="E184" s="11">
        <f t="shared" si="62"/>
        <v>0</v>
      </c>
      <c r="F184" s="11">
        <f t="shared" si="63"/>
        <v>0</v>
      </c>
      <c r="G184" s="78" t="e">
        <f t="shared" si="64"/>
        <v>#DIV/0!</v>
      </c>
      <c r="H184" s="28">
        <f t="shared" si="65"/>
        <v>0</v>
      </c>
      <c r="I184" s="28" t="e">
        <f t="shared" si="66"/>
        <v>#DIV/0!</v>
      </c>
    </row>
    <row r="185" spans="4:9" x14ac:dyDescent="0.3">
      <c r="D185" s="28" t="e">
        <f t="shared" si="61"/>
        <v>#DIV/0!</v>
      </c>
      <c r="E185" s="11">
        <f t="shared" si="62"/>
        <v>0</v>
      </c>
      <c r="F185" s="11">
        <f t="shared" si="63"/>
        <v>0</v>
      </c>
      <c r="G185" s="78" t="e">
        <f t="shared" si="64"/>
        <v>#DIV/0!</v>
      </c>
      <c r="H185" s="28">
        <f t="shared" si="65"/>
        <v>0</v>
      </c>
      <c r="I185" s="28" t="e">
        <f t="shared" si="66"/>
        <v>#DIV/0!</v>
      </c>
    </row>
    <row r="186" spans="4:9" x14ac:dyDescent="0.3">
      <c r="D186" s="28" t="e">
        <f t="shared" si="61"/>
        <v>#DIV/0!</v>
      </c>
      <c r="E186" s="11">
        <f t="shared" si="62"/>
        <v>0</v>
      </c>
      <c r="F186" s="11">
        <f t="shared" si="63"/>
        <v>0</v>
      </c>
      <c r="G186" s="78" t="e">
        <f t="shared" si="64"/>
        <v>#DIV/0!</v>
      </c>
      <c r="H186" s="28">
        <f t="shared" si="65"/>
        <v>0</v>
      </c>
      <c r="I186" s="28" t="e">
        <f t="shared" si="66"/>
        <v>#DIV/0!</v>
      </c>
    </row>
    <row r="187" spans="4:9" x14ac:dyDescent="0.3">
      <c r="D187" s="28" t="e">
        <f t="shared" si="61"/>
        <v>#DIV/0!</v>
      </c>
      <c r="E187" s="11">
        <f t="shared" si="62"/>
        <v>0</v>
      </c>
      <c r="F187" s="11">
        <f t="shared" si="63"/>
        <v>0</v>
      </c>
      <c r="G187" s="78" t="e">
        <f t="shared" si="64"/>
        <v>#DIV/0!</v>
      </c>
      <c r="H187" s="28">
        <f t="shared" si="65"/>
        <v>0</v>
      </c>
      <c r="I187" s="28" t="e">
        <f t="shared" si="66"/>
        <v>#DIV/0!</v>
      </c>
    </row>
    <row r="188" spans="4:9" x14ac:dyDescent="0.3">
      <c r="D188" s="28" t="e">
        <f t="shared" si="61"/>
        <v>#DIV/0!</v>
      </c>
      <c r="E188" s="11">
        <f t="shared" si="62"/>
        <v>0</v>
      </c>
      <c r="F188" s="11">
        <f t="shared" si="63"/>
        <v>0</v>
      </c>
      <c r="G188" s="78" t="e">
        <f t="shared" si="64"/>
        <v>#DIV/0!</v>
      </c>
      <c r="H188" s="28">
        <f t="shared" si="65"/>
        <v>0</v>
      </c>
      <c r="I188" s="28" t="e">
        <f t="shared" si="66"/>
        <v>#DIV/0!</v>
      </c>
    </row>
    <row r="189" spans="4:9" x14ac:dyDescent="0.3">
      <c r="D189" s="28" t="e">
        <f t="shared" si="61"/>
        <v>#DIV/0!</v>
      </c>
      <c r="E189" s="11">
        <f t="shared" si="62"/>
        <v>0</v>
      </c>
      <c r="F189" s="11">
        <f t="shared" si="63"/>
        <v>0</v>
      </c>
      <c r="G189" s="78" t="e">
        <f t="shared" si="64"/>
        <v>#DIV/0!</v>
      </c>
      <c r="H189" s="28">
        <f t="shared" si="65"/>
        <v>0</v>
      </c>
      <c r="I189" s="28" t="e">
        <f t="shared" si="66"/>
        <v>#DIV/0!</v>
      </c>
    </row>
    <row r="190" spans="4:9" x14ac:dyDescent="0.3">
      <c r="D190" s="28" t="e">
        <f t="shared" si="61"/>
        <v>#DIV/0!</v>
      </c>
      <c r="E190" s="11">
        <f t="shared" si="62"/>
        <v>0</v>
      </c>
      <c r="F190" s="11">
        <f t="shared" si="63"/>
        <v>0</v>
      </c>
      <c r="G190" s="78" t="e">
        <f t="shared" si="64"/>
        <v>#DIV/0!</v>
      </c>
      <c r="H190" s="28">
        <f t="shared" si="65"/>
        <v>0</v>
      </c>
      <c r="I190" s="28" t="e">
        <f t="shared" si="66"/>
        <v>#DIV/0!</v>
      </c>
    </row>
    <row r="191" spans="4:9" x14ac:dyDescent="0.3">
      <c r="D191" s="28" t="e">
        <f t="shared" si="61"/>
        <v>#DIV/0!</v>
      </c>
      <c r="E191" s="11">
        <f t="shared" si="62"/>
        <v>0</v>
      </c>
      <c r="F191" s="11">
        <f t="shared" si="63"/>
        <v>0</v>
      </c>
      <c r="G191" s="78" t="e">
        <f t="shared" si="64"/>
        <v>#DIV/0!</v>
      </c>
      <c r="H191" s="28">
        <f t="shared" si="65"/>
        <v>0</v>
      </c>
      <c r="I191" s="28" t="e">
        <f t="shared" si="66"/>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207"/>
  <sheetViews>
    <sheetView topLeftCell="E186" workbookViewId="0">
      <selection activeCell="H146" sqref="H146:H206"/>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46073</v>
      </c>
      <c r="C3" t="s">
        <v>113</v>
      </c>
      <c r="D3">
        <f>SUMIFS(Table14[Debit], Table14[Date], Table5[[#This Row],[Date]], Table14[Party], "Rashan")</f>
        <v>0</v>
      </c>
      <c r="H3" s="1">
        <v>46073</v>
      </c>
      <c r="J3">
        <f>SUMIFS(Table14[Debit], Table14[Date], Table15[[#This Row],[Date]], Table14[Party], "Parts")</f>
        <v>0</v>
      </c>
    </row>
    <row r="4" spans="2:10" x14ac:dyDescent="0.3">
      <c r="B4" s="1">
        <v>46074</v>
      </c>
      <c r="C4" t="s">
        <v>113</v>
      </c>
      <c r="D4">
        <f>SUMIFS(Table14[Debit], Table14[Date], Table5[[#This Row],[Date]], Table14[Party], "Rashan")</f>
        <v>0</v>
      </c>
      <c r="H4" s="1">
        <v>46074</v>
      </c>
      <c r="I4" t="s">
        <v>55</v>
      </c>
      <c r="J4">
        <f>SUMIFS(Table14[Debit], Table14[Date], Table15[[#This Row],[Date]], Table14[Party], "Parts")</f>
        <v>0</v>
      </c>
    </row>
    <row r="5" spans="2:10" x14ac:dyDescent="0.3">
      <c r="B5" s="1">
        <v>46075</v>
      </c>
      <c r="C5" t="s">
        <v>113</v>
      </c>
      <c r="D5">
        <f>SUMIFS(Table14[Debit], Table14[Date], Table5[[#This Row],[Date]], Table14[Party], "Rashan")</f>
        <v>0</v>
      </c>
      <c r="H5" s="1">
        <v>46075</v>
      </c>
      <c r="I5" t="s">
        <v>55</v>
      </c>
      <c r="J5">
        <f>SUMIFS(Table14[Debit], Table14[Date], Table15[[#This Row],[Date]], Table14[Party], "Parts")</f>
        <v>0</v>
      </c>
    </row>
    <row r="6" spans="2:10" x14ac:dyDescent="0.3">
      <c r="B6" s="1">
        <v>46076</v>
      </c>
      <c r="C6" t="s">
        <v>113</v>
      </c>
      <c r="D6">
        <f>SUMIFS(Table14[Debit], Table14[Date], Table5[[#This Row],[Date]], Table14[Party], "Rashan")</f>
        <v>0</v>
      </c>
      <c r="H6" s="1">
        <v>46076</v>
      </c>
      <c r="I6" t="s">
        <v>55</v>
      </c>
      <c r="J6">
        <f>SUMIFS(Table14[Debit], Table14[Date], Table15[[#This Row],[Date]], Table14[Party], "Parts")</f>
        <v>0</v>
      </c>
    </row>
    <row r="7" spans="2:10" x14ac:dyDescent="0.3">
      <c r="B7" s="1">
        <v>46077</v>
      </c>
      <c r="C7" t="s">
        <v>113</v>
      </c>
      <c r="D7">
        <f>SUMIFS(Table14[Debit], Table14[Date], Table5[[#This Row],[Date]], Table14[Party], "Rashan")</f>
        <v>0</v>
      </c>
      <c r="H7" s="1">
        <v>46077</v>
      </c>
      <c r="I7" t="s">
        <v>55</v>
      </c>
      <c r="J7">
        <f>SUMIFS(Table14[Debit], Table14[Date], Table15[[#This Row],[Date]], Table14[Party], "Parts")</f>
        <v>0</v>
      </c>
    </row>
    <row r="8" spans="2:10" x14ac:dyDescent="0.3">
      <c r="B8" s="1">
        <v>46078</v>
      </c>
      <c r="C8" t="s">
        <v>113</v>
      </c>
      <c r="D8">
        <f>SUMIFS(Table14[Debit], Table14[Date], Table5[[#This Row],[Date]], Table14[Party], "Rashan")</f>
        <v>0</v>
      </c>
      <c r="H8" s="1">
        <v>46078</v>
      </c>
      <c r="J8">
        <f>SUMIFS(Table14[Debit], Table14[Date], Table15[[#This Row],[Date]], Table14[Party], "Parts")</f>
        <v>0</v>
      </c>
    </row>
    <row r="9" spans="2:10" x14ac:dyDescent="0.3">
      <c r="B9" s="1">
        <v>46079</v>
      </c>
      <c r="C9" t="s">
        <v>113</v>
      </c>
      <c r="D9">
        <f>SUMIFS(Table14[Debit], Table14[Date], Table5[[#This Row],[Date]], Table14[Party], "Rashan")</f>
        <v>0</v>
      </c>
      <c r="H9" s="1">
        <v>46079</v>
      </c>
      <c r="J9">
        <f>SUMIFS(Table14[Debit], Table14[Date], Table15[[#This Row],[Date]], Table14[Party], "Parts")</f>
        <v>0</v>
      </c>
    </row>
    <row r="10" spans="2:10" x14ac:dyDescent="0.3">
      <c r="B10" s="1">
        <v>46080</v>
      </c>
      <c r="C10" t="s">
        <v>113</v>
      </c>
      <c r="D10">
        <f>SUMIFS(Table14[Debit], Table14[Date], Table5[[#This Row],[Date]], Table14[Party], "Rashan")</f>
        <v>0</v>
      </c>
      <c r="H10" s="1">
        <v>46080</v>
      </c>
      <c r="J10">
        <f>SUMIFS(Table14[Debit], Table14[Date], Table15[[#This Row],[Date]], Table14[Party], "Parts")</f>
        <v>0</v>
      </c>
    </row>
    <row r="11" spans="2:10" x14ac:dyDescent="0.3">
      <c r="B11" s="1">
        <v>46081</v>
      </c>
      <c r="C11" t="s">
        <v>113</v>
      </c>
      <c r="D11">
        <f>SUMIFS(Table14[Debit], Table14[Date], Table5[[#This Row],[Date]], Table14[Party], "Rashan")</f>
        <v>0</v>
      </c>
      <c r="H11" s="1">
        <v>46081</v>
      </c>
      <c r="J11">
        <f>SUMIFS(Table14[Debit], Table14[Date], Table15[[#This Row],[Date]], Table14[Party], "Parts")</f>
        <v>0</v>
      </c>
    </row>
    <row r="12" spans="2:10" x14ac:dyDescent="0.3">
      <c r="B12" s="1">
        <v>46082</v>
      </c>
      <c r="C12" t="s">
        <v>113</v>
      </c>
      <c r="D12">
        <f>SUMIFS(Table14[Debit], Table14[Date], Table5[[#This Row],[Date]], Table14[Party], "Rashan")</f>
        <v>0</v>
      </c>
      <c r="H12" s="1">
        <v>46082</v>
      </c>
      <c r="J12">
        <f>SUMIFS(Table14[Debit], Table14[Date], Table15[[#This Row],[Date]], Table14[Party], "Parts")</f>
        <v>0</v>
      </c>
    </row>
    <row r="13" spans="2:10" x14ac:dyDescent="0.3">
      <c r="B13" s="1">
        <v>46083</v>
      </c>
      <c r="C13" t="s">
        <v>113</v>
      </c>
      <c r="D13">
        <f>SUMIFS(Table14[Debit], Table14[Date], Table5[[#This Row],[Date]], Table14[Party], "Rashan")</f>
        <v>0</v>
      </c>
      <c r="H13" s="1">
        <v>46083</v>
      </c>
      <c r="J13">
        <f>SUMIFS(Table14[Debit], Table14[Date], Table15[[#This Row],[Date]], Table14[Party], "Parts")</f>
        <v>0</v>
      </c>
    </row>
    <row r="14" spans="2:10" x14ac:dyDescent="0.3">
      <c r="B14" s="1">
        <v>46084</v>
      </c>
      <c r="C14" t="s">
        <v>113</v>
      </c>
      <c r="D14">
        <f>SUMIFS(Table14[Debit], Table14[Date], Table5[[#This Row],[Date]], Table14[Party], "Rashan")</f>
        <v>0</v>
      </c>
      <c r="H14" s="1">
        <v>46084</v>
      </c>
      <c r="J14">
        <f>SUMIFS(Table14[Debit], Table14[Date], Table15[[#This Row],[Date]], Table14[Party], "Parts")</f>
        <v>0</v>
      </c>
    </row>
    <row r="15" spans="2:10" x14ac:dyDescent="0.3">
      <c r="B15" s="1">
        <v>46085</v>
      </c>
      <c r="C15" t="s">
        <v>113</v>
      </c>
      <c r="D15">
        <f>SUMIFS(Table14[Debit], Table14[Date], Table5[[#This Row],[Date]], Table14[Party], "Rashan")</f>
        <v>0</v>
      </c>
      <c r="H15" s="1">
        <v>46085</v>
      </c>
      <c r="J15">
        <f>SUMIFS(Table14[Debit], Table14[Date], Table15[[#This Row],[Date]], Table14[Party], "Parts")</f>
        <v>0</v>
      </c>
    </row>
    <row r="16" spans="2:10" x14ac:dyDescent="0.3">
      <c r="B16" s="1">
        <v>46086</v>
      </c>
      <c r="C16" t="s">
        <v>113</v>
      </c>
      <c r="D16">
        <f>SUMIFS(Table14[Debit], Table14[Date], Table5[[#This Row],[Date]], Table14[Party], "Rashan")</f>
        <v>0</v>
      </c>
      <c r="H16" s="1">
        <v>46086</v>
      </c>
      <c r="J16">
        <f>SUMIFS(Table14[Debit], Table14[Date], Table15[[#This Row],[Date]], Table14[Party], "Parts")</f>
        <v>0</v>
      </c>
    </row>
    <row r="17" spans="2:10" x14ac:dyDescent="0.3">
      <c r="B17" s="1">
        <v>46087</v>
      </c>
      <c r="C17" t="s">
        <v>113</v>
      </c>
      <c r="D17">
        <f>SUMIFS(Table14[Debit], Table14[Date], Table5[[#This Row],[Date]], Table14[Party], "Rashan")</f>
        <v>0</v>
      </c>
      <c r="H17" s="1">
        <v>46087</v>
      </c>
      <c r="J17">
        <f>SUMIFS(Table14[Debit], Table14[Date], Table15[[#This Row],[Date]], Table14[Party], "Parts")</f>
        <v>0</v>
      </c>
    </row>
    <row r="18" spans="2:10" x14ac:dyDescent="0.3">
      <c r="B18" s="1">
        <v>46088</v>
      </c>
      <c r="C18" t="s">
        <v>113</v>
      </c>
      <c r="D18">
        <f>SUMIFS(Table14[Debit], Table14[Date], Table5[[#This Row],[Date]], Table14[Party], "Rashan")</f>
        <v>0</v>
      </c>
      <c r="H18" s="1">
        <v>46088</v>
      </c>
      <c r="J18">
        <f>SUMIFS(Table14[Debit], Table14[Date], Table15[[#This Row],[Date]], Table14[Party], "Parts")</f>
        <v>0</v>
      </c>
    </row>
    <row r="19" spans="2:10" x14ac:dyDescent="0.3">
      <c r="B19" s="1">
        <v>46089</v>
      </c>
      <c r="C19" t="s">
        <v>113</v>
      </c>
      <c r="D19">
        <f>SUMIFS(Table14[Debit], Table14[Date], Table5[[#This Row],[Date]], Table14[Party], "Rashan")</f>
        <v>0</v>
      </c>
      <c r="H19" s="1">
        <v>46089</v>
      </c>
      <c r="J19">
        <f>SUMIFS(Table14[Debit], Table14[Date], Table15[[#This Row],[Date]], Table14[Party], "Parts")</f>
        <v>0</v>
      </c>
    </row>
    <row r="20" spans="2:10" x14ac:dyDescent="0.3">
      <c r="B20" s="1">
        <v>46090</v>
      </c>
      <c r="C20" t="s">
        <v>113</v>
      </c>
      <c r="D20">
        <f>SUMIFS(Table14[Debit], Table14[Date], Table5[[#This Row],[Date]], Table14[Party], "Rashan")</f>
        <v>0</v>
      </c>
      <c r="H20" s="1">
        <v>46090</v>
      </c>
      <c r="J20">
        <f>SUMIFS(Table14[Debit], Table14[Date], Table15[[#This Row],[Date]], Table14[Party], "Parts")</f>
        <v>0</v>
      </c>
    </row>
    <row r="21" spans="2:10" x14ac:dyDescent="0.3">
      <c r="B21" s="1">
        <v>46091</v>
      </c>
      <c r="C21" t="s">
        <v>113</v>
      </c>
      <c r="D21">
        <f>SUMIFS(Table14[Debit], Table14[Date], Table5[[#This Row],[Date]], Table14[Party], "Rashan")</f>
        <v>0</v>
      </c>
      <c r="H21" s="1">
        <v>46091</v>
      </c>
      <c r="J21">
        <f>SUMIFS(Table14[Debit], Table14[Date], Table15[[#This Row],[Date]], Table14[Party], "Parts")</f>
        <v>0</v>
      </c>
    </row>
    <row r="22" spans="2:10" x14ac:dyDescent="0.3">
      <c r="B22" s="1">
        <v>46092</v>
      </c>
      <c r="C22" t="s">
        <v>113</v>
      </c>
      <c r="D22">
        <f>SUMIFS(Table14[Debit], Table14[Date], Table5[[#This Row],[Date]], Table14[Party], "Rashan")</f>
        <v>0</v>
      </c>
      <c r="H22" s="1">
        <v>46092</v>
      </c>
      <c r="J22">
        <f>SUMIFS(Table14[Debit], Table14[Date], Table15[[#This Row],[Date]], Table14[Party], "Parts")</f>
        <v>0</v>
      </c>
    </row>
    <row r="23" spans="2:10" x14ac:dyDescent="0.3">
      <c r="B23" s="1">
        <v>46093</v>
      </c>
      <c r="C23" t="s">
        <v>113</v>
      </c>
      <c r="D23">
        <f>SUMIFS(Table14[Debit], Table14[Date], Table5[[#This Row],[Date]], Table14[Party], "Rashan")</f>
        <v>0</v>
      </c>
      <c r="H23" s="1">
        <v>46093</v>
      </c>
      <c r="J23">
        <f>SUMIFS(Table14[Debit], Table14[Date], Table15[[#This Row],[Date]], Table14[Party], "Parts")</f>
        <v>0</v>
      </c>
    </row>
    <row r="24" spans="2:10" x14ac:dyDescent="0.3">
      <c r="B24" s="1">
        <v>46094</v>
      </c>
      <c r="C24" t="s">
        <v>113</v>
      </c>
      <c r="D24">
        <f>SUMIFS(Table14[Debit], Table14[Date], Table5[[#This Row],[Date]], Table14[Party], "Rashan")</f>
        <v>0</v>
      </c>
      <c r="H24" s="1">
        <v>46094</v>
      </c>
      <c r="J24">
        <f>SUMIFS(Table14[Debit], Table14[Date], Table15[[#This Row],[Date]], Table14[Party], "Parts")</f>
        <v>0</v>
      </c>
    </row>
    <row r="25" spans="2:10" x14ac:dyDescent="0.3">
      <c r="B25" s="1">
        <v>46095</v>
      </c>
      <c r="C25" t="s">
        <v>113</v>
      </c>
      <c r="D25">
        <f>SUMIFS(Table14[Debit], Table14[Date], Table5[[#This Row],[Date]], Table14[Party], "Rashan")</f>
        <v>0</v>
      </c>
      <c r="H25" s="1">
        <v>46095</v>
      </c>
      <c r="J25">
        <f>SUMIFS(Table14[Debit], Table14[Date], Table15[[#This Row],[Date]], Table14[Party], "Parts")</f>
        <v>0</v>
      </c>
    </row>
    <row r="26" spans="2:10" x14ac:dyDescent="0.3">
      <c r="B26" s="1">
        <v>46096</v>
      </c>
      <c r="C26" t="s">
        <v>113</v>
      </c>
      <c r="D26">
        <f>SUMIFS(Table14[Debit], Table14[Date], Table5[[#This Row],[Date]], Table14[Party], "Rashan")</f>
        <v>0</v>
      </c>
      <c r="H26" s="1">
        <v>46096</v>
      </c>
      <c r="J26">
        <f>SUMIFS(Table14[Debit], Table14[Date], Table15[[#This Row],[Date]], Table14[Party], "Parts")</f>
        <v>0</v>
      </c>
    </row>
    <row r="27" spans="2:10" x14ac:dyDescent="0.3">
      <c r="B27" s="1">
        <v>46097</v>
      </c>
      <c r="C27" t="s">
        <v>113</v>
      </c>
      <c r="D27">
        <f>SUMIFS(Table14[Debit], Table14[Date], Table5[[#This Row],[Date]], Table14[Party], "Rashan")</f>
        <v>0</v>
      </c>
      <c r="H27" s="1">
        <v>46097</v>
      </c>
      <c r="J27">
        <f>SUMIFS(Table14[Debit], Table14[Date], Table15[[#This Row],[Date]], Table14[Party], "Parts")</f>
        <v>0</v>
      </c>
    </row>
    <row r="28" spans="2:10" x14ac:dyDescent="0.3">
      <c r="B28" s="1">
        <v>46098</v>
      </c>
      <c r="C28" t="s">
        <v>113</v>
      </c>
      <c r="D28">
        <f>SUMIFS(Table14[Debit], Table14[Date], Table5[[#This Row],[Date]], Table14[Party], "Rashan")</f>
        <v>0</v>
      </c>
      <c r="H28" s="1">
        <v>46098</v>
      </c>
      <c r="J28">
        <f>SUMIFS(Table14[Debit], Table14[Date], Table15[[#This Row],[Date]], Table14[Party], "Parts")</f>
        <v>0</v>
      </c>
    </row>
    <row r="29" spans="2:10" x14ac:dyDescent="0.3">
      <c r="B29" s="1">
        <v>46099</v>
      </c>
      <c r="C29" t="s">
        <v>113</v>
      </c>
      <c r="D29">
        <f>SUMIFS(Table14[Debit], Table14[Date], Table5[[#This Row],[Date]], Table14[Party], "Rashan")</f>
        <v>0</v>
      </c>
      <c r="H29" s="1">
        <v>46099</v>
      </c>
      <c r="J29">
        <f>SUMIFS(Table14[Debit], Table14[Date], Table15[[#This Row],[Date]], Table14[Party], "Parts")</f>
        <v>0</v>
      </c>
    </row>
    <row r="30" spans="2:10" x14ac:dyDescent="0.3">
      <c r="B30" s="1">
        <v>46100</v>
      </c>
      <c r="C30" t="s">
        <v>113</v>
      </c>
      <c r="D30">
        <f>SUMIFS(Table14[Debit], Table14[Date], Table5[[#This Row],[Date]], Table14[Party], "Rashan")</f>
        <v>0</v>
      </c>
      <c r="H30" s="1">
        <v>46100</v>
      </c>
      <c r="J30">
        <f>SUMIFS(Table14[Debit], Table14[Date], Table15[[#This Row],[Date]], Table14[Party], "Parts")</f>
        <v>0</v>
      </c>
    </row>
    <row r="31" spans="2:10" x14ac:dyDescent="0.3">
      <c r="B31" s="1">
        <v>46101</v>
      </c>
      <c r="C31" t="s">
        <v>113</v>
      </c>
      <c r="D31">
        <f>SUMIFS(Table14[Debit], Table14[Date], Table5[[#This Row],[Date]], Table14[Party], "Rashan")</f>
        <v>0</v>
      </c>
      <c r="H31" s="1">
        <v>46101</v>
      </c>
      <c r="J31">
        <f>SUMIFS(Table14[Debit], Table14[Date], Table15[[#This Row],[Date]], Table14[Party], "Parts")</f>
        <v>0</v>
      </c>
    </row>
    <row r="32" spans="2:10" x14ac:dyDescent="0.3">
      <c r="B32" s="1">
        <v>46102</v>
      </c>
      <c r="C32" t="s">
        <v>113</v>
      </c>
      <c r="D32">
        <f>SUMIFS(Table14[Debit], Table14[Date], Table5[[#This Row],[Date]], Table14[Party], "Rashan")</f>
        <v>0</v>
      </c>
      <c r="H32" s="1">
        <v>46102</v>
      </c>
      <c r="J32">
        <f>SUMIFS(Table14[Debit], Table14[Date], Table15[[#This Row],[Date]], Table14[Party], "Parts")</f>
        <v>0</v>
      </c>
    </row>
    <row r="33" spans="2:10" x14ac:dyDescent="0.3">
      <c r="B33" s="1">
        <v>46103</v>
      </c>
      <c r="C33" t="s">
        <v>113</v>
      </c>
      <c r="D33">
        <f>SUMIFS(Table14[Debit], Table14[Date], Table5[[#This Row],[Date]], Table14[Party], "Rashan")</f>
        <v>0</v>
      </c>
      <c r="H33" s="1">
        <v>46103</v>
      </c>
      <c r="J33">
        <f>SUMIFS(Table14[Debit], Table14[Date], Table15[[#This Row],[Date]], Table14[Party], "Parts")</f>
        <v>0</v>
      </c>
    </row>
    <row r="34" spans="2:10" x14ac:dyDescent="0.3">
      <c r="B34" s="1">
        <v>46104</v>
      </c>
      <c r="C34" t="s">
        <v>113</v>
      </c>
      <c r="D34">
        <f>SUMIFS(Table14[Debit], Table14[Date], Table5[[#This Row],[Date]], Table14[Party], "Rashan")</f>
        <v>0</v>
      </c>
      <c r="H34" s="1">
        <v>46104</v>
      </c>
      <c r="J34">
        <f>SUMIFS(Table14[Debit], Table14[Date], Table15[[#This Row],[Date]], Table14[Party], "Parts")</f>
        <v>0</v>
      </c>
    </row>
    <row r="35" spans="2:10" x14ac:dyDescent="0.3">
      <c r="B35" s="1">
        <v>46105</v>
      </c>
      <c r="C35" t="s">
        <v>113</v>
      </c>
      <c r="D35">
        <f>SUMIFS(Table14[Debit], Table14[Date], Table5[[#This Row],[Date]], Table14[Party], "Rashan")</f>
        <v>0</v>
      </c>
      <c r="H35" s="1">
        <v>46105</v>
      </c>
      <c r="J35">
        <f>SUMIFS(Table14[Debit], Table14[Date], Table15[[#This Row],[Date]], Table14[Party], "Parts")</f>
        <v>0</v>
      </c>
    </row>
    <row r="36" spans="2:10" x14ac:dyDescent="0.3">
      <c r="B36" s="1">
        <v>46106</v>
      </c>
      <c r="C36" t="s">
        <v>113</v>
      </c>
      <c r="D36">
        <f>SUMIFS(Table14[Debit], Table14[Date], Table5[[#This Row],[Date]], Table14[Party], "Rashan")</f>
        <v>0</v>
      </c>
      <c r="H36" s="1">
        <v>46106</v>
      </c>
      <c r="J36">
        <f>SUMIFS(Table14[Debit], Table14[Date], Table15[[#This Row],[Date]], Table14[Party], "Parts")</f>
        <v>0</v>
      </c>
    </row>
    <row r="37" spans="2:10" x14ac:dyDescent="0.3">
      <c r="B37" s="1">
        <v>46107</v>
      </c>
      <c r="C37" t="s">
        <v>113</v>
      </c>
      <c r="D37">
        <f>SUMIFS(Table14[Debit], Table14[Date], Table5[[#This Row],[Date]], Table14[Party], "Rashan")</f>
        <v>0</v>
      </c>
      <c r="H37" s="1">
        <v>46107</v>
      </c>
      <c r="J37">
        <f>SUMIFS(Table14[Debit], Table14[Date], Table15[[#This Row],[Date]], Table14[Party], "Parts")</f>
        <v>0</v>
      </c>
    </row>
    <row r="38" spans="2:10" x14ac:dyDescent="0.3">
      <c r="B38" s="1">
        <v>46108</v>
      </c>
      <c r="C38" t="s">
        <v>113</v>
      </c>
      <c r="D38">
        <f>SUMIFS(Table14[Debit], Table14[Date], Table5[[#This Row],[Date]], Table14[Party], "Rashan")</f>
        <v>0</v>
      </c>
      <c r="H38" s="1">
        <v>46108</v>
      </c>
      <c r="J38">
        <f>SUMIFS(Table14[Debit], Table14[Date], Table15[[#This Row],[Date]], Table14[Party], "Parts")</f>
        <v>0</v>
      </c>
    </row>
    <row r="39" spans="2:10" x14ac:dyDescent="0.3">
      <c r="B39" s="1">
        <v>46109</v>
      </c>
      <c r="C39" t="s">
        <v>113</v>
      </c>
      <c r="D39">
        <f>SUMIFS(Table14[Debit], Table14[Date], Table5[[#This Row],[Date]], Table14[Party], "Rashan")</f>
        <v>0</v>
      </c>
      <c r="H39" s="1">
        <v>46109</v>
      </c>
      <c r="J39">
        <f>SUMIFS(Table14[Debit], Table14[Date], Table15[[#This Row],[Date]], Table14[Party], "Parts")</f>
        <v>0</v>
      </c>
    </row>
    <row r="40" spans="2:10" x14ac:dyDescent="0.3">
      <c r="B40" s="1">
        <v>46110</v>
      </c>
      <c r="C40" t="s">
        <v>113</v>
      </c>
      <c r="D40">
        <f>SUMIFS(Table14[Debit], Table14[Date], Table5[[#This Row],[Date]], Table14[Party], "Rashan")</f>
        <v>0</v>
      </c>
      <c r="H40" s="1">
        <v>46110</v>
      </c>
      <c r="J40">
        <f>SUMIFS(Table14[Debit], Table14[Date], Table15[[#This Row],[Date]], Table14[Party], "Parts")</f>
        <v>0</v>
      </c>
    </row>
    <row r="41" spans="2:10" x14ac:dyDescent="0.3">
      <c r="B41" s="1">
        <v>46111</v>
      </c>
      <c r="C41" t="s">
        <v>113</v>
      </c>
      <c r="D41">
        <f>SUMIFS(Table14[Debit], Table14[Date], Table5[[#This Row],[Date]], Table14[Party], "Rashan")</f>
        <v>0</v>
      </c>
      <c r="H41" s="1">
        <v>46111</v>
      </c>
      <c r="J41">
        <f>SUMIFS(Table14[Debit], Table14[Date], Table15[[#This Row],[Date]], Table14[Party], "Parts")</f>
        <v>0</v>
      </c>
    </row>
    <row r="42" spans="2:10" x14ac:dyDescent="0.3">
      <c r="B42" s="1">
        <v>46112</v>
      </c>
      <c r="C42" t="s">
        <v>113</v>
      </c>
      <c r="D42">
        <f>SUMIFS(Table14[Debit], Table14[Date], Table5[[#This Row],[Date]], Table14[Party], "Rashan")</f>
        <v>0</v>
      </c>
      <c r="H42" s="1">
        <v>46112</v>
      </c>
      <c r="J42">
        <f>SUMIFS(Table14[Debit], Table14[Date], Table15[[#This Row],[Date]], Table14[Party], "Parts")</f>
        <v>0</v>
      </c>
    </row>
    <row r="43" spans="2:10" x14ac:dyDescent="0.3">
      <c r="B43" s="1">
        <v>46113</v>
      </c>
      <c r="C43" t="s">
        <v>113</v>
      </c>
      <c r="D43">
        <f>SUMIFS(Table14[Debit], Table14[Date], Table5[[#This Row],[Date]], Table14[Party], "Rashan")</f>
        <v>0</v>
      </c>
      <c r="H43" s="1">
        <v>46113</v>
      </c>
      <c r="J43">
        <f>SUMIFS(Table14[Debit], Table14[Date], Table15[[#This Row],[Date]], Table14[Party], "Parts")</f>
        <v>36025</v>
      </c>
    </row>
    <row r="44" spans="2:10" x14ac:dyDescent="0.3">
      <c r="B44" s="1">
        <v>46114</v>
      </c>
      <c r="C44" t="s">
        <v>113</v>
      </c>
      <c r="D44">
        <f>SUMIFS(Table14[Debit], Table14[Date], Table5[[#This Row],[Date]], Table14[Party], "Rashan")</f>
        <v>0</v>
      </c>
      <c r="H44" s="1">
        <v>46114</v>
      </c>
      <c r="J44">
        <f>SUMIFS(Table14[Debit], Table14[Date], Table15[[#This Row],[Date]], Table14[Party], "Parts")</f>
        <v>0</v>
      </c>
    </row>
    <row r="45" spans="2:10" x14ac:dyDescent="0.3">
      <c r="B45" s="1">
        <v>46115</v>
      </c>
      <c r="C45" t="s">
        <v>113</v>
      </c>
      <c r="D45">
        <f>SUMIFS(Table14[Debit], Table14[Date], Table5[[#This Row],[Date]], Table14[Party], "Rashan")</f>
        <v>0</v>
      </c>
      <c r="H45" s="1">
        <v>46115</v>
      </c>
      <c r="J45">
        <f>SUMIFS(Table14[Debit], Table14[Date], Table15[[#This Row],[Date]], Table14[Party], "Parts")</f>
        <v>0</v>
      </c>
    </row>
    <row r="46" spans="2:10" x14ac:dyDescent="0.3">
      <c r="B46" s="1">
        <v>46116</v>
      </c>
      <c r="C46" t="s">
        <v>113</v>
      </c>
      <c r="D46">
        <f>SUMIFS(Table14[Debit], Table14[Date], Table5[[#This Row],[Date]], Table14[Party], "Rashan")</f>
        <v>0</v>
      </c>
      <c r="H46" s="1">
        <v>46116</v>
      </c>
      <c r="J46">
        <f>SUMIFS(Table14[Debit], Table14[Date], Table15[[#This Row],[Date]], Table14[Party], "Parts")</f>
        <v>0</v>
      </c>
    </row>
    <row r="47" spans="2:10" x14ac:dyDescent="0.3">
      <c r="B47" s="1">
        <v>46117</v>
      </c>
      <c r="C47" t="s">
        <v>113</v>
      </c>
      <c r="D47">
        <f>SUMIFS(Table14[Debit], Table14[Date], Table5[[#This Row],[Date]], Table14[Party], "Rashan")</f>
        <v>0</v>
      </c>
      <c r="H47" s="1">
        <v>46117</v>
      </c>
      <c r="J47">
        <f>SUMIFS(Table14[Debit], Table14[Date], Table15[[#This Row],[Date]], Table14[Party], "Parts")</f>
        <v>0</v>
      </c>
    </row>
    <row r="48" spans="2:10" x14ac:dyDescent="0.3">
      <c r="B48" s="1">
        <v>46118</v>
      </c>
      <c r="C48" t="s">
        <v>113</v>
      </c>
      <c r="D48">
        <f>SUMIFS(Table14[Debit], Table14[Date], Table5[[#This Row],[Date]], Table14[Party], "Rashan")</f>
        <v>0</v>
      </c>
      <c r="H48" s="1">
        <v>46118</v>
      </c>
      <c r="J48">
        <f>SUMIFS(Table14[Debit], Table14[Date], Table15[[#This Row],[Date]], Table14[Party], "Parts")</f>
        <v>0</v>
      </c>
    </row>
    <row r="49" spans="2:10" x14ac:dyDescent="0.3">
      <c r="B49" s="1">
        <v>46119</v>
      </c>
      <c r="C49" t="s">
        <v>113</v>
      </c>
      <c r="D49">
        <f>SUMIFS(Table14[Debit], Table14[Date], Table5[[#This Row],[Date]], Table14[Party], "Rashan")</f>
        <v>0</v>
      </c>
      <c r="H49" s="1">
        <v>46119</v>
      </c>
      <c r="J49">
        <f>SUMIFS(Table14[Debit], Table14[Date], Table15[[#This Row],[Date]], Table14[Party], "Parts")</f>
        <v>0</v>
      </c>
    </row>
    <row r="50" spans="2:10" x14ac:dyDescent="0.3">
      <c r="B50" s="1">
        <v>46120</v>
      </c>
      <c r="C50" t="s">
        <v>113</v>
      </c>
      <c r="D50">
        <f>SUMIFS(Table14[Debit], Table14[Date], Table5[[#This Row],[Date]], Table14[Party], "Rashan")</f>
        <v>0</v>
      </c>
      <c r="H50" s="1">
        <v>46120</v>
      </c>
      <c r="J50">
        <f>SUMIFS(Table14[Debit], Table14[Date], Table15[[#This Row],[Date]], Table14[Party], "Parts")</f>
        <v>24473</v>
      </c>
    </row>
    <row r="51" spans="2:10" x14ac:dyDescent="0.3">
      <c r="B51" s="1">
        <v>46121</v>
      </c>
      <c r="C51" t="s">
        <v>113</v>
      </c>
      <c r="D51">
        <f>SUMIFS(Table14[Debit], Table14[Date], Table5[[#This Row],[Date]], Table14[Party], "Rashan")</f>
        <v>0</v>
      </c>
      <c r="H51" s="1">
        <v>46121</v>
      </c>
      <c r="J51">
        <f>SUMIFS(Table14[Debit], Table14[Date], Table15[[#This Row],[Date]], Table14[Party], "Parts")</f>
        <v>1300</v>
      </c>
    </row>
    <row r="52" spans="2:10" x14ac:dyDescent="0.3">
      <c r="B52" s="1">
        <v>46122</v>
      </c>
      <c r="C52" t="s">
        <v>113</v>
      </c>
      <c r="D52">
        <f>SUMIFS(Table14[Debit], Table14[Date], Table5[[#This Row],[Date]], Table14[Party], "Rashan")</f>
        <v>0</v>
      </c>
      <c r="H52" s="1">
        <v>46122</v>
      </c>
      <c r="J52">
        <f>SUMIFS(Table14[Debit], Table14[Date], Table15[[#This Row],[Date]], Table14[Party], "Parts")</f>
        <v>33400</v>
      </c>
    </row>
    <row r="53" spans="2:10" x14ac:dyDescent="0.3">
      <c r="B53" s="1">
        <v>46123</v>
      </c>
      <c r="C53" t="s">
        <v>113</v>
      </c>
      <c r="D53">
        <f>SUMIFS(Table14[Debit], Table14[Date], Table5[[#This Row],[Date]], Table14[Party], "Rashan")</f>
        <v>0</v>
      </c>
      <c r="H53" s="1">
        <v>46123</v>
      </c>
      <c r="J53">
        <f>SUMIFS(Table14[Debit], Table14[Date], Table15[[#This Row],[Date]], Table14[Party], "Parts")</f>
        <v>0</v>
      </c>
    </row>
    <row r="54" spans="2:10" x14ac:dyDescent="0.3">
      <c r="B54" s="1">
        <v>46124</v>
      </c>
      <c r="C54" t="s">
        <v>113</v>
      </c>
      <c r="D54">
        <f>SUMIFS(Table14[Debit], Table14[Date], Table5[[#This Row],[Date]], Table14[Party], "Rashan")</f>
        <v>0</v>
      </c>
      <c r="H54" s="1">
        <v>46124</v>
      </c>
      <c r="J54">
        <f>SUMIFS(Table14[Debit], Table14[Date], Table15[[#This Row],[Date]], Table14[Party], "Parts")</f>
        <v>11140</v>
      </c>
    </row>
    <row r="55" spans="2:10" x14ac:dyDescent="0.3">
      <c r="B55" s="1">
        <v>46125</v>
      </c>
      <c r="C55" t="s">
        <v>113</v>
      </c>
      <c r="D55">
        <f>SUMIFS(Table14[Debit], Table14[Date], Table5[[#This Row],[Date]], Table14[Party], "Rashan")</f>
        <v>65310</v>
      </c>
      <c r="H55" s="1">
        <v>46125</v>
      </c>
      <c r="J55">
        <f>SUMIFS(Table14[Debit], Table14[Date], Table15[[#This Row],[Date]], Table14[Party], "Parts")</f>
        <v>1000</v>
      </c>
    </row>
    <row r="56" spans="2:10" x14ac:dyDescent="0.3">
      <c r="B56" s="1">
        <v>46126</v>
      </c>
      <c r="C56" t="s">
        <v>113</v>
      </c>
      <c r="D56">
        <f>SUMIFS(Table14[Debit], Table14[Date], Table5[[#This Row],[Date]], Table14[Party], "Rashan")</f>
        <v>0</v>
      </c>
      <c r="H56" s="1">
        <v>46126</v>
      </c>
      <c r="J56">
        <f>SUMIFS(Table14[Debit], Table14[Date], Table15[[#This Row],[Date]], Table14[Party], "Parts")</f>
        <v>2600</v>
      </c>
    </row>
    <row r="57" spans="2:10" x14ac:dyDescent="0.3">
      <c r="B57" s="1">
        <v>46127</v>
      </c>
      <c r="C57" t="s">
        <v>113</v>
      </c>
      <c r="D57">
        <f>SUMIFS(Table14[Debit], Table14[Date], Table5[[#This Row],[Date]], Table14[Party], "Rashan")</f>
        <v>0</v>
      </c>
      <c r="H57" s="1">
        <v>46127</v>
      </c>
      <c r="J57">
        <f>SUMIFS(Table14[Debit], Table14[Date], Table15[[#This Row],[Date]], Table14[Party], "Parts")</f>
        <v>3210</v>
      </c>
    </row>
    <row r="58" spans="2:10" x14ac:dyDescent="0.3">
      <c r="B58" s="1">
        <v>46128</v>
      </c>
      <c r="C58" t="s">
        <v>113</v>
      </c>
      <c r="D58">
        <f>SUMIFS(Table14[Debit], Table14[Date], Table5[[#This Row],[Date]], Table14[Party], "Rashan")</f>
        <v>0</v>
      </c>
      <c r="H58" s="1">
        <v>46128</v>
      </c>
      <c r="J58">
        <f>SUMIFS(Table14[Debit], Table14[Date], Table15[[#This Row],[Date]], Table14[Party], "Parts")</f>
        <v>34035</v>
      </c>
    </row>
    <row r="59" spans="2:10" x14ac:dyDescent="0.3">
      <c r="B59" s="1">
        <v>46129</v>
      </c>
      <c r="C59" t="s">
        <v>113</v>
      </c>
      <c r="D59">
        <f>SUMIFS(Table14[Debit], Table14[Date], Table5[[#This Row],[Date]], Table14[Party], "Rashan")</f>
        <v>0</v>
      </c>
      <c r="H59" s="1">
        <v>46129</v>
      </c>
      <c r="J59">
        <f>SUMIFS(Table14[Debit], Table14[Date], Table15[[#This Row],[Date]], Table14[Party], "Parts")</f>
        <v>7320</v>
      </c>
    </row>
    <row r="60" spans="2:10" x14ac:dyDescent="0.3">
      <c r="B60" s="1">
        <v>46130</v>
      </c>
      <c r="C60" t="s">
        <v>113</v>
      </c>
      <c r="D60">
        <f>SUMIFS(Table14[Debit], Table14[Date], Table5[[#This Row],[Date]], Table14[Party], "Rashan")</f>
        <v>40000</v>
      </c>
      <c r="H60" s="1">
        <v>46130</v>
      </c>
      <c r="J60">
        <f>SUMIFS(Table14[Debit], Table14[Date], Table15[[#This Row],[Date]], Table14[Party], "Parts")</f>
        <v>4820</v>
      </c>
    </row>
    <row r="61" spans="2:10" x14ac:dyDescent="0.3">
      <c r="B61" s="1">
        <v>46131</v>
      </c>
      <c r="C61" t="s">
        <v>113</v>
      </c>
      <c r="D61">
        <f>SUMIFS(Table14[Debit], Table14[Date], Table5[[#This Row],[Date]], Table14[Party], "Rashan")</f>
        <v>0</v>
      </c>
      <c r="H61" s="1">
        <v>46131</v>
      </c>
      <c r="J61">
        <f>SUMIFS(Table14[Debit], Table14[Date], Table15[[#This Row],[Date]], Table14[Party], "Parts")</f>
        <v>5400</v>
      </c>
    </row>
    <row r="62" spans="2:10" x14ac:dyDescent="0.3">
      <c r="B62" s="1">
        <v>46132</v>
      </c>
      <c r="C62" t="s">
        <v>113</v>
      </c>
      <c r="D62">
        <f>SUMIFS(Table14[Debit], Table14[Date], Table5[[#This Row],[Date]], Table14[Party], "Rashan")</f>
        <v>19685</v>
      </c>
      <c r="H62" s="1">
        <v>46132</v>
      </c>
      <c r="J62">
        <f>SUMIFS(Table14[Debit], Table14[Date], Table15[[#This Row],[Date]], Table14[Party], "Parts")</f>
        <v>4000</v>
      </c>
    </row>
    <row r="63" spans="2:10" x14ac:dyDescent="0.3">
      <c r="B63" s="1">
        <v>46133</v>
      </c>
      <c r="C63" t="s">
        <v>113</v>
      </c>
      <c r="D63">
        <f>SUMIFS(Table14[Debit], Table14[Date], Table5[[#This Row],[Date]], Table14[Party], "Rashan")</f>
        <v>0</v>
      </c>
      <c r="H63" s="1">
        <v>46133</v>
      </c>
      <c r="J63">
        <f>SUMIFS(Table14[Debit], Table14[Date], Table15[[#This Row],[Date]], Table14[Party], "Parts")</f>
        <v>11610</v>
      </c>
    </row>
    <row r="64" spans="2:10" x14ac:dyDescent="0.3">
      <c r="B64" s="1">
        <v>46134</v>
      </c>
      <c r="C64" t="s">
        <v>113</v>
      </c>
      <c r="D64">
        <f>SUMIFS(Table14[Debit], Table14[Date], Table5[[#This Row],[Date]], Table14[Party], "Rashan")</f>
        <v>0</v>
      </c>
      <c r="H64" s="1">
        <v>46134</v>
      </c>
      <c r="J64">
        <f>SUMIFS(Table14[Debit], Table14[Date], Table15[[#This Row],[Date]], Table14[Party], "Parts")</f>
        <v>2400</v>
      </c>
    </row>
    <row r="65" spans="2:10" x14ac:dyDescent="0.3">
      <c r="B65" s="1">
        <v>46135</v>
      </c>
      <c r="C65" t="s">
        <v>113</v>
      </c>
      <c r="D65">
        <f>SUMIFS(Table14[Debit], Table14[Date], Table5[[#This Row],[Date]], Table14[Party], "Rashan")</f>
        <v>0</v>
      </c>
      <c r="H65" s="1">
        <v>46135</v>
      </c>
      <c r="J65">
        <f>SUMIFS(Table14[Debit], Table14[Date], Table15[[#This Row],[Date]], Table14[Party], "Parts")</f>
        <v>32062</v>
      </c>
    </row>
    <row r="66" spans="2:10" x14ac:dyDescent="0.3">
      <c r="B66" s="1">
        <v>46136</v>
      </c>
      <c r="C66" t="s">
        <v>113</v>
      </c>
      <c r="D66">
        <f>SUMIFS(Table14[Debit], Table14[Date], Table5[[#This Row],[Date]], Table14[Party], "Rashan")</f>
        <v>0</v>
      </c>
      <c r="H66" s="1">
        <v>46136</v>
      </c>
      <c r="J66">
        <f>SUMIFS(Table14[Debit], Table14[Date], Table15[[#This Row],[Date]], Table14[Party], "Parts")</f>
        <v>42656</v>
      </c>
    </row>
    <row r="67" spans="2:10" x14ac:dyDescent="0.3">
      <c r="B67" s="1">
        <v>46137</v>
      </c>
      <c r="C67" t="s">
        <v>113</v>
      </c>
      <c r="D67">
        <f>SUMIFS(Table14[Debit], Table14[Date], Table5[[#This Row],[Date]], Table14[Party], "Rashan")</f>
        <v>0</v>
      </c>
      <c r="H67" s="1">
        <v>46137</v>
      </c>
      <c r="J67">
        <f>SUMIFS(Table14[Debit], Table14[Date], Table15[[#This Row],[Date]], Table14[Party], "Parts")</f>
        <v>11346</v>
      </c>
    </row>
    <row r="68" spans="2:10" x14ac:dyDescent="0.3">
      <c r="B68" s="1">
        <v>46138</v>
      </c>
      <c r="C68" t="s">
        <v>113</v>
      </c>
      <c r="D68">
        <f>SUMIFS(Table14[Debit], Table14[Date], Table5[[#This Row],[Date]], Table14[Party], "Rashan")</f>
        <v>0</v>
      </c>
      <c r="H68" s="1">
        <v>46138</v>
      </c>
      <c r="J68">
        <f>SUMIFS(Table14[Debit], Table14[Date], Table15[[#This Row],[Date]], Table14[Party], "Parts")</f>
        <v>11456</v>
      </c>
    </row>
    <row r="69" spans="2:10" x14ac:dyDescent="0.3">
      <c r="B69" s="1">
        <v>46139</v>
      </c>
      <c r="C69" t="s">
        <v>113</v>
      </c>
      <c r="D69">
        <f>SUMIFS(Table14[Debit], Table14[Date], Table5[[#This Row],[Date]], Table14[Party], "Rashan")</f>
        <v>0</v>
      </c>
      <c r="H69" s="1">
        <v>46139</v>
      </c>
      <c r="J69">
        <f>SUMIFS(Table14[Debit], Table14[Date], Table15[[#This Row],[Date]], Table14[Party], "Parts")</f>
        <v>7660</v>
      </c>
    </row>
    <row r="70" spans="2:10" x14ac:dyDescent="0.3">
      <c r="B70" s="1">
        <v>46140</v>
      </c>
      <c r="C70" t="s">
        <v>113</v>
      </c>
      <c r="D70">
        <f>SUMIFS(Table14[Debit], Table14[Date], Table5[[#This Row],[Date]], Table14[Party], "Rashan")</f>
        <v>0</v>
      </c>
      <c r="H70" s="1">
        <v>46140</v>
      </c>
      <c r="J70">
        <f>SUMIFS(Table14[Debit], Table14[Date], Table15[[#This Row],[Date]], Table14[Party], "Parts")</f>
        <v>1640</v>
      </c>
    </row>
    <row r="71" spans="2:10" x14ac:dyDescent="0.3">
      <c r="B71" s="1">
        <v>46141</v>
      </c>
      <c r="C71" t="s">
        <v>113</v>
      </c>
      <c r="D71">
        <f>SUMIFS(Table14[Debit], Table14[Date], Table5[[#This Row],[Date]], Table14[Party], "Rashan")</f>
        <v>5000</v>
      </c>
      <c r="H71" s="1">
        <v>46141</v>
      </c>
      <c r="J71">
        <f>SUMIFS(Table14[Debit], Table14[Date], Table15[[#This Row],[Date]], Table14[Party], "Parts")</f>
        <v>34969</v>
      </c>
    </row>
    <row r="72" spans="2:10" x14ac:dyDescent="0.3">
      <c r="B72" s="1">
        <v>46142</v>
      </c>
      <c r="D72">
        <f>SUMIFS(Table14[Debit], Table14[Date], Table5[[#This Row],[Date]], Table14[Party], "Rashan")</f>
        <v>0</v>
      </c>
      <c r="H72" s="1">
        <v>46142</v>
      </c>
      <c r="J72">
        <f>SUMIFS(Table14[Debit], Table14[Date], Table15[[#This Row],[Date]], Table14[Party], "Parts")</f>
        <v>590</v>
      </c>
    </row>
    <row r="73" spans="2:10" x14ac:dyDescent="0.3">
      <c r="B73" s="1">
        <v>46143</v>
      </c>
      <c r="D73">
        <f>SUMIFS(Table14[Debit], Table14[Date], Table5[[#This Row],[Date]], Table14[Party], "Rashan")</f>
        <v>0</v>
      </c>
      <c r="H73" s="1">
        <v>46143</v>
      </c>
      <c r="J73">
        <f>SUMIFS(Table14[Debit], Table14[Date], Table15[[#This Row],[Date]], Table14[Party], "Parts")</f>
        <v>0</v>
      </c>
    </row>
    <row r="74" spans="2:10" x14ac:dyDescent="0.3">
      <c r="B74" s="1">
        <v>46144</v>
      </c>
      <c r="D74">
        <f>SUMIFS(Table14[Debit], Table14[Date], Table5[[#This Row],[Date]], Table14[Party], "Rashan")</f>
        <v>0</v>
      </c>
      <c r="H74" s="1">
        <v>46144</v>
      </c>
      <c r="J74">
        <f>SUMIFS(Table14[Debit], Table14[Date], Table15[[#This Row],[Date]], Table14[Party], "Parts")</f>
        <v>15120</v>
      </c>
    </row>
    <row r="75" spans="2:10" x14ac:dyDescent="0.3">
      <c r="B75" s="1">
        <v>46145</v>
      </c>
      <c r="D75">
        <f>SUMIFS(Table14[Debit], Table14[Date], Table5[[#This Row],[Date]], Table14[Party], "Rashan")</f>
        <v>0</v>
      </c>
      <c r="H75" s="1">
        <v>46145</v>
      </c>
      <c r="J75">
        <f>SUMIFS(Table14[Debit], Table14[Date], Table15[[#This Row],[Date]], Table14[Party], "Parts")</f>
        <v>21360</v>
      </c>
    </row>
    <row r="76" spans="2:10" x14ac:dyDescent="0.3">
      <c r="B76" s="1">
        <v>46146</v>
      </c>
      <c r="D76">
        <f>SUMIFS(Table14[Debit], Table14[Date], Table5[[#This Row],[Date]], Table14[Party], "Rashan")</f>
        <v>18000</v>
      </c>
      <c r="H76" s="1">
        <v>46146</v>
      </c>
      <c r="J76">
        <f>SUMIFS(Table14[Debit], Table14[Date], Table15[[#This Row],[Date]], Table14[Party], "Parts")</f>
        <v>86240</v>
      </c>
    </row>
    <row r="77" spans="2:10" x14ac:dyDescent="0.3">
      <c r="B77" s="1">
        <v>46147</v>
      </c>
      <c r="D77">
        <f>SUMIFS(Table14[Debit], Table14[Date], Table5[[#This Row],[Date]], Table14[Party], "Rashan")</f>
        <v>0</v>
      </c>
      <c r="H77" s="1">
        <v>46147</v>
      </c>
      <c r="J77">
        <f>SUMIFS(Table14[Debit], Table14[Date], Table15[[#This Row],[Date]], Table14[Party], "Parts")</f>
        <v>1480</v>
      </c>
    </row>
    <row r="78" spans="2:10" x14ac:dyDescent="0.3">
      <c r="B78" s="1">
        <v>46148</v>
      </c>
      <c r="D78">
        <f>SUMIFS(Table14[Debit], Table14[Date], Table5[[#This Row],[Date]], Table14[Party], "Rashan")</f>
        <v>0</v>
      </c>
      <c r="H78" s="1">
        <v>46148</v>
      </c>
      <c r="J78">
        <f>SUMIFS(Table14[Debit], Table14[Date], Table15[[#This Row],[Date]], Table14[Party], "Parts")</f>
        <v>8030</v>
      </c>
    </row>
    <row r="79" spans="2:10" x14ac:dyDescent="0.3">
      <c r="B79" s="1">
        <v>46149</v>
      </c>
      <c r="D79">
        <f>SUMIFS(Table14[Debit], Table14[Date], Table5[[#This Row],[Date]], Table14[Party], "Rashan")</f>
        <v>2200</v>
      </c>
      <c r="H79" s="1">
        <v>46149</v>
      </c>
      <c r="J79">
        <f>SUMIFS(Table14[Debit], Table14[Date], Table15[[#This Row],[Date]], Table14[Party], "Parts")</f>
        <v>0</v>
      </c>
    </row>
    <row r="80" spans="2:10" x14ac:dyDescent="0.3">
      <c r="B80" s="1">
        <v>46150</v>
      </c>
      <c r="D80">
        <f>SUMIFS(Table14[Debit], Table14[Date], Table5[[#This Row],[Date]], Table14[Party], "Rashan")</f>
        <v>2200</v>
      </c>
      <c r="H80" s="1">
        <v>46150</v>
      </c>
      <c r="J80">
        <f>SUMIFS(Table14[Debit], Table14[Date], Table15[[#This Row],[Date]], Table14[Party], "Parts")</f>
        <v>4120</v>
      </c>
    </row>
    <row r="81" spans="2:10" x14ac:dyDescent="0.3">
      <c r="B81" s="1">
        <v>46151</v>
      </c>
      <c r="D81">
        <f>SUMIFS(Table14[Debit], Table14[Date], Table5[[#This Row],[Date]], Table14[Party], "Rashan")</f>
        <v>30000</v>
      </c>
      <c r="H81" s="1">
        <v>46151</v>
      </c>
      <c r="J81">
        <f>SUMIFS(Table14[Debit], Table14[Date], Table15[[#This Row],[Date]], Table14[Party], "Parts")</f>
        <v>2800</v>
      </c>
    </row>
    <row r="82" spans="2:10" x14ac:dyDescent="0.3">
      <c r="B82" s="1">
        <v>46152</v>
      </c>
      <c r="D82">
        <f>SUMIFS(Table14[Debit], Table14[Date], Table5[[#This Row],[Date]], Table14[Party], "Rashan")</f>
        <v>0</v>
      </c>
      <c r="H82" s="1">
        <v>46152</v>
      </c>
      <c r="J82">
        <f>SUMIFS(Table14[Debit], Table14[Date], Table15[[#This Row],[Date]], Table14[Party], "Parts")</f>
        <v>5610</v>
      </c>
    </row>
    <row r="83" spans="2:10" x14ac:dyDescent="0.3">
      <c r="B83" s="1">
        <v>46153</v>
      </c>
      <c r="D83">
        <f>SUMIFS(Table14[Debit], Table14[Date], Table5[[#This Row],[Date]], Table14[Party], "Rashan")</f>
        <v>0</v>
      </c>
      <c r="H83" s="1">
        <v>46153</v>
      </c>
      <c r="J83">
        <f>SUMIFS(Table14[Debit], Table14[Date], Table15[[#This Row],[Date]], Table14[Party], "Parts")</f>
        <v>49101</v>
      </c>
    </row>
    <row r="84" spans="2:10" x14ac:dyDescent="0.3">
      <c r="B84" s="1">
        <v>46154</v>
      </c>
      <c r="D84">
        <f>SUMIFS(Table14[Debit], Table14[Date], Table5[[#This Row],[Date]], Table14[Party], "Rashan")</f>
        <v>1800</v>
      </c>
      <c r="H84" s="1">
        <v>46154</v>
      </c>
      <c r="J84">
        <f>SUMIFS(Table14[Debit], Table14[Date], Table15[[#This Row],[Date]], Table14[Party], "Parts")</f>
        <v>4450</v>
      </c>
    </row>
    <row r="85" spans="2:10" x14ac:dyDescent="0.3">
      <c r="B85" s="1">
        <v>46155</v>
      </c>
      <c r="D85">
        <f>SUMIFS(Table14[Debit], Table14[Date], Table5[[#This Row],[Date]], Table14[Party], "Rashan")</f>
        <v>0</v>
      </c>
      <c r="H85" s="1">
        <v>46155</v>
      </c>
      <c r="J85">
        <f>SUMIFS(Table14[Debit], Table14[Date], Table15[[#This Row],[Date]], Table14[Party], "Parts")</f>
        <v>51466</v>
      </c>
    </row>
    <row r="86" spans="2:10" x14ac:dyDescent="0.3">
      <c r="B86" s="1">
        <v>46156</v>
      </c>
      <c r="D86">
        <f>SUMIFS(Table14[Debit], Table14[Date], Table5[[#This Row],[Date]], Table14[Party], "Rashan")</f>
        <v>0</v>
      </c>
      <c r="H86" s="1">
        <v>46156</v>
      </c>
      <c r="J86">
        <f>SUMIFS(Table14[Debit], Table14[Date], Table15[[#This Row],[Date]], Table14[Party], "Parts")</f>
        <v>1600</v>
      </c>
    </row>
    <row r="87" spans="2:10" x14ac:dyDescent="0.3">
      <c r="B87" s="1">
        <v>46157</v>
      </c>
      <c r="D87">
        <f>SUMIFS(Table14[Debit], Table14[Date], Table5[[#This Row],[Date]], Table14[Party], "Rashan")</f>
        <v>0</v>
      </c>
      <c r="H87" s="1">
        <v>46157</v>
      </c>
      <c r="J87">
        <f>SUMIFS(Table14[Debit], Table14[Date], Table15[[#This Row],[Date]], Table14[Party], "Parts")</f>
        <v>0</v>
      </c>
    </row>
    <row r="88" spans="2:10" x14ac:dyDescent="0.3">
      <c r="B88" s="1">
        <v>46158</v>
      </c>
      <c r="D88">
        <f>SUMIFS(Table14[Debit], Table14[Date], Table5[[#This Row],[Date]], Table14[Party], "Rashan")</f>
        <v>0</v>
      </c>
      <c r="H88" s="1">
        <v>46158</v>
      </c>
      <c r="J88">
        <f>SUMIFS(Table14[Debit], Table14[Date], Table15[[#This Row],[Date]], Table14[Party], "Parts")</f>
        <v>0</v>
      </c>
    </row>
    <row r="89" spans="2:10" x14ac:dyDescent="0.3">
      <c r="B89" s="1">
        <v>46159</v>
      </c>
      <c r="D89">
        <f>SUMIFS(Table14[Debit], Table14[Date], Table5[[#This Row],[Date]], Table14[Party], "Rashan")</f>
        <v>0</v>
      </c>
      <c r="H89" s="1">
        <v>46159</v>
      </c>
      <c r="J89">
        <f>SUMIFS(Table14[Debit], Table14[Date], Table15[[#This Row],[Date]], Table14[Party], "Parts")</f>
        <v>0</v>
      </c>
    </row>
    <row r="90" spans="2:10" x14ac:dyDescent="0.3">
      <c r="B90" s="1">
        <v>46160</v>
      </c>
      <c r="D90">
        <f>SUMIFS(Table14[Debit], Table14[Date], Table5[[#This Row],[Date]], Table14[Party], "Rashan")</f>
        <v>1880</v>
      </c>
      <c r="H90" s="1">
        <v>46160</v>
      </c>
      <c r="J90">
        <f>SUMIFS(Table14[Debit], Table14[Date], Table15[[#This Row],[Date]], Table14[Party], "Parts")</f>
        <v>1800</v>
      </c>
    </row>
    <row r="91" spans="2:10" x14ac:dyDescent="0.3">
      <c r="B91" s="1">
        <v>46161</v>
      </c>
      <c r="D91">
        <f>SUMIFS(Table14[Debit], Table14[Date], Table5[[#This Row],[Date]], Table14[Party], "Rashan")</f>
        <v>0</v>
      </c>
      <c r="H91" s="1">
        <v>46161</v>
      </c>
      <c r="J91">
        <f>SUMIFS(Table14[Debit], Table14[Date], Table15[[#This Row],[Date]], Table14[Party], "Parts")</f>
        <v>9120</v>
      </c>
    </row>
    <row r="92" spans="2:10" x14ac:dyDescent="0.3">
      <c r="B92" s="1">
        <v>46162</v>
      </c>
      <c r="D92">
        <f>SUMIFS(Table14[Debit], Table14[Date], Table5[[#This Row],[Date]], Table14[Party], "Rashan")</f>
        <v>4800</v>
      </c>
      <c r="H92" s="1">
        <v>46162</v>
      </c>
      <c r="J92">
        <f>SUMIFS(Table14[Debit], Table14[Date], Table15[[#This Row],[Date]], Table14[Party], "Parts")</f>
        <v>0</v>
      </c>
    </row>
    <row r="93" spans="2:10" x14ac:dyDescent="0.3">
      <c r="B93" s="1">
        <v>46163</v>
      </c>
      <c r="D93">
        <f>SUMIFS(Table14[Debit], Table14[Date], Table5[[#This Row],[Date]], Table14[Party], "Rashan")</f>
        <v>0</v>
      </c>
      <c r="H93" s="1">
        <v>46163</v>
      </c>
      <c r="J93">
        <f>SUMIFS(Table14[Debit], Table14[Date], Table15[[#This Row],[Date]], Table14[Party], "Parts")</f>
        <v>0</v>
      </c>
    </row>
    <row r="94" spans="2:10" x14ac:dyDescent="0.3">
      <c r="B94" s="1">
        <v>46164</v>
      </c>
      <c r="D94">
        <f>SUMIFS(Table14[Debit], Table14[Date], Table5[[#This Row],[Date]], Table14[Party], "Rashan")</f>
        <v>0</v>
      </c>
      <c r="H94" s="1">
        <v>46164</v>
      </c>
      <c r="J94">
        <f>SUMIFS(Table14[Debit], Table14[Date], Table15[[#This Row],[Date]], Table14[Party], "Parts")</f>
        <v>1200</v>
      </c>
    </row>
    <row r="95" spans="2:10" x14ac:dyDescent="0.3">
      <c r="B95" s="1">
        <v>46165</v>
      </c>
      <c r="D95">
        <f>SUMIFS(Table14[Debit], Table14[Date], Table5[[#This Row],[Date]], Table14[Party], "Rashan")</f>
        <v>0</v>
      </c>
      <c r="H95" s="1">
        <v>46165</v>
      </c>
      <c r="J95">
        <f>SUMIFS(Table14[Debit], Table14[Date], Table15[[#This Row],[Date]], Table14[Party], "Parts")</f>
        <v>57400</v>
      </c>
    </row>
    <row r="96" spans="2:10" x14ac:dyDescent="0.3">
      <c r="B96" s="1">
        <v>46166</v>
      </c>
      <c r="D96">
        <f>SUMIFS(Table14[Debit], Table14[Date], Table5[[#This Row],[Date]], Table14[Party], "Rashan")</f>
        <v>1560</v>
      </c>
      <c r="H96" s="1">
        <v>46166</v>
      </c>
      <c r="J96">
        <f>SUMIFS(Table14[Debit], Table14[Date], Table15[[#This Row],[Date]], Table14[Party], "Parts")</f>
        <v>1450</v>
      </c>
    </row>
    <row r="97" spans="2:10" x14ac:dyDescent="0.3">
      <c r="B97" s="1">
        <v>46167</v>
      </c>
      <c r="D97">
        <f>SUMIFS(Table14[Debit], Table14[Date], Table5[[#This Row],[Date]], Table14[Party], "Rashan")</f>
        <v>6550</v>
      </c>
      <c r="H97" s="1">
        <v>46167</v>
      </c>
      <c r="J97">
        <f>SUMIFS(Table14[Debit], Table14[Date], Table15[[#This Row],[Date]], Table14[Party], "Parts")</f>
        <v>1170</v>
      </c>
    </row>
    <row r="98" spans="2:10" x14ac:dyDescent="0.3">
      <c r="B98" s="1">
        <v>46168</v>
      </c>
      <c r="D98">
        <f>SUMIFS(Table14[Debit], Table14[Date], Table5[[#This Row],[Date]], Table14[Party], "Rashan")</f>
        <v>0</v>
      </c>
      <c r="H98" s="1">
        <v>46168</v>
      </c>
      <c r="J98">
        <f>SUMIFS(Table14[Debit], Table14[Date], Table15[[#This Row],[Date]], Table14[Party], "Parts")</f>
        <v>20000</v>
      </c>
    </row>
    <row r="99" spans="2:10" x14ac:dyDescent="0.3">
      <c r="B99" s="1">
        <v>46169</v>
      </c>
      <c r="D99">
        <f>SUMIFS(Table14[Debit], Table14[Date], Table5[[#This Row],[Date]], Table14[Party], "Rashan")</f>
        <v>0</v>
      </c>
      <c r="H99" s="1">
        <v>46169</v>
      </c>
      <c r="J99">
        <f>SUMIFS(Table14[Debit], Table14[Date], Table15[[#This Row],[Date]], Table14[Party], "Parts")</f>
        <v>0</v>
      </c>
    </row>
    <row r="100" spans="2:10" x14ac:dyDescent="0.3">
      <c r="B100" s="1">
        <v>46170</v>
      </c>
      <c r="D100">
        <f>SUMIFS(Table14[Debit], Table14[Date], Table5[[#This Row],[Date]], Table14[Party], "Rashan")</f>
        <v>0</v>
      </c>
      <c r="H100" s="1">
        <v>46170</v>
      </c>
      <c r="J100">
        <f>SUMIFS(Table14[Debit], Table14[Date], Table15[[#This Row],[Date]], Table14[Party], "Parts")</f>
        <v>0</v>
      </c>
    </row>
    <row r="101" spans="2:10" x14ac:dyDescent="0.3">
      <c r="B101" s="1">
        <v>46171</v>
      </c>
      <c r="D101">
        <f>SUMIFS(Table14[Debit], Table14[Date], Table5[[#This Row],[Date]], Table14[Party], "Rashan")</f>
        <v>0</v>
      </c>
      <c r="H101" s="1">
        <v>46171</v>
      </c>
      <c r="J101">
        <f>SUMIFS(Table14[Debit], Table14[Date], Table15[[#This Row],[Date]], Table14[Party], "Parts")</f>
        <v>0</v>
      </c>
    </row>
    <row r="102" spans="2:10" x14ac:dyDescent="0.3">
      <c r="B102" s="1">
        <v>46172</v>
      </c>
      <c r="D102">
        <f>SUMIFS(Table14[Debit], Table14[Date], Table5[[#This Row],[Date]], Table14[Party], "Rashan")</f>
        <v>900</v>
      </c>
      <c r="H102" s="1">
        <v>46172</v>
      </c>
      <c r="J102">
        <f>SUMIFS(Table14[Debit], Table14[Date], Table15[[#This Row],[Date]], Table14[Party], "Parts")</f>
        <v>0</v>
      </c>
    </row>
    <row r="103" spans="2:10" x14ac:dyDescent="0.3">
      <c r="B103" s="1">
        <v>46173</v>
      </c>
      <c r="D103">
        <f>SUMIFS(Table14[Debit], Table14[Date], Table5[[#This Row],[Date]], Table14[Party], "Rashan")</f>
        <v>0</v>
      </c>
      <c r="H103" s="1">
        <v>46173</v>
      </c>
      <c r="J103">
        <f>SUMIFS(Table14[Debit], Table14[Date], Table15[[#This Row],[Date]], Table14[Party], "Parts")</f>
        <v>0</v>
      </c>
    </row>
    <row r="104" spans="2:10" x14ac:dyDescent="0.3">
      <c r="B104" s="1">
        <v>46174</v>
      </c>
      <c r="D104">
        <f>SUMIFS(Table14[Debit], Table14[Date], Table5[[#This Row],[Date]], Table14[Party], "Rashan")</f>
        <v>0</v>
      </c>
      <c r="H104" s="1">
        <v>46174</v>
      </c>
      <c r="J104">
        <f>SUMIFS(Table14[Debit], Table14[Date], Table15[[#This Row],[Date]], Table14[Party], "Parts")</f>
        <v>24240</v>
      </c>
    </row>
    <row r="105" spans="2:10" x14ac:dyDescent="0.3">
      <c r="B105" s="1">
        <v>46175</v>
      </c>
      <c r="D105">
        <f>SUMIFS(Table14[Debit], Table14[Date], Table5[[#This Row],[Date]], Table14[Party], "Rashan")</f>
        <v>17060</v>
      </c>
      <c r="H105" s="1">
        <v>46175</v>
      </c>
      <c r="J105">
        <f>SUMIFS(Table14[Debit], Table14[Date], Table15[[#This Row],[Date]], Table14[Party], "Parts")</f>
        <v>1000</v>
      </c>
    </row>
    <row r="106" spans="2:10" x14ac:dyDescent="0.3">
      <c r="B106" s="1">
        <v>46176</v>
      </c>
      <c r="D106">
        <f>SUMIFS(Table14[Debit], Table14[Date], Table5[[#This Row],[Date]], Table14[Party], "Rashan")</f>
        <v>20000</v>
      </c>
      <c r="H106" s="1">
        <v>46176</v>
      </c>
      <c r="J106">
        <f>SUMIFS(Table14[Debit], Table14[Date], Table15[[#This Row],[Date]], Table14[Party], "Parts")</f>
        <v>0</v>
      </c>
    </row>
    <row r="107" spans="2:10" x14ac:dyDescent="0.3">
      <c r="B107" s="1">
        <v>46177</v>
      </c>
      <c r="D107">
        <f>SUMIFS(Table14[Debit], Table14[Date], Table5[[#This Row],[Date]], Table14[Party], "Rashan")</f>
        <v>0</v>
      </c>
      <c r="H107" s="1">
        <v>46177</v>
      </c>
      <c r="J107">
        <f>SUMIFS(Table14[Debit], Table14[Date], Table15[[#This Row],[Date]], Table14[Party], "Parts")</f>
        <v>3500</v>
      </c>
    </row>
    <row r="108" spans="2:10" x14ac:dyDescent="0.3">
      <c r="B108" s="1">
        <v>46178</v>
      </c>
      <c r="D108">
        <f>SUMIFS(Table14[Debit], Table14[Date], Table5[[#This Row],[Date]], Table14[Party], "Rashan")</f>
        <v>0</v>
      </c>
      <c r="H108" s="1">
        <v>46178</v>
      </c>
      <c r="J108">
        <f>SUMIFS(Table14[Debit], Table14[Date], Table15[[#This Row],[Date]], Table14[Party], "Parts")</f>
        <v>760</v>
      </c>
    </row>
    <row r="109" spans="2:10" x14ac:dyDescent="0.3">
      <c r="B109" s="1">
        <v>46179</v>
      </c>
      <c r="D109">
        <f>SUMIFS(Table14[Debit], Table14[Date], Table5[[#This Row],[Date]], Table14[Party], "Rashan")</f>
        <v>0</v>
      </c>
      <c r="H109" s="1">
        <v>46179</v>
      </c>
      <c r="J109">
        <f>SUMIFS(Table14[Debit], Table14[Date], Table15[[#This Row],[Date]], Table14[Party], "Parts")</f>
        <v>28400</v>
      </c>
    </row>
    <row r="110" spans="2:10" x14ac:dyDescent="0.3">
      <c r="B110" s="1">
        <v>46180</v>
      </c>
      <c r="D110">
        <f>SUMIFS(Table14[Debit], Table14[Date], Table5[[#This Row],[Date]], Table14[Party], "Rashan")</f>
        <v>0</v>
      </c>
      <c r="H110" s="1">
        <v>46180</v>
      </c>
      <c r="J110">
        <f>SUMIFS(Table14[Debit], Table14[Date], Table15[[#This Row],[Date]], Table14[Party], "Parts")</f>
        <v>6100</v>
      </c>
    </row>
    <row r="111" spans="2:10" x14ac:dyDescent="0.3">
      <c r="B111" s="1">
        <v>46181</v>
      </c>
      <c r="D111">
        <f>SUMIFS(Table14[Debit], Table14[Date], Table5[[#This Row],[Date]], Table14[Party], "Rashan")</f>
        <v>0</v>
      </c>
      <c r="H111" s="1">
        <v>46181</v>
      </c>
      <c r="J111">
        <f>SUMIFS(Table14[Debit], Table14[Date], Table15[[#This Row],[Date]], Table14[Party], "Parts")</f>
        <v>6400</v>
      </c>
    </row>
    <row r="112" spans="2:10" x14ac:dyDescent="0.3">
      <c r="B112" s="1">
        <v>46182</v>
      </c>
      <c r="D112">
        <f>SUMIFS(Table14[Debit], Table14[Date], Table5[[#This Row],[Date]], Table14[Party], "Rashan")</f>
        <v>0</v>
      </c>
      <c r="H112" s="1">
        <v>46182</v>
      </c>
      <c r="J112">
        <f>SUMIFS(Table14[Debit], Table14[Date], Table15[[#This Row],[Date]], Table14[Party], "Parts")</f>
        <v>10350</v>
      </c>
    </row>
    <row r="113" spans="2:10" x14ac:dyDescent="0.3">
      <c r="B113" s="1">
        <v>46183</v>
      </c>
      <c r="D113">
        <f>SUMIFS(Table14[Debit], Table14[Date], Table5[[#This Row],[Date]], Table14[Party], "Rashan")</f>
        <v>1990</v>
      </c>
      <c r="H113" s="1">
        <v>46183</v>
      </c>
      <c r="J113">
        <f>SUMIFS(Table14[Debit], Table14[Date], Table15[[#This Row],[Date]], Table14[Party], "Parts")</f>
        <v>1040</v>
      </c>
    </row>
    <row r="114" spans="2:10" x14ac:dyDescent="0.3">
      <c r="B114" s="1">
        <v>46184</v>
      </c>
      <c r="D114">
        <f>SUMIFS(Table14[Debit], Table14[Date], Table5[[#This Row],[Date]], Table14[Party], "Rashan")</f>
        <v>0</v>
      </c>
      <c r="H114" s="1">
        <v>46184</v>
      </c>
      <c r="J114">
        <f>SUMIFS(Table14[Debit], Table14[Date], Table15[[#This Row],[Date]], Table14[Party], "Parts")</f>
        <v>0</v>
      </c>
    </row>
    <row r="115" spans="2:10" x14ac:dyDescent="0.3">
      <c r="B115" s="1">
        <v>46185</v>
      </c>
      <c r="D115">
        <f>SUMIFS(Table14[Debit], Table14[Date], Table5[[#This Row],[Date]], Table14[Party], "Rashan")</f>
        <v>0</v>
      </c>
      <c r="H115" s="1">
        <v>46185</v>
      </c>
      <c r="J115">
        <f>SUMIFS(Table14[Debit], Table14[Date], Table15[[#This Row],[Date]], Table14[Party], "Parts")</f>
        <v>0</v>
      </c>
    </row>
    <row r="116" spans="2:10" x14ac:dyDescent="0.3">
      <c r="B116" s="1">
        <v>46186</v>
      </c>
      <c r="D116">
        <f>SUMIFS(Table14[Debit], Table14[Date], Table5[[#This Row],[Date]], Table14[Party], "Rashan")</f>
        <v>0</v>
      </c>
      <c r="H116" s="1">
        <v>46186</v>
      </c>
      <c r="J116">
        <f>SUMIFS(Table14[Debit], Table14[Date], Table15[[#This Row],[Date]], Table14[Party], "Parts")</f>
        <v>0</v>
      </c>
    </row>
    <row r="117" spans="2:10" x14ac:dyDescent="0.3">
      <c r="B117" s="1">
        <v>46187</v>
      </c>
      <c r="D117">
        <f>SUMIFS(Table14[Debit], Table14[Date], Table5[[#This Row],[Date]], Table14[Party], "Rashan")</f>
        <v>17790</v>
      </c>
      <c r="H117" s="1">
        <v>46187</v>
      </c>
      <c r="J117">
        <f>SUMIFS(Table14[Debit], Table14[Date], Table15[[#This Row],[Date]], Table14[Party], "Parts")</f>
        <v>0</v>
      </c>
    </row>
    <row r="118" spans="2:10" x14ac:dyDescent="0.3">
      <c r="B118" s="1">
        <v>46188</v>
      </c>
      <c r="D118">
        <f>SUMIFS(Table14[Debit], Table14[Date], Table5[[#This Row],[Date]], Table14[Party], "Rashan")</f>
        <v>2580</v>
      </c>
      <c r="H118" s="1">
        <v>46188</v>
      </c>
      <c r="J118">
        <f>SUMIFS(Table14[Debit], Table14[Date], Table15[[#This Row],[Date]], Table14[Party], "Parts")</f>
        <v>0</v>
      </c>
    </row>
    <row r="119" spans="2:10" x14ac:dyDescent="0.3">
      <c r="B119" s="1">
        <v>46189</v>
      </c>
      <c r="D119">
        <f>SUMIFS(Table14[Debit], Table14[Date], Table5[[#This Row],[Date]], Table14[Party], "Rashan")</f>
        <v>6600</v>
      </c>
      <c r="H119" s="1">
        <v>46189</v>
      </c>
      <c r="J119">
        <f>SUMIFS(Table14[Debit], Table14[Date], Table15[[#This Row],[Date]], Table14[Party], "Parts")</f>
        <v>0</v>
      </c>
    </row>
    <row r="120" spans="2:10" x14ac:dyDescent="0.3">
      <c r="B120" s="1">
        <v>46190</v>
      </c>
      <c r="D120">
        <f>SUMIFS(Table14[Debit], Table14[Date], Table5[[#This Row],[Date]], Table14[Party], "Rashan")</f>
        <v>2670</v>
      </c>
      <c r="H120" s="1">
        <v>46190</v>
      </c>
      <c r="J120">
        <f>SUMIFS(Table14[Debit], Table14[Date], Table15[[#This Row],[Date]], Table14[Party], "Parts")</f>
        <v>34678</v>
      </c>
    </row>
    <row r="121" spans="2:10" x14ac:dyDescent="0.3">
      <c r="B121" s="1">
        <v>46191</v>
      </c>
      <c r="D121">
        <f>SUMIFS(Table14[Debit], Table14[Date], Table5[[#This Row],[Date]], Table14[Party], "Rashan")</f>
        <v>0</v>
      </c>
      <c r="H121" s="1">
        <v>46191</v>
      </c>
      <c r="J121">
        <f>SUMIFS(Table14[Debit], Table14[Date], Table15[[#This Row],[Date]], Table14[Party], "Parts")</f>
        <v>0</v>
      </c>
    </row>
    <row r="122" spans="2:10" x14ac:dyDescent="0.3">
      <c r="B122" s="1">
        <v>46192</v>
      </c>
      <c r="D122">
        <f>SUMIFS(Table14[Debit], Table14[Date], Table5[[#This Row],[Date]], Table14[Party], "Rashan")</f>
        <v>6600</v>
      </c>
      <c r="H122" s="1">
        <v>46192</v>
      </c>
      <c r="J122">
        <f>SUMIFS(Table14[Debit], Table14[Date], Table15[[#This Row],[Date]], Table14[Party], "Parts")</f>
        <v>3300</v>
      </c>
    </row>
    <row r="123" spans="2:10" x14ac:dyDescent="0.3">
      <c r="B123" s="1">
        <v>46193</v>
      </c>
      <c r="D123">
        <f>SUMIFS(Table14[Debit], Table14[Date], Table5[[#This Row],[Date]], Table14[Party], "Rashan")</f>
        <v>0</v>
      </c>
      <c r="H123" s="1">
        <v>46193</v>
      </c>
      <c r="J123">
        <f>SUMIFS(Table14[Debit], Table14[Date], Table15[[#This Row],[Date]], Table14[Party], "Parts")</f>
        <v>14450</v>
      </c>
    </row>
    <row r="124" spans="2:10" x14ac:dyDescent="0.3">
      <c r="B124" s="1">
        <v>46194</v>
      </c>
      <c r="D124">
        <f>SUMIFS(Table14[Debit], Table14[Date], Table5[[#This Row],[Date]], Table14[Party], "Rashan")</f>
        <v>0</v>
      </c>
      <c r="H124" s="1">
        <v>46194</v>
      </c>
      <c r="J124">
        <f>SUMIFS(Table14[Debit], Table14[Date], Table15[[#This Row],[Date]], Table14[Party], "Parts")</f>
        <v>9396</v>
      </c>
    </row>
    <row r="125" spans="2:10" x14ac:dyDescent="0.3">
      <c r="B125" s="1">
        <v>46195</v>
      </c>
      <c r="D125">
        <f>SUMIFS(Table14[Debit], Table14[Date], Table5[[#This Row],[Date]], Table14[Party], "Rashan")</f>
        <v>2400</v>
      </c>
      <c r="H125" s="1">
        <v>46195</v>
      </c>
      <c r="J125">
        <f>SUMIFS(Table14[Debit], Table14[Date], Table15[[#This Row],[Date]], Table14[Party], "Parts")</f>
        <v>6460</v>
      </c>
    </row>
    <row r="126" spans="2:10" x14ac:dyDescent="0.3">
      <c r="B126" s="1">
        <v>46196</v>
      </c>
      <c r="D126">
        <f>SUMIFS(Table14[Debit], Table14[Date], Table5[[#This Row],[Date]], Table14[Party], "Rashan")</f>
        <v>6600</v>
      </c>
      <c r="H126" s="1">
        <v>46196</v>
      </c>
      <c r="J126">
        <f>SUMIFS(Table14[Debit], Table14[Date], Table15[[#This Row],[Date]], Table14[Party], "Parts")</f>
        <v>0</v>
      </c>
    </row>
    <row r="127" spans="2:10" x14ac:dyDescent="0.3">
      <c r="B127" s="1">
        <v>46197</v>
      </c>
      <c r="D127">
        <f>SUMIFS(Table14[Debit], Table14[Date], Table5[[#This Row],[Date]], Table14[Party], "Rashan")</f>
        <v>1670</v>
      </c>
      <c r="H127" s="1">
        <v>46197</v>
      </c>
      <c r="J127">
        <f>SUMIFS(Table14[Debit], Table14[Date], Table15[[#This Row],[Date]], Table14[Party], "Parts")</f>
        <v>40150</v>
      </c>
    </row>
    <row r="128" spans="2:10" x14ac:dyDescent="0.3">
      <c r="B128" s="1">
        <v>46198</v>
      </c>
      <c r="D128">
        <f>SUMIFS(Table14[Debit], Table14[Date], Table5[[#This Row],[Date]], Table14[Party], "Rashan")</f>
        <v>0</v>
      </c>
      <c r="H128" s="1">
        <v>46198</v>
      </c>
      <c r="J128">
        <f>SUMIFS(Table14[Debit], Table14[Date], Table15[[#This Row],[Date]], Table14[Party], "Parts")</f>
        <v>2000</v>
      </c>
    </row>
    <row r="129" spans="2:10" x14ac:dyDescent="0.3">
      <c r="B129" s="1">
        <v>46199</v>
      </c>
      <c r="D129">
        <f>SUMIFS(Table14[Debit], Table14[Date], Table5[[#This Row],[Date]], Table14[Party], "Rashan")</f>
        <v>0</v>
      </c>
      <c r="H129" s="1">
        <v>46199</v>
      </c>
      <c r="J129">
        <f>SUMIFS(Table14[Debit], Table14[Date], Table15[[#This Row],[Date]], Table14[Party], "Parts")</f>
        <v>0</v>
      </c>
    </row>
    <row r="130" spans="2:10" x14ac:dyDescent="0.3">
      <c r="B130" s="1">
        <v>46200</v>
      </c>
      <c r="D130">
        <f>SUMIFS(Table14[Debit], Table14[Date], Table5[[#This Row],[Date]], Table14[Party], "Rashan")</f>
        <v>0</v>
      </c>
      <c r="H130" s="1">
        <v>46200</v>
      </c>
      <c r="J130">
        <f>SUMIFS(Table14[Debit], Table14[Date], Table15[[#This Row],[Date]], Table14[Party], "Parts")</f>
        <v>0</v>
      </c>
    </row>
    <row r="131" spans="2:10" x14ac:dyDescent="0.3">
      <c r="B131" s="1">
        <v>46201</v>
      </c>
      <c r="D131">
        <f>SUMIFS(Table14[Debit], Table14[Date], Table5[[#This Row],[Date]], Table14[Party], "Rashan")</f>
        <v>10110</v>
      </c>
      <c r="H131" s="1">
        <v>46201</v>
      </c>
      <c r="J131">
        <f>SUMIFS(Table14[Debit], Table14[Date], Table15[[#This Row],[Date]], Table14[Party], "Parts")</f>
        <v>0</v>
      </c>
    </row>
    <row r="132" spans="2:10" x14ac:dyDescent="0.3">
      <c r="B132" s="1">
        <v>46202</v>
      </c>
      <c r="D132">
        <f>SUMIFS(Table14[Debit], Table14[Date], Table5[[#This Row],[Date]], Table14[Party], "Rashan")</f>
        <v>0</v>
      </c>
      <c r="H132" s="1">
        <v>46202</v>
      </c>
      <c r="J132">
        <f>SUMIFS(Table14[Debit], Table14[Date], Table15[[#This Row],[Date]], Table14[Party], "Parts")</f>
        <v>0</v>
      </c>
    </row>
    <row r="133" spans="2:10" x14ac:dyDescent="0.3">
      <c r="B133" s="1">
        <v>46203</v>
      </c>
      <c r="D133">
        <f>SUMIFS(Table14[Debit], Table14[Date], Table5[[#This Row],[Date]], Table14[Party], "Rashan")</f>
        <v>6600</v>
      </c>
      <c r="H133" s="1">
        <v>46203</v>
      </c>
      <c r="J133">
        <f>SUMIFS(Table14[Debit], Table14[Date], Table15[[#This Row],[Date]], Table14[Party], "Parts")</f>
        <v>15000</v>
      </c>
    </row>
    <row r="134" spans="2:10" x14ac:dyDescent="0.3">
      <c r="B134" s="1">
        <v>46204</v>
      </c>
      <c r="D134">
        <f>SUMIFS(Table14[Debit], Table14[Date], Table5[[#This Row],[Date]], Table14[Party], "Rashan")</f>
        <v>0</v>
      </c>
      <c r="H134" s="1">
        <v>46204</v>
      </c>
      <c r="J134">
        <f>SUMIFS(Table14[Debit], Table14[Date], Table15[[#This Row],[Date]], Table14[Party], "Parts")</f>
        <v>14000</v>
      </c>
    </row>
    <row r="135" spans="2:10" x14ac:dyDescent="0.3">
      <c r="B135" s="1">
        <v>46205</v>
      </c>
      <c r="D135">
        <f>SUMIFS(Table14[Debit], Table14[Date], Table5[[#This Row],[Date]], Table14[Party], "Rashan")</f>
        <v>0</v>
      </c>
      <c r="H135" s="1">
        <v>46205</v>
      </c>
      <c r="J135">
        <f>SUMIFS(Table14[Debit], Table14[Date], Table15[[#This Row],[Date]], Table14[Party], "Parts")</f>
        <v>0</v>
      </c>
    </row>
    <row r="136" spans="2:10" x14ac:dyDescent="0.3">
      <c r="B136" s="1">
        <v>46206</v>
      </c>
      <c r="D136">
        <f>SUMIFS(Table14[Debit], Table14[Date], Table5[[#This Row],[Date]], Table14[Party], "Rashan")</f>
        <v>0</v>
      </c>
      <c r="H136" s="1">
        <v>46206</v>
      </c>
      <c r="J136">
        <f>SUMIFS(Table14[Debit], Table14[Date], Table15[[#This Row],[Date]], Table14[Party], "Parts")</f>
        <v>0</v>
      </c>
    </row>
    <row r="137" spans="2:10" x14ac:dyDescent="0.3">
      <c r="B137" s="1">
        <v>46207</v>
      </c>
      <c r="D137">
        <f>SUMIFS(Table14[Debit], Table14[Date], Table5[[#This Row],[Date]], Table14[Party], "Rashan")</f>
        <v>9100</v>
      </c>
      <c r="H137" s="1">
        <v>46207</v>
      </c>
      <c r="J137">
        <f>SUMIFS(Table14[Debit], Table14[Date], Table15[[#This Row],[Date]], Table14[Party], "Parts")</f>
        <v>40260</v>
      </c>
    </row>
    <row r="138" spans="2:10" x14ac:dyDescent="0.3">
      <c r="B138" s="1">
        <v>46208</v>
      </c>
      <c r="D138">
        <f>SUMIFS(Table14[Debit], Table14[Date], Table5[[#This Row],[Date]], Table14[Party], "Rashan")</f>
        <v>0</v>
      </c>
      <c r="H138" s="1">
        <v>46208</v>
      </c>
      <c r="J138">
        <f>SUMIFS(Table14[Debit], Table14[Date], Table15[[#This Row],[Date]], Table14[Party], "Parts")</f>
        <v>0</v>
      </c>
    </row>
    <row r="139" spans="2:10" x14ac:dyDescent="0.3">
      <c r="B139" s="1">
        <v>46209</v>
      </c>
      <c r="D139">
        <f>SUMIFS(Table14[Debit], Table14[Date], Table5[[#This Row],[Date]], Table14[Party], "Rashan")</f>
        <v>10210</v>
      </c>
      <c r="H139" s="1">
        <v>46209</v>
      </c>
      <c r="J139">
        <f>SUMIFS(Table14[Debit], Table14[Date], Table15[[#This Row],[Date]], Table14[Party], "Parts")</f>
        <v>25700</v>
      </c>
    </row>
    <row r="140" spans="2:10" x14ac:dyDescent="0.3">
      <c r="B140" s="1">
        <v>46210</v>
      </c>
      <c r="D140">
        <f>SUMIFS(Table14[Debit], Table14[Date], Table5[[#This Row],[Date]], Table14[Party], "Rashan")</f>
        <v>2600</v>
      </c>
      <c r="H140" s="1">
        <v>46210</v>
      </c>
      <c r="J140">
        <f>SUMIFS(Table14[Debit], Table14[Date], Table15[[#This Row],[Date]], Table14[Party], "Parts")</f>
        <v>2850</v>
      </c>
    </row>
    <row r="141" spans="2:10" x14ac:dyDescent="0.3">
      <c r="B141" s="1">
        <v>46211</v>
      </c>
      <c r="D141">
        <f>SUMIFS(Table14[Debit], Table14[Date], Table5[[#This Row],[Date]], Table14[Party], "Rashan")</f>
        <v>12000</v>
      </c>
      <c r="H141" s="1">
        <v>46211</v>
      </c>
      <c r="J141">
        <f>SUMIFS(Table14[Debit], Table14[Date], Table15[[#This Row],[Date]], Table14[Party], "Parts")</f>
        <v>800</v>
      </c>
    </row>
    <row r="142" spans="2:10" x14ac:dyDescent="0.3">
      <c r="B142" s="1">
        <v>46212</v>
      </c>
      <c r="D142">
        <f>SUMIFS(Table14[Debit], Table14[Date], Table5[[#This Row],[Date]], Table14[Party], "Rashan")</f>
        <v>0</v>
      </c>
      <c r="H142" s="1">
        <v>46212</v>
      </c>
      <c r="J142">
        <f>SUMIFS(Table14[Debit], Table14[Date], Table15[[#This Row],[Date]], Table14[Party], "Parts")</f>
        <v>10260</v>
      </c>
    </row>
    <row r="143" spans="2:10" x14ac:dyDescent="0.3">
      <c r="B143" s="1">
        <v>46213</v>
      </c>
      <c r="D143">
        <f>SUMIFS(Table14[Debit], Table14[Date], Table5[[#This Row],[Date]], Table14[Party], "Rashan")</f>
        <v>0</v>
      </c>
      <c r="H143" s="1">
        <v>46213</v>
      </c>
      <c r="J143">
        <f>SUMIFS(Table14[Debit], Table14[Date], Table15[[#This Row],[Date]], Table14[Party], "Parts")</f>
        <v>0</v>
      </c>
    </row>
    <row r="144" spans="2:10" x14ac:dyDescent="0.3">
      <c r="B144" s="1">
        <v>46214</v>
      </c>
      <c r="D144">
        <f>SUMIFS(Table14[Debit], Table14[Date], Table5[[#This Row],[Date]], Table14[Party], "Rashan")</f>
        <v>0</v>
      </c>
      <c r="H144" s="1">
        <v>46214</v>
      </c>
      <c r="J144">
        <f>SUMIFS(Table14[Debit], Table14[Date], Table15[[#This Row],[Date]], Table14[Party], "Parts")</f>
        <v>7360</v>
      </c>
    </row>
    <row r="145" spans="2:10" x14ac:dyDescent="0.3">
      <c r="B145" s="1">
        <v>46215</v>
      </c>
      <c r="D145">
        <f>SUMIFS(Table14[Debit], Table14[Date], Table5[[#This Row],[Date]], Table14[Party], "Rashan")</f>
        <v>2860</v>
      </c>
      <c r="H145" s="1">
        <v>46215</v>
      </c>
      <c r="J145">
        <f>SUMIFS(Table14[Debit], Table14[Date], Table15[[#This Row],[Date]], Table14[Party], "Parts")</f>
        <v>0</v>
      </c>
    </row>
    <row r="146" spans="2:10" x14ac:dyDescent="0.3">
      <c r="B146" s="1">
        <v>46216</v>
      </c>
      <c r="D146">
        <f>SUMIFS(Table14[Debit], Table14[Date], Table5[[#This Row],[Date]], Table14[Party], "Rashan")</f>
        <v>12000</v>
      </c>
      <c r="H146" s="1">
        <v>46216</v>
      </c>
      <c r="J146">
        <f>SUMIFS(Table14[Debit], Table14[Date], Table15[[#This Row],[Date]], Table14[Party], "Parts")</f>
        <v>1410</v>
      </c>
    </row>
    <row r="147" spans="2:10" x14ac:dyDescent="0.3">
      <c r="B147" s="1">
        <v>46217</v>
      </c>
      <c r="D147">
        <f>SUMIFS(Table14[Debit], Table14[Date], Table5[[#This Row],[Date]], Table14[Party], "Rashan")</f>
        <v>0</v>
      </c>
      <c r="H147" s="1">
        <v>46217</v>
      </c>
      <c r="J147">
        <f>SUMIFS(Table14[Debit], Table14[Date], Table15[[#This Row],[Date]], Table14[Party], "Parts")</f>
        <v>0</v>
      </c>
    </row>
    <row r="148" spans="2:10" x14ac:dyDescent="0.3">
      <c r="B148" s="1">
        <v>46218</v>
      </c>
      <c r="D148">
        <f>SUMIFS(Table14[Debit], Table14[Date], Table5[[#This Row],[Date]], Table14[Party], "Rashan")</f>
        <v>0</v>
      </c>
      <c r="H148" s="1">
        <v>46218</v>
      </c>
      <c r="J148">
        <f>SUMIFS(Table14[Debit], Table14[Date], Table15[[#This Row],[Date]], Table14[Party], "Parts")</f>
        <v>3560</v>
      </c>
    </row>
    <row r="149" spans="2:10" x14ac:dyDescent="0.3">
      <c r="B149" s="1">
        <v>46219</v>
      </c>
      <c r="D149">
        <f>SUMIFS(Table14[Debit], Table14[Date], Table5[[#This Row],[Date]], Table14[Party], "Rashan")</f>
        <v>14080</v>
      </c>
      <c r="H149" s="1">
        <v>46219</v>
      </c>
      <c r="J149">
        <f>SUMIFS(Table14[Debit], Table14[Date], Table15[[#This Row],[Date]], Table14[Party], "Parts")</f>
        <v>0</v>
      </c>
    </row>
    <row r="150" spans="2:10" x14ac:dyDescent="0.3">
      <c r="B150" s="1">
        <v>46220</v>
      </c>
      <c r="D150">
        <f>SUMIFS(Table14[Debit], Table14[Date], Table5[[#This Row],[Date]], Table14[Party], "Rashan")</f>
        <v>370</v>
      </c>
      <c r="H150" s="1">
        <v>46220</v>
      </c>
      <c r="J150">
        <f>SUMIFS(Table14[Debit], Table14[Date], Table15[[#This Row],[Date]], Table14[Party], "Parts")</f>
        <v>0</v>
      </c>
    </row>
    <row r="151" spans="2:10" x14ac:dyDescent="0.3">
      <c r="B151" s="1">
        <v>46221</v>
      </c>
      <c r="D151">
        <f>SUMIFS(Table14[Debit], Table14[Date], Table5[[#This Row],[Date]], Table14[Party], "Rashan")</f>
        <v>0</v>
      </c>
      <c r="H151" s="1">
        <v>46221</v>
      </c>
      <c r="J151">
        <f>SUMIFS(Table14[Debit], Table14[Date], Table15[[#This Row],[Date]], Table14[Party], "Parts")</f>
        <v>1800</v>
      </c>
    </row>
    <row r="152" spans="2:10" x14ac:dyDescent="0.3">
      <c r="B152" s="1">
        <v>46222</v>
      </c>
      <c r="D152">
        <f>SUMIFS(Table14[Debit], Table14[Date], Table5[[#This Row],[Date]], Table14[Party], "Rashan")</f>
        <v>2600</v>
      </c>
      <c r="H152" s="1">
        <v>46222</v>
      </c>
      <c r="J152">
        <f>SUMIFS(Table14[Debit], Table14[Date], Table15[[#This Row],[Date]], Table14[Party], "Parts")</f>
        <v>0</v>
      </c>
    </row>
    <row r="153" spans="2:10" x14ac:dyDescent="0.3">
      <c r="B153" s="1">
        <v>46223</v>
      </c>
      <c r="D153">
        <f>SUMIFS(Table14[Debit], Table14[Date], Table5[[#This Row],[Date]], Table14[Party], "Rashan")</f>
        <v>12060</v>
      </c>
      <c r="H153" s="1">
        <v>46223</v>
      </c>
      <c r="J153">
        <f>SUMIFS(Table14[Debit], Table14[Date], Table15[[#This Row],[Date]], Table14[Party], "Parts")</f>
        <v>5850</v>
      </c>
    </row>
    <row r="154" spans="2:10" x14ac:dyDescent="0.3">
      <c r="B154" s="1">
        <v>46224</v>
      </c>
      <c r="D154">
        <f>SUMIFS(Table14[Debit], Table14[Date], Table5[[#This Row],[Date]], Table14[Party], "Rashan")</f>
        <v>0</v>
      </c>
      <c r="H154" s="1">
        <v>46224</v>
      </c>
      <c r="J154">
        <f>SUMIFS(Table14[Debit], Table14[Date], Table15[[#This Row],[Date]], Table14[Party], "Parts")</f>
        <v>1800</v>
      </c>
    </row>
    <row r="155" spans="2:10" x14ac:dyDescent="0.3">
      <c r="B155" s="1">
        <v>46225</v>
      </c>
      <c r="D155">
        <f>SUMIFS(Table14[Debit], Table14[Date], Table5[[#This Row],[Date]], Table14[Party], "Rashan")</f>
        <v>0</v>
      </c>
      <c r="H155" s="1">
        <v>46225</v>
      </c>
      <c r="J155">
        <f>SUMIFS(Table14[Debit], Table14[Date], Table15[[#This Row],[Date]], Table14[Party], "Parts")</f>
        <v>0</v>
      </c>
    </row>
    <row r="156" spans="2:10" x14ac:dyDescent="0.3">
      <c r="B156" s="1">
        <v>46226</v>
      </c>
      <c r="D156">
        <f>SUMIFS(Table14[Debit], Table14[Date], Table5[[#This Row],[Date]], Table14[Party], "Rashan")</f>
        <v>0</v>
      </c>
      <c r="H156" s="1">
        <v>46226</v>
      </c>
      <c r="J156">
        <f>SUMIFS(Table14[Debit], Table14[Date], Table15[[#This Row],[Date]], Table14[Party], "Parts")</f>
        <v>0</v>
      </c>
    </row>
    <row r="157" spans="2:10" x14ac:dyDescent="0.3">
      <c r="B157" s="1">
        <v>46227</v>
      </c>
      <c r="D157">
        <f>SUMIFS(Table14[Debit], Table14[Date], Table5[[#This Row],[Date]], Table14[Party], "Rashan")</f>
        <v>0</v>
      </c>
      <c r="H157" s="1">
        <v>46227</v>
      </c>
      <c r="J157">
        <f>SUMIFS(Table14[Debit], Table14[Date], Table15[[#This Row],[Date]], Table14[Party], "Parts")</f>
        <v>0</v>
      </c>
    </row>
    <row r="158" spans="2:10" x14ac:dyDescent="0.3">
      <c r="B158" s="1">
        <v>46228</v>
      </c>
      <c r="D158">
        <f>SUMIFS(Table14[Debit], Table14[Date], Table5[[#This Row],[Date]], Table14[Party], "Rashan")</f>
        <v>3000</v>
      </c>
      <c r="H158" s="1">
        <v>46228</v>
      </c>
      <c r="J158">
        <f>SUMIFS(Table14[Debit], Table14[Date], Table15[[#This Row],[Date]], Table14[Party], "Parts")</f>
        <v>0</v>
      </c>
    </row>
    <row r="159" spans="2:10" x14ac:dyDescent="0.3">
      <c r="B159" s="1">
        <v>46229</v>
      </c>
      <c r="D159">
        <f>SUMIFS(Table14[Debit], Table14[Date], Table5[[#This Row],[Date]], Table14[Party], "Rashan")</f>
        <v>0</v>
      </c>
      <c r="H159" s="1">
        <v>46229</v>
      </c>
      <c r="J159">
        <f>SUMIFS(Table14[Debit], Table14[Date], Table15[[#This Row],[Date]], Table14[Party], "Parts")</f>
        <v>48881</v>
      </c>
    </row>
    <row r="160" spans="2:10" x14ac:dyDescent="0.3">
      <c r="B160" s="1">
        <v>46230</v>
      </c>
      <c r="D160">
        <f>SUMIFS(Table14[Debit], Table14[Date], Table5[[#This Row],[Date]], Table14[Party], "Rashan")</f>
        <v>0</v>
      </c>
      <c r="H160" s="1">
        <v>46230</v>
      </c>
      <c r="J160">
        <f>SUMIFS(Table14[Debit], Table14[Date], Table15[[#This Row],[Date]], Table14[Party], "Parts")</f>
        <v>1700</v>
      </c>
    </row>
    <row r="161" spans="2:10" x14ac:dyDescent="0.3">
      <c r="B161" s="1">
        <v>46231</v>
      </c>
      <c r="D161">
        <f>SUMIFS(Table14[Debit], Table14[Date], Table5[[#This Row],[Date]], Table14[Party], "Rashan")</f>
        <v>0</v>
      </c>
      <c r="H161" s="1">
        <v>46231</v>
      </c>
      <c r="J161">
        <f>SUMIFS(Table14[Debit], Table14[Date], Table15[[#This Row],[Date]], Table14[Party], "Parts")</f>
        <v>0</v>
      </c>
    </row>
    <row r="162" spans="2:10" x14ac:dyDescent="0.3">
      <c r="B162" s="1">
        <v>46232</v>
      </c>
      <c r="D162">
        <f>SUMIFS(Table14[Debit], Table14[Date], Table5[[#This Row],[Date]], Table14[Party], "Rashan")</f>
        <v>0</v>
      </c>
      <c r="H162" s="1">
        <v>46232</v>
      </c>
      <c r="J162">
        <f>SUMIFS(Table14[Debit], Table14[Date], Table15[[#This Row],[Date]], Table14[Party], "Parts")</f>
        <v>0</v>
      </c>
    </row>
    <row r="163" spans="2:10" x14ac:dyDescent="0.3">
      <c r="B163" s="1">
        <v>46233</v>
      </c>
      <c r="D163">
        <f>SUMIFS(Table14[Debit], Table14[Date], Table5[[#This Row],[Date]], Table14[Party], "Rashan")</f>
        <v>3100</v>
      </c>
      <c r="H163" s="1">
        <v>46233</v>
      </c>
      <c r="J163">
        <f>SUMIFS(Table14[Debit], Table14[Date], Table15[[#This Row],[Date]], Table14[Party], "Parts")</f>
        <v>0</v>
      </c>
    </row>
    <row r="164" spans="2:10" x14ac:dyDescent="0.3">
      <c r="B164" s="1">
        <v>46234</v>
      </c>
      <c r="D164">
        <f>SUMIFS(Table14[Debit], Table14[Date], Table5[[#This Row],[Date]], Table14[Party], "Rashan")</f>
        <v>0</v>
      </c>
      <c r="H164" s="1">
        <v>46234</v>
      </c>
      <c r="J164">
        <f>SUMIFS(Table14[Debit], Table14[Date], Table15[[#This Row],[Date]], Table14[Party], "Parts")</f>
        <v>3000</v>
      </c>
    </row>
    <row r="165" spans="2:10" x14ac:dyDescent="0.3">
      <c r="B165" s="1">
        <v>46235</v>
      </c>
      <c r="D165">
        <f>SUMIFS(Table14[Debit], Table14[Date], Table5[[#This Row],[Date]], Table14[Party], "Rashan")</f>
        <v>16790</v>
      </c>
      <c r="H165" s="1">
        <v>46235</v>
      </c>
      <c r="J165">
        <f>SUMIFS(Table14[Debit], Table14[Date], Table15[[#This Row],[Date]], Table14[Party], "Parts")</f>
        <v>30000</v>
      </c>
    </row>
    <row r="166" spans="2:10" x14ac:dyDescent="0.3">
      <c r="B166" s="1">
        <v>46236</v>
      </c>
      <c r="D166">
        <f>SUMIFS(Table14[Debit], Table14[Date], Table5[[#This Row],[Date]], Table14[Party], "Rashan")</f>
        <v>2900</v>
      </c>
      <c r="H166" s="1">
        <v>46236</v>
      </c>
      <c r="J166">
        <f>SUMIFS(Table14[Debit], Table14[Date], Table15[[#This Row],[Date]], Table14[Party], "Parts")</f>
        <v>0</v>
      </c>
    </row>
    <row r="167" spans="2:10" x14ac:dyDescent="0.3">
      <c r="B167" s="1">
        <v>46237</v>
      </c>
      <c r="D167">
        <f>SUMIFS(Table14[Debit], Table14[Date], Table5[[#This Row],[Date]], Table14[Party], "Rashan")</f>
        <v>2900</v>
      </c>
      <c r="H167" s="1">
        <v>46237</v>
      </c>
      <c r="J167">
        <f>SUMIFS(Table14[Debit], Table14[Date], Table15[[#This Row],[Date]], Table14[Party], "Parts")</f>
        <v>600</v>
      </c>
    </row>
    <row r="168" spans="2:10" x14ac:dyDescent="0.3">
      <c r="B168" s="1">
        <v>46238</v>
      </c>
      <c r="D168">
        <f>SUMIFS(Table14[Debit], Table14[Date], Table5[[#This Row],[Date]], Table14[Party], "Rashan")</f>
        <v>2900</v>
      </c>
      <c r="H168" s="1">
        <v>46238</v>
      </c>
      <c r="J168">
        <f>SUMIFS(Table14[Debit], Table14[Date], Table15[[#This Row],[Date]], Table14[Party], "Parts")</f>
        <v>11880</v>
      </c>
    </row>
    <row r="169" spans="2:10" x14ac:dyDescent="0.3">
      <c r="B169" s="1">
        <v>46239</v>
      </c>
      <c r="D169">
        <f>SUMIFS(Table14[Debit], Table14[Date], Table5[[#This Row],[Date]], Table14[Party], "Rashan")</f>
        <v>2900</v>
      </c>
      <c r="H169" s="1">
        <v>46239</v>
      </c>
      <c r="J169">
        <f>SUMIFS(Table14[Debit], Table14[Date], Table15[[#This Row],[Date]], Table14[Party], "Parts")</f>
        <v>3540</v>
      </c>
    </row>
    <row r="170" spans="2:10" x14ac:dyDescent="0.3">
      <c r="B170" s="1">
        <v>46240</v>
      </c>
      <c r="D170">
        <f>SUMIFS(Table14[Debit], Table14[Date], Table5[[#This Row],[Date]], Table14[Party], "Rashan")</f>
        <v>2900</v>
      </c>
      <c r="H170" s="1">
        <v>46240</v>
      </c>
      <c r="J170">
        <f>SUMIFS(Table14[Debit], Table14[Date], Table15[[#This Row],[Date]], Table14[Party], "Parts")</f>
        <v>7200</v>
      </c>
    </row>
    <row r="171" spans="2:10" x14ac:dyDescent="0.3">
      <c r="B171" s="1">
        <v>46241</v>
      </c>
      <c r="D171">
        <f>SUMIFS(Table14[Debit], Table14[Date], Table5[[#This Row],[Date]], Table14[Party], "Rashan")</f>
        <v>12900</v>
      </c>
      <c r="H171" s="1">
        <v>46241</v>
      </c>
      <c r="J171">
        <f>SUMIFS(Table14[Debit], Table14[Date], Table15[[#This Row],[Date]], Table14[Party], "Parts")</f>
        <v>21408</v>
      </c>
    </row>
    <row r="172" spans="2:10" x14ac:dyDescent="0.3">
      <c r="B172" s="1">
        <v>46242</v>
      </c>
      <c r="D172">
        <f>SUMIFS(Table14[Debit], Table14[Date], Table5[[#This Row],[Date]], Table14[Party], "Rashan")</f>
        <v>2900</v>
      </c>
      <c r="H172" s="1">
        <v>46242</v>
      </c>
      <c r="J172">
        <f>SUMIFS(Table14[Debit], Table14[Date], Table15[[#This Row],[Date]], Table14[Party], "Parts")</f>
        <v>115000</v>
      </c>
    </row>
    <row r="173" spans="2:10" x14ac:dyDescent="0.3">
      <c r="B173" s="1">
        <v>46243</v>
      </c>
      <c r="D173">
        <f>SUMIFS(Table14[Debit], Table14[Date], Table5[[#This Row],[Date]], Table14[Party], "Rashan")</f>
        <v>5800</v>
      </c>
      <c r="H173" s="1">
        <v>46243</v>
      </c>
      <c r="J173">
        <f>SUMIFS(Table14[Debit], Table14[Date], Table15[[#This Row],[Date]], Table14[Party], "Parts")</f>
        <v>200000</v>
      </c>
    </row>
    <row r="174" spans="2:10" x14ac:dyDescent="0.3">
      <c r="B174" s="1">
        <v>46244</v>
      </c>
      <c r="D174">
        <f>SUMIFS(Table14[Debit], Table14[Date], Table5[[#This Row],[Date]], Table14[Party], "Rashan")</f>
        <v>0</v>
      </c>
      <c r="H174" s="1">
        <v>46244</v>
      </c>
      <c r="J174">
        <f>SUMIFS(Table14[Debit], Table14[Date], Table15[[#This Row],[Date]], Table14[Party], "Parts")</f>
        <v>2500</v>
      </c>
    </row>
    <row r="175" spans="2:10" x14ac:dyDescent="0.3">
      <c r="B175" s="1">
        <v>46245</v>
      </c>
      <c r="D175">
        <f>SUMIFS(Table14[Debit], Table14[Date], Table5[[#This Row],[Date]], Table14[Party], "Rashan")</f>
        <v>0</v>
      </c>
      <c r="H175" s="1">
        <v>46245</v>
      </c>
      <c r="J175">
        <f>SUMIFS(Table14[Debit], Table14[Date], Table15[[#This Row],[Date]], Table14[Party], "Parts")</f>
        <v>350000</v>
      </c>
    </row>
    <row r="176" spans="2:10" x14ac:dyDescent="0.3">
      <c r="B176" s="1">
        <v>46246</v>
      </c>
      <c r="D176">
        <f>SUMIFS(Table14[Debit], Table14[Date], Table5[[#This Row],[Date]], Table14[Party], "Rashan")</f>
        <v>2900</v>
      </c>
      <c r="H176" s="1">
        <v>46246</v>
      </c>
      <c r="J176">
        <f>SUMIFS(Table14[Debit], Table14[Date], Table15[[#This Row],[Date]], Table14[Party], "Parts")</f>
        <v>58100</v>
      </c>
    </row>
    <row r="177" spans="2:10" x14ac:dyDescent="0.3">
      <c r="B177" s="1">
        <v>46247</v>
      </c>
      <c r="D177">
        <f>SUMIFS(Table14[Debit], Table14[Date], Table5[[#This Row],[Date]], Table14[Party], "Rashan")</f>
        <v>19450</v>
      </c>
      <c r="H177" s="1">
        <v>46247</v>
      </c>
      <c r="J177">
        <f>SUMIFS(Table14[Debit], Table14[Date], Table15[[#This Row],[Date]], Table14[Party], "Parts")</f>
        <v>5100</v>
      </c>
    </row>
    <row r="178" spans="2:10" x14ac:dyDescent="0.3">
      <c r="B178" s="1">
        <v>46248</v>
      </c>
      <c r="D178">
        <f>SUMIFS(Table14[Debit], Table14[Date], Table5[[#This Row],[Date]], Table14[Party], "Rashan")</f>
        <v>0</v>
      </c>
      <c r="H178" s="1">
        <v>46248</v>
      </c>
      <c r="J178">
        <f>SUMIFS(Table14[Debit], Table14[Date], Table15[[#This Row],[Date]], Table14[Party], "Parts")</f>
        <v>0</v>
      </c>
    </row>
    <row r="179" spans="2:10" x14ac:dyDescent="0.3">
      <c r="B179" s="1">
        <v>46249</v>
      </c>
      <c r="D179">
        <f>SUMIFS(Table14[Debit], Table14[Date], Table5[[#This Row],[Date]], Table14[Party], "Rashan")</f>
        <v>400</v>
      </c>
      <c r="H179" s="1">
        <v>46249</v>
      </c>
      <c r="J179">
        <f>SUMIFS(Table14[Debit], Table14[Date], Table15[[#This Row],[Date]], Table14[Party], "Parts")</f>
        <v>86470</v>
      </c>
    </row>
    <row r="180" spans="2:10" x14ac:dyDescent="0.3">
      <c r="B180" s="1">
        <v>46250</v>
      </c>
      <c r="D180">
        <f>SUMIFS(Table14[Debit], Table14[Date], Table5[[#This Row],[Date]], Table14[Party], "Rashan")</f>
        <v>0</v>
      </c>
      <c r="H180" s="1">
        <v>46250</v>
      </c>
      <c r="J180">
        <f>SUMIFS(Table14[Debit], Table14[Date], Table15[[#This Row],[Date]], Table14[Party], "Parts")</f>
        <v>48230</v>
      </c>
    </row>
    <row r="181" spans="2:10" x14ac:dyDescent="0.3">
      <c r="B181" s="1">
        <v>46251</v>
      </c>
      <c r="D181">
        <f>SUMIFS(Table14[Debit], Table14[Date], Table5[[#This Row],[Date]], Table14[Party], "Rashan")</f>
        <v>3500</v>
      </c>
      <c r="H181" s="1">
        <v>46251</v>
      </c>
      <c r="J181">
        <f>SUMIFS(Table14[Debit], Table14[Date], Table15[[#This Row],[Date]], Table14[Party], "Parts")</f>
        <v>950</v>
      </c>
    </row>
    <row r="182" spans="2:10" x14ac:dyDescent="0.3">
      <c r="B182" s="1">
        <v>46252</v>
      </c>
      <c r="D182">
        <f>SUMIFS(Table14[Debit], Table14[Date], Table5[[#This Row],[Date]], Table14[Party], "Rashan")</f>
        <v>2900</v>
      </c>
      <c r="H182" s="1">
        <v>46252</v>
      </c>
      <c r="J182">
        <f>SUMIFS(Table14[Debit], Table14[Date], Table15[[#This Row],[Date]], Table14[Party], "Parts")</f>
        <v>0</v>
      </c>
    </row>
    <row r="183" spans="2:10" x14ac:dyDescent="0.3">
      <c r="B183" s="1">
        <v>46253</v>
      </c>
      <c r="D183">
        <f>SUMIFS(Table14[Debit], Table14[Date], Table5[[#This Row],[Date]], Table14[Party], "Rashan")</f>
        <v>0</v>
      </c>
      <c r="H183" s="1">
        <v>46253</v>
      </c>
      <c r="J183">
        <f>SUMIFS(Table14[Debit], Table14[Date], Table15[[#This Row],[Date]], Table14[Party], "Parts")</f>
        <v>104452</v>
      </c>
    </row>
    <row r="184" spans="2:10" x14ac:dyDescent="0.3">
      <c r="B184" s="1">
        <v>46254</v>
      </c>
      <c r="D184">
        <f>SUMIFS(Table14[Debit], Table14[Date], Table5[[#This Row],[Date]], Table14[Party], "Rashan")</f>
        <v>0</v>
      </c>
      <c r="H184" s="1">
        <v>46254</v>
      </c>
      <c r="J184">
        <f>SUMIFS(Table14[Debit], Table14[Date], Table15[[#This Row],[Date]], Table14[Party], "Parts")</f>
        <v>0</v>
      </c>
    </row>
    <row r="185" spans="2:10" x14ac:dyDescent="0.3">
      <c r="B185" s="1">
        <v>46255</v>
      </c>
      <c r="D185">
        <f>SUMIFS(Table14[Debit], Table14[Date], Table5[[#This Row],[Date]], Table14[Party], "Rashan")</f>
        <v>0</v>
      </c>
      <c r="H185" s="1">
        <v>46255</v>
      </c>
      <c r="J185">
        <f>SUMIFS(Table14[Debit], Table14[Date], Table15[[#This Row],[Date]], Table14[Party], "Parts")</f>
        <v>0</v>
      </c>
    </row>
    <row r="186" spans="2:10" x14ac:dyDescent="0.3">
      <c r="B186" s="1">
        <v>46256</v>
      </c>
      <c r="D186">
        <f>SUMIFS(Table14[Debit], Table14[Date], Table5[[#This Row],[Date]], Table14[Party], "Rashan")</f>
        <v>0</v>
      </c>
      <c r="H186" s="1">
        <v>46256</v>
      </c>
      <c r="J186">
        <f>SUMIFS(Table14[Debit], Table14[Date], Table15[[#This Row],[Date]], Table14[Party], "Parts")</f>
        <v>0</v>
      </c>
    </row>
    <row r="187" spans="2:10" x14ac:dyDescent="0.3">
      <c r="B187" s="1">
        <v>46257</v>
      </c>
      <c r="D187">
        <f>SUMIFS(Table14[Debit], Table14[Date], Table5[[#This Row],[Date]], Table14[Party], "Rashan")</f>
        <v>0</v>
      </c>
      <c r="H187" s="1">
        <v>46257</v>
      </c>
      <c r="J187">
        <f>SUMIFS(Table14[Debit], Table14[Date], Table15[[#This Row],[Date]], Table14[Party], "Parts")</f>
        <v>0</v>
      </c>
    </row>
    <row r="188" spans="2:10" x14ac:dyDescent="0.3">
      <c r="B188" s="1">
        <v>46258</v>
      </c>
      <c r="D188">
        <f>SUMIFS(Table14[Debit], Table14[Date], Table5[[#This Row],[Date]], Table14[Party], "Rashan")</f>
        <v>0</v>
      </c>
      <c r="H188" s="1">
        <v>46258</v>
      </c>
      <c r="J188">
        <f>SUMIFS(Table14[Debit], Table14[Date], Table15[[#This Row],[Date]], Table14[Party], "Parts")</f>
        <v>0</v>
      </c>
    </row>
    <row r="189" spans="2:10" x14ac:dyDescent="0.3">
      <c r="B189" s="1">
        <v>46259</v>
      </c>
      <c r="D189">
        <f>SUMIFS(Table14[Debit], Table14[Date], Table5[[#This Row],[Date]], Table14[Party], "Rashan")</f>
        <v>0</v>
      </c>
      <c r="H189" s="1">
        <v>46259</v>
      </c>
      <c r="J189">
        <f>SUMIFS(Table14[Debit], Table14[Date], Table15[[#This Row],[Date]], Table14[Party], "Parts")</f>
        <v>0</v>
      </c>
    </row>
    <row r="190" spans="2:10" x14ac:dyDescent="0.3">
      <c r="B190" s="1">
        <v>46260</v>
      </c>
      <c r="D190">
        <f>SUMIFS(Table14[Debit], Table14[Date], Table5[[#This Row],[Date]], Table14[Party], "Rashan")</f>
        <v>0</v>
      </c>
      <c r="H190" s="1">
        <v>46260</v>
      </c>
      <c r="J190">
        <f>SUMIFS(Table14[Debit], Table14[Date], Table15[[#This Row],[Date]], Table14[Party], "Parts")</f>
        <v>0</v>
      </c>
    </row>
    <row r="191" spans="2:10" x14ac:dyDescent="0.3">
      <c r="B191" s="1">
        <v>46261</v>
      </c>
      <c r="D191">
        <f>SUMIFS(Table14[Debit], Table14[Date], Table5[[#This Row],[Date]], Table14[Party], "Rashan")</f>
        <v>0</v>
      </c>
      <c r="H191" s="1">
        <v>46261</v>
      </c>
      <c r="J191">
        <f>SUMIFS(Table14[Debit], Table14[Date], Table15[[#This Row],[Date]], Table14[Party], "Parts")</f>
        <v>0</v>
      </c>
    </row>
    <row r="192" spans="2:10" x14ac:dyDescent="0.3">
      <c r="B192" s="1">
        <v>46262</v>
      </c>
      <c r="D192">
        <f>SUMIFS(Table14[Debit], Table14[Date], Table5[[#This Row],[Date]], Table14[Party], "Rashan")</f>
        <v>0</v>
      </c>
      <c r="H192" s="1">
        <v>46262</v>
      </c>
      <c r="J192">
        <f>SUMIFS(Table14[Debit], Table14[Date], Table15[[#This Row],[Date]], Table14[Party], "Parts")</f>
        <v>0</v>
      </c>
    </row>
    <row r="193" spans="2:10" x14ac:dyDescent="0.3">
      <c r="B193" s="1">
        <v>46263</v>
      </c>
      <c r="D193">
        <f>SUMIFS(Table14[Debit], Table14[Date], Table5[[#This Row],[Date]], Table14[Party], "Rashan")</f>
        <v>0</v>
      </c>
      <c r="H193" s="1">
        <v>46263</v>
      </c>
      <c r="J193">
        <f>SUMIFS(Table14[Debit], Table14[Date], Table15[[#This Row],[Date]], Table14[Party], "Parts")</f>
        <v>0</v>
      </c>
    </row>
    <row r="194" spans="2:10" x14ac:dyDescent="0.3">
      <c r="B194" s="1">
        <v>46264</v>
      </c>
      <c r="D194">
        <f>SUMIFS(Table14[Debit], Table14[Date], Table5[[#This Row],[Date]], Table14[Party], "Rashan")</f>
        <v>0</v>
      </c>
      <c r="H194" s="1">
        <v>46264</v>
      </c>
      <c r="J194">
        <f>SUMIFS(Table14[Debit], Table14[Date], Table15[[#This Row],[Date]], Table14[Party], "Parts")</f>
        <v>0</v>
      </c>
    </row>
    <row r="195" spans="2:10" x14ac:dyDescent="0.3">
      <c r="B195" s="1">
        <v>46265</v>
      </c>
      <c r="D195">
        <f>SUMIFS(Table14[Debit], Table14[Date], Table5[[#This Row],[Date]], Table14[Party], "Rashan")</f>
        <v>0</v>
      </c>
      <c r="H195" s="1">
        <v>46265</v>
      </c>
      <c r="J195">
        <f>SUMIFS(Table14[Debit], Table14[Date], Table15[[#This Row],[Date]], Table14[Party], "Parts")</f>
        <v>0</v>
      </c>
    </row>
    <row r="196" spans="2:10" x14ac:dyDescent="0.3">
      <c r="B196" s="1">
        <v>46266</v>
      </c>
      <c r="D196">
        <f>SUMIFS(Table14[Debit], Table14[Date], Table5[[#This Row],[Date]], Table14[Party], "Rashan")</f>
        <v>0</v>
      </c>
      <c r="H196" s="1">
        <v>46266</v>
      </c>
      <c r="J196">
        <f>SUMIFS(Table14[Debit], Table14[Date], Table15[[#This Row],[Date]], Table14[Party], "Parts")</f>
        <v>0</v>
      </c>
    </row>
    <row r="197" spans="2:10" x14ac:dyDescent="0.3">
      <c r="B197" s="1">
        <v>46267</v>
      </c>
      <c r="D197">
        <f>SUMIFS(Table14[Debit], Table14[Date], Table5[[#This Row],[Date]], Table14[Party], "Rashan")</f>
        <v>0</v>
      </c>
      <c r="H197" s="1">
        <v>46267</v>
      </c>
      <c r="J197">
        <f>SUMIFS(Table14[Debit], Table14[Date], Table15[[#This Row],[Date]], Table14[Party], "Parts")</f>
        <v>0</v>
      </c>
    </row>
    <row r="198" spans="2:10" x14ac:dyDescent="0.3">
      <c r="B198" s="1">
        <v>46268</v>
      </c>
      <c r="D198">
        <f>SUMIFS(Table14[Debit], Table14[Date], Table5[[#This Row],[Date]], Table14[Party], "Rashan")</f>
        <v>0</v>
      </c>
      <c r="H198" s="1">
        <v>46268</v>
      </c>
      <c r="J198">
        <f>SUMIFS(Table14[Debit], Table14[Date], Table15[[#This Row],[Date]], Table14[Party], "Parts")</f>
        <v>0</v>
      </c>
    </row>
    <row r="199" spans="2:10" x14ac:dyDescent="0.3">
      <c r="B199" s="1">
        <v>46269</v>
      </c>
      <c r="D199">
        <f>SUMIFS(Table14[Debit], Table14[Date], Table5[[#This Row],[Date]], Table14[Party], "Rashan")</f>
        <v>0</v>
      </c>
      <c r="H199" s="1">
        <v>46269</v>
      </c>
      <c r="J199">
        <f>SUMIFS(Table14[Debit], Table14[Date], Table15[[#This Row],[Date]], Table14[Party], "Parts")</f>
        <v>0</v>
      </c>
    </row>
    <row r="200" spans="2:10" x14ac:dyDescent="0.3">
      <c r="B200" s="1">
        <v>46270</v>
      </c>
      <c r="D200">
        <f>SUMIFS(Table14[Debit], Table14[Date], Table5[[#This Row],[Date]], Table14[Party], "Rashan")</f>
        <v>0</v>
      </c>
      <c r="H200" s="1">
        <v>46270</v>
      </c>
      <c r="J200">
        <f>SUMIFS(Table14[Debit], Table14[Date], Table15[[#This Row],[Date]], Table14[Party], "Parts")</f>
        <v>0</v>
      </c>
    </row>
    <row r="201" spans="2:10" x14ac:dyDescent="0.3">
      <c r="B201" s="1">
        <v>46271</v>
      </c>
      <c r="D201">
        <f>SUMIFS(Table14[Debit], Table14[Date], Table5[[#This Row],[Date]], Table14[Party], "Rashan")</f>
        <v>0</v>
      </c>
      <c r="H201" s="1">
        <v>46271</v>
      </c>
      <c r="J201">
        <f>SUMIFS(Table14[Debit], Table14[Date], Table15[[#This Row],[Date]], Table14[Party], "Parts")</f>
        <v>0</v>
      </c>
    </row>
    <row r="202" spans="2:10" x14ac:dyDescent="0.3">
      <c r="B202" s="1">
        <v>46272</v>
      </c>
      <c r="D202">
        <f>SUMIFS(Table14[Debit], Table14[Date], Table5[[#This Row],[Date]], Table14[Party], "Rashan")</f>
        <v>0</v>
      </c>
      <c r="H202" s="1">
        <v>46272</v>
      </c>
      <c r="J202">
        <f>SUMIFS(Table14[Debit], Table14[Date], Table15[[#This Row],[Date]], Table14[Party], "Parts")</f>
        <v>0</v>
      </c>
    </row>
    <row r="203" spans="2:10" x14ac:dyDescent="0.3">
      <c r="B203" s="1">
        <v>46273</v>
      </c>
      <c r="D203">
        <f>SUMIFS(Table14[Debit], Table14[Date], Table5[[#This Row],[Date]], Table14[Party], "Rashan")</f>
        <v>0</v>
      </c>
      <c r="H203" s="1">
        <v>46273</v>
      </c>
      <c r="J203">
        <f>SUMIFS(Table14[Debit], Table14[Date], Table15[[#This Row],[Date]], Table14[Party], "Parts")</f>
        <v>0</v>
      </c>
    </row>
    <row r="204" spans="2:10" x14ac:dyDescent="0.3">
      <c r="B204" s="1">
        <v>46274</v>
      </c>
      <c r="D204">
        <f>SUMIFS(Table14[Debit], Table14[Date], Table5[[#This Row],[Date]], Table14[Party], "Rashan")</f>
        <v>0</v>
      </c>
      <c r="H204" s="1">
        <v>46274</v>
      </c>
      <c r="J204">
        <f>SUMIFS(Table14[Debit], Table14[Date], Table15[[#This Row],[Date]], Table14[Party], "Parts")</f>
        <v>0</v>
      </c>
    </row>
    <row r="205" spans="2:10" x14ac:dyDescent="0.3">
      <c r="B205" s="1">
        <v>46275</v>
      </c>
      <c r="D205">
        <f>SUMIFS(Table14[Debit], Table14[Date], Table5[[#This Row],[Date]], Table14[Party], "Rashan")</f>
        <v>0</v>
      </c>
      <c r="H205" s="1">
        <v>46275</v>
      </c>
      <c r="J205">
        <f>SUMIFS(Table14[Debit], Table14[Date], Table15[[#This Row],[Date]], Table14[Party], "Parts")</f>
        <v>0</v>
      </c>
    </row>
    <row r="206" spans="2:10" x14ac:dyDescent="0.3">
      <c r="B206" s="1"/>
      <c r="D206">
        <f>SUM(Table5[Amount])</f>
        <v>468575</v>
      </c>
      <c r="H206" s="1">
        <v>46276</v>
      </c>
      <c r="J206">
        <f>SUMIFS(Table14[Debit], Table14[Date], Table15[[#This Row],[Date]], Table14[Party], "Parts")</f>
        <v>0</v>
      </c>
    </row>
    <row r="207" spans="2:10" x14ac:dyDescent="0.3">
      <c r="H207" s="1"/>
      <c r="J207">
        <f>SUM(Table15[Amount])</f>
        <v>2090514</v>
      </c>
    </row>
  </sheetData>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zoomScale="66" workbookViewId="0">
      <selection activeCell="J16" sqref="J16"/>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99" t="s">
        <v>18</v>
      </c>
    </row>
    <row r="2" spans="1:3" ht="21" x14ac:dyDescent="0.4">
      <c r="A2" s="101" t="str">
        <f>Billing!R5</f>
        <v>BSC</v>
      </c>
      <c r="B2" s="104">
        <f>Billing!AF5</f>
        <v>19750734</v>
      </c>
      <c r="C2" s="102">
        <f>Billing!AG5</f>
        <v>33685578.019019753</v>
      </c>
    </row>
    <row r="3" spans="1:3" ht="21" x14ac:dyDescent="0.4">
      <c r="A3" s="101" t="str">
        <f>Billing!R38</f>
        <v>Rauf Khan</v>
      </c>
      <c r="B3" s="104">
        <f>Billing!AF38</f>
        <v>4298879</v>
      </c>
      <c r="C3" s="102">
        <f>Billing!AG38</f>
        <v>944464.26993416343</v>
      </c>
    </row>
    <row r="4" spans="1:3" ht="21" x14ac:dyDescent="0.4">
      <c r="A4" s="101" t="str">
        <f>Billing!R15</f>
        <v>Hafiz Qureshi</v>
      </c>
      <c r="B4" s="104">
        <f>Billing!AF15</f>
        <v>6325853</v>
      </c>
      <c r="C4" s="102">
        <f>Billing!AG15</f>
        <v>1297918.0314557431</v>
      </c>
    </row>
    <row r="5" spans="1:3" ht="21" x14ac:dyDescent="0.4">
      <c r="A5" s="101" t="str">
        <f>Billing!R11</f>
        <v>Raaz Fabrics</v>
      </c>
      <c r="B5" s="104">
        <f>Billing!AF11</f>
        <v>2176321</v>
      </c>
      <c r="C5" s="103">
        <f>Billing!AG11</f>
        <v>417808.48061448475</v>
      </c>
    </row>
    <row r="6" spans="1:3" ht="21" x14ac:dyDescent="0.4">
      <c r="A6" s="101" t="str">
        <f>Billing!R6</f>
        <v>Ejaz Sahab</v>
      </c>
      <c r="B6" s="104">
        <f>Billing!AF6</f>
        <v>7214622</v>
      </c>
      <c r="C6" s="102">
        <f>Billing!AG6</f>
        <v>643830.81638624799</v>
      </c>
    </row>
    <row r="7" spans="1:3" ht="21" x14ac:dyDescent="0.4">
      <c r="A7" s="101" t="str">
        <f>Billing!R34</f>
        <v>Hafiz Shawl</v>
      </c>
      <c r="B7" s="104">
        <f>Billing!AF34</f>
        <v>55855</v>
      </c>
      <c r="C7" s="102">
        <f>Billing!AG34</f>
        <v>544044.4147768839</v>
      </c>
    </row>
    <row r="8" spans="1:3" ht="21" x14ac:dyDescent="0.4">
      <c r="A8" s="101" t="str">
        <f>Billing!R23</f>
        <v>Amjad sohail</v>
      </c>
      <c r="B8" s="104">
        <f>Billing!AF23</f>
        <v>4417830</v>
      </c>
      <c r="C8" s="102">
        <f>Billing!AG23</f>
        <v>451112.02633504104</v>
      </c>
    </row>
    <row r="9" spans="1:3" ht="21" x14ac:dyDescent="0.4">
      <c r="A9" s="101" t="str">
        <f>Billing!R22</f>
        <v>Shafique Ansari</v>
      </c>
      <c r="B9" s="104">
        <f>Billing!AF22</f>
        <v>2860660</v>
      </c>
      <c r="C9" s="103">
        <f>Billing!AG22</f>
        <v>997651.08266276587</v>
      </c>
    </row>
    <row r="10" spans="1:3" ht="21" x14ac:dyDescent="0.4">
      <c r="A10" s="101" t="str">
        <f>Billing!R42</f>
        <v>Moeez badshah</v>
      </c>
      <c r="B10" s="104">
        <f>Billing!AF42</f>
        <v>1742500</v>
      </c>
      <c r="C10" s="102">
        <f>Billing!AG42</f>
        <v>-13302.852962692035</v>
      </c>
    </row>
    <row r="11" spans="1:3" ht="21" x14ac:dyDescent="0.4">
      <c r="A11" s="101" t="str">
        <f>Billing!R14</f>
        <v>Ashraf Zia</v>
      </c>
      <c r="B11" s="104">
        <f>Billing!AF14</f>
        <v>130000</v>
      </c>
      <c r="C11" s="102">
        <f>Billing!AG14</f>
        <v>125724.21360643749</v>
      </c>
    </row>
    <row r="12" spans="1:3" ht="21" x14ac:dyDescent="0.4">
      <c r="A12" s="101" t="str">
        <f>Billing!R16</f>
        <v>Badshah Fabrics</v>
      </c>
      <c r="B12" s="104">
        <f>Billing!AF16</f>
        <v>6545761</v>
      </c>
      <c r="C12" s="102">
        <f>Billing!AG16</f>
        <v>91938.341623995453</v>
      </c>
    </row>
    <row r="13" spans="1:3" ht="21" x14ac:dyDescent="0.4">
      <c r="A13" s="101" t="str">
        <f>Billing!R32</f>
        <v>Rehman Ali</v>
      </c>
      <c r="B13" s="104">
        <f>Billing!AF32</f>
        <v>550000</v>
      </c>
      <c r="C13" s="102">
        <f>Billing!AG32</f>
        <v>45924.46964155091</v>
      </c>
    </row>
    <row r="14" spans="1:3" ht="21" x14ac:dyDescent="0.4">
      <c r="A14" s="101" t="str">
        <f>Billing!R21</f>
        <v>Faizan</v>
      </c>
      <c r="B14" s="104">
        <f>Billing!AF21</f>
        <v>6728187</v>
      </c>
      <c r="C14" s="103">
        <f>Billing!AG21</f>
        <v>25885.787125092931</v>
      </c>
    </row>
    <row r="15" spans="1:3" ht="21" x14ac:dyDescent="0.4">
      <c r="A15" s="101" t="str">
        <f>Billing!R30</f>
        <v>Ahmad Javaid</v>
      </c>
      <c r="B15" s="104">
        <f>Billing!AF30</f>
        <v>130000</v>
      </c>
      <c r="C15" s="102">
        <f>Billing!AG30</f>
        <v>21504.206291148497</v>
      </c>
    </row>
    <row r="16" spans="1:3" ht="21" x14ac:dyDescent="0.4">
      <c r="A16" s="101" t="str">
        <f>Billing!R25</f>
        <v>Shahid Qasayi</v>
      </c>
      <c r="B16" s="104">
        <f>Billing!AF25</f>
        <v>4752127</v>
      </c>
      <c r="C16" s="102">
        <f>Billing!AG25</f>
        <v>15621.719824433327</v>
      </c>
    </row>
    <row r="17" spans="1:3" ht="21" x14ac:dyDescent="0.4">
      <c r="A17" s="101" t="str">
        <f>Billing!R36</f>
        <v>Faizan Kamoki</v>
      </c>
      <c r="B17" s="104">
        <f>Billing!AF36</f>
        <v>9129845.4930504747</v>
      </c>
      <c r="C17" s="102">
        <f>Billing!AG36</f>
        <v>-428180.35040234029</v>
      </c>
    </row>
    <row r="18" spans="1:3" ht="21" x14ac:dyDescent="0.4">
      <c r="A18" s="101" t="str">
        <f>Billing!R18</f>
        <v>Amjad 7up</v>
      </c>
      <c r="B18" s="104">
        <f>Billing!AF18</f>
        <v>480000</v>
      </c>
      <c r="C18" s="103">
        <f>Billing!AG18</f>
        <v>3851.4996342355735</v>
      </c>
    </row>
    <row r="19" spans="1:3" ht="21" x14ac:dyDescent="0.4">
      <c r="A19" s="101" t="str">
        <f>Billing!R27</f>
        <v>ibraheem behraam</v>
      </c>
      <c r="B19" s="104">
        <f>Billing!AF27</f>
        <v>1902400</v>
      </c>
      <c r="C19" s="102">
        <f>Billing!AG27</f>
        <v>3379.0782735920511</v>
      </c>
    </row>
    <row r="20" spans="1:3" ht="21" x14ac:dyDescent="0.4">
      <c r="A20" s="101" t="str">
        <f>Billing!R13</f>
        <v>Ubaidullah</v>
      </c>
      <c r="B20" s="104">
        <f>Billing!AF13</f>
        <v>3109990</v>
      </c>
      <c r="C20" s="102">
        <f>Billing!AG13</f>
        <v>1613.8771031456999</v>
      </c>
    </row>
    <row r="21" spans="1:3" ht="21" x14ac:dyDescent="0.4">
      <c r="A21" s="101" t="str">
        <f>Billing!R37</f>
        <v>KK fabrics</v>
      </c>
      <c r="B21" s="104">
        <f>Billing!AF37</f>
        <v>544000</v>
      </c>
      <c r="C21" s="102">
        <f>Billing!AG37</f>
        <v>1345.6474030724494</v>
      </c>
    </row>
    <row r="22" spans="1:3" ht="21" x14ac:dyDescent="0.4">
      <c r="A22" s="101" t="str">
        <f>Billing!R8</f>
        <v>Shehzad Kamoki</v>
      </c>
      <c r="B22" s="104">
        <f>Billing!AF8</f>
        <v>1353710</v>
      </c>
      <c r="C22" s="103">
        <f>Billing!AG8</f>
        <v>531.99729334330186</v>
      </c>
    </row>
    <row r="23" spans="1:3" ht="21" x14ac:dyDescent="0.4">
      <c r="A23" s="101" t="str">
        <f>Billing!R12</f>
        <v>Azam</v>
      </c>
      <c r="B23" s="104">
        <f>Billing!AF12</f>
        <v>7402540</v>
      </c>
      <c r="C23" s="102">
        <f>Billing!AG12</f>
        <v>531.50694952532649</v>
      </c>
    </row>
    <row r="24" spans="1:3" ht="21" x14ac:dyDescent="0.4">
      <c r="A24" s="101" t="str">
        <f>Billing!R33</f>
        <v>Ahmad Shafique</v>
      </c>
      <c r="B24" s="104">
        <f>Billing!AF33</f>
        <v>636000</v>
      </c>
      <c r="C24" s="102">
        <f>Billing!AG33</f>
        <v>460.3145574250957</v>
      </c>
    </row>
    <row r="25" spans="1:3" ht="21" x14ac:dyDescent="0.4">
      <c r="A25" s="101" t="str">
        <f>Billing!R40</f>
        <v>Farhaan ali</v>
      </c>
      <c r="B25" s="104">
        <f>Billing!AF40</f>
        <v>2147000</v>
      </c>
      <c r="C25" s="102">
        <f>Billing!AG40</f>
        <v>326.26188734453171</v>
      </c>
    </row>
    <row r="26" spans="1:3" ht="21" x14ac:dyDescent="0.4">
      <c r="A26" s="101" t="str">
        <f>Billing!R41</f>
        <v>ACM salman zaffar</v>
      </c>
      <c r="B26" s="104">
        <f>Billing!AF41</f>
        <v>628000</v>
      </c>
      <c r="C26" s="102">
        <f>Billing!AG41</f>
        <v>245119.97073884436</v>
      </c>
    </row>
    <row r="27" spans="1:3" ht="21" x14ac:dyDescent="0.4">
      <c r="A27" s="101" t="str">
        <f>Billing!R10</f>
        <v>Sajad Khan</v>
      </c>
      <c r="B27" s="104">
        <f>Billing!AF10</f>
        <v>10448871</v>
      </c>
      <c r="C27" s="102">
        <f>Billing!AG10</f>
        <v>144.17922458052635</v>
      </c>
    </row>
    <row r="28" spans="1:3" ht="21" x14ac:dyDescent="0.4">
      <c r="A28" s="101" t="str">
        <f>Billing!R29</f>
        <v>ZA</v>
      </c>
      <c r="B28" s="104">
        <f>Billing!AF29</f>
        <v>385000</v>
      </c>
      <c r="C28" s="102">
        <f>Billing!AG29</f>
        <v>138.07607900514267</v>
      </c>
    </row>
    <row r="29" spans="1:3" ht="21" x14ac:dyDescent="0.4">
      <c r="A29" s="101" t="str">
        <f>Billing!R7</f>
        <v>Arshad</v>
      </c>
      <c r="B29" s="104">
        <f>Billing!AF7</f>
        <v>9812586</v>
      </c>
      <c r="C29" s="103">
        <f>Billing!AG7</f>
        <v>21.90051206946373</v>
      </c>
    </row>
    <row r="30" spans="1:3" ht="21" x14ac:dyDescent="0.4">
      <c r="A30" s="101" t="str">
        <f>Billing!R28</f>
        <v>Zia-ullah karachi</v>
      </c>
      <c r="B30" s="104">
        <f>Billing!AF28</f>
        <v>124560</v>
      </c>
      <c r="C30" s="102">
        <f>Billing!AG28</f>
        <v>1.0826627651840681</v>
      </c>
    </row>
    <row r="31" spans="1:3" ht="21" x14ac:dyDescent="0.4">
      <c r="A31" s="101" t="str">
        <f>Billing!R17</f>
        <v>Gauhar Kashif</v>
      </c>
      <c r="B31" s="104">
        <f>Billing!AF17</f>
        <v>1214045</v>
      </c>
      <c r="C31" s="102">
        <f>Billing!AG17</f>
        <v>0.35479151434265077</v>
      </c>
    </row>
    <row r="32" spans="1:3" ht="21" x14ac:dyDescent="0.4">
      <c r="A32" s="101" t="str">
        <f>Billing!R26</f>
        <v>Hameed corporation</v>
      </c>
      <c r="B32" s="104">
        <f>Billing!AF26</f>
        <v>424323</v>
      </c>
      <c r="C32" s="102">
        <f>Billing!AG26</f>
        <v>0.33577176299877465</v>
      </c>
    </row>
    <row r="33" spans="1:3" ht="21" x14ac:dyDescent="0.4">
      <c r="A33" s="101" t="str">
        <f>Billing!R9</f>
        <v>Sufi Nawaz Sahab</v>
      </c>
      <c r="B33" s="104">
        <f>Billing!AF9</f>
        <v>11478764</v>
      </c>
      <c r="C33" s="102">
        <f>Billing!AG9</f>
        <v>0.23847842030227184</v>
      </c>
    </row>
    <row r="34" spans="1:3" ht="21" x14ac:dyDescent="0.4">
      <c r="A34" s="101">
        <f>Billing!R39</f>
        <v>0</v>
      </c>
      <c r="B34" s="104">
        <f>Billing!AF39</f>
        <v>0</v>
      </c>
      <c r="C34" s="102">
        <f>Billing!AG39</f>
        <v>0</v>
      </c>
    </row>
    <row r="35" spans="1:3" ht="21" x14ac:dyDescent="0.4">
      <c r="A35" s="101" t="str">
        <f>Billing!R43</f>
        <v>Bablu</v>
      </c>
      <c r="B35" s="104">
        <f>Billing!AF43</f>
        <v>0</v>
      </c>
      <c r="C35" s="102">
        <f>Billing!AG43</f>
        <v>0</v>
      </c>
    </row>
    <row r="36" spans="1:3" ht="21" x14ac:dyDescent="0.4">
      <c r="A36" s="101" t="str">
        <f>Billing!R31</f>
        <v>Shani Badshah</v>
      </c>
      <c r="B36" s="104">
        <f>Billing!AF31</f>
        <v>3116071</v>
      </c>
      <c r="C36" s="102">
        <f>Billing!AG31</f>
        <v>-0.22457937058061361</v>
      </c>
    </row>
    <row r="37" spans="1:3" ht="21" x14ac:dyDescent="0.4">
      <c r="A37" s="101" t="str">
        <f>Billing!R20</f>
        <v>Haseeb Shamsi</v>
      </c>
      <c r="B37" s="104">
        <f>Billing!AF20</f>
        <v>594405</v>
      </c>
      <c r="C37" s="102">
        <f>Billing!AG20</f>
        <v>-0.28163862461224198</v>
      </c>
    </row>
    <row r="38" spans="1:3" ht="21" x14ac:dyDescent="0.4">
      <c r="A38" s="101" t="str">
        <f>Billing!R19</f>
        <v>Hazrat Khan</v>
      </c>
      <c r="B38" s="104">
        <f>Billing!AF19</f>
        <v>95000</v>
      </c>
      <c r="C38" s="103">
        <f>Billing!AG19</f>
        <v>-5844.9158741770225</v>
      </c>
    </row>
    <row r="39" spans="1:3" ht="21" x14ac:dyDescent="0.4">
      <c r="A39" s="101" t="str">
        <f>Billing!R35</f>
        <v>Zahid Ejaz</v>
      </c>
      <c r="B39" s="104">
        <f>Billing!AF35</f>
        <v>169278</v>
      </c>
      <c r="C39" s="102">
        <f>Billing!AG35</f>
        <v>-7738.1316752011771</v>
      </c>
    </row>
    <row r="40" spans="1:3" ht="21" x14ac:dyDescent="0.4">
      <c r="A40" s="101" t="str">
        <f>Billing!R24</f>
        <v>Salman Zaffar</v>
      </c>
      <c r="B40" s="104">
        <f>Billing!AF24</f>
        <v>3296025</v>
      </c>
      <c r="C40" s="102">
        <f>Billing!AG24</f>
        <v>-26245.373079736717</v>
      </c>
    </row>
  </sheetData>
  <conditionalFormatting sqref="C2:C40">
    <cfRule type="cellIs" dxfId="1" priority="1" operator="lessThan">
      <formula>10</formula>
    </cfRule>
  </conditionalFormatting>
  <conditionalFormatting sqref="C2:C41">
    <cfRule type="cellIs" dxfId="0" priority="2" operator="greaterThan">
      <formula>10</formula>
    </cfRule>
  </conditionalFormatting>
  <pageMargins left="0.7" right="0.7" top="0.75" bottom="0.75" header="0.3" footer="0.3"/>
  <pageSetup fitToHeight="0"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G43"/>
  <sheetViews>
    <sheetView zoomScale="146" workbookViewId="0">
      <selection activeCell="B3" sqref="B3"/>
    </sheetView>
  </sheetViews>
  <sheetFormatPr defaultRowHeight="14.4" x14ac:dyDescent="0.3"/>
  <cols>
    <col min="1" max="1" width="13.44140625" customWidth="1"/>
    <col min="2" max="2" width="15.5546875" customWidth="1"/>
  </cols>
  <sheetData>
    <row r="1" spans="1:7" x14ac:dyDescent="0.3">
      <c r="A1" t="s">
        <v>166</v>
      </c>
      <c r="B1" t="s">
        <v>69</v>
      </c>
    </row>
    <row r="2" spans="1:7" x14ac:dyDescent="0.3">
      <c r="A2" s="80" t="str">
        <f>G2</f>
        <v>BSC</v>
      </c>
      <c r="B2" s="10">
        <f>_xlfn.XLOOKUP($A2,[1]Billing!$R$5:$R$40,[1]Billing!$AF$5:$AF$40)</f>
        <v>19750734</v>
      </c>
      <c r="G2" t="str" cm="1">
        <f t="array" ref="G2:G43">_xlfn.UNIQUE(Table1[Party Name])</f>
        <v>BSC</v>
      </c>
    </row>
    <row r="3" spans="1:7" x14ac:dyDescent="0.3">
      <c r="A3" s="80" t="str">
        <f t="shared" ref="A3:A38" si="0">G3</f>
        <v>Ejaz Sahab</v>
      </c>
      <c r="B3" s="10">
        <f>_xlfn.XLOOKUP($A3,[1]Billing!$R$5:$R$40,[1]Billing!$AF$5:$AF$40)</f>
        <v>7053987</v>
      </c>
      <c r="G3" t="str">
        <v>Ejaz Sahab</v>
      </c>
    </row>
    <row r="4" spans="1:7" x14ac:dyDescent="0.3">
      <c r="A4" s="80" t="str">
        <f t="shared" si="0"/>
        <v>Arshad</v>
      </c>
      <c r="B4" s="10">
        <f>_xlfn.XLOOKUP($A4,[1]Billing!$R$5:$R$40,[1]Billing!$AF$5:$AF$40)</f>
        <v>9177501</v>
      </c>
      <c r="G4" t="str">
        <v>Arshad</v>
      </c>
    </row>
    <row r="5" spans="1:7" x14ac:dyDescent="0.3">
      <c r="A5" s="80" t="str">
        <f t="shared" si="0"/>
        <v>Shehzad Kamoki</v>
      </c>
      <c r="B5" s="10">
        <f>_xlfn.XLOOKUP($A5,[1]Billing!$R$5:$R$40,[1]Billing!$AF$5:$AF$40)</f>
        <v>1353710</v>
      </c>
      <c r="G5" t="str">
        <v>Shehzad Kamoki</v>
      </c>
    </row>
    <row r="6" spans="1:7" x14ac:dyDescent="0.3">
      <c r="A6" s="80" t="str">
        <f t="shared" si="0"/>
        <v>Sufi Nawaz Sahab</v>
      </c>
      <c r="B6" s="10">
        <f>_xlfn.XLOOKUP($A6,[1]Billing!$R$5:$R$40,[1]Billing!$AF$5:$AF$40)</f>
        <v>11478764</v>
      </c>
      <c r="G6" t="str">
        <v>Sufi Nawaz Sahab</v>
      </c>
    </row>
    <row r="7" spans="1:7" x14ac:dyDescent="0.3">
      <c r="A7" s="80" t="str">
        <f t="shared" si="0"/>
        <v>Sajad Khan</v>
      </c>
      <c r="B7" s="10">
        <f>_xlfn.XLOOKUP($A7,[1]Billing!$R$5:$R$40,[1]Billing!$AF$5:$AF$40)</f>
        <v>10284871</v>
      </c>
      <c r="G7" t="str">
        <v>Sajad Khan</v>
      </c>
    </row>
    <row r="8" spans="1:7" x14ac:dyDescent="0.3">
      <c r="A8" s="80" t="str">
        <f t="shared" si="0"/>
        <v>Raaz Fabrics</v>
      </c>
      <c r="B8" s="10">
        <f>_xlfn.XLOOKUP($A8,[1]Billing!$R$5:$R$40,[1]Billing!$AF$5:$AF$40)</f>
        <v>1726321</v>
      </c>
      <c r="G8" t="str">
        <v>Raaz Fabrics</v>
      </c>
    </row>
    <row r="9" spans="1:7" x14ac:dyDescent="0.3">
      <c r="A9" s="80" t="str">
        <f t="shared" si="0"/>
        <v>Azam</v>
      </c>
      <c r="B9" s="10">
        <f>_xlfn.XLOOKUP($A9,[1]Billing!$R$5:$R$40,[1]Billing!$AF$5:$AF$40)</f>
        <v>7402540</v>
      </c>
      <c r="G9" t="str">
        <v>Azam</v>
      </c>
    </row>
    <row r="10" spans="1:7" x14ac:dyDescent="0.3">
      <c r="A10" s="80" t="str">
        <f t="shared" si="0"/>
        <v>Ubaidullah</v>
      </c>
      <c r="B10" s="10">
        <f>_xlfn.XLOOKUP($A10,[1]Billing!$R$5:$R$40,[1]Billing!$AF$5:$AF$40)</f>
        <v>1908190</v>
      </c>
      <c r="G10" t="str">
        <v>Ubaidullah</v>
      </c>
    </row>
    <row r="11" spans="1:7" x14ac:dyDescent="0.3">
      <c r="A11" s="80" t="str">
        <f t="shared" si="0"/>
        <v>Ashraf Zia</v>
      </c>
      <c r="B11" s="10">
        <f>_xlfn.XLOOKUP($A11,[1]Billing!$R$5:$R$40,[1]Billing!$AF$5:$AF$40)</f>
        <v>130000</v>
      </c>
      <c r="G11" t="str">
        <v>Ashraf Zia</v>
      </c>
    </row>
    <row r="12" spans="1:7" x14ac:dyDescent="0.3">
      <c r="A12" s="80" t="str">
        <f t="shared" si="0"/>
        <v>Hafiz Qureshi</v>
      </c>
      <c r="B12" s="10">
        <f>_xlfn.XLOOKUP($A12,[1]Billing!$R$5:$R$40,[1]Billing!$AF$5:$AF$40)</f>
        <v>5539259</v>
      </c>
      <c r="G12" t="str">
        <v>Hafiz Qureshi</v>
      </c>
    </row>
    <row r="13" spans="1:7" x14ac:dyDescent="0.3">
      <c r="A13" s="80" t="str">
        <f t="shared" si="0"/>
        <v>Badshah Fabrics</v>
      </c>
      <c r="B13" s="10">
        <f>_xlfn.XLOOKUP($A13,[1]Billing!$R$5:$R$40,[1]Billing!$AF$5:$AF$40)</f>
        <v>6545761</v>
      </c>
      <c r="G13" t="str">
        <v>Badshah Fabrics</v>
      </c>
    </row>
    <row r="14" spans="1:7" x14ac:dyDescent="0.3">
      <c r="A14" s="80" t="str">
        <f t="shared" si="0"/>
        <v>Gauhar Kashif</v>
      </c>
      <c r="B14" s="10">
        <f>_xlfn.XLOOKUP($A14,[1]Billing!$R$5:$R$40,[1]Billing!$AF$5:$AF$40)</f>
        <v>1214045</v>
      </c>
      <c r="G14" t="str">
        <v>Gauhar Kashif</v>
      </c>
    </row>
    <row r="15" spans="1:7" x14ac:dyDescent="0.3">
      <c r="A15" s="80" t="str">
        <f t="shared" si="0"/>
        <v>Amjad 7up</v>
      </c>
      <c r="B15" s="10">
        <f>_xlfn.XLOOKUP($A15,[1]Billing!$R$5:$R$40,[1]Billing!$AF$5:$AF$40)</f>
        <v>480000</v>
      </c>
      <c r="G15" t="str">
        <v>Amjad 7up</v>
      </c>
    </row>
    <row r="16" spans="1:7" x14ac:dyDescent="0.3">
      <c r="A16" s="80" t="str">
        <f t="shared" si="0"/>
        <v>Hazrat Khan</v>
      </c>
      <c r="B16" s="10">
        <f>_xlfn.XLOOKUP($A16,[1]Billing!$R$5:$R$40,[1]Billing!$AF$5:$AF$40)</f>
        <v>95000</v>
      </c>
      <c r="G16" t="str">
        <v>Hazrat Khan</v>
      </c>
    </row>
    <row r="17" spans="1:7" x14ac:dyDescent="0.3">
      <c r="A17" s="80" t="str">
        <f t="shared" si="0"/>
        <v>Haseeb Shamsi</v>
      </c>
      <c r="B17" s="10">
        <f>_xlfn.XLOOKUP($A17,[1]Billing!$R$5:$R$40,[1]Billing!$AF$5:$AF$40)</f>
        <v>594405</v>
      </c>
      <c r="G17" t="str">
        <v>Haseeb Shamsi</v>
      </c>
    </row>
    <row r="18" spans="1:7" x14ac:dyDescent="0.3">
      <c r="A18" s="80" t="str">
        <f t="shared" si="0"/>
        <v>Faizan</v>
      </c>
      <c r="B18" s="10">
        <f>_xlfn.XLOOKUP($A18,[1]Billing!$R$5:$R$40,[1]Billing!$AF$5:$AF$40)</f>
        <v>6728187</v>
      </c>
      <c r="G18" t="str">
        <v>Faizan</v>
      </c>
    </row>
    <row r="19" spans="1:7" x14ac:dyDescent="0.3">
      <c r="A19" s="80" t="str">
        <f t="shared" si="0"/>
        <v>Shafique Ansari</v>
      </c>
      <c r="B19" s="10">
        <f>_xlfn.XLOOKUP($A19,[1]Billing!$R$5:$R$40,[1]Billing!$AF$5:$AF$40)</f>
        <v>835660</v>
      </c>
      <c r="G19" t="str">
        <v>Shafique Ansari</v>
      </c>
    </row>
    <row r="20" spans="1:7" x14ac:dyDescent="0.3">
      <c r="A20" s="80" t="str">
        <f t="shared" si="0"/>
        <v>Amjad sohail</v>
      </c>
      <c r="B20" s="10">
        <f>_xlfn.XLOOKUP($A20,[1]Billing!$R$5:$R$40,[1]Billing!$AF$5:$AF$40)</f>
        <v>4417830</v>
      </c>
      <c r="G20" t="str">
        <v>Amjad sohail</v>
      </c>
    </row>
    <row r="21" spans="1:7" x14ac:dyDescent="0.3">
      <c r="A21" s="80" t="str">
        <f t="shared" si="0"/>
        <v>Salman Zaffar</v>
      </c>
      <c r="B21" s="10">
        <f>_xlfn.XLOOKUP($A21,[1]Billing!$R$5:$R$40,[1]Billing!$AF$5:$AF$40)</f>
        <v>3296025</v>
      </c>
      <c r="G21" t="str">
        <v>Salman Zaffar</v>
      </c>
    </row>
    <row r="22" spans="1:7" x14ac:dyDescent="0.3">
      <c r="A22" s="80" t="str">
        <f t="shared" si="0"/>
        <v>Shahid Qasayi</v>
      </c>
      <c r="B22" s="10">
        <f>_xlfn.XLOOKUP($A22,[1]Billing!$R$5:$R$40,[1]Billing!$AF$5:$AF$40)</f>
        <v>3645477</v>
      </c>
      <c r="G22" t="str">
        <v>Shahid Qasayi</v>
      </c>
    </row>
    <row r="23" spans="1:7" x14ac:dyDescent="0.3">
      <c r="A23" s="80" t="str">
        <f t="shared" si="0"/>
        <v>Hameed corporation</v>
      </c>
      <c r="B23" s="10">
        <f>_xlfn.XLOOKUP($A23,[1]Billing!$R$5:$R$40,[1]Billing!$AF$5:$AF$40)</f>
        <v>424323</v>
      </c>
      <c r="G23" t="str">
        <v>Hameed corporation</v>
      </c>
    </row>
    <row r="24" spans="1:7" x14ac:dyDescent="0.3">
      <c r="A24" s="80" t="str">
        <f t="shared" si="0"/>
        <v>ibraheem behraam</v>
      </c>
      <c r="B24" s="10">
        <f>_xlfn.XLOOKUP($A24,[1]Billing!$R$5:$R$40,[1]Billing!$AF$5:$AF$40)</f>
        <v>1595500</v>
      </c>
      <c r="G24" t="str">
        <v>ibraheem behraam</v>
      </c>
    </row>
    <row r="25" spans="1:7" x14ac:dyDescent="0.3">
      <c r="A25" s="80" t="str">
        <f t="shared" si="0"/>
        <v>Zia-ullah karachi</v>
      </c>
      <c r="B25" s="10">
        <f>_xlfn.XLOOKUP($A25,[1]Billing!$R$5:$R$40,[1]Billing!$AF$5:$AF$40)</f>
        <v>124560</v>
      </c>
      <c r="G25" t="str">
        <v>Zia-ullah karachi</v>
      </c>
    </row>
    <row r="26" spans="1:7" x14ac:dyDescent="0.3">
      <c r="A26" s="80" t="str">
        <f t="shared" si="0"/>
        <v>ZA</v>
      </c>
      <c r="B26" s="10">
        <f>_xlfn.XLOOKUP($A26,[1]Billing!$R$5:$R$40,[1]Billing!$AF$5:$AF$40)</f>
        <v>385000</v>
      </c>
      <c r="G26" t="str">
        <v>ZA</v>
      </c>
    </row>
    <row r="27" spans="1:7" x14ac:dyDescent="0.3">
      <c r="A27" s="80" t="str">
        <f t="shared" si="0"/>
        <v>Ahmad Javaid</v>
      </c>
      <c r="B27" s="10">
        <f>_xlfn.XLOOKUP($A27,[1]Billing!$R$5:$R$40,[1]Billing!$AF$5:$AF$40)</f>
        <v>130000</v>
      </c>
      <c r="G27" t="str">
        <v>Ahmad Javaid</v>
      </c>
    </row>
    <row r="28" spans="1:7" x14ac:dyDescent="0.3">
      <c r="A28" s="80" t="str">
        <f t="shared" si="0"/>
        <v>Shani Badshah</v>
      </c>
      <c r="B28" s="10">
        <f>_xlfn.XLOOKUP($A28,[1]Billing!$R$5:$R$40,[1]Billing!$AF$5:$AF$40)</f>
        <v>2440000</v>
      </c>
      <c r="G28" t="str">
        <v>Shani Badshah</v>
      </c>
    </row>
    <row r="29" spans="1:7" x14ac:dyDescent="0.3">
      <c r="A29" s="80" t="str">
        <f t="shared" si="0"/>
        <v>Rehman Ali</v>
      </c>
      <c r="B29" s="10">
        <f>_xlfn.XLOOKUP($A29,[1]Billing!$R$5:$R$40,[1]Billing!$AF$5:$AF$40)</f>
        <v>550000</v>
      </c>
      <c r="G29" t="str">
        <v>Rehman Ali</v>
      </c>
    </row>
    <row r="30" spans="1:7" x14ac:dyDescent="0.3">
      <c r="A30" s="80" t="str">
        <f t="shared" si="0"/>
        <v>Ahmad Shafique</v>
      </c>
      <c r="B30" s="10">
        <f>_xlfn.XLOOKUP($A30,[1]Billing!$R$5:$R$40,[1]Billing!$AF$5:$AF$40)</f>
        <v>636000</v>
      </c>
      <c r="G30" t="str">
        <v>Ahmad Shafique</v>
      </c>
    </row>
    <row r="31" spans="1:7" x14ac:dyDescent="0.3">
      <c r="A31" s="80" t="str">
        <f t="shared" si="0"/>
        <v>Hafiz Shawl</v>
      </c>
      <c r="B31" s="10">
        <f>_xlfn.XLOOKUP($A31,[1]Billing!$R$5:$R$40,[1]Billing!$AF$5:$AF$40)</f>
        <v>55855</v>
      </c>
      <c r="G31" t="str">
        <v>Hafiz Shawl</v>
      </c>
    </row>
    <row r="32" spans="1:7" x14ac:dyDescent="0.3">
      <c r="A32" s="80" t="str">
        <f t="shared" si="0"/>
        <v>Zahid Ejaz</v>
      </c>
      <c r="B32" s="10">
        <f>_xlfn.XLOOKUP($A32,[1]Billing!$R$5:$R$40,[1]Billing!$AF$5:$AF$40)</f>
        <v>169278</v>
      </c>
      <c r="G32" t="str">
        <v>Zahid Ejaz</v>
      </c>
    </row>
    <row r="33" spans="1:7" x14ac:dyDescent="0.3">
      <c r="A33" s="80" t="str">
        <f t="shared" si="0"/>
        <v>Faizan Kamoki</v>
      </c>
      <c r="B33" s="10">
        <f>_xlfn.XLOOKUP($A33,[1]Billing!$R$5:$R$40,[1]Billing!$AF$5:$AF$40)</f>
        <v>2526791.4930504756</v>
      </c>
      <c r="G33" t="str">
        <v>Faizan Kamoki</v>
      </c>
    </row>
    <row r="34" spans="1:7" x14ac:dyDescent="0.3">
      <c r="A34" s="80" t="str">
        <f t="shared" si="0"/>
        <v>KK fabrics</v>
      </c>
      <c r="B34" s="10">
        <f>_xlfn.XLOOKUP($A34,[1]Billing!$R$5:$R$40,[1]Billing!$AF$5:$AF$40)</f>
        <v>257000</v>
      </c>
      <c r="G34" t="str">
        <v>KK fabrics</v>
      </c>
    </row>
    <row r="35" spans="1:7" x14ac:dyDescent="0.3">
      <c r="A35" s="80" t="str">
        <f t="shared" si="0"/>
        <v>Rauf Khan</v>
      </c>
      <c r="B35" s="10" t="e">
        <f>_xlfn.XLOOKUP($A35,[1]Billing!$R$5:$R$40,[1]Billing!$AF$5:$AF$40)</f>
        <v>#N/A</v>
      </c>
      <c r="G35" t="str">
        <v>Rauf Khan</v>
      </c>
    </row>
    <row r="36" spans="1:7" x14ac:dyDescent="0.3">
      <c r="A36" s="80">
        <f t="shared" si="0"/>
        <v>0</v>
      </c>
      <c r="B36" s="10" t="e">
        <f>_xlfn.XLOOKUP($A36,[1]Billing!$R$5:$R$40,[1]Billing!$AF$5:$AF$40)</f>
        <v>#N/A</v>
      </c>
      <c r="G36">
        <v>0</v>
      </c>
    </row>
    <row r="37" spans="1:7" x14ac:dyDescent="0.3">
      <c r="A37" s="80" t="str">
        <f t="shared" si="0"/>
        <v>Farhaan ali</v>
      </c>
      <c r="B37" s="10" t="e">
        <f>_xlfn.XLOOKUP($A37,[1]Billing!$R$5:$R$40,[1]Billing!$AF$5:$AF$40)</f>
        <v>#N/A</v>
      </c>
      <c r="G37" t="str">
        <v>Farhaan ali</v>
      </c>
    </row>
    <row r="38" spans="1:7" x14ac:dyDescent="0.3">
      <c r="A38" s="80" t="str">
        <f t="shared" si="0"/>
        <v>ACM salman zaffar</v>
      </c>
      <c r="B38" s="10" t="e">
        <f>_xlfn.XLOOKUP($A38,[1]Billing!$R$5:$R$40,[1]Billing!$AD$5:$AD$40)</f>
        <v>#N/A</v>
      </c>
      <c r="G38" t="str">
        <v>ACM salman zaffar</v>
      </c>
    </row>
    <row r="39" spans="1:7" x14ac:dyDescent="0.3">
      <c r="A39" s="80" t="str">
        <f t="shared" ref="A39:A42" si="1">G39</f>
        <v>Moeez badshah</v>
      </c>
      <c r="B39" s="10" t="e">
        <f>_xlfn.XLOOKUP($A39,[1]Billing!$R$5:$R$40,[1]Billing!$AD$5:$AD$40)</f>
        <v>#N/A</v>
      </c>
      <c r="G39" t="str">
        <v>Moeez badshah</v>
      </c>
    </row>
    <row r="40" spans="1:7" x14ac:dyDescent="0.3">
      <c r="A40" s="80" t="str">
        <f t="shared" si="1"/>
        <v>Bablu</v>
      </c>
      <c r="B40" s="10" t="e">
        <f>_xlfn.XLOOKUP($A40,[1]Billing!$R$5:$R$40,[1]Billing!$AD$5:$AD$40)</f>
        <v>#N/A</v>
      </c>
      <c r="G40" t="str">
        <v>Bablu</v>
      </c>
    </row>
    <row r="41" spans="1:7" x14ac:dyDescent="0.3">
      <c r="A41" s="80" t="str">
        <f t="shared" si="1"/>
        <v>Sheikh Naveed</v>
      </c>
      <c r="B41" s="10" t="e">
        <f>_xlfn.XLOOKUP($A41,[1]Billing!$R$5:$R$40,[1]Billing!$AD$5:$AD$40)</f>
        <v>#N/A</v>
      </c>
      <c r="G41" t="str">
        <v>Sheikh Naveed</v>
      </c>
    </row>
    <row r="42" spans="1:7" x14ac:dyDescent="0.3">
      <c r="A42" s="80" t="str">
        <f t="shared" si="1"/>
        <v>malik salman</v>
      </c>
      <c r="B42" s="10" t="e">
        <f>_xlfn.XLOOKUP($A42,[1]Billing!$R$5:$R$40,[1]Billing!$AD$5:$AD$40)</f>
        <v>#N/A</v>
      </c>
      <c r="G42" t="str">
        <v>malik salman</v>
      </c>
    </row>
    <row r="43" spans="1:7" x14ac:dyDescent="0.3">
      <c r="G43" t="str">
        <v>Rehan Butt</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Dc-m</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2026-03-02T20:33:49Z</cp:lastPrinted>
  <dcterms:created xsi:type="dcterms:W3CDTF">2025-06-24T04:42:48Z</dcterms:created>
  <dcterms:modified xsi:type="dcterms:W3CDTF">2026-08-19T20:45:42Z</dcterms:modified>
  <cp:category/>
  <cp:contentStatus/>
</cp:coreProperties>
</file>