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9739" documentId="8_{7831D67F-D179-4A48-BF3D-D20C81F1E395}" xr6:coauthVersionLast="47" xr6:coauthVersionMax="47" xr10:uidLastSave="{60EDCD0D-E045-4442-B60D-6424EF4D8709}"/>
  <bookViews>
    <workbookView xWindow="-108" yWindow="-108" windowWidth="23256" windowHeight="12456" tabRatio="597"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1" i="1" l="1"/>
  <c r="K206" i="1"/>
  <c r="K207" i="1"/>
  <c r="K346" i="1"/>
  <c r="I347" i="1"/>
  <c r="J347" i="1" s="1" a="1"/>
  <c r="J347" i="1" s="1"/>
  <c r="K347" i="1" s="1"/>
  <c r="I348" i="1"/>
  <c r="J348" i="1" a="1"/>
  <c r="J348" i="1" s="1"/>
  <c r="K348" i="1" s="1"/>
  <c r="I349" i="1"/>
  <c r="J349" i="1" s="1" a="1"/>
  <c r="J349" i="1" s="1"/>
  <c r="K349" i="1" s="1"/>
  <c r="I350" i="1"/>
  <c r="J350" i="1" s="1" a="1"/>
  <c r="J350" i="1" s="1"/>
  <c r="K350" i="1" s="1"/>
  <c r="I351" i="1"/>
  <c r="J351" i="1" s="1" a="1"/>
  <c r="J351" i="1" s="1"/>
  <c r="K351" i="1" s="1"/>
  <c r="I352" i="1"/>
  <c r="J352" i="1" s="1" a="1"/>
  <c r="J352" i="1" s="1"/>
  <c r="K352" i="1" s="1"/>
  <c r="I353" i="1"/>
  <c r="J353" i="1" s="1" a="1"/>
  <c r="J353" i="1" s="1"/>
  <c r="K353" i="1" s="1"/>
  <c r="I354" i="1"/>
  <c r="J354" i="1" s="1" a="1"/>
  <c r="J354" i="1" s="1"/>
  <c r="K354" i="1" s="1"/>
  <c r="I355" i="1"/>
  <c r="J355" i="1" s="1" a="1"/>
  <c r="J355" i="1" s="1"/>
  <c r="K355" i="1" s="1"/>
  <c r="I356" i="1"/>
  <c r="J356" i="1" s="1" a="1"/>
  <c r="J356" i="1" s="1"/>
  <c r="K356" i="1" s="1"/>
  <c r="I357" i="1"/>
  <c r="J357" i="1" s="1" a="1"/>
  <c r="J357" i="1" s="1"/>
  <c r="K357" i="1" s="1"/>
  <c r="I358" i="1"/>
  <c r="J358" i="1" s="1" a="1"/>
  <c r="J358" i="1" s="1"/>
  <c r="K358" i="1" s="1"/>
  <c r="I359" i="1"/>
  <c r="J359" i="1" s="1" a="1"/>
  <c r="J359" i="1" s="1"/>
  <c r="K359" i="1" s="1"/>
  <c r="I360" i="1"/>
  <c r="J360" i="1" s="1" a="1"/>
  <c r="J360" i="1" s="1"/>
  <c r="K360" i="1" s="1"/>
  <c r="I361" i="1"/>
  <c r="J361" i="1" s="1" a="1"/>
  <c r="J361" i="1" s="1"/>
  <c r="K361" i="1" s="1"/>
  <c r="I362" i="1"/>
  <c r="J362" i="1" s="1" a="1"/>
  <c r="J362" i="1" s="1"/>
  <c r="K362" i="1" s="1"/>
  <c r="I363" i="1"/>
  <c r="J363" i="1" s="1" a="1"/>
  <c r="J363" i="1" s="1"/>
  <c r="K363" i="1" s="1"/>
  <c r="I364" i="1"/>
  <c r="J364" i="1" s="1" a="1"/>
  <c r="J364" i="1" s="1"/>
  <c r="K364" i="1" s="1"/>
  <c r="I365" i="1"/>
  <c r="J365" i="1" s="1" a="1"/>
  <c r="J365" i="1" s="1"/>
  <c r="K365" i="1" s="1"/>
  <c r="I366" i="1"/>
  <c r="J366" i="1" s="1" a="1"/>
  <c r="J366" i="1" s="1"/>
  <c r="K366" i="1" s="1"/>
  <c r="I367" i="1"/>
  <c r="J367" i="1" s="1" a="1"/>
  <c r="J367" i="1" s="1"/>
  <c r="K367" i="1" s="1"/>
  <c r="I368" i="1"/>
  <c r="J368" i="1" s="1" a="1"/>
  <c r="J368" i="1" s="1"/>
  <c r="K368" i="1" s="1"/>
  <c r="I369" i="1"/>
  <c r="J369" i="1" s="1"/>
  <c r="K369" i="1" s="1"/>
  <c r="I370" i="1"/>
  <c r="J370" i="1" s="1"/>
  <c r="K370" i="1" s="1"/>
  <c r="E192" i="2"/>
  <c r="F192" i="2"/>
  <c r="G192" i="2" s="1"/>
  <c r="H367" i="1" s="1"/>
  <c r="E193" i="2"/>
  <c r="F193" i="2"/>
  <c r="G193" i="2" s="1"/>
  <c r="H368" i="1" s="1"/>
  <c r="E194" i="2"/>
  <c r="F194" i="2"/>
  <c r="G194" i="2" s="1"/>
  <c r="E195" i="2"/>
  <c r="F195" i="2"/>
  <c r="G195" i="2"/>
  <c r="H195" i="2"/>
  <c r="I195" i="2" s="1"/>
  <c r="D195" i="2" s="1"/>
  <c r="E196" i="2"/>
  <c r="F196" i="2"/>
  <c r="G196" i="2" s="1"/>
  <c r="E197" i="2"/>
  <c r="G197" i="2" s="1"/>
  <c r="F197" i="2"/>
  <c r="H197" i="2"/>
  <c r="I197" i="2"/>
  <c r="D197" i="2" s="1"/>
  <c r="E198" i="2"/>
  <c r="F198" i="2"/>
  <c r="G198" i="2" s="1"/>
  <c r="E199" i="2"/>
  <c r="F199" i="2"/>
  <c r="G199" i="2" s="1"/>
  <c r="E200" i="2"/>
  <c r="F200" i="2"/>
  <c r="E201" i="2"/>
  <c r="G201" i="2" s="1"/>
  <c r="F201" i="2"/>
  <c r="H201" i="2"/>
  <c r="I201" i="2"/>
  <c r="D201" i="2" s="1"/>
  <c r="E202" i="2"/>
  <c r="F202" i="2"/>
  <c r="G202" i="2" s="1"/>
  <c r="E203" i="2"/>
  <c r="F203" i="2"/>
  <c r="G203" i="2"/>
  <c r="H203" i="2"/>
  <c r="I203" i="2" s="1"/>
  <c r="D203" i="2" s="1"/>
  <c r="E204" i="2"/>
  <c r="F204" i="2"/>
  <c r="E205" i="2"/>
  <c r="F205" i="2"/>
  <c r="G205" i="2"/>
  <c r="H205" i="2"/>
  <c r="I205" i="2"/>
  <c r="D205" i="2" s="1"/>
  <c r="E206" i="2"/>
  <c r="F206" i="2"/>
  <c r="G206" i="2" s="1"/>
  <c r="E207" i="2"/>
  <c r="F207" i="2"/>
  <c r="H207" i="2" s="1"/>
  <c r="I207" i="2" s="1"/>
  <c r="D207" i="2" s="1"/>
  <c r="E208" i="2"/>
  <c r="F208" i="2"/>
  <c r="G208" i="2" s="1"/>
  <c r="E209" i="2"/>
  <c r="F209" i="2"/>
  <c r="H209" i="2" s="1"/>
  <c r="I209" i="2" s="1"/>
  <c r="D209" i="2" s="1"/>
  <c r="G209" i="2"/>
  <c r="I345" i="1"/>
  <c r="J345" i="1" s="1" a="1"/>
  <c r="J345" i="1" s="1"/>
  <c r="K345" i="1" s="1"/>
  <c r="G207" i="2" l="1"/>
  <c r="G200" i="2"/>
  <c r="H199" i="2"/>
  <c r="I199" i="2" s="1"/>
  <c r="D199" i="2" s="1"/>
  <c r="G204" i="2"/>
  <c r="H193" i="2"/>
  <c r="I193" i="2" s="1"/>
  <c r="D193" i="2" s="1"/>
  <c r="H369" i="1"/>
  <c r="H370" i="1"/>
  <c r="H346" i="1"/>
  <c r="H371" i="1"/>
  <c r="H372" i="1"/>
  <c r="H373" i="1"/>
  <c r="H208" i="2"/>
  <c r="I208" i="2" s="1"/>
  <c r="D208" i="2" s="1"/>
  <c r="H206" i="2"/>
  <c r="I206" i="2" s="1"/>
  <c r="D206" i="2" s="1"/>
  <c r="H204" i="2"/>
  <c r="I204" i="2" s="1"/>
  <c r="D204" i="2" s="1"/>
  <c r="H202" i="2"/>
  <c r="I202" i="2" s="1"/>
  <c r="D202" i="2" s="1"/>
  <c r="H200" i="2"/>
  <c r="I200" i="2" s="1"/>
  <c r="D200" i="2" s="1"/>
  <c r="H198" i="2"/>
  <c r="I198" i="2" s="1"/>
  <c r="D198" i="2" s="1"/>
  <c r="H196" i="2"/>
  <c r="I196" i="2" s="1"/>
  <c r="D196" i="2" s="1"/>
  <c r="H194" i="2"/>
  <c r="I194" i="2" s="1"/>
  <c r="D194" i="2" s="1"/>
  <c r="H192" i="2"/>
  <c r="I192" i="2" s="1"/>
  <c r="D192" i="2" s="1"/>
  <c r="J335" i="1" l="1"/>
  <c r="I308" i="1"/>
  <c r="J308" i="1" s="1" a="1"/>
  <c r="J308" i="1" s="1"/>
  <c r="K308" i="1" s="1"/>
  <c r="I309" i="1"/>
  <c r="J309" i="1" s="1" a="1"/>
  <c r="J309" i="1" s="1"/>
  <c r="K309" i="1" s="1"/>
  <c r="I310" i="1"/>
  <c r="J310" i="1" s="1" a="1"/>
  <c r="J310" i="1" s="1"/>
  <c r="K310" i="1" s="1"/>
  <c r="I311" i="1"/>
  <c r="J311" i="1" s="1" a="1"/>
  <c r="J311" i="1" s="1"/>
  <c r="K311" i="1" s="1"/>
  <c r="I312" i="1"/>
  <c r="J312" i="1" s="1" a="1"/>
  <c r="J312" i="1" s="1"/>
  <c r="K312" i="1" s="1"/>
  <c r="I313" i="1"/>
  <c r="J313" i="1" s="1" a="1"/>
  <c r="J313" i="1" s="1"/>
  <c r="K313" i="1" s="1"/>
  <c r="I314" i="1"/>
  <c r="J314" i="1" s="1" a="1"/>
  <c r="J314" i="1" s="1"/>
  <c r="K314" i="1" s="1"/>
  <c r="I315" i="1"/>
  <c r="J315" i="1" s="1" a="1"/>
  <c r="J315" i="1" s="1"/>
  <c r="K315" i="1" s="1"/>
  <c r="I316" i="1"/>
  <c r="J316" i="1" s="1" a="1"/>
  <c r="J316" i="1" s="1"/>
  <c r="K316" i="1" s="1"/>
  <c r="I317" i="1"/>
  <c r="J317" i="1" s="1" a="1"/>
  <c r="J317" i="1" s="1"/>
  <c r="K317" i="1" s="1"/>
  <c r="I318" i="1"/>
  <c r="J318" i="1" s="1" a="1"/>
  <c r="J318" i="1" s="1"/>
  <c r="K318" i="1" s="1"/>
  <c r="I319" i="1"/>
  <c r="J319" i="1" s="1" a="1"/>
  <c r="J319" i="1" s="1"/>
  <c r="K319" i="1" s="1"/>
  <c r="I320" i="1"/>
  <c r="J320" i="1" s="1" a="1"/>
  <c r="J320" i="1" s="1"/>
  <c r="K320" i="1" s="1"/>
  <c r="I321" i="1"/>
  <c r="J321" i="1" s="1" a="1"/>
  <c r="J321" i="1" s="1"/>
  <c r="K321" i="1" s="1"/>
  <c r="I322" i="1"/>
  <c r="J322" i="1" s="1" a="1"/>
  <c r="J322" i="1" s="1"/>
  <c r="K322" i="1" s="1"/>
  <c r="I323" i="1"/>
  <c r="J323" i="1" s="1" a="1"/>
  <c r="J323" i="1" s="1"/>
  <c r="K323" i="1" s="1"/>
  <c r="I324" i="1"/>
  <c r="J324" i="1" s="1" a="1"/>
  <c r="J324" i="1" s="1"/>
  <c r="K324" i="1" s="1"/>
  <c r="I325" i="1"/>
  <c r="J325" i="1" s="1" a="1"/>
  <c r="J325" i="1" s="1"/>
  <c r="K325" i="1" s="1"/>
  <c r="I326" i="1"/>
  <c r="J326" i="1" s="1" a="1"/>
  <c r="J326" i="1" s="1"/>
  <c r="K326" i="1" s="1"/>
  <c r="I327" i="1"/>
  <c r="J327" i="1" s="1" a="1"/>
  <c r="J327" i="1" s="1"/>
  <c r="K327" i="1" s="1"/>
  <c r="I328" i="1"/>
  <c r="J328" i="1" s="1" a="1"/>
  <c r="J328" i="1" s="1"/>
  <c r="K328" i="1" s="1"/>
  <c r="I329" i="1"/>
  <c r="J329" i="1" s="1" a="1"/>
  <c r="J329" i="1" s="1"/>
  <c r="K329" i="1" s="1"/>
  <c r="I330" i="1"/>
  <c r="J330" i="1" s="1" a="1"/>
  <c r="J330" i="1" s="1"/>
  <c r="K330" i="1" s="1"/>
  <c r="I331" i="1"/>
  <c r="J331" i="1" s="1" a="1"/>
  <c r="J331" i="1" s="1"/>
  <c r="K331" i="1" s="1"/>
  <c r="I332" i="1"/>
  <c r="J332" i="1" s="1" a="1"/>
  <c r="J332" i="1" s="1"/>
  <c r="K332" i="1" s="1"/>
  <c r="I333" i="1"/>
  <c r="J333" i="1" s="1" a="1"/>
  <c r="J333" i="1" s="1"/>
  <c r="K333" i="1" s="1"/>
  <c r="I334" i="1"/>
  <c r="J334" i="1" s="1" a="1"/>
  <c r="J334" i="1" s="1"/>
  <c r="K334" i="1" s="1"/>
  <c r="I335" i="1"/>
  <c r="I336" i="1"/>
  <c r="J336" i="1" s="1" a="1"/>
  <c r="J336" i="1" s="1"/>
  <c r="K336" i="1" s="1"/>
  <c r="I338" i="1"/>
  <c r="J338" i="1" s="1" a="1"/>
  <c r="J338" i="1" s="1"/>
  <c r="K338" i="1" s="1"/>
  <c r="I339" i="1"/>
  <c r="J339" i="1" s="1" a="1"/>
  <c r="J339" i="1" s="1"/>
  <c r="K339" i="1" s="1"/>
  <c r="I340" i="1"/>
  <c r="J340" i="1" s="1" a="1"/>
  <c r="J340" i="1" s="1"/>
  <c r="K340" i="1" s="1"/>
  <c r="I341" i="1"/>
  <c r="J341" i="1" s="1" a="1"/>
  <c r="J341" i="1" s="1"/>
  <c r="K341" i="1" s="1"/>
  <c r="I342" i="1"/>
  <c r="J342" i="1" s="1" a="1"/>
  <c r="J342" i="1" s="1"/>
  <c r="K342" i="1" s="1"/>
  <c r="I343" i="1"/>
  <c r="J343" i="1" s="1" a="1"/>
  <c r="J343" i="1" s="1"/>
  <c r="K343" i="1" s="1"/>
  <c r="I344" i="1"/>
  <c r="J344" i="1" s="1" a="1"/>
  <c r="J344" i="1" s="1"/>
  <c r="K344" i="1" s="1"/>
  <c r="G337" i="1"/>
  <c r="I337" i="1" s="1"/>
  <c r="J337" i="1" s="1" a="1"/>
  <c r="J337" i="1" s="1"/>
  <c r="K337"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G53" i="7"/>
  <c r="H53" i="7" s="1"/>
  <c r="G53" i="15"/>
  <c r="C1964" i="17"/>
  <c r="C1975" i="17"/>
  <c r="C1973" i="17"/>
  <c r="G51" i="7"/>
  <c r="H51" i="7" s="1"/>
  <c r="G52" i="7"/>
  <c r="H52" i="7" s="1"/>
  <c r="D1994" i="17"/>
  <c r="F56" i="15"/>
  <c r="G55" i="15"/>
  <c r="H55" i="15" s="1"/>
  <c r="G56" i="15"/>
  <c r="H56" i="15" s="1"/>
  <c r="G54" i="15"/>
  <c r="G52" i="15"/>
  <c r="C1805" i="17"/>
  <c r="J203" i="14" s="1"/>
  <c r="G49" i="7"/>
  <c r="H49" i="7" s="1"/>
  <c r="G50" i="7"/>
  <c r="H50" i="7" s="1"/>
  <c r="K1674" i="17"/>
  <c r="D1602"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4" i="17"/>
  <c r="J183" i="14" s="1"/>
  <c r="C1493" i="17"/>
  <c r="D1492" i="17"/>
  <c r="G47" i="7"/>
  <c r="H47" i="7" s="1"/>
  <c r="G48" i="7"/>
  <c r="H48" i="7" s="1"/>
  <c r="I306" i="1"/>
  <c r="J306" i="1" s="1" a="1"/>
  <c r="J306" i="1" s="1"/>
  <c r="K306" i="1" s="1"/>
  <c r="I307" i="1"/>
  <c r="J307" i="1" s="1" a="1"/>
  <c r="J307" i="1" s="1"/>
  <c r="K307" i="1" s="1"/>
  <c r="I294" i="1"/>
  <c r="J294" i="1" s="1" a="1"/>
  <c r="J294" i="1" s="1"/>
  <c r="K294" i="1" s="1"/>
  <c r="I295" i="1"/>
  <c r="J295" i="1" s="1" a="1"/>
  <c r="J295" i="1" s="1"/>
  <c r="K295" i="1" s="1"/>
  <c r="I296" i="1"/>
  <c r="J296" i="1" s="1" a="1"/>
  <c r="J296" i="1" s="1"/>
  <c r="K296" i="1" s="1"/>
  <c r="I297" i="1"/>
  <c r="J297" i="1" s="1" a="1"/>
  <c r="J297" i="1" s="1"/>
  <c r="K297" i="1" s="1"/>
  <c r="I298" i="1"/>
  <c r="J298" i="1" s="1" a="1"/>
  <c r="J298" i="1" s="1"/>
  <c r="K298" i="1" s="1"/>
  <c r="I299" i="1"/>
  <c r="J299" i="1" s="1" a="1"/>
  <c r="J299" i="1" s="1"/>
  <c r="K299" i="1" s="1"/>
  <c r="I300" i="1"/>
  <c r="J300" i="1" s="1" a="1"/>
  <c r="J300" i="1" s="1"/>
  <c r="K300" i="1" s="1"/>
  <c r="I301" i="1"/>
  <c r="J301" i="1" s="1" a="1"/>
  <c r="J301" i="1" s="1"/>
  <c r="K301" i="1" s="1"/>
  <c r="I302" i="1"/>
  <c r="J302" i="1" s="1" a="1"/>
  <c r="J302" i="1" s="1"/>
  <c r="K302" i="1" s="1"/>
  <c r="I303" i="1"/>
  <c r="J303" i="1" s="1" a="1"/>
  <c r="J303" i="1" s="1"/>
  <c r="K303" i="1" s="1"/>
  <c r="I304" i="1"/>
  <c r="J304" i="1" s="1" a="1"/>
  <c r="J304" i="1" s="1"/>
  <c r="K304" i="1" s="1"/>
  <c r="I305" i="1"/>
  <c r="J305" i="1" s="1" a="1"/>
  <c r="J305" i="1" s="1"/>
  <c r="K305" i="1" s="1"/>
  <c r="I293" i="1"/>
  <c r="J293" i="1" s="1" a="1"/>
  <c r="J293" i="1" s="1"/>
  <c r="K293" i="1" s="1"/>
  <c r="G44" i="7"/>
  <c r="H44" i="7" s="1"/>
  <c r="G45" i="7"/>
  <c r="H45" i="7" s="1"/>
  <c r="G46" i="7"/>
  <c r="H46" i="7" s="1"/>
  <c r="I284" i="1"/>
  <c r="J284" i="1" s="1" a="1"/>
  <c r="J284" i="1" s="1"/>
  <c r="K284" i="1" s="1"/>
  <c r="I285" i="1"/>
  <c r="J285" i="1" s="1" a="1"/>
  <c r="J285" i="1" s="1"/>
  <c r="K285" i="1" s="1"/>
  <c r="I286" i="1"/>
  <c r="J286" i="1" s="1" a="1"/>
  <c r="J286" i="1" s="1"/>
  <c r="K286" i="1" s="1"/>
  <c r="I287" i="1"/>
  <c r="J287" i="1" s="1" a="1"/>
  <c r="J287" i="1" s="1"/>
  <c r="K287" i="1" s="1"/>
  <c r="I288" i="1"/>
  <c r="J288" i="1" s="1" a="1"/>
  <c r="J288" i="1" s="1"/>
  <c r="K288" i="1" s="1"/>
  <c r="I289" i="1"/>
  <c r="J289" i="1" s="1" a="1"/>
  <c r="J289" i="1" s="1"/>
  <c r="K289" i="1" s="1"/>
  <c r="I290" i="1"/>
  <c r="J290" i="1" s="1" a="1"/>
  <c r="J290" i="1" s="1"/>
  <c r="K290" i="1" s="1"/>
  <c r="I291" i="1"/>
  <c r="J291" i="1" s="1" a="1"/>
  <c r="J291" i="1" s="1"/>
  <c r="K291" i="1" s="1"/>
  <c r="I292" i="1"/>
  <c r="J292" i="1" s="1" a="1"/>
  <c r="J292" i="1" s="1"/>
  <c r="K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7" i="2"/>
  <c r="F177" i="2"/>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G183" i="2" s="1"/>
  <c r="H354" i="1" s="1"/>
  <c r="F183" i="2"/>
  <c r="H183" i="2" s="1"/>
  <c r="I183" i="2" s="1"/>
  <c r="D183" i="2" s="1"/>
  <c r="E184" i="2"/>
  <c r="F184" i="2"/>
  <c r="H184" i="2" s="1"/>
  <c r="I184" i="2" s="1"/>
  <c r="D184" i="2" s="1"/>
  <c r="E185" i="2"/>
  <c r="F185" i="2"/>
  <c r="E186" i="2"/>
  <c r="F186" i="2"/>
  <c r="H186" i="2" s="1"/>
  <c r="I186" i="2" s="1"/>
  <c r="D186" i="2" s="1"/>
  <c r="E187" i="2"/>
  <c r="F187" i="2"/>
  <c r="E188" i="2"/>
  <c r="F188" i="2"/>
  <c r="H188" i="2" s="1"/>
  <c r="I188" i="2" s="1"/>
  <c r="D188" i="2" s="1"/>
  <c r="E189" i="2"/>
  <c r="G189" i="2" s="1"/>
  <c r="H361" i="1" s="1"/>
  <c r="F189" i="2"/>
  <c r="E190" i="2"/>
  <c r="F190" i="2"/>
  <c r="H190" i="2" s="1"/>
  <c r="I190" i="2" s="1"/>
  <c r="D190" i="2" s="1"/>
  <c r="E191" i="2"/>
  <c r="F191" i="2"/>
  <c r="H191" i="2" s="1"/>
  <c r="I191" i="2" s="1"/>
  <c r="D191" i="2" s="1"/>
  <c r="G42" i="7"/>
  <c r="H42" i="7" s="1"/>
  <c r="G43" i="7"/>
  <c r="H43" i="7" s="1"/>
  <c r="H22" i="22"/>
  <c r="K4" i="22"/>
  <c r="K5" i="22"/>
  <c r="K6" i="22"/>
  <c r="K7" i="22"/>
  <c r="K8" i="22"/>
  <c r="K9" i="22"/>
  <c r="J9" i="22"/>
  <c r="K10" i="22"/>
  <c r="K11" i="22"/>
  <c r="K12" i="22"/>
  <c r="K13" i="22"/>
  <c r="K14" i="22"/>
  <c r="K15" i="22"/>
  <c r="K16" i="22"/>
  <c r="K17" i="22"/>
  <c r="K18" i="22"/>
  <c r="K19" i="22"/>
  <c r="K20" i="22"/>
  <c r="K21" i="22"/>
  <c r="J21" i="22"/>
  <c r="K3" i="22"/>
  <c r="G36" i="7"/>
  <c r="H36" i="7" s="1"/>
  <c r="J2" i="22"/>
  <c r="L2" i="22" s="1"/>
  <c r="J3" i="22"/>
  <c r="J4" i="22"/>
  <c r="J5" i="22"/>
  <c r="J6" i="22"/>
  <c r="J7" i="22"/>
  <c r="J8" i="22"/>
  <c r="J10" i="22"/>
  <c r="J11" i="22"/>
  <c r="J12" i="22"/>
  <c r="J13" i="22"/>
  <c r="J14" i="22"/>
  <c r="J15" i="22"/>
  <c r="J16" i="22"/>
  <c r="J17" i="22"/>
  <c r="J18" i="22"/>
  <c r="J19" i="22"/>
  <c r="J20" i="22"/>
  <c r="I281" i="1"/>
  <c r="J281" i="1" s="1" a="1"/>
  <c r="J281" i="1" s="1"/>
  <c r="K281" i="1" s="1"/>
  <c r="I282" i="1"/>
  <c r="J282" i="1" s="1" a="1"/>
  <c r="J282" i="1" s="1"/>
  <c r="K282" i="1" s="1"/>
  <c r="I280" i="1"/>
  <c r="J280" i="1" s="1"/>
  <c r="K280" i="1" s="1"/>
  <c r="I279" i="1"/>
  <c r="J279" i="1" s="1"/>
  <c r="K279" i="1" s="1"/>
  <c r="I272" i="1"/>
  <c r="J272" i="1" s="1" a="1"/>
  <c r="J272" i="1" s="1"/>
  <c r="K272" i="1" s="1"/>
  <c r="I270" i="1"/>
  <c r="J270" i="1" s="1" a="1"/>
  <c r="J270" i="1" s="1"/>
  <c r="K270" i="1" s="1"/>
  <c r="I271" i="1"/>
  <c r="J271" i="1" s="1" a="1"/>
  <c r="J271" i="1" s="1"/>
  <c r="K271" i="1" s="1"/>
  <c r="I273" i="1"/>
  <c r="J273" i="1" s="1" a="1"/>
  <c r="J273" i="1" s="1"/>
  <c r="K273" i="1" s="1"/>
  <c r="I274" i="1"/>
  <c r="J274" i="1" s="1" a="1"/>
  <c r="J274" i="1" s="1"/>
  <c r="K274" i="1" s="1"/>
  <c r="I275" i="1"/>
  <c r="J275" i="1" s="1" a="1"/>
  <c r="J275" i="1" s="1"/>
  <c r="K275" i="1" s="1"/>
  <c r="I276" i="1"/>
  <c r="J276" i="1" s="1" a="1"/>
  <c r="J276" i="1" s="1"/>
  <c r="K276" i="1" s="1"/>
  <c r="I277" i="1"/>
  <c r="J277" i="1" s="1" a="1"/>
  <c r="J277" i="1" s="1"/>
  <c r="K277" i="1" s="1"/>
  <c r="I278" i="1"/>
  <c r="J278" i="1" s="1" a="1"/>
  <c r="J278" i="1" s="1"/>
  <c r="K278" i="1" s="1"/>
  <c r="I283" i="1"/>
  <c r="J283" i="1" s="1" a="1"/>
  <c r="J283" i="1" s="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K269" i="1" s="1"/>
  <c r="I268" i="1"/>
  <c r="J268" i="1" s="1" a="1"/>
  <c r="J268" i="1" s="1"/>
  <c r="K268" i="1" s="1"/>
  <c r="I267" i="1"/>
  <c r="J267" i="1" s="1"/>
  <c r="K267" i="1" s="1"/>
  <c r="I260" i="1"/>
  <c r="J260" i="1" s="1" a="1"/>
  <c r="J260" i="1" s="1"/>
  <c r="K260" i="1" s="1"/>
  <c r="I261" i="1"/>
  <c r="J261" i="1" s="1" a="1"/>
  <c r="J261" i="1" s="1"/>
  <c r="K261" i="1" s="1"/>
  <c r="I262" i="1"/>
  <c r="J262" i="1" s="1" a="1"/>
  <c r="J262" i="1" s="1"/>
  <c r="K262" i="1" s="1"/>
  <c r="I263" i="1"/>
  <c r="J263" i="1" s="1" a="1"/>
  <c r="J263" i="1" s="1"/>
  <c r="K263" i="1" s="1"/>
  <c r="I264" i="1"/>
  <c r="J264" i="1" s="1" a="1"/>
  <c r="J264" i="1" s="1"/>
  <c r="K264" i="1" s="1"/>
  <c r="I265" i="1"/>
  <c r="J265" i="1" s="1" a="1"/>
  <c r="J265" i="1" s="1"/>
  <c r="K265" i="1" s="1"/>
  <c r="I266" i="1"/>
  <c r="J266" i="1" s="1" a="1"/>
  <c r="J266" i="1" s="1"/>
  <c r="K266" i="1" s="1"/>
  <c r="C1073" i="17"/>
  <c r="C1068" i="17"/>
  <c r="C1063" i="17"/>
  <c r="I252" i="1"/>
  <c r="J252" i="1" s="1" a="1"/>
  <c r="J252" i="1" s="1"/>
  <c r="K252" i="1" s="1"/>
  <c r="I253" i="1"/>
  <c r="J253" i="1" s="1" a="1"/>
  <c r="J253" i="1" s="1"/>
  <c r="K253" i="1" s="1"/>
  <c r="I254" i="1"/>
  <c r="J254" i="1" s="1" a="1"/>
  <c r="J254" i="1" s="1"/>
  <c r="K254" i="1" s="1"/>
  <c r="I255" i="1"/>
  <c r="J255" i="1" s="1" a="1"/>
  <c r="J255" i="1" s="1"/>
  <c r="K255" i="1" s="1"/>
  <c r="I256" i="1"/>
  <c r="J256" i="1" s="1" a="1"/>
  <c r="J256" i="1" s="1"/>
  <c r="K256" i="1" s="1"/>
  <c r="I257" i="1"/>
  <c r="J257" i="1" s="1" a="1"/>
  <c r="J257" i="1" s="1"/>
  <c r="K257" i="1" s="1"/>
  <c r="I258" i="1"/>
  <c r="J258" i="1" s="1" a="1"/>
  <c r="J258" i="1" s="1"/>
  <c r="K258" i="1" s="1"/>
  <c r="I259" i="1"/>
  <c r="J259" i="1" s="1" a="1"/>
  <c r="J259" i="1" s="1"/>
  <c r="K259" i="1" s="1"/>
  <c r="G204" i="1"/>
  <c r="I204" i="1" s="1"/>
  <c r="J204" i="1" s="1" a="1"/>
  <c r="J204" i="1" s="1"/>
  <c r="K204"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K247" i="1" s="1"/>
  <c r="I248" i="1"/>
  <c r="J248" i="1" s="1" a="1"/>
  <c r="J248" i="1" s="1"/>
  <c r="K248" i="1" s="1"/>
  <c r="I249" i="1"/>
  <c r="J249" i="1" s="1" a="1"/>
  <c r="J249" i="1" s="1"/>
  <c r="K249" i="1" s="1"/>
  <c r="I250" i="1"/>
  <c r="J250" i="1" s="1" a="1"/>
  <c r="J250" i="1" s="1"/>
  <c r="K250" i="1" s="1"/>
  <c r="I251" i="1"/>
  <c r="J251" i="1" s="1" a="1"/>
  <c r="J251" i="1" s="1"/>
  <c r="K251"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30"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46" i="1"/>
  <c r="J246" i="1" s="1" a="1"/>
  <c r="J246" i="1" s="1"/>
  <c r="K246" i="1" s="1"/>
  <c r="I242" i="1"/>
  <c r="J242" i="1" s="1" a="1"/>
  <c r="J242" i="1" s="1"/>
  <c r="K242" i="1" s="1"/>
  <c r="I243" i="1"/>
  <c r="J243" i="1" s="1" a="1"/>
  <c r="J243" i="1" s="1"/>
  <c r="K243" i="1" s="1"/>
  <c r="I244" i="1"/>
  <c r="J244" i="1" s="1" a="1"/>
  <c r="J244" i="1" s="1"/>
  <c r="K244" i="1" s="1"/>
  <c r="I245" i="1"/>
  <c r="J245" i="1" s="1" a="1"/>
  <c r="J245" i="1" s="1"/>
  <c r="K245" i="1" s="1"/>
  <c r="I232" i="1"/>
  <c r="J232" i="1" s="1" a="1"/>
  <c r="J232" i="1" s="1"/>
  <c r="K232" i="1" s="1"/>
  <c r="I233" i="1"/>
  <c r="J233" i="1" s="1" a="1"/>
  <c r="J233" i="1" s="1"/>
  <c r="K233" i="1" s="1"/>
  <c r="I234" i="1"/>
  <c r="J234" i="1" s="1" a="1"/>
  <c r="J234" i="1" s="1"/>
  <c r="K234" i="1" s="1"/>
  <c r="I235" i="1"/>
  <c r="J235" i="1" s="1"/>
  <c r="K235" i="1" s="1"/>
  <c r="I236" i="1"/>
  <c r="J236" i="1" s="1" a="1"/>
  <c r="J236" i="1" s="1"/>
  <c r="K236" i="1" s="1"/>
  <c r="I237" i="1"/>
  <c r="J237" i="1" s="1" a="1"/>
  <c r="J237" i="1" s="1"/>
  <c r="K237" i="1" s="1"/>
  <c r="I238" i="1"/>
  <c r="J238" i="1" s="1" a="1"/>
  <c r="J238" i="1" s="1"/>
  <c r="K238" i="1" s="1"/>
  <c r="I239" i="1"/>
  <c r="J239" i="1" s="1" a="1"/>
  <c r="J239" i="1" s="1"/>
  <c r="K239" i="1" s="1"/>
  <c r="I240" i="1"/>
  <c r="J240" i="1" s="1" a="1"/>
  <c r="J240" i="1" s="1"/>
  <c r="K240" i="1" s="1"/>
  <c r="I241" i="1"/>
  <c r="J241" i="1" s="1" a="1"/>
  <c r="J241" i="1" s="1"/>
  <c r="K241" i="1" s="1"/>
  <c r="C881" i="17"/>
  <c r="C863" i="17"/>
  <c r="G35" i="7"/>
  <c r="H35" i="7" s="1"/>
  <c r="G37" i="7"/>
  <c r="H37" i="7" s="1"/>
  <c r="I228" i="1"/>
  <c r="J228" i="1" s="1" a="1"/>
  <c r="J228" i="1" s="1"/>
  <c r="K228" i="1" s="1"/>
  <c r="I229" i="1"/>
  <c r="J229" i="1" s="1" a="1"/>
  <c r="J229" i="1" s="1"/>
  <c r="K229" i="1" s="1"/>
  <c r="I230" i="1"/>
  <c r="J230" i="1" s="1" a="1"/>
  <c r="J230" i="1" s="1"/>
  <c r="K230" i="1" s="1"/>
  <c r="I231" i="1"/>
  <c r="J231" i="1" s="1" a="1"/>
  <c r="J231" i="1" s="1"/>
  <c r="K231" i="1" s="1"/>
  <c r="I221" i="1"/>
  <c r="J221" i="1" s="1" a="1"/>
  <c r="J221" i="1" s="1"/>
  <c r="K221" i="1" s="1"/>
  <c r="I222" i="1"/>
  <c r="J222" i="1" s="1" a="1"/>
  <c r="J222" i="1" s="1"/>
  <c r="K222" i="1" s="1"/>
  <c r="I223" i="1"/>
  <c r="J223" i="1" s="1"/>
  <c r="K223" i="1" s="1"/>
  <c r="I224" i="1"/>
  <c r="J224" i="1" s="1"/>
  <c r="K224" i="1" s="1"/>
  <c r="I225" i="1"/>
  <c r="J225" i="1" s="1" a="1"/>
  <c r="J225" i="1" s="1"/>
  <c r="K225" i="1" s="1"/>
  <c r="I226" i="1"/>
  <c r="J226" i="1" s="1" a="1"/>
  <c r="J226" i="1" s="1"/>
  <c r="K226" i="1" s="1"/>
  <c r="I227" i="1"/>
  <c r="J227" i="1" s="1" a="1"/>
  <c r="J227" i="1" s="1"/>
  <c r="K227" i="1" s="1"/>
  <c r="I215" i="1"/>
  <c r="J215" i="1" s="1" a="1"/>
  <c r="J215" i="1" s="1"/>
  <c r="K215" i="1" s="1"/>
  <c r="I216" i="1"/>
  <c r="J216" i="1" s="1" a="1"/>
  <c r="J216" i="1" s="1"/>
  <c r="K216" i="1" s="1"/>
  <c r="I217" i="1"/>
  <c r="J217" i="1" s="1" a="1"/>
  <c r="J217" i="1" s="1"/>
  <c r="K217" i="1" s="1"/>
  <c r="I218" i="1"/>
  <c r="J218" i="1" s="1" a="1"/>
  <c r="J218" i="1" s="1"/>
  <c r="K218" i="1" s="1"/>
  <c r="I219" i="1"/>
  <c r="J219" i="1" s="1" a="1"/>
  <c r="J219" i="1" s="1"/>
  <c r="K219" i="1" s="1"/>
  <c r="I220" i="1"/>
  <c r="J220" i="1" s="1" a="1"/>
  <c r="J220" i="1" s="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13" i="1"/>
  <c r="J213" i="1" s="1" a="1"/>
  <c r="J213" i="1" s="1"/>
  <c r="K213" i="1" s="1"/>
  <c r="I214" i="1"/>
  <c r="J214" i="1" s="1" a="1"/>
  <c r="J214" i="1" s="1"/>
  <c r="K214" i="1" s="1"/>
  <c r="I210" i="1"/>
  <c r="J210" i="1" s="1" a="1"/>
  <c r="J210" i="1" s="1"/>
  <c r="K210" i="1" s="1"/>
  <c r="I211" i="1"/>
  <c r="J211" i="1" s="1" a="1"/>
  <c r="J211" i="1" s="1"/>
  <c r="K211" i="1" s="1"/>
  <c r="I212" i="1"/>
  <c r="J212" i="1" s="1" a="1"/>
  <c r="J212" i="1" s="1"/>
  <c r="K212" i="1" s="1"/>
  <c r="I205" i="1"/>
  <c r="J205" i="1" s="1" a="1"/>
  <c r="J205" i="1" s="1"/>
  <c r="K205" i="1" s="1"/>
  <c r="I208" i="1"/>
  <c r="J208" i="1" s="1" a="1"/>
  <c r="J208" i="1" s="1"/>
  <c r="K208" i="1" s="1"/>
  <c r="I209" i="1"/>
  <c r="J209" i="1" s="1" a="1"/>
  <c r="J209" i="1" s="1"/>
  <c r="K209" i="1" s="1"/>
  <c r="I200" i="1"/>
  <c r="J200" i="1" s="1"/>
  <c r="K200" i="1" s="1"/>
  <c r="I201" i="1"/>
  <c r="J201" i="1" s="1"/>
  <c r="K201" i="1" s="1"/>
  <c r="I197" i="1"/>
  <c r="J197" i="1" s="1" a="1"/>
  <c r="J197" i="1" s="1"/>
  <c r="K197" i="1" s="1"/>
  <c r="I198" i="1"/>
  <c r="J198" i="1" s="1" a="1"/>
  <c r="J198" i="1" s="1"/>
  <c r="K198" i="1" s="1"/>
  <c r="I199" i="1"/>
  <c r="J199" i="1" s="1" a="1"/>
  <c r="J199" i="1" s="1"/>
  <c r="K199" i="1" s="1"/>
  <c r="I202" i="1"/>
  <c r="J202" i="1" s="1" a="1"/>
  <c r="J202" i="1" s="1"/>
  <c r="K202" i="1" s="1"/>
  <c r="I203" i="1"/>
  <c r="J203" i="1" s="1" a="1"/>
  <c r="J203" i="1" s="1"/>
  <c r="K203" i="1" s="1"/>
  <c r="C675" i="17"/>
  <c r="C653" i="17"/>
  <c r="G38" i="15"/>
  <c r="H38" i="15" s="1"/>
  <c r="G39" i="15"/>
  <c r="H39" i="15" s="1"/>
  <c r="G40" i="15"/>
  <c r="H40" i="15" s="1"/>
  <c r="G41" i="15"/>
  <c r="G42" i="15"/>
  <c r="H42" i="15" s="1"/>
  <c r="B57" i="9" a="1"/>
  <c r="I77" i="9" s="1" a="1"/>
  <c r="I77" i="9" s="1"/>
  <c r="I86" i="1"/>
  <c r="J86" i="1" s="1" a="1"/>
  <c r="J86" i="1" s="1"/>
  <c r="K86" i="1" s="1"/>
  <c r="I94" i="1"/>
  <c r="J94" i="1" s="1" a="1"/>
  <c r="J94" i="1" s="1"/>
  <c r="K94" i="1" s="1"/>
  <c r="I100" i="1"/>
  <c r="J100" i="1" s="1" a="1"/>
  <c r="J100" i="1" s="1"/>
  <c r="K100" i="1" s="1"/>
  <c r="I101" i="1"/>
  <c r="J101" i="1" s="1" a="1"/>
  <c r="J101" i="1" s="1"/>
  <c r="K101" i="1" s="1"/>
  <c r="I102" i="1"/>
  <c r="J102" i="1" s="1" a="1"/>
  <c r="J102" i="1" s="1"/>
  <c r="K102" i="1" s="1"/>
  <c r="I109" i="1"/>
  <c r="J109" i="1" s="1" a="1"/>
  <c r="J109" i="1" s="1"/>
  <c r="K109" i="1" s="1"/>
  <c r="I110" i="1"/>
  <c r="J110" i="1" s="1" a="1"/>
  <c r="J110" i="1" s="1"/>
  <c r="K110" i="1" s="1"/>
  <c r="I121" i="1"/>
  <c r="J121" i="1" s="1" a="1"/>
  <c r="J121" i="1" s="1"/>
  <c r="K121" i="1" s="1"/>
  <c r="I122" i="1"/>
  <c r="J122" i="1" s="1" a="1"/>
  <c r="J122" i="1" s="1"/>
  <c r="K122" i="1" s="1"/>
  <c r="I132" i="1"/>
  <c r="J132" i="1" s="1" a="1"/>
  <c r="J132" i="1" s="1"/>
  <c r="K132" i="1" s="1"/>
  <c r="I134" i="1"/>
  <c r="J134" i="1" s="1" a="1"/>
  <c r="J134" i="1" s="1"/>
  <c r="K134" i="1" s="1"/>
  <c r="I143" i="1"/>
  <c r="J143" i="1" s="1" a="1"/>
  <c r="J143" i="1" s="1"/>
  <c r="K143" i="1" s="1"/>
  <c r="I144" i="1"/>
  <c r="J144" i="1" s="1" a="1"/>
  <c r="J144" i="1" s="1"/>
  <c r="K144" i="1" s="1"/>
  <c r="I145" i="1"/>
  <c r="J145" i="1" s="1" a="1"/>
  <c r="J145" i="1" s="1"/>
  <c r="K145" i="1" s="1"/>
  <c r="I146" i="1"/>
  <c r="J146" i="1" s="1" a="1"/>
  <c r="J146" i="1" s="1"/>
  <c r="K146" i="1" s="1"/>
  <c r="I147" i="1"/>
  <c r="J147" i="1" s="1" a="1"/>
  <c r="J147" i="1" s="1"/>
  <c r="K147" i="1" s="1"/>
  <c r="I149" i="1"/>
  <c r="J149" i="1" s="1" a="1"/>
  <c r="J149" i="1" s="1"/>
  <c r="K149" i="1" s="1"/>
  <c r="I150" i="1"/>
  <c r="J150" i="1" s="1" a="1"/>
  <c r="J150" i="1" s="1"/>
  <c r="K150" i="1" s="1"/>
  <c r="I151" i="1"/>
  <c r="J151" i="1" s="1" a="1"/>
  <c r="J151" i="1" s="1"/>
  <c r="K151" i="1" s="1"/>
  <c r="I152" i="1"/>
  <c r="J152" i="1" s="1" a="1"/>
  <c r="J152" i="1" s="1"/>
  <c r="K152" i="1" s="1"/>
  <c r="I153" i="1"/>
  <c r="J153" i="1" s="1" a="1"/>
  <c r="J153" i="1" s="1"/>
  <c r="K153" i="1" s="1"/>
  <c r="I154" i="1"/>
  <c r="J154" i="1" s="1" a="1"/>
  <c r="J154" i="1" s="1"/>
  <c r="K154" i="1" s="1"/>
  <c r="I155" i="1"/>
  <c r="J155" i="1" s="1" a="1"/>
  <c r="J155" i="1" s="1"/>
  <c r="K155" i="1" s="1"/>
  <c r="I156" i="1"/>
  <c r="J156" i="1" s="1" a="1"/>
  <c r="J156" i="1" s="1"/>
  <c r="K156" i="1" s="1"/>
  <c r="I157" i="1"/>
  <c r="J157" i="1" s="1" a="1"/>
  <c r="J157" i="1" s="1"/>
  <c r="K157" i="1" s="1"/>
  <c r="I159" i="1"/>
  <c r="J159" i="1" s="1" a="1"/>
  <c r="J159" i="1" s="1"/>
  <c r="K159" i="1" s="1"/>
  <c r="I158" i="1"/>
  <c r="J158" i="1" s="1" a="1"/>
  <c r="J158" i="1" s="1"/>
  <c r="K158" i="1" s="1"/>
  <c r="I161" i="1"/>
  <c r="J161" i="1" s="1" a="1"/>
  <c r="J161" i="1" s="1"/>
  <c r="K161" i="1" s="1"/>
  <c r="I174" i="1"/>
  <c r="J174" i="1" s="1" a="1"/>
  <c r="J174" i="1" s="1"/>
  <c r="K174" i="1" s="1"/>
  <c r="I175" i="1"/>
  <c r="J175" i="1" s="1" a="1"/>
  <c r="J175" i="1" s="1"/>
  <c r="K175" i="1" s="1"/>
  <c r="I176" i="1"/>
  <c r="J176" i="1" s="1" a="1"/>
  <c r="J176" i="1" s="1"/>
  <c r="K176" i="1" s="1"/>
  <c r="I178" i="1"/>
  <c r="J178" i="1" s="1" a="1"/>
  <c r="J178" i="1" s="1"/>
  <c r="K178" i="1" s="1"/>
  <c r="I192" i="1"/>
  <c r="J192" i="1" s="1" a="1"/>
  <c r="J192" i="1" s="1"/>
  <c r="K192" i="1" s="1"/>
  <c r="I177" i="1"/>
  <c r="J177" i="1" s="1" a="1"/>
  <c r="J177" i="1" s="1"/>
  <c r="K177" i="1" s="1"/>
  <c r="I179" i="1"/>
  <c r="J179" i="1" s="1" a="1"/>
  <c r="J179" i="1" s="1"/>
  <c r="K179" i="1" s="1"/>
  <c r="I180" i="1"/>
  <c r="J180" i="1" s="1" a="1"/>
  <c r="J180" i="1" s="1"/>
  <c r="K180" i="1" s="1"/>
  <c r="I181" i="1"/>
  <c r="J181" i="1" s="1" a="1"/>
  <c r="J181" i="1" s="1"/>
  <c r="K181" i="1" s="1"/>
  <c r="I182" i="1"/>
  <c r="J182" i="1" s="1" a="1"/>
  <c r="J182" i="1" s="1"/>
  <c r="K182" i="1" s="1"/>
  <c r="I183" i="1"/>
  <c r="J183" i="1" s="1" a="1"/>
  <c r="J183" i="1" s="1"/>
  <c r="K183" i="1" s="1"/>
  <c r="I185" i="1"/>
  <c r="J185" i="1" s="1" a="1"/>
  <c r="J185" i="1" s="1"/>
  <c r="K185" i="1" s="1"/>
  <c r="I186" i="1"/>
  <c r="J186" i="1" s="1" a="1"/>
  <c r="J186" i="1" s="1"/>
  <c r="K186" i="1" s="1"/>
  <c r="I195" i="1"/>
  <c r="J195" i="1" s="1" a="1"/>
  <c r="J195" i="1" s="1"/>
  <c r="K195" i="1" s="1"/>
  <c r="I196" i="1"/>
  <c r="J196" i="1" s="1" a="1"/>
  <c r="J196" i="1" s="1"/>
  <c r="K196" i="1" s="1"/>
  <c r="I84" i="1"/>
  <c r="J84" i="1" s="1" a="1"/>
  <c r="J84" i="1" s="1"/>
  <c r="K84" i="1" s="1"/>
  <c r="I85" i="1"/>
  <c r="J85" i="1" s="1" a="1"/>
  <c r="J85" i="1" s="1"/>
  <c r="K85" i="1" s="1"/>
  <c r="I92" i="1"/>
  <c r="J92" i="1" s="1" a="1"/>
  <c r="J92" i="1" s="1"/>
  <c r="K92" i="1" s="1"/>
  <c r="I93" i="1"/>
  <c r="J93" i="1" s="1" a="1"/>
  <c r="J93" i="1" s="1"/>
  <c r="K93" i="1" s="1"/>
  <c r="I97" i="1"/>
  <c r="J97" i="1" s="1" a="1"/>
  <c r="J97" i="1" s="1"/>
  <c r="K97" i="1" s="1"/>
  <c r="I99" i="1"/>
  <c r="J99" i="1" s="1" a="1"/>
  <c r="J99" i="1" s="1"/>
  <c r="K99" i="1" s="1"/>
  <c r="I160" i="1"/>
  <c r="J160" i="1" s="1" a="1"/>
  <c r="J160" i="1" s="1"/>
  <c r="K160" i="1" s="1"/>
  <c r="I170" i="1"/>
  <c r="J170" i="1" s="1" a="1"/>
  <c r="J170" i="1" s="1"/>
  <c r="K170" i="1" s="1"/>
  <c r="I96" i="1"/>
  <c r="J96" i="1" s="1" a="1"/>
  <c r="J96" i="1" s="1"/>
  <c r="K96" i="1" s="1"/>
  <c r="I98" i="1"/>
  <c r="J98" i="1" s="1" a="1"/>
  <c r="J98" i="1" s="1"/>
  <c r="K98" i="1" s="1"/>
  <c r="I120" i="1"/>
  <c r="J120" i="1" s="1" a="1"/>
  <c r="J120" i="1" s="1"/>
  <c r="K120" i="1" s="1"/>
  <c r="I187" i="1"/>
  <c r="J187" i="1" s="1" a="1"/>
  <c r="J187" i="1" s="1"/>
  <c r="K187" i="1" s="1"/>
  <c r="S5" i="9" a="1"/>
  <c r="A6" i="20" s="1"/>
  <c r="I87" i="1"/>
  <c r="J87" i="1" s="1" a="1"/>
  <c r="J87" i="1" s="1"/>
  <c r="K87" i="1" s="1"/>
  <c r="I89" i="1"/>
  <c r="J89" i="1" s="1" a="1"/>
  <c r="J89" i="1" s="1"/>
  <c r="K89" i="1" s="1"/>
  <c r="I95" i="1"/>
  <c r="J95" i="1" s="1" a="1"/>
  <c r="J95" i="1" s="1"/>
  <c r="K95" i="1" s="1"/>
  <c r="I82" i="1"/>
  <c r="J82" i="1" s="1" a="1"/>
  <c r="J82" i="1" s="1"/>
  <c r="K82" i="1" s="1"/>
  <c r="I83" i="1"/>
  <c r="J83" i="1" s="1" a="1"/>
  <c r="J83" i="1" s="1"/>
  <c r="K83" i="1" s="1"/>
  <c r="I88" i="1"/>
  <c r="J88" i="1" s="1" a="1"/>
  <c r="J88" i="1" s="1"/>
  <c r="K88" i="1" s="1"/>
  <c r="I129" i="1"/>
  <c r="J129" i="1" s="1" a="1"/>
  <c r="J129" i="1" s="1"/>
  <c r="K129" i="1" s="1"/>
  <c r="I106" i="1"/>
  <c r="J106" i="1" s="1" a="1"/>
  <c r="J106" i="1" s="1"/>
  <c r="K106" i="1" s="1"/>
  <c r="I194" i="1"/>
  <c r="J194" i="1" s="1" a="1"/>
  <c r="J194" i="1" s="1"/>
  <c r="K194" i="1" s="1"/>
  <c r="I126" i="1"/>
  <c r="J126" i="1" s="1" a="1"/>
  <c r="J126" i="1" s="1"/>
  <c r="K126" i="1" s="1"/>
  <c r="I123" i="1"/>
  <c r="J123" i="1" s="1" a="1"/>
  <c r="J123" i="1" s="1"/>
  <c r="K123" i="1" s="1"/>
  <c r="I131" i="1"/>
  <c r="J131" i="1" s="1" a="1"/>
  <c r="J131" i="1" s="1"/>
  <c r="K131" i="1" s="1"/>
  <c r="I133" i="1"/>
  <c r="J133" i="1" s="1" a="1"/>
  <c r="J133" i="1" s="1"/>
  <c r="K133" i="1" s="1"/>
  <c r="I191" i="1"/>
  <c r="J191" i="1" s="1" a="1"/>
  <c r="J191" i="1" s="1"/>
  <c r="K191" i="1" s="1"/>
  <c r="I190" i="1"/>
  <c r="J190" i="1" s="1" a="1"/>
  <c r="J190" i="1" s="1"/>
  <c r="K190" i="1" s="1"/>
  <c r="I130" i="1"/>
  <c r="J130" i="1" s="1" a="1"/>
  <c r="J130" i="1" s="1"/>
  <c r="K130" i="1" s="1"/>
  <c r="I111" i="1"/>
  <c r="J111" i="1" s="1" a="1"/>
  <c r="J111" i="1" s="1"/>
  <c r="K111" i="1" s="1"/>
  <c r="I112" i="1"/>
  <c r="J112" i="1" s="1" a="1"/>
  <c r="J112" i="1" s="1"/>
  <c r="K112" i="1" s="1"/>
  <c r="I113" i="1"/>
  <c r="J113" i="1" s="1" a="1"/>
  <c r="J113" i="1" s="1"/>
  <c r="K113" i="1" s="1"/>
  <c r="I114" i="1"/>
  <c r="J114" i="1" s="1" a="1"/>
  <c r="J114" i="1" s="1"/>
  <c r="K114" i="1" s="1"/>
  <c r="I115" i="1"/>
  <c r="J115" i="1" s="1" a="1"/>
  <c r="J115" i="1" s="1"/>
  <c r="K115" i="1" s="1"/>
  <c r="I116" i="1"/>
  <c r="J116" i="1" s="1" a="1"/>
  <c r="J116" i="1" s="1"/>
  <c r="K116" i="1" s="1"/>
  <c r="I117" i="1"/>
  <c r="J117" i="1" s="1" a="1"/>
  <c r="J117" i="1" s="1"/>
  <c r="K117" i="1" s="1"/>
  <c r="I90" i="1"/>
  <c r="J90" i="1" s="1" a="1"/>
  <c r="J90" i="1" s="1"/>
  <c r="K90" i="1" s="1"/>
  <c r="I91" i="1"/>
  <c r="J91" i="1" s="1" a="1"/>
  <c r="J91" i="1" s="1"/>
  <c r="K91" i="1" s="1"/>
  <c r="I118" i="1"/>
  <c r="J118" i="1" s="1" a="1"/>
  <c r="J118" i="1" s="1"/>
  <c r="K118" i="1" s="1"/>
  <c r="I119" i="1"/>
  <c r="J119" i="1" s="1" a="1"/>
  <c r="J119" i="1" s="1"/>
  <c r="K119" i="1" s="1"/>
  <c r="I135" i="1"/>
  <c r="J135" i="1" s="1" a="1"/>
  <c r="J135" i="1" s="1"/>
  <c r="K135" i="1" s="1"/>
  <c r="I136" i="1"/>
  <c r="J136" i="1" s="1" a="1"/>
  <c r="J136" i="1" s="1"/>
  <c r="K136" i="1" s="1"/>
  <c r="I137" i="1"/>
  <c r="J137" i="1" s="1" a="1"/>
  <c r="J137" i="1" s="1"/>
  <c r="K137" i="1" s="1"/>
  <c r="I166" i="1"/>
  <c r="J166" i="1" s="1" a="1"/>
  <c r="J166" i="1" s="1"/>
  <c r="K166" i="1" s="1"/>
  <c r="I167" i="1"/>
  <c r="J167" i="1" s="1" a="1"/>
  <c r="J167" i="1" s="1"/>
  <c r="K167" i="1" s="1"/>
  <c r="I168" i="1"/>
  <c r="J168" i="1" s="1" a="1"/>
  <c r="J168" i="1" s="1"/>
  <c r="K168" i="1" s="1"/>
  <c r="I169" i="1"/>
  <c r="J169" i="1" s="1" a="1"/>
  <c r="J169" i="1" s="1"/>
  <c r="K169" i="1" s="1"/>
  <c r="I104" i="1"/>
  <c r="J104" i="1" s="1" a="1"/>
  <c r="J104" i="1" s="1"/>
  <c r="K104" i="1" s="1"/>
  <c r="I105" i="1"/>
  <c r="J105" i="1" s="1" a="1"/>
  <c r="J105" i="1" s="1"/>
  <c r="K105" i="1" s="1"/>
  <c r="I127" i="1"/>
  <c r="J127" i="1" s="1" a="1"/>
  <c r="J127" i="1" s="1"/>
  <c r="K127" i="1" s="1"/>
  <c r="I128" i="1"/>
  <c r="J128" i="1" s="1" a="1"/>
  <c r="J128" i="1" s="1"/>
  <c r="K128" i="1" s="1"/>
  <c r="I103" i="1"/>
  <c r="J103" i="1" s="1" a="1"/>
  <c r="J103" i="1" s="1"/>
  <c r="K103" i="1" s="1"/>
  <c r="I124" i="1"/>
  <c r="J124" i="1" s="1" a="1"/>
  <c r="J124" i="1" s="1"/>
  <c r="K124" i="1" s="1"/>
  <c r="I125" i="1"/>
  <c r="J125" i="1" s="1" a="1"/>
  <c r="J125" i="1" s="1"/>
  <c r="K125" i="1" s="1"/>
  <c r="I162" i="1"/>
  <c r="J162" i="1" s="1"/>
  <c r="K162" i="1" s="1"/>
  <c r="I163" i="1"/>
  <c r="J163" i="1" s="1"/>
  <c r="K163" i="1" s="1"/>
  <c r="I164" i="1"/>
  <c r="J164" i="1" s="1"/>
  <c r="K164" i="1" s="1"/>
  <c r="I165" i="1"/>
  <c r="J165" i="1" s="1"/>
  <c r="K165" i="1" s="1"/>
  <c r="I107" i="1"/>
  <c r="J107" i="1" s="1" a="1"/>
  <c r="J107" i="1" s="1"/>
  <c r="K107" i="1" s="1"/>
  <c r="I108" i="1"/>
  <c r="J108" i="1" s="1" a="1"/>
  <c r="J108" i="1" s="1"/>
  <c r="K108" i="1" s="1"/>
  <c r="I193" i="1"/>
  <c r="J193" i="1" s="1" a="1"/>
  <c r="J193" i="1" s="1"/>
  <c r="K193" i="1" s="1"/>
  <c r="I138" i="1"/>
  <c r="J138" i="1" s="1" a="1"/>
  <c r="J138" i="1" s="1"/>
  <c r="K138" i="1" s="1"/>
  <c r="I139" i="1"/>
  <c r="J139" i="1" s="1" a="1"/>
  <c r="J139" i="1" s="1"/>
  <c r="K139" i="1" s="1"/>
  <c r="I140" i="1"/>
  <c r="J140" i="1" s="1" a="1"/>
  <c r="J140" i="1" s="1"/>
  <c r="K140" i="1" s="1"/>
  <c r="I141" i="1"/>
  <c r="J141" i="1" s="1" a="1"/>
  <c r="J141" i="1" s="1"/>
  <c r="K141" i="1" s="1"/>
  <c r="I142" i="1"/>
  <c r="J142" i="1" s="1" a="1"/>
  <c r="J142" i="1" s="1"/>
  <c r="K142" i="1" s="1"/>
  <c r="I171" i="1"/>
  <c r="J171" i="1" s="1" a="1"/>
  <c r="J171" i="1" s="1"/>
  <c r="K171" i="1" s="1"/>
  <c r="I172" i="1"/>
  <c r="J172" i="1" s="1" a="1"/>
  <c r="J172" i="1" s="1"/>
  <c r="K172" i="1" s="1"/>
  <c r="I148" i="1"/>
  <c r="J148" i="1" s="1" a="1"/>
  <c r="J148" i="1" s="1"/>
  <c r="K148" i="1" s="1"/>
  <c r="I173" i="1"/>
  <c r="J173" i="1" s="1" a="1"/>
  <c r="J173" i="1" s="1"/>
  <c r="K173" i="1" s="1"/>
  <c r="I184" i="1"/>
  <c r="J184" i="1" s="1" a="1"/>
  <c r="J184" i="1" s="1"/>
  <c r="K184" i="1" s="1"/>
  <c r="I188" i="1"/>
  <c r="J188" i="1" s="1" a="1"/>
  <c r="J188" i="1" s="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H129" i="2" s="1"/>
  <c r="I129" i="2" s="1"/>
  <c r="D129" i="2" s="1"/>
  <c r="E130" i="2"/>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H136" i="2" s="1"/>
  <c r="I136" i="2" s="1"/>
  <c r="D136" i="2" s="1"/>
  <c r="E137" i="2"/>
  <c r="F137" i="2"/>
  <c r="H137" i="2" s="1"/>
  <c r="I137" i="2" s="1"/>
  <c r="D137" i="2" s="1"/>
  <c r="E138" i="2"/>
  <c r="F138" i="2"/>
  <c r="H138" i="2" s="1"/>
  <c r="I138" i="2" s="1"/>
  <c r="D138" i="2" s="1"/>
  <c r="E139" i="2"/>
  <c r="F139" i="2"/>
  <c r="G139" i="2" s="1"/>
  <c r="H276" i="1" s="1"/>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0" i="17"/>
  <c r="C511"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6"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7"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6" i="17"/>
  <c r="K714" i="17"/>
  <c r="C359"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06" i="9" a="1"/>
  <c r="B10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G85" i="2" s="1"/>
  <c r="H202" i="1" s="1"/>
  <c r="F85" i="2"/>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G91" i="2" s="1"/>
  <c r="H215" i="1" s="1"/>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G109" i="2" s="1"/>
  <c r="H236" i="1" s="1"/>
  <c r="F109" i="2"/>
  <c r="H109" i="2" s="1"/>
  <c r="I109" i="2" s="1"/>
  <c r="D109" i="2" s="1"/>
  <c r="E110" i="2"/>
  <c r="F110" i="2"/>
  <c r="H110" i="2" s="1"/>
  <c r="I110" i="2" s="1"/>
  <c r="D110" i="2" s="1"/>
  <c r="E111" i="2"/>
  <c r="F111" i="2"/>
  <c r="H111" i="2" s="1"/>
  <c r="I111" i="2" s="1"/>
  <c r="D111" i="2" s="1"/>
  <c r="E112" i="2"/>
  <c r="F112" i="2"/>
  <c r="H112" i="2" s="1"/>
  <c r="I112" i="2" s="1"/>
  <c r="D112" i="2" s="1"/>
  <c r="E113" i="2"/>
  <c r="F113" i="2"/>
  <c r="H113" i="2" s="1"/>
  <c r="I113" i="2" s="1"/>
  <c r="D113" i="2" s="1"/>
  <c r="E114" i="2"/>
  <c r="F114" i="2"/>
  <c r="H114" i="2" s="1"/>
  <c r="I114" i="2" s="1"/>
  <c r="D114" i="2" s="1"/>
  <c r="E115" i="2"/>
  <c r="G115" i="2" s="1"/>
  <c r="H247" i="1" s="1"/>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N3" i="7"/>
  <c r="N5" i="7" s="1"/>
  <c r="E6" i="11"/>
  <c r="D6" i="11"/>
  <c r="F3" i="2"/>
  <c r="J15" i="14"/>
  <c r="B2" i="2"/>
  <c r="H111" i="6"/>
  <c r="H139" i="2"/>
  <c r="I139" i="2" s="1"/>
  <c r="D139" i="2" s="1"/>
  <c r="G190" i="2"/>
  <c r="H364" i="1" s="1"/>
  <c r="G191" i="2"/>
  <c r="H366" i="1" s="1"/>
  <c r="H189" i="2"/>
  <c r="I189" i="2" s="1"/>
  <c r="D189" i="2" s="1"/>
  <c r="H185" i="2"/>
  <c r="I185" i="2" s="1"/>
  <c r="D185" i="2" s="1"/>
  <c r="H161" i="2"/>
  <c r="I161" i="2" s="1"/>
  <c r="D161" i="2" s="1"/>
  <c r="H85" i="2"/>
  <c r="I85" i="2" s="1"/>
  <c r="D85" i="2" s="1"/>
  <c r="L1538" i="17"/>
  <c r="C2" i="2"/>
  <c r="K335" i="1" l="1"/>
  <c r="G184" i="2"/>
  <c r="G166" i="2"/>
  <c r="H323" i="1" s="1"/>
  <c r="G185" i="2"/>
  <c r="H357" i="1" s="1"/>
  <c r="G167" i="2"/>
  <c r="H319" i="1" s="1"/>
  <c r="G186" i="2"/>
  <c r="H355" i="1"/>
  <c r="H356" i="1"/>
  <c r="G175" i="2"/>
  <c r="H335" i="1" s="1"/>
  <c r="G33" i="2"/>
  <c r="H137" i="1" s="1"/>
  <c r="G6" i="2"/>
  <c r="H106" i="1" s="1"/>
  <c r="G144" i="2"/>
  <c r="H286" i="1" s="1"/>
  <c r="G82" i="2"/>
  <c r="H197" i="1" s="1"/>
  <c r="G94" i="2"/>
  <c r="H219" i="1" s="1"/>
  <c r="C114" i="23"/>
  <c r="C116" i="23" s="1"/>
  <c r="G8" i="2"/>
  <c r="H84" i="1" s="1"/>
  <c r="G9" i="2"/>
  <c r="H85" i="1" s="1"/>
  <c r="J22" i="22"/>
  <c r="G188" i="2"/>
  <c r="H360" i="1" s="1"/>
  <c r="G182" i="2"/>
  <c r="G112" i="2"/>
  <c r="H242" i="1" s="1"/>
  <c r="G106" i="2"/>
  <c r="H233" i="1" s="1"/>
  <c r="G69" i="2"/>
  <c r="H182" i="1" s="1"/>
  <c r="G63" i="2"/>
  <c r="H173" i="1" s="1"/>
  <c r="C21" i="23"/>
  <c r="G4" i="2"/>
  <c r="G51" i="6"/>
  <c r="G14" i="2"/>
  <c r="H95" i="1" s="1"/>
  <c r="G15" i="2"/>
  <c r="H96" i="1" s="1"/>
  <c r="G23" i="2"/>
  <c r="H108" i="1" s="1"/>
  <c r="G44" i="2"/>
  <c r="H132" i="1" s="1"/>
  <c r="J30" i="15"/>
  <c r="C46" i="23"/>
  <c r="C48" i="23" s="1"/>
  <c r="C92" i="23"/>
  <c r="G137" i="2"/>
  <c r="H273" i="1" s="1"/>
  <c r="G187" i="2"/>
  <c r="H359" i="1" s="1"/>
  <c r="G169" i="2"/>
  <c r="H325" i="1" s="1"/>
  <c r="C69" i="23"/>
  <c r="G29" i="2"/>
  <c r="H115" i="1" s="1"/>
  <c r="G156" i="2"/>
  <c r="H303" i="1" s="1"/>
  <c r="J374" i="1" a="1"/>
  <c r="J374" i="1" s="1"/>
  <c r="I374" i="1" a="1"/>
  <c r="I374" i="1" s="1"/>
  <c r="E8" i="8" s="1"/>
  <c r="G123" i="2"/>
  <c r="H259" i="1" s="1"/>
  <c r="G177" i="2"/>
  <c r="H344" i="1" s="1"/>
  <c r="G28" i="2"/>
  <c r="H114" i="1" s="1"/>
  <c r="H6" i="2"/>
  <c r="I6" i="2" s="1"/>
  <c r="D6" i="2" s="1"/>
  <c r="L16" i="22"/>
  <c r="G158" i="2"/>
  <c r="H306" i="1" s="1"/>
  <c r="H187" i="2"/>
  <c r="I187" i="2" s="1"/>
  <c r="D187" i="2" s="1"/>
  <c r="G70" i="2"/>
  <c r="H183" i="1" s="1"/>
  <c r="G163" i="2"/>
  <c r="H312" i="1" s="1"/>
  <c r="G148" i="2"/>
  <c r="H293" i="1" s="1"/>
  <c r="G142" i="2"/>
  <c r="H291" i="1" s="1"/>
  <c r="G130" i="2"/>
  <c r="H267" i="1" s="1"/>
  <c r="G80" i="2"/>
  <c r="H194" i="1" s="1"/>
  <c r="G101" i="2"/>
  <c r="H227" i="1" s="1"/>
  <c r="G38" i="2"/>
  <c r="H125" i="1" s="1"/>
  <c r="H169" i="2"/>
  <c r="I169" i="2" s="1"/>
  <c r="D169" i="2" s="1"/>
  <c r="G181" i="2"/>
  <c r="H350" i="1" s="1"/>
  <c r="G173" i="2"/>
  <c r="G155" i="2"/>
  <c r="H301" i="1" s="1"/>
  <c r="G90" i="2"/>
  <c r="H213" i="1" s="1"/>
  <c r="N85" i="9"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AG45" i="9"/>
  <c r="I102" i="9" a="1"/>
  <c r="I102" i="9" s="1"/>
  <c r="K101" i="9" a="1"/>
  <c r="K101" i="9" s="1"/>
  <c r="L100" i="9" a="1"/>
  <c r="L100" i="9" s="1"/>
  <c r="G99" i="9" a="1"/>
  <c r="G99" i="9" s="1"/>
  <c r="G98" i="9" a="1"/>
  <c r="G98" i="9" s="1"/>
  <c r="G103" i="9" a="1"/>
  <c r="G103" i="9" s="1"/>
  <c r="AG44" i="9"/>
  <c r="M99" i="9" a="1"/>
  <c r="M99" i="9" s="1"/>
  <c r="Q98" i="9"/>
  <c r="Q103" i="9"/>
  <c r="AG43" i="9"/>
  <c r="B35" i="20" s="1"/>
  <c r="H102" i="9" a="1"/>
  <c r="H102" i="9" s="1"/>
  <c r="J101" i="9" a="1"/>
  <c r="J101" i="9" s="1"/>
  <c r="K100" i="9" a="1"/>
  <c r="K100" i="9" s="1"/>
  <c r="O98" i="9" a="1"/>
  <c r="O98" i="9" s="1"/>
  <c r="O103" i="9" a="1"/>
  <c r="O103" i="9" s="1"/>
  <c r="G45" i="2"/>
  <c r="H135" i="1" s="1"/>
  <c r="G127" i="2"/>
  <c r="H264" i="1" s="1"/>
  <c r="G121" i="2"/>
  <c r="H256" i="1" s="1"/>
  <c r="G152" i="2"/>
  <c r="H298" i="1" s="1"/>
  <c r="G18" i="2"/>
  <c r="H145" i="1" s="1"/>
  <c r="G116" i="2"/>
  <c r="H249" i="1" s="1"/>
  <c r="G110" i="2"/>
  <c r="H239" i="1" s="1"/>
  <c r="G86" i="2"/>
  <c r="H203" i="1" s="1"/>
  <c r="G54" i="2"/>
  <c r="H172" i="1" s="1"/>
  <c r="G20" i="2"/>
  <c r="H103" i="1" s="1"/>
  <c r="G21" i="2"/>
  <c r="H104" i="1" s="1"/>
  <c r="G145" i="2"/>
  <c r="H288" i="1" s="1"/>
  <c r="G133" i="2"/>
  <c r="H279" i="1" s="1"/>
  <c r="G126" i="2"/>
  <c r="H263" i="1" s="1"/>
  <c r="G120" i="2"/>
  <c r="H254" i="1" s="1"/>
  <c r="H320" i="1"/>
  <c r="G103" i="2"/>
  <c r="H230" i="1" s="1"/>
  <c r="G68" i="2"/>
  <c r="H181" i="1" s="1"/>
  <c r="H158" i="2"/>
  <c r="I158" i="2" s="1"/>
  <c r="D158" i="2" s="1"/>
  <c r="G56" i="2"/>
  <c r="H160" i="1" s="1"/>
  <c r="H326" i="1"/>
  <c r="G25" i="2"/>
  <c r="H177" i="2"/>
  <c r="I177" i="2" s="1"/>
  <c r="D177" i="2" s="1"/>
  <c r="G22" i="2"/>
  <c r="H107" i="1" s="1"/>
  <c r="G47" i="2"/>
  <c r="H140" i="1" s="1"/>
  <c r="G119" i="2"/>
  <c r="H258" i="1" s="1"/>
  <c r="G35" i="2"/>
  <c r="H178" i="1" s="1"/>
  <c r="G62" i="2"/>
  <c r="H166" i="1" s="1"/>
  <c r="G104" i="2"/>
  <c r="H231" i="1" s="1"/>
  <c r="G98" i="2"/>
  <c r="H223" i="1" s="1"/>
  <c r="G77" i="2"/>
  <c r="H191" i="1" s="1"/>
  <c r="G73" i="2"/>
  <c r="H187" i="1" s="1"/>
  <c r="G17" i="2"/>
  <c r="H99" i="1" s="1"/>
  <c r="G41" i="2"/>
  <c r="H128" i="1" s="1"/>
  <c r="G24" i="2"/>
  <c r="H109" i="1" s="1"/>
  <c r="G162" i="2"/>
  <c r="H311" i="1" s="1"/>
  <c r="G114" i="2"/>
  <c r="H238" i="1" s="1"/>
  <c r="G96" i="2"/>
  <c r="H47" i="2"/>
  <c r="G102" i="2"/>
  <c r="H322" i="1" s="1"/>
  <c r="G117" i="2"/>
  <c r="H251" i="1" s="1"/>
  <c r="G53" i="2"/>
  <c r="H151" i="1" s="1"/>
  <c r="G174" i="2"/>
  <c r="G149" i="2"/>
  <c r="H294" i="1" s="1"/>
  <c r="H21" i="2"/>
  <c r="I21" i="2" s="1"/>
  <c r="D21" i="2" s="1"/>
  <c r="G159" i="2"/>
  <c r="H308" i="1" s="1"/>
  <c r="G39" i="2"/>
  <c r="H126" i="1" s="1"/>
  <c r="G143" i="2"/>
  <c r="H285" i="1" s="1"/>
  <c r="G93" i="2"/>
  <c r="H217" i="1" s="1"/>
  <c r="G37" i="2"/>
  <c r="G32" i="2"/>
  <c r="H117" i="1" s="1"/>
  <c r="G172" i="2"/>
  <c r="G160" i="2"/>
  <c r="H309" i="1" s="1"/>
  <c r="G154" i="2"/>
  <c r="H302" i="1" s="1"/>
  <c r="H327" i="1"/>
  <c r="G10" i="2"/>
  <c r="H100" i="1" s="1"/>
  <c r="G78" i="2"/>
  <c r="H192" i="1" s="1"/>
  <c r="G105" i="2"/>
  <c r="H240" i="1" s="1"/>
  <c r="G99" i="2"/>
  <c r="H229" i="1" s="1"/>
  <c r="G87" i="2"/>
  <c r="H204" i="1" s="1"/>
  <c r="G171" i="2"/>
  <c r="H329" i="1" s="1"/>
  <c r="G165" i="2"/>
  <c r="H121" i="2"/>
  <c r="I121" i="2" s="1"/>
  <c r="D121" i="2" s="1"/>
  <c r="G58" i="2"/>
  <c r="H162" i="1" s="1"/>
  <c r="G141" i="2"/>
  <c r="H287" i="1" s="1"/>
  <c r="G129" i="2"/>
  <c r="H265" i="1" s="1"/>
  <c r="G12" i="2"/>
  <c r="H90" i="1" s="1"/>
  <c r="G108" i="2"/>
  <c r="H235" i="1" s="1"/>
  <c r="G146" i="2"/>
  <c r="H289" i="1" s="1"/>
  <c r="G57" i="2"/>
  <c r="H174" i="1" s="1"/>
  <c r="G84" i="2"/>
  <c r="H156" i="2"/>
  <c r="I156" i="2" s="1"/>
  <c r="D156" i="2" s="1"/>
  <c r="G36" i="2"/>
  <c r="H144" i="1" s="1"/>
  <c r="G5" i="2"/>
  <c r="H209" i="1" s="1"/>
  <c r="G26" i="2"/>
  <c r="H111" i="1" s="1"/>
  <c r="G52" i="2"/>
  <c r="H148" i="1" s="1"/>
  <c r="G66" i="2"/>
  <c r="H179" i="1" s="1"/>
  <c r="G75" i="2"/>
  <c r="G42" i="2"/>
  <c r="H129" i="1" s="1"/>
  <c r="G81" i="2"/>
  <c r="H196" i="1" s="1"/>
  <c r="G132" i="2"/>
  <c r="H272" i="1" s="1"/>
  <c r="G125" i="2"/>
  <c r="H262" i="1" s="1"/>
  <c r="G111" i="2"/>
  <c r="H241" i="1" s="1"/>
  <c r="G49" i="2"/>
  <c r="H142" i="1" s="1"/>
  <c r="G176" i="2"/>
  <c r="H337" i="1" s="1"/>
  <c r="G74" i="2"/>
  <c r="H188" i="1" s="1"/>
  <c r="G107" i="2"/>
  <c r="H234" i="1" s="1"/>
  <c r="G161" i="2"/>
  <c r="H336" i="1" s="1"/>
  <c r="H260" i="1"/>
  <c r="G61" i="2"/>
  <c r="H170" i="1" s="1"/>
  <c r="G43" i="2"/>
  <c r="H130" i="1" s="1"/>
  <c r="G153" i="2"/>
  <c r="H299" i="1" s="1"/>
  <c r="G95" i="2"/>
  <c r="H220" i="1" s="1"/>
  <c r="G71" i="2"/>
  <c r="H185" i="1" s="1"/>
  <c r="G140" i="2"/>
  <c r="H277" i="1" s="1"/>
  <c r="G164" i="2"/>
  <c r="H313" i="1" s="1"/>
  <c r="G170" i="2"/>
  <c r="H328" i="1" s="1"/>
  <c r="G65" i="2"/>
  <c r="H177" i="1" s="1"/>
  <c r="G79" i="2"/>
  <c r="H193" i="1" s="1"/>
  <c r="H125" i="2"/>
  <c r="I125" i="2" s="1"/>
  <c r="D125" i="2" s="1"/>
  <c r="G50" i="2"/>
  <c r="H146" i="1" s="1"/>
  <c r="G34" i="2"/>
  <c r="H120" i="1" s="1"/>
  <c r="G113" i="2"/>
  <c r="H248" i="1" s="1"/>
  <c r="G157" i="2"/>
  <c r="H307" i="1" s="1"/>
  <c r="G122" i="2"/>
  <c r="G31" i="2"/>
  <c r="H112" i="1" s="1"/>
  <c r="G151" i="2"/>
  <c r="H296" i="1" s="1"/>
  <c r="G48" i="2"/>
  <c r="H141" i="1" s="1"/>
  <c r="G150" i="2"/>
  <c r="H295" i="1" s="1"/>
  <c r="G72" i="2"/>
  <c r="H186" i="1" s="1"/>
  <c r="G136" i="2"/>
  <c r="H282" i="1" s="1"/>
  <c r="H107" i="2"/>
  <c r="I107" i="2" s="1"/>
  <c r="D107" i="2" s="1"/>
  <c r="H74" i="2"/>
  <c r="I74" i="2" s="1"/>
  <c r="D74" i="2" s="1"/>
  <c r="H315" i="1"/>
  <c r="H4" i="2"/>
  <c r="I4" i="2" s="1"/>
  <c r="D4" i="2" s="1"/>
  <c r="G88" i="2"/>
  <c r="H205" i="1" s="1"/>
  <c r="G180" i="2"/>
  <c r="G124" i="2"/>
  <c r="H261" i="1" s="1"/>
  <c r="G7" i="2"/>
  <c r="H83" i="1" s="1"/>
  <c r="H214" i="1"/>
  <c r="H132" i="2"/>
  <c r="I132" i="2" s="1"/>
  <c r="D132" i="2" s="1"/>
  <c r="G59" i="2"/>
  <c r="H167" i="1" s="1"/>
  <c r="G168" i="2"/>
  <c r="G138" i="2"/>
  <c r="H275" i="1" s="1"/>
  <c r="G67" i="2"/>
  <c r="H180" i="1" s="1"/>
  <c r="G13" i="2"/>
  <c r="H91" i="1" s="1"/>
  <c r="G131" i="2"/>
  <c r="H268" i="1" s="1"/>
  <c r="G97" i="2"/>
  <c r="H222" i="1" s="1"/>
  <c r="G118" i="2"/>
  <c r="H252" i="1" s="1"/>
  <c r="H52" i="2"/>
  <c r="I52" i="2" s="1"/>
  <c r="D52" i="2" s="1"/>
  <c r="G83" i="2"/>
  <c r="H199" i="1" s="1"/>
  <c r="G60" i="2"/>
  <c r="H169" i="1" s="1"/>
  <c r="G128" i="2"/>
  <c r="H266" i="1" s="1"/>
  <c r="G100" i="2"/>
  <c r="G89" i="2"/>
  <c r="H210" i="1" s="1"/>
  <c r="G179" i="2"/>
  <c r="H347" i="1" s="1"/>
  <c r="G51" i="2"/>
  <c r="H147" i="1" s="1"/>
  <c r="G27" i="2"/>
  <c r="H113" i="1" s="1"/>
  <c r="G55" i="2"/>
  <c r="H159" i="1" s="1"/>
  <c r="G64" i="2"/>
  <c r="H175" i="1" s="1"/>
  <c r="G46" i="2"/>
  <c r="G16" i="2"/>
  <c r="H97" i="1" s="1"/>
  <c r="G40" i="2"/>
  <c r="H127" i="1" s="1"/>
  <c r="A9" i="20"/>
  <c r="A10" i="21"/>
  <c r="B10" i="21" s="1"/>
  <c r="A24" i="20"/>
  <c r="S5" i="9"/>
  <c r="A2" i="20" s="1"/>
  <c r="A11" i="20"/>
  <c r="I109" i="9"/>
  <c r="Z8" i="9" s="1" a="1"/>
  <c r="Z8" i="9" s="1"/>
  <c r="A31" i="20"/>
  <c r="A34" i="20"/>
  <c r="J109" i="9"/>
  <c r="AA8" i="9" s="1" a="1"/>
  <c r="AA8" i="9" s="1"/>
  <c r="A33" i="21"/>
  <c r="B33" i="21" s="1"/>
  <c r="M122" i="9"/>
  <c r="AD21" i="9" s="1" a="1"/>
  <c r="AD21" i="9" s="1"/>
  <c r="G109" i="9"/>
  <c r="X8" i="9" s="1" a="1"/>
  <c r="X8" i="9" s="1"/>
  <c r="A22" i="20"/>
  <c r="M72" i="9" a="1"/>
  <c r="M72" i="9" s="1"/>
  <c r="A35" i="21"/>
  <c r="B35" i="21" s="1"/>
  <c r="M82" i="9" a="1"/>
  <c r="M82" i="9" s="1"/>
  <c r="I79" i="9" a="1"/>
  <c r="I79" i="9" s="1"/>
  <c r="A36" i="20"/>
  <c r="A25" i="21"/>
  <c r="B25" i="21" s="1"/>
  <c r="Q110" i="9"/>
  <c r="AG9" i="9" s="1"/>
  <c r="B33" i="20" s="1"/>
  <c r="Q79" i="9"/>
  <c r="A23" i="20"/>
  <c r="Q82" i="9"/>
  <c r="A32" i="21"/>
  <c r="B32" i="21" s="1"/>
  <c r="Q108" i="9"/>
  <c r="AG7" i="9" s="1"/>
  <c r="B29" i="20" s="1"/>
  <c r="H122" i="9"/>
  <c r="Y21" i="9" s="1" a="1"/>
  <c r="Y21" i="9" s="1"/>
  <c r="H81" i="9" a="1"/>
  <c r="H81" i="9" s="1"/>
  <c r="A40" i="21"/>
  <c r="B40" i="21" s="1"/>
  <c r="A4" i="20"/>
  <c r="J80" i="9" a="1"/>
  <c r="J80" i="9" s="1"/>
  <c r="A12" i="20"/>
  <c r="A14" i="21"/>
  <c r="B14" i="21" s="1"/>
  <c r="I111" i="9"/>
  <c r="Z10" i="9" s="1" a="1"/>
  <c r="Z10" i="9" s="1"/>
  <c r="A13" i="20"/>
  <c r="A8" i="20"/>
  <c r="K130" i="9"/>
  <c r="AB29" i="9" s="1" a="1"/>
  <c r="AB29" i="9" s="1"/>
  <c r="I87" i="9" a="1"/>
  <c r="I87" i="9" s="1"/>
  <c r="L119" i="9"/>
  <c r="AC18" i="9" s="1" a="1"/>
  <c r="AC18" i="9" s="1"/>
  <c r="A32" i="20"/>
  <c r="M62" i="9" a="1"/>
  <c r="M62" i="9" s="1"/>
  <c r="O62" i="9" a="1"/>
  <c r="O62" i="9" s="1"/>
  <c r="A21" i="20"/>
  <c r="I133" i="9"/>
  <c r="Z32" i="9" s="1" a="1"/>
  <c r="Z32" i="9" s="1"/>
  <c r="F107" i="9"/>
  <c r="W6" i="9" s="1" a="1"/>
  <c r="W6" i="9" s="1"/>
  <c r="K66" i="9" a="1"/>
  <c r="K66" i="9" s="1"/>
  <c r="J72" i="9" a="1"/>
  <c r="J72" i="9" s="1"/>
  <c r="Q58" i="9"/>
  <c r="L129" i="9"/>
  <c r="AC28" i="9" s="1" a="1"/>
  <c r="AC28" i="9" s="1"/>
  <c r="Y43" i="9" a="1"/>
  <c r="Y43" i="9" s="1"/>
  <c r="I131" i="9"/>
  <c r="Z30" i="9" s="1" a="1"/>
  <c r="Z30" i="9" s="1"/>
  <c r="M74" i="9" a="1"/>
  <c r="M74" i="9" s="1"/>
  <c r="C124" i="9"/>
  <c r="T23" i="9" s="1" a="1"/>
  <c r="T23" i="9" s="1"/>
  <c r="Q92" i="9"/>
  <c r="Q60" i="9"/>
  <c r="Q141" i="9"/>
  <c r="AG40" i="9" s="1"/>
  <c r="B25" i="20" s="1"/>
  <c r="A3" i="21"/>
  <c r="B3" i="21" s="1"/>
  <c r="H124" i="9"/>
  <c r="Y23" i="9" s="1" a="1"/>
  <c r="Y23" i="9" s="1"/>
  <c r="E143" i="9"/>
  <c r="V42" i="9" s="1" a="1"/>
  <c r="V42" i="9" s="1"/>
  <c r="A19" i="21"/>
  <c r="B19" i="21" s="1"/>
  <c r="Q130" i="9"/>
  <c r="AG29" i="9" s="1"/>
  <c r="B28" i="20" s="1"/>
  <c r="C111" i="9"/>
  <c r="T10" i="9" s="1" a="1"/>
  <c r="T10" i="9" s="1"/>
  <c r="O127" i="9"/>
  <c r="AE26" i="9" s="1" a="1"/>
  <c r="AE26" i="9" s="1"/>
  <c r="L127" i="9"/>
  <c r="AC26" i="9" s="1" a="1"/>
  <c r="AC26" i="9" s="1"/>
  <c r="H129" i="9"/>
  <c r="Y28" i="9" s="1" a="1"/>
  <c r="Y28" i="9" s="1"/>
  <c r="Q116" i="9"/>
  <c r="AG15" i="9" s="1"/>
  <c r="B4" i="20" s="1"/>
  <c r="L120" i="9"/>
  <c r="AC19" i="9" s="1" a="1"/>
  <c r="AC19" i="9" s="1"/>
  <c r="A4" i="21"/>
  <c r="B4" i="21" s="1"/>
  <c r="Q84" i="9"/>
  <c r="A21" i="21"/>
  <c r="B21" i="21" s="1"/>
  <c r="A11" i="21"/>
  <c r="B11" i="21" s="1"/>
  <c r="G119" i="9"/>
  <c r="X18" i="9" s="1" a="1"/>
  <c r="X18" i="9" s="1"/>
  <c r="A40" i="20"/>
  <c r="F138" i="9"/>
  <c r="W37" i="9" s="1" a="1"/>
  <c r="W37" i="9" s="1"/>
  <c r="I72" i="9" a="1"/>
  <c r="I72" i="9" s="1"/>
  <c r="H109" i="9"/>
  <c r="Y8" i="9" s="1" a="1"/>
  <c r="Y8" i="9" s="1"/>
  <c r="H115" i="9"/>
  <c r="Y14" i="9" s="1" a="1"/>
  <c r="Y14" i="9" s="1"/>
  <c r="A37" i="20"/>
  <c r="A25" i="20"/>
  <c r="L134" i="9"/>
  <c r="AC33" i="9" s="1" a="1"/>
  <c r="AC33" i="9" s="1"/>
  <c r="M73" i="9" a="1"/>
  <c r="M73" i="9" s="1"/>
  <c r="J59" i="9" a="1"/>
  <c r="J59" i="9" s="1"/>
  <c r="A15" i="21"/>
  <c r="B15" i="21" s="1"/>
  <c r="A37" i="21"/>
  <c r="B37" i="21" s="1"/>
  <c r="A42" i="21"/>
  <c r="B42" i="21" s="1"/>
  <c r="O133" i="9"/>
  <c r="AE32" i="9" s="1" a="1"/>
  <c r="AE32" i="9" s="1"/>
  <c r="L110" i="9"/>
  <c r="AC9" i="9" s="1" a="1"/>
  <c r="AC9" i="9" s="1"/>
  <c r="H134" i="9"/>
  <c r="Y33" i="9" s="1" a="1"/>
  <c r="Y33" i="9" s="1"/>
  <c r="B57" i="9"/>
  <c r="J113" i="9"/>
  <c r="AA12" i="9" s="1" a="1"/>
  <c r="AA12" i="9" s="1"/>
  <c r="G73" i="9" a="1"/>
  <c r="G73" i="9" s="1"/>
  <c r="L89" i="9" a="1"/>
  <c r="L89" i="9" s="1"/>
  <c r="Q97" i="9"/>
  <c r="L70" i="9" a="1"/>
  <c r="L70" i="9" s="1"/>
  <c r="D132" i="9"/>
  <c r="U31" i="9" s="1" a="1"/>
  <c r="U31" i="9" s="1"/>
  <c r="K140" i="9"/>
  <c r="AB39" i="9" s="1" a="1"/>
  <c r="AB39" i="9" s="1"/>
  <c r="J66" i="9" a="1"/>
  <c r="J66" i="9" s="1"/>
  <c r="L115" i="9"/>
  <c r="AC14" i="9" s="1" a="1"/>
  <c r="AC14" i="9" s="1"/>
  <c r="D114" i="9"/>
  <c r="U13" i="9" s="1" a="1"/>
  <c r="U13" i="9" s="1"/>
  <c r="J65" i="9" a="1"/>
  <c r="J65" i="9" s="1"/>
  <c r="H116" i="9"/>
  <c r="Y15" i="9" s="1" a="1"/>
  <c r="Y15" i="9" s="1"/>
  <c r="G64" i="9" a="1"/>
  <c r="G64" i="9" s="1"/>
  <c r="J88" i="9" a="1"/>
  <c r="J88" i="9" s="1"/>
  <c r="J139" i="9"/>
  <c r="AA38" i="9" s="1" a="1"/>
  <c r="AA38" i="9" s="1"/>
  <c r="K107" i="9"/>
  <c r="AB6" i="9" s="1" a="1"/>
  <c r="AB6" i="9" s="1"/>
  <c r="O114" i="9"/>
  <c r="AE13" i="9" s="1" a="1"/>
  <c r="AE13" i="9" s="1"/>
  <c r="J128" i="9"/>
  <c r="AA27" i="9" s="1" a="1"/>
  <c r="AA27" i="9" s="1"/>
  <c r="I140" i="9"/>
  <c r="Z39" i="9" s="1" a="1"/>
  <c r="Z39" i="9" s="1"/>
  <c r="L74" i="9" a="1"/>
  <c r="L74" i="9" s="1"/>
  <c r="H113" i="9"/>
  <c r="Y12" i="9" s="1" a="1"/>
  <c r="Y12" i="9" s="1"/>
  <c r="H89" i="9" a="1"/>
  <c r="H89" i="9" s="1"/>
  <c r="Q126" i="9"/>
  <c r="AG25" i="9" s="1"/>
  <c r="B16" i="20" s="1"/>
  <c r="I94" i="9" a="1"/>
  <c r="I94" i="9" s="1"/>
  <c r="K133" i="9"/>
  <c r="AB32" i="9" s="1" a="1"/>
  <c r="AB32" i="9" s="1"/>
  <c r="O63" i="9" a="1"/>
  <c r="O63" i="9" s="1"/>
  <c r="K136" i="9"/>
  <c r="AB35" i="9" s="1" a="1"/>
  <c r="AB35" i="9" s="1"/>
  <c r="F126" i="9"/>
  <c r="W25" i="9" s="1" a="1"/>
  <c r="W25" i="9" s="1"/>
  <c r="Q95" i="9"/>
  <c r="M59" i="9" a="1"/>
  <c r="M59" i="9" s="1"/>
  <c r="O73" i="9" a="1"/>
  <c r="O73" i="9" s="1"/>
  <c r="M93" i="9" a="1"/>
  <c r="M93" i="9" s="1"/>
  <c r="G60" i="9" a="1"/>
  <c r="G60" i="9" s="1"/>
  <c r="F134" i="9"/>
  <c r="W33" i="9" s="1" a="1"/>
  <c r="W33" i="9" s="1"/>
  <c r="G89" i="9" a="1"/>
  <c r="G89" i="9" s="1"/>
  <c r="J141" i="9"/>
  <c r="AA40" i="9" s="1" a="1"/>
  <c r="AA40" i="9" s="1"/>
  <c r="L111" i="9"/>
  <c r="AC10" i="9" s="1" a="1"/>
  <c r="AC10" i="9" s="1"/>
  <c r="F108" i="9"/>
  <c r="W7" i="9" s="1" a="1"/>
  <c r="W7" i="9" s="1"/>
  <c r="F141" i="9"/>
  <c r="W40" i="9" s="1" a="1"/>
  <c r="W40" i="9" s="1"/>
  <c r="O84" i="9" a="1"/>
  <c r="O84" i="9" s="1"/>
  <c r="J117" i="9"/>
  <c r="AA16" i="9" s="1" a="1"/>
  <c r="AA16" i="9" s="1"/>
  <c r="K131" i="9"/>
  <c r="AB30" i="9" s="1" a="1"/>
  <c r="AB30" i="9" s="1"/>
  <c r="J60" i="9" a="1"/>
  <c r="J60" i="9" s="1"/>
  <c r="Q107" i="9"/>
  <c r="AG6" i="9" s="1"/>
  <c r="B6" i="20" s="1"/>
  <c r="H137" i="9"/>
  <c r="Y36" i="9" s="1" a="1"/>
  <c r="Y36" i="9" s="1"/>
  <c r="H132" i="9"/>
  <c r="Y31" i="9" s="1" a="1"/>
  <c r="Y31" i="9" s="1"/>
  <c r="K88" i="9" a="1"/>
  <c r="K88" i="9" s="1"/>
  <c r="O87" i="9" a="1"/>
  <c r="O87" i="9" s="1"/>
  <c r="H94" i="9" a="1"/>
  <c r="H94" i="9" s="1"/>
  <c r="E120" i="9"/>
  <c r="V19" i="9" s="1" a="1"/>
  <c r="V19" i="9" s="1"/>
  <c r="M130" i="9"/>
  <c r="AD29" i="9" s="1" a="1"/>
  <c r="AD29" i="9" s="1"/>
  <c r="H72" i="9" a="1"/>
  <c r="H72" i="9" s="1"/>
  <c r="I74" i="9" a="1"/>
  <c r="I74" i="9" s="1"/>
  <c r="L96" i="9" a="1"/>
  <c r="L96" i="9" s="1"/>
  <c r="L137" i="9"/>
  <c r="AC36" i="9" s="1" a="1"/>
  <c r="AC36" i="9" s="1"/>
  <c r="G92" i="9" a="1"/>
  <c r="G92" i="9" s="1"/>
  <c r="J94" i="9" a="1"/>
  <c r="J94" i="9" s="1"/>
  <c r="C123" i="9"/>
  <c r="T22" i="9" s="1" a="1"/>
  <c r="T22" i="9" s="1"/>
  <c r="G78" i="9" a="1"/>
  <c r="G78" i="9" s="1"/>
  <c r="G108" i="9"/>
  <c r="X7" i="9" s="1" a="1"/>
  <c r="X7" i="9" s="1"/>
  <c r="F111" i="9"/>
  <c r="W10" i="9" s="1" a="1"/>
  <c r="W10" i="9" s="1"/>
  <c r="K115" i="9"/>
  <c r="AB14" i="9" s="1" a="1"/>
  <c r="AB14" i="9" s="1"/>
  <c r="O59" i="9" a="1"/>
  <c r="O59" i="9" s="1"/>
  <c r="M138" i="9"/>
  <c r="AD37" i="9" s="1" a="1"/>
  <c r="AD37" i="9" s="1"/>
  <c r="K109" i="9"/>
  <c r="AB8" i="9" s="1" a="1"/>
  <c r="AB8" i="9" s="1"/>
  <c r="I84" i="9" a="1"/>
  <c r="I84" i="9" s="1"/>
  <c r="O117" i="9"/>
  <c r="AE16" i="9" s="1" a="1"/>
  <c r="AE16" i="9" s="1"/>
  <c r="AE44" i="9" a="1"/>
  <c r="AE44" i="9" s="1"/>
  <c r="G123" i="9"/>
  <c r="X22" i="9" s="1" a="1"/>
  <c r="X22" i="9" s="1"/>
  <c r="G137" i="9"/>
  <c r="X36" i="9" s="1" a="1"/>
  <c r="X36" i="9" s="1"/>
  <c r="F136" i="9"/>
  <c r="W35" i="9" s="1" a="1"/>
  <c r="W35" i="9" s="1"/>
  <c r="F117" i="9"/>
  <c r="W16" i="9" s="1" a="1"/>
  <c r="W16" i="9" s="1"/>
  <c r="K61" i="9" a="1"/>
  <c r="K61" i="9" s="1"/>
  <c r="L138" i="9"/>
  <c r="AC37" i="9" s="1" a="1"/>
  <c r="AC37" i="9" s="1"/>
  <c r="L114" i="9"/>
  <c r="AC13" i="9" s="1" a="1"/>
  <c r="AC13" i="9" s="1"/>
  <c r="O120" i="9"/>
  <c r="AE19" i="9" s="1" a="1"/>
  <c r="AE19" i="9" s="1"/>
  <c r="X43" i="9" a="1"/>
  <c r="X43" i="9" s="1"/>
  <c r="I117" i="9"/>
  <c r="Z16" i="9" s="1" a="1"/>
  <c r="Z16" i="9" s="1"/>
  <c r="H111" i="9"/>
  <c r="Y10" i="9" s="1" a="1"/>
  <c r="Y10" i="9" s="1"/>
  <c r="M136" i="9"/>
  <c r="AD35" i="9" s="1" a="1"/>
  <c r="AD35" i="9" s="1"/>
  <c r="J132" i="9"/>
  <c r="AA31" i="9" s="1" a="1"/>
  <c r="AA31" i="9" s="1"/>
  <c r="J76" i="9" a="1"/>
  <c r="J76" i="9" s="1"/>
  <c r="L63" i="9" a="1"/>
  <c r="L63" i="9" s="1"/>
  <c r="AB44" i="9" a="1"/>
  <c r="AB44" i="9" s="1"/>
  <c r="AC44" i="9" a="1"/>
  <c r="AC44" i="9" s="1"/>
  <c r="M80" i="9" a="1"/>
  <c r="M80" i="9" s="1"/>
  <c r="G143" i="9"/>
  <c r="X42" i="9" s="1" a="1"/>
  <c r="X42" i="9" s="1"/>
  <c r="M124" i="9"/>
  <c r="AD23" i="9" s="1" a="1"/>
  <c r="AD23" i="9" s="1"/>
  <c r="K92" i="9" a="1"/>
  <c r="K92" i="9" s="1"/>
  <c r="B18" i="9"/>
  <c r="M88" i="9" a="1"/>
  <c r="M88" i="9" s="1"/>
  <c r="G65" i="9" a="1"/>
  <c r="G65" i="9" s="1"/>
  <c r="O135" i="9"/>
  <c r="AE34" i="9" s="1" a="1"/>
  <c r="AE34" i="9" s="1"/>
  <c r="J122" i="9"/>
  <c r="AA21" i="9" s="1" a="1"/>
  <c r="AA21" i="9" s="1"/>
  <c r="K117" i="9"/>
  <c r="AB16" i="9" s="1" a="1"/>
  <c r="AB16" i="9" s="1"/>
  <c r="I114" i="9"/>
  <c r="Z13" i="9" s="1" a="1"/>
  <c r="Z13" i="9" s="1"/>
  <c r="Q129" i="9"/>
  <c r="AG28" i="9" s="1"/>
  <c r="B30" i="20" s="1"/>
  <c r="AD43" i="9" a="1"/>
  <c r="AD43" i="9" s="1"/>
  <c r="I59" i="9" a="1"/>
  <c r="I59" i="9" s="1"/>
  <c r="I138" i="9"/>
  <c r="Z37" i="9" s="1" a="1"/>
  <c r="Z37" i="9" s="1"/>
  <c r="I67" i="9" a="1"/>
  <c r="I67" i="9" s="1"/>
  <c r="H141" i="9"/>
  <c r="Y40" i="9" s="1" a="1"/>
  <c r="Y40" i="9" s="1"/>
  <c r="M118" i="9"/>
  <c r="AD17" i="9" s="1" a="1"/>
  <c r="AD17" i="9" s="1"/>
  <c r="K132" i="9"/>
  <c r="AB31" i="9" s="1" a="1"/>
  <c r="AB31" i="9" s="1"/>
  <c r="K77" i="9" a="1"/>
  <c r="K77" i="9" s="1"/>
  <c r="K91" i="9" a="1"/>
  <c r="K91" i="9" s="1"/>
  <c r="G135" i="9"/>
  <c r="X34" i="9" s="1" a="1"/>
  <c r="X34" i="9" s="1"/>
  <c r="G107" i="9"/>
  <c r="X6" i="9" s="1" a="1"/>
  <c r="X6" i="9" s="1"/>
  <c r="E116" i="9"/>
  <c r="V15" i="9" s="1" a="1"/>
  <c r="V15" i="9" s="1"/>
  <c r="O90" i="9" a="1"/>
  <c r="O90" i="9" s="1"/>
  <c r="K113" i="9"/>
  <c r="AB12" i="9" s="1" a="1"/>
  <c r="AB12" i="9" s="1"/>
  <c r="L90" i="9" a="1"/>
  <c r="L90" i="9" s="1"/>
  <c r="K96" i="9" a="1"/>
  <c r="K96" i="9" s="1"/>
  <c r="Q142" i="9"/>
  <c r="AG41" i="9" s="1"/>
  <c r="B26" i="20" s="1"/>
  <c r="K121" i="9"/>
  <c r="AB20" i="9" s="1" a="1"/>
  <c r="AB20" i="9" s="1"/>
  <c r="L60" i="9" a="1"/>
  <c r="L60" i="9" s="1"/>
  <c r="F123" i="9"/>
  <c r="W22" i="9" s="1" a="1"/>
  <c r="W22" i="9" s="1"/>
  <c r="G138" i="9"/>
  <c r="X37" i="9" s="1" a="1"/>
  <c r="X37" i="9" s="1"/>
  <c r="J112" i="9"/>
  <c r="AA11" i="9" s="1" a="1"/>
  <c r="AA11" i="9" s="1"/>
  <c r="J85" i="9" a="1"/>
  <c r="J85" i="9" s="1"/>
  <c r="E127" i="9"/>
  <c r="V26" i="9" s="1" a="1"/>
  <c r="V26" i="9" s="1"/>
  <c r="H96" i="9" a="1"/>
  <c r="H96" i="9" s="1"/>
  <c r="Q62" i="9"/>
  <c r="J77" i="9" a="1"/>
  <c r="J77" i="9" s="1"/>
  <c r="Q71" i="9"/>
  <c r="O97" i="9" a="1"/>
  <c r="O97" i="9" s="1"/>
  <c r="C130" i="9"/>
  <c r="T29" i="9" s="1" a="1"/>
  <c r="T29" i="9" s="1"/>
  <c r="O77" i="9" a="1"/>
  <c r="O77" i="9" s="1"/>
  <c r="H119" i="9"/>
  <c r="Y18" i="9" s="1" a="1"/>
  <c r="Y18" i="9" s="1"/>
  <c r="G72" i="9" a="1"/>
  <c r="G72" i="9" s="1"/>
  <c r="Q78" i="9"/>
  <c r="L64" i="9" a="1"/>
  <c r="L64" i="9" s="1"/>
  <c r="D129" i="9"/>
  <c r="U28" i="9" s="1" a="1"/>
  <c r="U28" i="9" s="1"/>
  <c r="K139" i="9"/>
  <c r="AB38" i="9" s="1" a="1"/>
  <c r="AB38" i="9" s="1"/>
  <c r="M70" i="9" a="1"/>
  <c r="M70" i="9" s="1"/>
  <c r="Q86" i="9"/>
  <c r="M83" i="9" a="1"/>
  <c r="M83" i="9" s="1"/>
  <c r="L62" i="9" a="1"/>
  <c r="L62" i="9" s="1"/>
  <c r="H76" i="9" a="1"/>
  <c r="H76" i="9" s="1"/>
  <c r="H87" i="9" a="1"/>
  <c r="H87" i="9" s="1"/>
  <c r="M115" i="9"/>
  <c r="AD14" i="9" s="1" a="1"/>
  <c r="AD14" i="9" s="1"/>
  <c r="O76" i="9" a="1"/>
  <c r="O76" i="9" s="1"/>
  <c r="Q75" i="9"/>
  <c r="D122" i="9"/>
  <c r="U21" i="9" s="1" a="1"/>
  <c r="U21" i="9" s="1"/>
  <c r="D133" i="9"/>
  <c r="U32" i="9" s="1" a="1"/>
  <c r="U32" i="9" s="1"/>
  <c r="J108" i="9"/>
  <c r="AA7" i="9" s="1" a="1"/>
  <c r="AA7" i="9" s="1"/>
  <c r="J129" i="9"/>
  <c r="AA28" i="9" s="1" a="1"/>
  <c r="AA28" i="9" s="1"/>
  <c r="K142" i="9"/>
  <c r="AB41" i="9" s="1" a="1"/>
  <c r="AB41" i="9" s="1"/>
  <c r="H80" i="9" a="1"/>
  <c r="H80" i="9" s="1"/>
  <c r="I62" i="9" a="1"/>
  <c r="I62" i="9" s="1"/>
  <c r="D141" i="9"/>
  <c r="U40" i="9" s="1" a="1"/>
  <c r="U40" i="9" s="1"/>
  <c r="L108" i="9"/>
  <c r="AC7" i="9" s="1" a="1"/>
  <c r="AC7" i="9" s="1"/>
  <c r="I92" i="9" a="1"/>
  <c r="I92" i="9" s="1"/>
  <c r="L61" i="9" a="1"/>
  <c r="L61" i="9" s="1"/>
  <c r="K135" i="9"/>
  <c r="AB34" i="9" s="1" a="1"/>
  <c r="AB34" i="9" s="1"/>
  <c r="J138" i="9"/>
  <c r="AA37" i="9" s="1" a="1"/>
  <c r="AA37" i="9" s="1"/>
  <c r="K127" i="9"/>
  <c r="AB26" i="9" s="1" a="1"/>
  <c r="AB26" i="9" s="1"/>
  <c r="B4" i="9"/>
  <c r="M126" i="9"/>
  <c r="AD25" i="9" s="1" a="1"/>
  <c r="AD25" i="9" s="1"/>
  <c r="Q135" i="9"/>
  <c r="AG34" i="9" s="1"/>
  <c r="B7" i="20" s="1"/>
  <c r="O142" i="9"/>
  <c r="AE41" i="9" s="1" a="1"/>
  <c r="AE41" i="9" s="1"/>
  <c r="H63" i="9" a="1"/>
  <c r="H63" i="9" s="1"/>
  <c r="K118" i="9"/>
  <c r="AB17" i="9" s="1" a="1"/>
  <c r="AB17" i="9" s="1"/>
  <c r="E118" i="9"/>
  <c r="V17" i="9" s="1" a="1"/>
  <c r="V17" i="9" s="1"/>
  <c r="Q138" i="9"/>
  <c r="AG37" i="9" s="1"/>
  <c r="B21" i="20" s="1"/>
  <c r="K125" i="9"/>
  <c r="AB24" i="9" s="1" a="1"/>
  <c r="AB24" i="9" s="1"/>
  <c r="J134" i="9"/>
  <c r="AA33" i="9" s="1" a="1"/>
  <c r="AA33" i="9" s="1"/>
  <c r="C132" i="9"/>
  <c r="T31" i="9" s="1" a="1"/>
  <c r="T31" i="9" s="1"/>
  <c r="D124" i="9"/>
  <c r="U23" i="9" s="1" a="1"/>
  <c r="U23" i="9" s="1"/>
  <c r="O65" i="9" a="1"/>
  <c r="O65" i="9" s="1"/>
  <c r="G86" i="9" a="1"/>
  <c r="G86" i="9" s="1"/>
  <c r="Q87" i="9"/>
  <c r="I64" i="9" a="1"/>
  <c r="I64" i="9" s="1"/>
  <c r="M92" i="9" a="1"/>
  <c r="M92" i="9" s="1"/>
  <c r="D107" i="9"/>
  <c r="U6" i="9" s="1" a="1"/>
  <c r="U6" i="9" s="1"/>
  <c r="E121" i="9"/>
  <c r="V20" i="9" s="1" a="1"/>
  <c r="V20" i="9" s="1"/>
  <c r="I108" i="9"/>
  <c r="Z7" i="9" s="1" a="1"/>
  <c r="Z7" i="9" s="1"/>
  <c r="Q132" i="9"/>
  <c r="AG31" i="9" s="1"/>
  <c r="B36" i="20" s="1"/>
  <c r="L92" i="9" a="1"/>
  <c r="L92" i="9" s="1"/>
  <c r="H69" i="9" a="1"/>
  <c r="H69" i="9" s="1"/>
  <c r="C113" i="9"/>
  <c r="T12" i="9" s="1" a="1"/>
  <c r="T12" i="9" s="1"/>
  <c r="I126" i="9"/>
  <c r="Z25" i="9" s="1" a="1"/>
  <c r="Z25" i="9" s="1"/>
  <c r="I139" i="9"/>
  <c r="Z38" i="9" s="1" a="1"/>
  <c r="Z38" i="9" s="1"/>
  <c r="D108" i="9"/>
  <c r="U7" i="9" s="1" a="1"/>
  <c r="U7" i="9" s="1"/>
  <c r="E111" i="9"/>
  <c r="V10" i="9" s="1" a="1"/>
  <c r="V10" i="9" s="1"/>
  <c r="J125" i="9"/>
  <c r="AA24" i="9" s="1" a="1"/>
  <c r="AA24" i="9" s="1"/>
  <c r="J69" i="9" a="1"/>
  <c r="J69" i="9" s="1"/>
  <c r="O112" i="9"/>
  <c r="AE11" i="9" s="1" a="1"/>
  <c r="AE11" i="9" s="1"/>
  <c r="J115" i="9"/>
  <c r="AA14" i="9" s="1" a="1"/>
  <c r="AA14" i="9" s="1"/>
  <c r="J140" i="9"/>
  <c r="AA39" i="9" s="1" a="1"/>
  <c r="AA39" i="9" s="1"/>
  <c r="K89" i="9" a="1"/>
  <c r="K89" i="9" s="1"/>
  <c r="L141" i="9"/>
  <c r="AC40" i="9" s="1" a="1"/>
  <c r="AC40" i="9" s="1"/>
  <c r="O85" i="9" a="1"/>
  <c r="O85" i="9" s="1"/>
  <c r="O140" i="9"/>
  <c r="AE39" i="9" s="1" a="1"/>
  <c r="AE39" i="9" s="1"/>
  <c r="K65" i="9" a="1"/>
  <c r="K65" i="9" s="1"/>
  <c r="C141" i="9"/>
  <c r="T40" i="9" s="1" a="1"/>
  <c r="T40" i="9" s="1"/>
  <c r="C108" i="9"/>
  <c r="T7" i="9" s="1" a="1"/>
  <c r="T7" i="9" s="1"/>
  <c r="K108" i="9"/>
  <c r="AB7" i="9" s="1" a="1"/>
  <c r="AB7" i="9" s="1"/>
  <c r="O123" i="9"/>
  <c r="AE22" i="9" s="1" a="1"/>
  <c r="AE22" i="9" s="1"/>
  <c r="O82" i="9" a="1"/>
  <c r="O82" i="9" s="1"/>
  <c r="D117" i="9"/>
  <c r="U16" i="9" s="1" a="1"/>
  <c r="U16" i="9" s="1"/>
  <c r="O115" i="9"/>
  <c r="AE14" i="9" s="1" a="1"/>
  <c r="AE14" i="9" s="1"/>
  <c r="C122" i="9"/>
  <c r="T21" i="9" s="1" a="1"/>
  <c r="T21" i="9" s="1"/>
  <c r="L87" i="9" a="1"/>
  <c r="L87" i="9" s="1"/>
  <c r="Q80" i="9"/>
  <c r="G87" i="9" a="1"/>
  <c r="G87" i="9" s="1"/>
  <c r="J127" i="9"/>
  <c r="AA26" i="9" s="1" a="1"/>
  <c r="AA26" i="9" s="1"/>
  <c r="M96" i="9" a="1"/>
  <c r="M96" i="9" s="1"/>
  <c r="L140" i="9"/>
  <c r="AC39" i="9" s="1" a="1"/>
  <c r="AC39" i="9" s="1"/>
  <c r="B6" i="9"/>
  <c r="E6" i="9" s="1"/>
  <c r="L113" i="9"/>
  <c r="AC12" i="9" s="1" a="1"/>
  <c r="AC12" i="9" s="1"/>
  <c r="I134" i="9"/>
  <c r="Z33" i="9" s="1" a="1"/>
  <c r="Z33" i="9" s="1"/>
  <c r="K97" i="9" a="1"/>
  <c r="K97" i="9" s="1"/>
  <c r="G134" i="9"/>
  <c r="X33" i="9" s="1" a="1"/>
  <c r="X33" i="9" s="1"/>
  <c r="G110" i="9"/>
  <c r="X9" i="9" s="1" a="1"/>
  <c r="X9" i="9" s="1"/>
  <c r="H70" i="9" a="1"/>
  <c r="H70" i="9" s="1"/>
  <c r="H61" i="9" a="1"/>
  <c r="H61" i="9" s="1"/>
  <c r="M97" i="9" a="1"/>
  <c r="M97" i="9" s="1"/>
  <c r="M77" i="9" a="1"/>
  <c r="M77" i="9" s="1"/>
  <c r="G120" i="9"/>
  <c r="X19" i="9" s="1" a="1"/>
  <c r="X19" i="9" s="1"/>
  <c r="M64" i="9" a="1"/>
  <c r="M64" i="9" s="1"/>
  <c r="H95" i="9" a="1"/>
  <c r="H95" i="9" s="1"/>
  <c r="G95" i="9" a="1"/>
  <c r="G95" i="9" s="1"/>
  <c r="G74" i="9" a="1"/>
  <c r="G74" i="9" s="1"/>
  <c r="Q70" i="9"/>
  <c r="H133" i="9"/>
  <c r="Y32" i="9" s="1" a="1"/>
  <c r="Y32" i="9" s="1"/>
  <c r="K71" i="9" a="1"/>
  <c r="K71" i="9" s="1"/>
  <c r="L132" i="9"/>
  <c r="AC31" i="9" s="1" a="1"/>
  <c r="AC31" i="9" s="1"/>
  <c r="K129" i="9"/>
  <c r="AB28" i="9" s="1" a="1"/>
  <c r="AB28" i="9" s="1"/>
  <c r="K137" i="9"/>
  <c r="AB36" i="9" s="1" a="1"/>
  <c r="AB36" i="9" s="1"/>
  <c r="D135" i="9"/>
  <c r="U34" i="9" s="1" a="1"/>
  <c r="U34" i="9" s="1"/>
  <c r="J114" i="9"/>
  <c r="AA13" i="9" s="1" a="1"/>
  <c r="AA13" i="9" s="1"/>
  <c r="G121" i="9"/>
  <c r="X20" i="9" s="1" a="1"/>
  <c r="X20" i="9" s="1"/>
  <c r="M123" i="9"/>
  <c r="AD22" i="9" s="1" a="1"/>
  <c r="AD22" i="9" s="1"/>
  <c r="M127" i="9"/>
  <c r="AD26" i="9" s="1" a="1"/>
  <c r="AD26" i="9" s="1"/>
  <c r="L59" i="9" a="1"/>
  <c r="L59" i="9" s="1"/>
  <c r="D128" i="9"/>
  <c r="U27" i="9" s="1" a="1"/>
  <c r="U27" i="9" s="1"/>
  <c r="I118" i="9"/>
  <c r="Z17" i="9" s="1" a="1"/>
  <c r="Z17" i="9" s="1"/>
  <c r="AA43" i="9" a="1"/>
  <c r="AA43" i="9" s="1"/>
  <c r="L126" i="9"/>
  <c r="AC25" i="9" s="1" a="1"/>
  <c r="AC25" i="9" s="1"/>
  <c r="M68" i="9" a="1"/>
  <c r="M68" i="9" s="1"/>
  <c r="B14" i="9"/>
  <c r="L76" i="9" a="1"/>
  <c r="L76" i="9" s="1"/>
  <c r="M78" i="9" a="1"/>
  <c r="M78" i="9" s="1"/>
  <c r="G114" i="9"/>
  <c r="X13" i="9" s="1" a="1"/>
  <c r="X13" i="9" s="1"/>
  <c r="G132" i="9"/>
  <c r="X31" i="9" s="1" a="1"/>
  <c r="X31" i="9" s="1"/>
  <c r="F125" i="9"/>
  <c r="W24" i="9" s="1" a="1"/>
  <c r="W24" i="9" s="1"/>
  <c r="J116" i="9"/>
  <c r="AA15" i="9" s="1" a="1"/>
  <c r="AA15" i="9" s="1"/>
  <c r="Q85" i="9"/>
  <c r="H143" i="9"/>
  <c r="Y42" i="9" s="1" a="1"/>
  <c r="Y42" i="9" s="1"/>
  <c r="J61" i="9" a="1"/>
  <c r="J61" i="9" s="1"/>
  <c r="F140" i="9"/>
  <c r="W39" i="9" s="1" a="1"/>
  <c r="W39" i="9" s="1"/>
  <c r="O61" i="9" a="1"/>
  <c r="O61" i="9" s="1"/>
  <c r="I73" i="9" a="1"/>
  <c r="I73" i="9" s="1"/>
  <c r="E113" i="9"/>
  <c r="V12" i="9" s="1" a="1"/>
  <c r="V12" i="9" s="1"/>
  <c r="E125" i="9"/>
  <c r="V24" i="9" s="1" a="1"/>
  <c r="V24" i="9" s="1"/>
  <c r="Q117" i="9"/>
  <c r="AG16" i="9" s="1"/>
  <c r="B12" i="20" s="1"/>
  <c r="B12" i="9"/>
  <c r="E12" i="9" s="1"/>
  <c r="L73" i="9" a="1"/>
  <c r="L73" i="9" s="1"/>
  <c r="G66" i="9" a="1"/>
  <c r="G66" i="9" s="1"/>
  <c r="O131" i="9"/>
  <c r="AE30" i="9" s="1" a="1"/>
  <c r="AE30" i="9" s="1"/>
  <c r="M63" i="9" a="1"/>
  <c r="M63" i="9" s="1"/>
  <c r="J107" i="9"/>
  <c r="AA6" i="9" s="1" a="1"/>
  <c r="AA6" i="9" s="1"/>
  <c r="J143" i="9"/>
  <c r="AA42" i="9" s="1" a="1"/>
  <c r="AA42" i="9" s="1"/>
  <c r="G75" i="9" a="1"/>
  <c r="G75" i="9" s="1"/>
  <c r="G82" i="9" a="1"/>
  <c r="G82" i="9" s="1"/>
  <c r="O126" i="9"/>
  <c r="AE25" i="9" s="1" a="1"/>
  <c r="AE25" i="9" s="1"/>
  <c r="B15" i="9"/>
  <c r="I96" i="9" a="1"/>
  <c r="I96" i="9" s="1"/>
  <c r="G126" i="9"/>
  <c r="X25" i="9" s="1" a="1"/>
  <c r="X25" i="9" s="1"/>
  <c r="I85" i="9" a="1"/>
  <c r="I85" i="9" s="1"/>
  <c r="J96" i="9" a="1"/>
  <c r="J96" i="9" s="1"/>
  <c r="K76" i="9" a="1"/>
  <c r="K76" i="9" s="1"/>
  <c r="Q64" i="9"/>
  <c r="J86" i="9" a="1"/>
  <c r="J86" i="9" s="1"/>
  <c r="G58" i="9" a="1"/>
  <c r="G58" i="9" s="1"/>
  <c r="Q94" i="9"/>
  <c r="L81" i="9" a="1"/>
  <c r="L81" i="9" s="1"/>
  <c r="Q81" i="9"/>
  <c r="L116" i="9"/>
  <c r="AC15" i="9" s="1" a="1"/>
  <c r="AC15" i="9" s="1"/>
  <c r="Q68" i="9"/>
  <c r="G69" i="9" a="1"/>
  <c r="G69" i="9" s="1"/>
  <c r="M142" i="9"/>
  <c r="AD41" i="9" s="1" a="1"/>
  <c r="AD41" i="9" s="1"/>
  <c r="E141" i="9"/>
  <c r="V40" i="9" s="1" a="1"/>
  <c r="V40" i="9" s="1"/>
  <c r="D112" i="9"/>
  <c r="U11" i="9" s="1" a="1"/>
  <c r="U11" i="9" s="1"/>
  <c r="M84" i="9" a="1"/>
  <c r="M84" i="9" s="1"/>
  <c r="I125" i="9"/>
  <c r="Z24" i="9" s="1" a="1"/>
  <c r="Z24" i="9" s="1"/>
  <c r="E110" i="9"/>
  <c r="V9" i="9" s="1" a="1"/>
  <c r="V9" i="9" s="1"/>
  <c r="H78" i="9" a="1"/>
  <c r="H78" i="9" s="1"/>
  <c r="O58" i="9" a="1"/>
  <c r="O58" i="9" s="1"/>
  <c r="M137" i="9"/>
  <c r="AD36" i="9" s="1" a="1"/>
  <c r="AD36" i="9" s="1"/>
  <c r="M139" i="9"/>
  <c r="AD38" i="9" s="1" a="1"/>
  <c r="AD38" i="9" s="1"/>
  <c r="C119" i="9"/>
  <c r="T18" i="9" s="1" a="1"/>
  <c r="T18" i="9" s="1"/>
  <c r="Z44" i="9" a="1"/>
  <c r="Z44" i="9" s="1"/>
  <c r="Q124" i="9"/>
  <c r="AG23" i="9" s="1"/>
  <c r="B8" i="20" s="1"/>
  <c r="O129" i="9"/>
  <c r="AE28" i="9" s="1" a="1"/>
  <c r="AE28" i="9" s="1"/>
  <c r="M140" i="9"/>
  <c r="AD39" i="9" s="1" a="1"/>
  <c r="AD39" i="9" s="1"/>
  <c r="O118" i="9"/>
  <c r="AE17" i="9" s="1" a="1"/>
  <c r="AE17" i="9" s="1"/>
  <c r="C142" i="9"/>
  <c r="T41" i="9" s="1" a="1"/>
  <c r="T41" i="9" s="1"/>
  <c r="O71" i="9" a="1"/>
  <c r="O71" i="9" s="1"/>
  <c r="Q83" i="9"/>
  <c r="H110" i="9"/>
  <c r="Y9" i="9" s="1" a="1"/>
  <c r="Y9" i="9" s="1"/>
  <c r="L93" i="9" a="1"/>
  <c r="L93" i="9" s="1"/>
  <c r="H140" i="9"/>
  <c r="Y39" i="9" s="1" a="1"/>
  <c r="Y39" i="9" s="1"/>
  <c r="Q109" i="9"/>
  <c r="AG8" i="9" s="1"/>
  <c r="B22" i="20" s="1"/>
  <c r="O116" i="9"/>
  <c r="AE15" i="9" s="1" a="1"/>
  <c r="AE15" i="9" s="1"/>
  <c r="J111" i="9"/>
  <c r="AA10" i="9" s="1" a="1"/>
  <c r="AA10" i="9" s="1"/>
  <c r="K112" i="9"/>
  <c r="AB11" i="9" s="1" a="1"/>
  <c r="AB11" i="9" s="1"/>
  <c r="K59" i="9" a="1"/>
  <c r="K59" i="9" s="1"/>
  <c r="G81" i="9" a="1"/>
  <c r="G81" i="9" s="1"/>
  <c r="Q67" i="9"/>
  <c r="K143" i="9"/>
  <c r="AB42" i="9" s="1" a="1"/>
  <c r="AB42" i="9" s="1"/>
  <c r="I60" i="9" a="1"/>
  <c r="I60" i="9" s="1"/>
  <c r="H125" i="9"/>
  <c r="Y24" i="9" s="1" a="1"/>
  <c r="Y24" i="9" s="1"/>
  <c r="L107" i="9"/>
  <c r="AC6" i="9" s="1" a="1"/>
  <c r="AC6" i="9" s="1"/>
  <c r="K120" i="9"/>
  <c r="AB19" i="9" s="1" a="1"/>
  <c r="AB19" i="9" s="1"/>
  <c r="I66" i="9" a="1"/>
  <c r="I66" i="9" s="1"/>
  <c r="G133" i="9"/>
  <c r="X32" i="9" s="1" a="1"/>
  <c r="X32" i="9" s="1"/>
  <c r="K64" i="9" a="1"/>
  <c r="K64" i="9" s="1"/>
  <c r="G67" i="9" a="1"/>
  <c r="G67" i="9" s="1"/>
  <c r="F120" i="9"/>
  <c r="W19" i="9" s="1" a="1"/>
  <c r="W19" i="9" s="1"/>
  <c r="M129" i="9"/>
  <c r="AD28" i="9" s="1" a="1"/>
  <c r="AD28" i="9" s="1"/>
  <c r="E129" i="9"/>
  <c r="V28" i="9" s="1" a="1"/>
  <c r="V28" i="9" s="1"/>
  <c r="C116" i="9"/>
  <c r="T15" i="9" s="1" a="1"/>
  <c r="T15" i="9" s="1"/>
  <c r="C133" i="9"/>
  <c r="T32" i="9" s="1" a="1"/>
  <c r="T32" i="9" s="1"/>
  <c r="L85" i="9" a="1"/>
  <c r="L85" i="9" s="1"/>
  <c r="K85" i="9" a="1"/>
  <c r="K85" i="9" s="1"/>
  <c r="G141" i="9"/>
  <c r="X40" i="9" s="1" a="1"/>
  <c r="X40" i="9" s="1"/>
  <c r="I95" i="9" a="1"/>
  <c r="I95" i="9" s="1"/>
  <c r="I112" i="9"/>
  <c r="Z11" i="9" s="1" a="1"/>
  <c r="Z11" i="9" s="1"/>
  <c r="H120" i="9"/>
  <c r="Y19" i="9" s="1" a="1"/>
  <c r="Y19" i="9" s="1"/>
  <c r="F112" i="9"/>
  <c r="W11" i="9" s="1" a="1"/>
  <c r="W11" i="9" s="1"/>
  <c r="I120" i="9"/>
  <c r="Z19" i="9" s="1" a="1"/>
  <c r="Z19" i="9" s="1"/>
  <c r="G118" i="9"/>
  <c r="X17" i="9" s="1" a="1"/>
  <c r="X17" i="9" s="1"/>
  <c r="L82" i="9" a="1"/>
  <c r="L82" i="9" s="1"/>
  <c r="H127" i="9"/>
  <c r="Y26" i="9" s="1" a="1"/>
  <c r="Y26" i="9" s="1"/>
  <c r="L143" i="9"/>
  <c r="AC42" i="9" s="1" a="1"/>
  <c r="AC42" i="9" s="1"/>
  <c r="M117" i="9"/>
  <c r="AD16" i="9" s="1" a="1"/>
  <c r="AD16" i="9" s="1"/>
  <c r="M120" i="9"/>
  <c r="AD19" i="9" s="1" a="1"/>
  <c r="AD19" i="9" s="1"/>
  <c r="G61" i="9" a="1"/>
  <c r="G61" i="9" s="1"/>
  <c r="B16" i="9"/>
  <c r="C114" i="9"/>
  <c r="T13" i="9" s="1" a="1"/>
  <c r="T13" i="9" s="1"/>
  <c r="O119" i="9"/>
  <c r="AE18" i="9" s="1" a="1"/>
  <c r="AE18" i="9" s="1"/>
  <c r="H118" i="9"/>
  <c r="Y17" i="9" s="1" a="1"/>
  <c r="Y17" i="9" s="1"/>
  <c r="C128" i="9"/>
  <c r="T27" i="9" s="1" a="1"/>
  <c r="T27" i="9" s="1"/>
  <c r="L112" i="9"/>
  <c r="AC11" i="9" s="1" a="1"/>
  <c r="AC11" i="9" s="1"/>
  <c r="H112" i="9"/>
  <c r="Y11" i="9" s="1" a="1"/>
  <c r="Y11" i="9" s="1"/>
  <c r="K73" i="9" a="1"/>
  <c r="K73" i="9" s="1"/>
  <c r="E128" i="9"/>
  <c r="V27" i="9" s="1" a="1"/>
  <c r="V27" i="9" s="1"/>
  <c r="Q89" i="9"/>
  <c r="K141" i="9"/>
  <c r="AB40" i="9" s="1" a="1"/>
  <c r="AB40" i="9" s="1"/>
  <c r="C125" i="9"/>
  <c r="T24" i="9" s="1" a="1"/>
  <c r="T24" i="9" s="1"/>
  <c r="H82" i="9" a="1"/>
  <c r="H82" i="9" s="1"/>
  <c r="L75" i="9" a="1"/>
  <c r="L75" i="9" s="1"/>
  <c r="E140" i="9"/>
  <c r="V39" i="9" s="1" a="1"/>
  <c r="V39" i="9" s="1"/>
  <c r="J131" i="9"/>
  <c r="AA30" i="9" s="1" a="1"/>
  <c r="AA30" i="9" s="1"/>
  <c r="J93" i="9" a="1"/>
  <c r="J93" i="9" s="1"/>
  <c r="M110" i="9"/>
  <c r="AD9" i="9" s="1" a="1"/>
  <c r="AD9" i="9" s="1"/>
  <c r="D131" i="9"/>
  <c r="U30" i="9" s="1" a="1"/>
  <c r="U30" i="9" s="1"/>
  <c r="D120" i="9"/>
  <c r="U19" i="9" s="1" a="1"/>
  <c r="U19" i="9" s="1"/>
  <c r="C112" i="9"/>
  <c r="T11" i="9" s="1" a="1"/>
  <c r="T11" i="9" s="1"/>
  <c r="K128" i="9"/>
  <c r="AB27" i="9" s="1" a="1"/>
  <c r="AB27" i="9" s="1"/>
  <c r="F137" i="9"/>
  <c r="W36" i="9" s="1" a="1"/>
  <c r="W36" i="9" s="1"/>
  <c r="B8" i="9"/>
  <c r="E8" i="9" s="1"/>
  <c r="F143" i="9"/>
  <c r="W42" i="9" s="1" a="1"/>
  <c r="W42" i="9" s="1"/>
  <c r="H86" i="9" a="1"/>
  <c r="H86" i="9" s="1"/>
  <c r="Q119" i="9"/>
  <c r="AG18" i="9" s="1"/>
  <c r="B18" i="20" s="1"/>
  <c r="E134" i="9"/>
  <c r="V33" i="9" s="1" a="1"/>
  <c r="V33" i="9" s="1"/>
  <c r="C135" i="9"/>
  <c r="T34" i="9" s="1" a="1"/>
  <c r="T34" i="9" s="1"/>
  <c r="H108" i="9"/>
  <c r="Y7" i="9" s="1" a="1"/>
  <c r="Y7" i="9" s="1"/>
  <c r="Q128" i="9"/>
  <c r="AG27" i="9" s="1"/>
  <c r="B19" i="20" s="1"/>
  <c r="K67" i="9" a="1"/>
  <c r="K67" i="9" s="1"/>
  <c r="H59" i="9" a="1"/>
  <c r="H59" i="9" s="1"/>
  <c r="J83" i="9" a="1"/>
  <c r="J83" i="9" s="1"/>
  <c r="E122" i="9"/>
  <c r="V21" i="9" s="1" a="1"/>
  <c r="V21" i="9" s="1"/>
  <c r="Q93" i="9"/>
  <c r="D137" i="9"/>
  <c r="U36" i="9" s="1" a="1"/>
  <c r="U36" i="9" s="1"/>
  <c r="K60" i="9" a="1"/>
  <c r="K60" i="9" s="1"/>
  <c r="L72" i="9" a="1"/>
  <c r="L72" i="9" s="1"/>
  <c r="Q121" i="9"/>
  <c r="AG20" i="9" s="1"/>
  <c r="B37" i="20" s="1"/>
  <c r="I127" i="9"/>
  <c r="Z26" i="9" s="1" a="1"/>
  <c r="Z26" i="9" s="1"/>
  <c r="O91" i="9" a="1"/>
  <c r="O91" i="9" s="1"/>
  <c r="M107" i="9"/>
  <c r="AD6" i="9" s="1" a="1"/>
  <c r="AD6" i="9" s="1"/>
  <c r="H64" i="9" a="1"/>
  <c r="H64" i="9" s="1"/>
  <c r="K62" i="9" a="1"/>
  <c r="K62" i="9" s="1"/>
  <c r="J121" i="9"/>
  <c r="AA20" i="9" s="1" a="1"/>
  <c r="AA20" i="9" s="1"/>
  <c r="Q136" i="9"/>
  <c r="AG35" i="9" s="1"/>
  <c r="B39" i="20" s="1"/>
  <c r="H126" i="9"/>
  <c r="Y25" i="9" s="1" a="1"/>
  <c r="Y25" i="9" s="1"/>
  <c r="O136" i="9"/>
  <c r="AE35" i="9" s="1" a="1"/>
  <c r="AE35" i="9" s="1"/>
  <c r="F129" i="9"/>
  <c r="W28" i="9" s="1" a="1"/>
  <c r="W28" i="9" s="1"/>
  <c r="F133" i="9"/>
  <c r="W32" i="9" s="1" a="1"/>
  <c r="W32" i="9" s="1"/>
  <c r="D140" i="9"/>
  <c r="U39" i="9" s="1" a="1"/>
  <c r="U39" i="9" s="1"/>
  <c r="L69" i="9" a="1"/>
  <c r="L69" i="9" s="1"/>
  <c r="M89" i="9" a="1"/>
  <c r="M89" i="9" s="1"/>
  <c r="E124" i="9"/>
  <c r="V23" i="9" s="1" a="1"/>
  <c r="V23" i="9" s="1"/>
  <c r="M109" i="9"/>
  <c r="AD8" i="9" s="1" a="1"/>
  <c r="AD8" i="9" s="1"/>
  <c r="O139" i="9"/>
  <c r="AE38" i="9" s="1" a="1"/>
  <c r="AE38" i="9" s="1"/>
  <c r="H73" i="9" a="1"/>
  <c r="H73" i="9" s="1"/>
  <c r="L109" i="9"/>
  <c r="AC8" i="9" s="1" a="1"/>
  <c r="AC8" i="9" s="1"/>
  <c r="O68" i="9" a="1"/>
  <c r="O68" i="9" s="1"/>
  <c r="O125" i="9"/>
  <c r="AE24" i="9" s="1" a="1"/>
  <c r="AE24" i="9" s="1"/>
  <c r="H135" i="9"/>
  <c r="Y34" i="9" s="1" a="1"/>
  <c r="Y34" i="9" s="1"/>
  <c r="I123" i="9"/>
  <c r="Z22" i="9" s="1" a="1"/>
  <c r="Z22" i="9" s="1"/>
  <c r="I110" i="9"/>
  <c r="Z9" i="9" s="1" a="1"/>
  <c r="Z9" i="9" s="1"/>
  <c r="Q120" i="9"/>
  <c r="AG19" i="9" s="1"/>
  <c r="B38" i="20" s="1"/>
  <c r="J130" i="9"/>
  <c r="AA29" i="9" s="1" a="1"/>
  <c r="AA29" i="9" s="1"/>
  <c r="D138" i="9"/>
  <c r="U37" i="9" s="1" a="1"/>
  <c r="U37" i="9" s="1"/>
  <c r="I121" i="9"/>
  <c r="Z20" i="9" s="1" a="1"/>
  <c r="Z20" i="9" s="1"/>
  <c r="D115" i="9"/>
  <c r="U14" i="9" s="1" a="1"/>
  <c r="U14" i="9" s="1"/>
  <c r="C137" i="9"/>
  <c r="T36" i="9" s="1" a="1"/>
  <c r="T36" i="9" s="1"/>
  <c r="G79" i="9" a="1"/>
  <c r="G79" i="9" s="1"/>
  <c r="J92" i="9" a="1"/>
  <c r="J92" i="9" s="1"/>
  <c r="H114" i="9"/>
  <c r="Y13" i="9" s="1" a="1"/>
  <c r="Y13" i="9" s="1"/>
  <c r="M91" i="9" a="1"/>
  <c r="M91" i="9" s="1"/>
  <c r="E107" i="9"/>
  <c r="V6" i="9" s="1" a="1"/>
  <c r="V6" i="9" s="1"/>
  <c r="D123" i="9"/>
  <c r="U22" i="9" s="1" a="1"/>
  <c r="U22" i="9" s="1"/>
  <c r="K81" i="9" a="1"/>
  <c r="K81" i="9" s="1"/>
  <c r="M135" i="9"/>
  <c r="AD34" i="9" s="1" a="1"/>
  <c r="AD34" i="9" s="1"/>
  <c r="O130" i="9"/>
  <c r="AE29" i="9" s="1" a="1"/>
  <c r="AE29" i="9" s="1"/>
  <c r="H97" i="9" a="1"/>
  <c r="H97" i="9" s="1"/>
  <c r="L121" i="9"/>
  <c r="AC20" i="9" s="1" a="1"/>
  <c r="AC20" i="9" s="1"/>
  <c r="I63" i="9" a="1"/>
  <c r="I63" i="9" s="1"/>
  <c r="I81" i="9" a="1"/>
  <c r="I81" i="9" s="1"/>
  <c r="Q63" i="9"/>
  <c r="G122" i="9"/>
  <c r="X21" i="9" s="1" a="1"/>
  <c r="X21" i="9" s="1"/>
  <c r="Y44" i="9" a="1"/>
  <c r="Y44" i="9" s="1"/>
  <c r="I141" i="9"/>
  <c r="Z40" i="9" s="1" a="1"/>
  <c r="Z40" i="9" s="1"/>
  <c r="G131" i="9"/>
  <c r="X30" i="9" s="1" a="1"/>
  <c r="X30" i="9" s="1"/>
  <c r="D110" i="9"/>
  <c r="U9" i="9" s="1" a="1"/>
  <c r="U9" i="9" s="1"/>
  <c r="M71" i="9" a="1"/>
  <c r="M71" i="9" s="1"/>
  <c r="E142" i="9"/>
  <c r="V41" i="9" s="1" a="1"/>
  <c r="V41" i="9" s="1"/>
  <c r="I137" i="9"/>
  <c r="Z36" i="9" s="1" a="1"/>
  <c r="Z36" i="9" s="1"/>
  <c r="Q61" i="9"/>
  <c r="O81" i="9" a="1"/>
  <c r="O81" i="9" s="1"/>
  <c r="K124" i="9"/>
  <c r="AB23" i="9" s="1" a="1"/>
  <c r="AB23" i="9" s="1"/>
  <c r="F119" i="9"/>
  <c r="W18" i="9" s="1" a="1"/>
  <c r="W18" i="9" s="1"/>
  <c r="Q66" i="9"/>
  <c r="J71" i="9" a="1"/>
  <c r="J71" i="9" s="1"/>
  <c r="G97" i="9" a="1"/>
  <c r="G97" i="9" s="1"/>
  <c r="G130" i="9"/>
  <c r="X29" i="9" s="1" a="1"/>
  <c r="X29" i="9" s="1"/>
  <c r="H131" i="9"/>
  <c r="Y30" i="9" s="1" a="1"/>
  <c r="Y30" i="9" s="1"/>
  <c r="O111" i="9"/>
  <c r="AE10" i="9" s="1" a="1"/>
  <c r="AE10" i="9" s="1"/>
  <c r="F121" i="9"/>
  <c r="W20" i="9" s="1" a="1"/>
  <c r="W20" i="9" s="1"/>
  <c r="J63" i="9" a="1"/>
  <c r="J63" i="9" s="1"/>
  <c r="C136" i="9"/>
  <c r="T35" i="9" s="1" a="1"/>
  <c r="T35" i="9" s="1"/>
  <c r="M121" i="9"/>
  <c r="AD20" i="9" s="1" a="1"/>
  <c r="AD20" i="9" s="1"/>
  <c r="C129" i="9"/>
  <c r="T28" i="9" s="1" a="1"/>
  <c r="T28" i="9" s="1"/>
  <c r="C126" i="9"/>
  <c r="T25" i="9" s="1" a="1"/>
  <c r="T25" i="9" s="1"/>
  <c r="F135" i="9"/>
  <c r="W34" i="9" s="1" a="1"/>
  <c r="W34" i="9" s="1"/>
  <c r="Q143" i="9"/>
  <c r="AG42" i="9" s="1"/>
  <c r="B10" i="20" s="1"/>
  <c r="K123" i="9"/>
  <c r="AB22" i="9" s="1" a="1"/>
  <c r="AB22" i="9" s="1"/>
  <c r="H117" i="9"/>
  <c r="Y16" i="9" s="1" a="1"/>
  <c r="Y16" i="9" s="1"/>
  <c r="C115" i="9"/>
  <c r="T14" i="9" s="1" a="1"/>
  <c r="T14" i="9" s="1"/>
  <c r="Q91" i="9"/>
  <c r="M133" i="9"/>
  <c r="AD32" i="9" s="1" a="1"/>
  <c r="AD32" i="9" s="1"/>
  <c r="Q88" i="9"/>
  <c r="I58" i="9" a="1"/>
  <c r="I58" i="9" s="1"/>
  <c r="H62" i="9" a="1"/>
  <c r="H62" i="9" s="1"/>
  <c r="L117" i="9"/>
  <c r="AC16" i="9" s="1" a="1"/>
  <c r="AC16" i="9" s="1"/>
  <c r="L66" i="9" a="1"/>
  <c r="L66" i="9" s="1"/>
  <c r="F127" i="9"/>
  <c r="W26" i="9" s="1" a="1"/>
  <c r="W26" i="9" s="1"/>
  <c r="D109" i="9"/>
  <c r="U8" i="9" s="1" a="1"/>
  <c r="U8" i="9" s="1"/>
  <c r="E123" i="9"/>
  <c r="V22" i="9" s="1" a="1"/>
  <c r="V22" i="9" s="1"/>
  <c r="K119" i="9"/>
  <c r="AB18" i="9" s="1" a="1"/>
  <c r="AB18" i="9" s="1"/>
  <c r="K58" i="9" a="1"/>
  <c r="K58" i="9" s="1"/>
  <c r="K74" i="9" a="1"/>
  <c r="K74" i="9" s="1"/>
  <c r="F131" i="9"/>
  <c r="W30" i="9" s="1" a="1"/>
  <c r="W30" i="9" s="1"/>
  <c r="G84" i="9" a="1"/>
  <c r="G84" i="9" s="1"/>
  <c r="I83" i="9" a="1"/>
  <c r="I83" i="9" s="1"/>
  <c r="G113" i="9"/>
  <c r="X12" i="9" s="1" a="1"/>
  <c r="X12" i="9" s="1"/>
  <c r="G117" i="9"/>
  <c r="X16" i="9" s="1" a="1"/>
  <c r="X16" i="9" s="1"/>
  <c r="G125" i="9"/>
  <c r="X24" i="9" s="1" a="1"/>
  <c r="X24" i="9" s="1"/>
  <c r="H66" i="9" a="1"/>
  <c r="H66" i="9" s="1"/>
  <c r="L68" i="9" a="1"/>
  <c r="L68" i="9" s="1"/>
  <c r="J67" i="9" a="1"/>
  <c r="J67" i="9" s="1"/>
  <c r="M69" i="9" a="1"/>
  <c r="M69" i="9" s="1"/>
  <c r="L130" i="9"/>
  <c r="AC29" i="9" s="1" a="1"/>
  <c r="AC29" i="9" s="1"/>
  <c r="C143" i="9"/>
  <c r="T42" i="9" s="1" a="1"/>
  <c r="T42" i="9" s="1"/>
  <c r="G85" i="9" a="1"/>
  <c r="G85" i="9" s="1"/>
  <c r="K84" i="9" a="1"/>
  <c r="K84" i="9" s="1"/>
  <c r="J82" i="9" a="1"/>
  <c r="J82" i="9" s="1"/>
  <c r="E130" i="9"/>
  <c r="V29" i="9" s="1" a="1"/>
  <c r="V29" i="9" s="1"/>
  <c r="E131" i="9"/>
  <c r="V30" i="9" s="1" a="1"/>
  <c r="V30" i="9" s="1"/>
  <c r="J70" i="9" a="1"/>
  <c r="J70" i="9" s="1"/>
  <c r="I129" i="9"/>
  <c r="Z28" i="9" s="1" a="1"/>
  <c r="Z28" i="9" s="1"/>
  <c r="O109" i="9"/>
  <c r="AE8" i="9" s="1" a="1"/>
  <c r="AE8" i="9" s="1"/>
  <c r="AA44" i="9" a="1"/>
  <c r="AA44" i="9" s="1"/>
  <c r="I136" i="9"/>
  <c r="Z35" i="9" s="1" a="1"/>
  <c r="Z35" i="9" s="1"/>
  <c r="Q125" i="9"/>
  <c r="AG24" i="9" s="1"/>
  <c r="B40" i="20" s="1"/>
  <c r="O132" i="9"/>
  <c r="AE31" i="9" s="1" a="1"/>
  <c r="AE31" i="9" s="1"/>
  <c r="H139" i="9"/>
  <c r="Y38" i="9" s="1" a="1"/>
  <c r="Y38" i="9" s="1"/>
  <c r="G62" i="9" a="1"/>
  <c r="G62" i="9" s="1"/>
  <c r="O110" i="9"/>
  <c r="AE9" i="9" s="1" a="1"/>
  <c r="AE9" i="9" s="1"/>
  <c r="J126" i="9"/>
  <c r="AA25" i="9" s="1" a="1"/>
  <c r="AA25" i="9" s="1"/>
  <c r="L118" i="9"/>
  <c r="AC17" i="9" s="1" a="1"/>
  <c r="AC17" i="9" s="1"/>
  <c r="E137" i="9"/>
  <c r="V36" i="9" s="1" a="1"/>
  <c r="V36" i="9" s="1"/>
  <c r="O95" i="9" a="1"/>
  <c r="O95" i="9" s="1"/>
  <c r="J135" i="9"/>
  <c r="AA34" i="9" s="1" a="1"/>
  <c r="AA34" i="9" s="1"/>
  <c r="I135" i="9"/>
  <c r="Z34" i="9" s="1" a="1"/>
  <c r="Z34" i="9" s="1"/>
  <c r="AE43" i="9" a="1"/>
  <c r="AE43" i="9" s="1"/>
  <c r="J79" i="9" a="1"/>
  <c r="J79" i="9" s="1"/>
  <c r="H142" i="9"/>
  <c r="Y41" i="9" s="1" a="1"/>
  <c r="Y41" i="9" s="1"/>
  <c r="O92" i="9" a="1"/>
  <c r="O92" i="9" s="1"/>
  <c r="D130" i="9"/>
  <c r="U29" i="9" s="1" a="1"/>
  <c r="U29" i="9" s="1"/>
  <c r="H121" i="9"/>
  <c r="Y20" i="9" s="1" a="1"/>
  <c r="Y20" i="9" s="1"/>
  <c r="C134" i="9"/>
  <c r="T33" i="9" s="1" a="1"/>
  <c r="T33" i="9" s="1"/>
  <c r="M143" i="9"/>
  <c r="AD42" i="9" s="1" a="1"/>
  <c r="AD42" i="9" s="1"/>
  <c r="J89" i="9" a="1"/>
  <c r="J89" i="9" s="1"/>
  <c r="K63" i="9" a="1"/>
  <c r="K63" i="9" s="1"/>
  <c r="O143" i="9"/>
  <c r="AE42" i="9" s="1" a="1"/>
  <c r="AE42" i="9" s="1"/>
  <c r="O69" i="9" a="1"/>
  <c r="O69" i="9" s="1"/>
  <c r="F132" i="9"/>
  <c r="W31" i="9" s="1" a="1"/>
  <c r="W31" i="9" s="1"/>
  <c r="G127" i="9"/>
  <c r="X26" i="9" s="1" a="1"/>
  <c r="X26" i="9" s="1"/>
  <c r="O60" i="9" a="1"/>
  <c r="O60" i="9" s="1"/>
  <c r="C127" i="9"/>
  <c r="T26" i="9" s="1" a="1"/>
  <c r="T26" i="9" s="1"/>
  <c r="O88" i="9" a="1"/>
  <c r="O88" i="9" s="1"/>
  <c r="Q134" i="9"/>
  <c r="AG33" i="9" s="1"/>
  <c r="B24" i="20" s="1"/>
  <c r="H77" i="9" a="1"/>
  <c r="H77" i="9" s="1"/>
  <c r="L86" i="9" a="1"/>
  <c r="L86" i="9" s="1"/>
  <c r="J124" i="9"/>
  <c r="AA23" i="9" s="1" a="1"/>
  <c r="AA23" i="9" s="1"/>
  <c r="J64" i="9" a="1"/>
  <c r="J64" i="9" s="1"/>
  <c r="C139" i="9"/>
  <c r="T38" i="9" s="1" a="1"/>
  <c r="T38" i="9" s="1"/>
  <c r="K110" i="9"/>
  <c r="AB9" i="9" s="1" a="1"/>
  <c r="AB9" i="9" s="1"/>
  <c r="E112" i="9"/>
  <c r="V11" i="9" s="1" a="1"/>
  <c r="V11" i="9" s="1"/>
  <c r="D111" i="9"/>
  <c r="U10" i="9" s="1" a="1"/>
  <c r="U10" i="9" s="1"/>
  <c r="F118" i="9"/>
  <c r="W17" i="9" s="1" a="1"/>
  <c r="W17" i="9" s="1"/>
  <c r="M111" i="9"/>
  <c r="AD10" i="9" s="1" a="1"/>
  <c r="AD10" i="9" s="1"/>
  <c r="L65" i="9" a="1"/>
  <c r="L65" i="9" s="1"/>
  <c r="G139" i="9"/>
  <c r="X38" i="9" s="1" a="1"/>
  <c r="X38" i="9" s="1"/>
  <c r="J110" i="9"/>
  <c r="AA9" i="9" s="1" a="1"/>
  <c r="AA9" i="9" s="1"/>
  <c r="C109" i="9"/>
  <c r="T8" i="9" s="1" a="1"/>
  <c r="T8" i="9" s="1"/>
  <c r="L135" i="9"/>
  <c r="AC34" i="9" s="1" a="1"/>
  <c r="AC34" i="9" s="1"/>
  <c r="J62" i="9" a="1"/>
  <c r="J62" i="9" s="1"/>
  <c r="G68" i="9" a="1"/>
  <c r="G68" i="9" s="1"/>
  <c r="B13" i="9"/>
  <c r="C13" i="9" s="1"/>
  <c r="L77" i="9" a="1"/>
  <c r="L77" i="9" s="1"/>
  <c r="K72" i="9" a="1"/>
  <c r="K72" i="9" s="1"/>
  <c r="C118" i="9"/>
  <c r="T17" i="9" s="1" a="1"/>
  <c r="T17" i="9" s="1"/>
  <c r="K68" i="9" a="1"/>
  <c r="K68" i="9" s="1"/>
  <c r="L78" i="9" a="1"/>
  <c r="L78" i="9" s="1"/>
  <c r="Q133" i="9"/>
  <c r="AG32" i="9" s="1"/>
  <c r="B13" i="20" s="1"/>
  <c r="H85" i="9" a="1"/>
  <c r="H85" i="9" s="1"/>
  <c r="B9" i="9"/>
  <c r="C9" i="9" s="1"/>
  <c r="Q72" i="9"/>
  <c r="C131" i="9"/>
  <c r="T30" i="9" s="1" a="1"/>
  <c r="T30" i="9" s="1"/>
  <c r="E138" i="9"/>
  <c r="V37" i="9" s="1" a="1"/>
  <c r="V37" i="9" s="1"/>
  <c r="L128" i="9"/>
  <c r="AC27" i="9" s="1" a="1"/>
  <c r="AC27" i="9" s="1"/>
  <c r="K70" i="9" a="1"/>
  <c r="K70" i="9" s="1"/>
  <c r="B7" i="9"/>
  <c r="G91" i="9" a="1"/>
  <c r="G91" i="9" s="1"/>
  <c r="AD44" i="9" a="1"/>
  <c r="AD44" i="9" s="1"/>
  <c r="M81" i="9" a="1"/>
  <c r="M81" i="9" s="1"/>
  <c r="D125" i="9"/>
  <c r="U24" i="9" s="1" a="1"/>
  <c r="U24" i="9" s="1"/>
  <c r="C110" i="9"/>
  <c r="T9" i="9" s="1" a="1"/>
  <c r="T9" i="9" s="1"/>
  <c r="H136" i="9"/>
  <c r="Y35" i="9" s="1" a="1"/>
  <c r="Y35" i="9" s="1"/>
  <c r="Q59" i="9"/>
  <c r="B3" i="9"/>
  <c r="G80" i="9" a="1"/>
  <c r="G80" i="9" s="1"/>
  <c r="J118" i="9"/>
  <c r="AA17" i="9" s="1" a="1"/>
  <c r="AA17" i="9" s="1"/>
  <c r="M114" i="9"/>
  <c r="AD13" i="9" s="1" a="1"/>
  <c r="AD13" i="9" s="1"/>
  <c r="Q74" i="9"/>
  <c r="O66" i="9" a="1"/>
  <c r="O66" i="9" s="1"/>
  <c r="J137" i="9"/>
  <c r="AA36" i="9" s="1" a="1"/>
  <c r="AA36" i="9" s="1"/>
  <c r="C117" i="9"/>
  <c r="T16" i="9" s="1" a="1"/>
  <c r="T16" i="9" s="1"/>
  <c r="Q73" i="9"/>
  <c r="O96" i="9" a="1"/>
  <c r="O96" i="9" s="1"/>
  <c r="M86" i="9" a="1"/>
  <c r="M86" i="9" s="1"/>
  <c r="L95" i="9" a="1"/>
  <c r="L95" i="9" s="1"/>
  <c r="Q139" i="9"/>
  <c r="AG38" i="9" s="1"/>
  <c r="B3" i="20" s="1"/>
  <c r="O89" i="9" a="1"/>
  <c r="O89" i="9" s="1"/>
  <c r="K134" i="9"/>
  <c r="AB33" i="9" s="1" a="1"/>
  <c r="AB33" i="9" s="1"/>
  <c r="O122" i="9"/>
  <c r="AE21" i="9" s="1" a="1"/>
  <c r="AE21" i="9" s="1"/>
  <c r="M108" i="9"/>
  <c r="AD7" i="9" s="1" a="1"/>
  <c r="AD7" i="9" s="1"/>
  <c r="K138" i="9"/>
  <c r="AB37" i="9" s="1" a="1"/>
  <c r="AB37" i="9" s="1"/>
  <c r="L142" i="9"/>
  <c r="AC41" i="9" s="1" a="1"/>
  <c r="AC41" i="9" s="1"/>
  <c r="H130" i="9"/>
  <c r="Y29" i="9" s="1" a="1"/>
  <c r="Y29" i="9" s="1"/>
  <c r="G124" i="9"/>
  <c r="X23" i="9" s="1" a="1"/>
  <c r="X23" i="9" s="1"/>
  <c r="H83" i="9" a="1"/>
  <c r="H83" i="9" s="1"/>
  <c r="L58" i="9" a="1"/>
  <c r="L58" i="9" s="1"/>
  <c r="J133" i="9"/>
  <c r="AA32" i="9" s="1" a="1"/>
  <c r="AA32" i="9" s="1"/>
  <c r="L125" i="9"/>
  <c r="AC24" i="9" s="1" a="1"/>
  <c r="AC24" i="9" s="1"/>
  <c r="J58" i="9" a="1"/>
  <c r="J58" i="9" s="1"/>
  <c r="K111" i="9"/>
  <c r="AB10" i="9" s="1" a="1"/>
  <c r="AB10" i="9" s="1"/>
  <c r="E108" i="9"/>
  <c r="V7" i="9" s="1" a="1"/>
  <c r="V7" i="9" s="1"/>
  <c r="J84" i="9" a="1"/>
  <c r="J84" i="9" s="1"/>
  <c r="J74" i="9" a="1"/>
  <c r="J74" i="9" s="1"/>
  <c r="A24" i="21"/>
  <c r="B24" i="21" s="1"/>
  <c r="A20" i="20"/>
  <c r="A18" i="20"/>
  <c r="A15" i="20"/>
  <c r="A27" i="20"/>
  <c r="A31" i="21"/>
  <c r="B31" i="21" s="1"/>
  <c r="A8" i="21"/>
  <c r="B8" i="21" s="1"/>
  <c r="A12" i="21"/>
  <c r="B12" i="21" s="1"/>
  <c r="A29" i="21"/>
  <c r="B29" i="21" s="1"/>
  <c r="A18" i="21"/>
  <c r="B18" i="21" s="1"/>
  <c r="A6" i="21"/>
  <c r="B6" i="21" s="1"/>
  <c r="A27" i="21"/>
  <c r="B27" i="21" s="1"/>
  <c r="A39" i="21"/>
  <c r="B39" i="21" s="1"/>
  <c r="A7" i="21"/>
  <c r="B7" i="21" s="1"/>
  <c r="A28" i="21"/>
  <c r="B28" i="21" s="1"/>
  <c r="A30" i="20"/>
  <c r="A13" i="21"/>
  <c r="B13" i="21" s="1"/>
  <c r="A5" i="21"/>
  <c r="B5" i="21" s="1"/>
  <c r="A9" i="21"/>
  <c r="B9" i="21" s="1"/>
  <c r="A36" i="21"/>
  <c r="B36" i="21" s="1"/>
  <c r="A33" i="20"/>
  <c r="A38" i="20"/>
  <c r="A5" i="20"/>
  <c r="A14" i="20"/>
  <c r="A26" i="20"/>
  <c r="A3" i="20"/>
  <c r="A7" i="20"/>
  <c r="A39" i="20"/>
  <c r="A29" i="20"/>
  <c r="A16" i="20"/>
  <c r="A28" i="20"/>
  <c r="A17" i="20"/>
  <c r="A10" i="20"/>
  <c r="A35" i="20"/>
  <c r="A19" i="20"/>
  <c r="A20" i="21"/>
  <c r="B20" i="21" s="1"/>
  <c r="G2" i="21"/>
  <c r="A2" i="21" s="1"/>
  <c r="B2" i="21" s="1"/>
  <c r="A34" i="21"/>
  <c r="B34" i="21" s="1"/>
  <c r="A22" i="21"/>
  <c r="B22" i="21" s="1"/>
  <c r="A16" i="21"/>
  <c r="B16" i="21" s="1"/>
  <c r="H79" i="9" a="1"/>
  <c r="H79" i="9" s="1"/>
  <c r="H74" i="9" a="1"/>
  <c r="H74" i="9" s="1"/>
  <c r="G63" i="9" a="1"/>
  <c r="G63" i="9" s="1"/>
  <c r="K6" i="6"/>
  <c r="C4" i="8" s="1"/>
  <c r="G111" i="6"/>
  <c r="I111" i="6"/>
  <c r="H93" i="9" a="1"/>
  <c r="H93" i="9" s="1"/>
  <c r="H13" i="2"/>
  <c r="I13" i="2" s="1"/>
  <c r="D13" i="2" s="1"/>
  <c r="G116" i="9"/>
  <c r="X15" i="9" s="1" a="1"/>
  <c r="X15" i="9" s="1"/>
  <c r="G19" i="2"/>
  <c r="H102" i="1" s="1"/>
  <c r="H93" i="1"/>
  <c r="G93" i="9" a="1"/>
  <c r="G93" i="9" s="1"/>
  <c r="H274" i="1"/>
  <c r="H246" i="1"/>
  <c r="H2" i="1"/>
  <c r="G147" i="2"/>
  <c r="H290" i="1" s="1"/>
  <c r="G178" i="2"/>
  <c r="H345" i="1" s="1"/>
  <c r="G11" i="2"/>
  <c r="L17" i="22"/>
  <c r="H48" i="1"/>
  <c r="H16" i="1"/>
  <c r="G30" i="2"/>
  <c r="H116" i="1" s="1"/>
  <c r="L67" i="9" a="1"/>
  <c r="L67" i="9" s="1"/>
  <c r="H88" i="9" a="1"/>
  <c r="H88" i="9" s="1"/>
  <c r="H58" i="9" a="1"/>
  <c r="H58" i="9" s="1"/>
  <c r="G96" i="9" a="1"/>
  <c r="G96" i="9" s="1"/>
  <c r="X44" i="9" a="1"/>
  <c r="X44" i="9" s="1"/>
  <c r="L88" i="9" a="1"/>
  <c r="L88" i="9" s="1"/>
  <c r="H90" i="9" a="1"/>
  <c r="H90" i="9" s="1"/>
  <c r="G90" i="9" a="1"/>
  <c r="G90" i="9" s="1"/>
  <c r="O86" i="9" a="1"/>
  <c r="O86" i="9" s="1"/>
  <c r="J90" i="9" a="1"/>
  <c r="J90" i="9" s="1"/>
  <c r="K374" i="1"/>
  <c r="H65" i="9" a="1"/>
  <c r="H65" i="9" s="1"/>
  <c r="G94" i="9" a="1"/>
  <c r="G94" i="9" s="1"/>
  <c r="C93" i="23"/>
  <c r="C94" i="23" s="1"/>
  <c r="I37" i="2"/>
  <c r="D37" i="2" s="1"/>
  <c r="H67" i="9" a="1"/>
  <c r="H67" i="9" s="1"/>
  <c r="G59" i="9" a="1"/>
  <c r="G59" i="9" s="1"/>
  <c r="H92" i="9" a="1"/>
  <c r="H92" i="9" s="1"/>
  <c r="G77" i="9" a="1"/>
  <c r="G77" i="9" s="1"/>
  <c r="O74" i="9" a="1"/>
  <c r="O74" i="9" s="1"/>
  <c r="L13" i="22"/>
  <c r="H29" i="15"/>
  <c r="H98" i="1"/>
  <c r="H6" i="1"/>
  <c r="H80" i="1"/>
  <c r="L21" i="22"/>
  <c r="H218" i="1"/>
  <c r="H81" i="1"/>
  <c r="H34" i="1"/>
  <c r="H63" i="1"/>
  <c r="L20" i="22"/>
  <c r="H19" i="1"/>
  <c r="H76" i="1"/>
  <c r="G135" i="2"/>
  <c r="H281" i="1" s="1"/>
  <c r="H92" i="1"/>
  <c r="H24" i="1"/>
  <c r="H64" i="1"/>
  <c r="H86" i="1"/>
  <c r="H243" i="1"/>
  <c r="H69" i="1"/>
  <c r="H70" i="1"/>
  <c r="H30" i="1"/>
  <c r="H195" i="1"/>
  <c r="H41" i="1"/>
  <c r="H60" i="1"/>
  <c r="H38" i="1"/>
  <c r="D142" i="9"/>
  <c r="U41" i="9" s="1" a="1"/>
  <c r="U41" i="9" s="1"/>
  <c r="J68" i="9" a="1"/>
  <c r="J68" i="9" s="1"/>
  <c r="I116" i="9"/>
  <c r="Z15" i="9" s="1" a="1"/>
  <c r="Z15" i="9" s="1"/>
  <c r="K86" i="9" a="1"/>
  <c r="K86" i="9" s="1"/>
  <c r="F116" i="9"/>
  <c r="W15" i="9" s="1" a="1"/>
  <c r="W15" i="9" s="1"/>
  <c r="C107" i="9"/>
  <c r="T6" i="9" s="1" a="1"/>
  <c r="T6" i="9" s="1"/>
  <c r="O67" i="9" a="1"/>
  <c r="O67" i="9" s="1"/>
  <c r="L94" i="9" a="1"/>
  <c r="L94" i="9" s="1"/>
  <c r="G111" i="9"/>
  <c r="M132" i="9"/>
  <c r="AD31" i="9" s="1" a="1"/>
  <c r="AD31" i="9" s="1"/>
  <c r="Q114" i="9"/>
  <c r="AG13" i="9" s="1"/>
  <c r="B20" i="20" s="1"/>
  <c r="G112" i="9"/>
  <c r="X11" i="9" s="1" a="1"/>
  <c r="X11" i="9" s="1"/>
  <c r="K126" i="9"/>
  <c r="AB25" i="9" s="1" a="1"/>
  <c r="AB25" i="9" s="1"/>
  <c r="L91" i="9" a="1"/>
  <c r="L91" i="9" s="1"/>
  <c r="F109" i="9"/>
  <c r="W8" i="9" s="1" a="1"/>
  <c r="W8" i="9" s="1"/>
  <c r="K69" i="9" a="1"/>
  <c r="K69" i="9" s="1"/>
  <c r="J123" i="9"/>
  <c r="AA22" i="9" s="1" a="1"/>
  <c r="AA22" i="9" s="1"/>
  <c r="L131" i="9"/>
  <c r="AC30" i="9" s="1" a="1"/>
  <c r="AC30" i="9" s="1"/>
  <c r="I71" i="9" a="1"/>
  <c r="I71" i="9" s="1"/>
  <c r="O107" i="9"/>
  <c r="AE6" i="9" s="1" a="1"/>
  <c r="AE6" i="9" s="1"/>
  <c r="F110" i="9"/>
  <c r="W9" i="9" s="1" a="1"/>
  <c r="W9" i="9" s="1"/>
  <c r="Q140" i="9"/>
  <c r="AG39" i="9" s="1"/>
  <c r="B34" i="20" s="1"/>
  <c r="C71" i="23"/>
  <c r="K90" i="9" a="1"/>
  <c r="K90" i="9" s="1"/>
  <c r="E136" i="9"/>
  <c r="V35" i="9" s="1" a="1"/>
  <c r="V35" i="9" s="1"/>
  <c r="L84" i="9" a="1"/>
  <c r="L84" i="9" s="1"/>
  <c r="I142" i="9"/>
  <c r="Z41" i="9" s="1" a="1"/>
  <c r="Z41" i="9" s="1"/>
  <c r="G71" i="9" a="1"/>
  <c r="G71" i="9" s="1"/>
  <c r="O80" i="9" a="1"/>
  <c r="O80" i="9" s="1"/>
  <c r="D136" i="9"/>
  <c r="U35" i="9" s="1" a="1"/>
  <c r="U35" i="9" s="1"/>
  <c r="D116" i="9"/>
  <c r="U15" i="9" s="1" a="1"/>
  <c r="U15" i="9" s="1"/>
  <c r="Q76" i="9"/>
  <c r="H128" i="9"/>
  <c r="Y27" i="9" s="1" a="1"/>
  <c r="Y27" i="9" s="1"/>
  <c r="Z43" i="9" a="1"/>
  <c r="Z43" i="9" s="1"/>
  <c r="AC43" i="9" a="1"/>
  <c r="AC43" i="9" s="1"/>
  <c r="G142" i="9"/>
  <c r="C120" i="9"/>
  <c r="T19" i="9" s="1" a="1"/>
  <c r="T19" i="9" s="1"/>
  <c r="I80" i="9" a="1"/>
  <c r="I80" i="9" s="1"/>
  <c r="E114" i="9"/>
  <c r="V13" i="9" s="1" a="1"/>
  <c r="V13" i="9" s="1"/>
  <c r="E133" i="9"/>
  <c r="V32" i="9" s="1" a="1"/>
  <c r="V32" i="9" s="1"/>
  <c r="C121" i="9"/>
  <c r="T20" i="9" s="1" a="1"/>
  <c r="T20" i="9" s="1"/>
  <c r="O79" i="9" a="1"/>
  <c r="O79" i="9" s="1"/>
  <c r="B17" i="9"/>
  <c r="I115" i="9"/>
  <c r="Z14" i="9" s="1" a="1"/>
  <c r="Z14" i="9" s="1"/>
  <c r="L139" i="9"/>
  <c r="F124" i="9"/>
  <c r="W23" i="9" s="1" a="1"/>
  <c r="W23" i="9" s="1"/>
  <c r="K80" i="9" a="1"/>
  <c r="K80" i="9" s="1"/>
  <c r="M60" i="9" a="1"/>
  <c r="M60" i="9" s="1"/>
  <c r="M94" i="9" a="1"/>
  <c r="M94" i="9" s="1"/>
  <c r="D119" i="9"/>
  <c r="U18" i="9" s="1" a="1"/>
  <c r="U18" i="9" s="1"/>
  <c r="J95" i="9" a="1"/>
  <c r="J95" i="9" s="1"/>
  <c r="J78" i="9" a="1"/>
  <c r="J78" i="9" s="1"/>
  <c r="L133" i="9"/>
  <c r="Q122" i="9"/>
  <c r="AG21" i="9" s="1"/>
  <c r="B14" i="20" s="1"/>
  <c r="K78" i="9" a="1"/>
  <c r="K78" i="9" s="1"/>
  <c r="Q77" i="9"/>
  <c r="K95" i="9" a="1"/>
  <c r="K95" i="9" s="1"/>
  <c r="H84" i="9" a="1"/>
  <c r="H84" i="9" s="1"/>
  <c r="I89" i="9" a="1"/>
  <c r="I89" i="9" s="1"/>
  <c r="M85" i="9" a="1"/>
  <c r="M85" i="9" s="1"/>
  <c r="O72" i="9" a="1"/>
  <c r="O72" i="9" s="1"/>
  <c r="G76" i="9" a="1"/>
  <c r="G76" i="9" s="1"/>
  <c r="M134" i="9"/>
  <c r="E126" i="9"/>
  <c r="V25" i="9" s="1" a="1"/>
  <c r="V25" i="9" s="1"/>
  <c r="H107" i="9"/>
  <c r="I107" i="9"/>
  <c r="Z6" i="9" s="1" a="1"/>
  <c r="Z6" i="9" s="1"/>
  <c r="O113" i="9"/>
  <c r="AE12" i="9" s="1" a="1"/>
  <c r="AE12" i="9" s="1"/>
  <c r="O141" i="9"/>
  <c r="AE40" i="9" s="1" a="1"/>
  <c r="AE40" i="9" s="1"/>
  <c r="Q113" i="9"/>
  <c r="AG12" i="9" s="1"/>
  <c r="B23" i="20" s="1"/>
  <c r="M119" i="9"/>
  <c r="AD18" i="9" s="1" a="1"/>
  <c r="AD18" i="9" s="1"/>
  <c r="M79" i="9" a="1"/>
  <c r="M79" i="9" s="1"/>
  <c r="D113" i="9"/>
  <c r="U12" i="9" s="1" a="1"/>
  <c r="U12" i="9" s="1"/>
  <c r="J81" i="9" a="1"/>
  <c r="J81" i="9" s="1"/>
  <c r="H138" i="9"/>
  <c r="I91" i="9" a="1"/>
  <c r="I91" i="9" s="1"/>
  <c r="O134" i="9"/>
  <c r="AE33" i="9" s="1" a="1"/>
  <c r="AE33" i="9" s="1"/>
  <c r="M76" i="9" a="1"/>
  <c r="M76" i="9" s="1"/>
  <c r="I93" i="9" a="1"/>
  <c r="I93" i="9" s="1"/>
  <c r="K87" i="9" a="1"/>
  <c r="K87" i="9" s="1"/>
  <c r="E119" i="9"/>
  <c r="V18" i="9" s="1" a="1"/>
  <c r="V18" i="9" s="1"/>
  <c r="Q69" i="9"/>
  <c r="M67" i="9" a="1"/>
  <c r="M67" i="9" s="1"/>
  <c r="G140" i="9"/>
  <c r="D118" i="9"/>
  <c r="U17" i="9" s="1" a="1"/>
  <c r="U17" i="9" s="1"/>
  <c r="M75" i="9" a="1"/>
  <c r="M75" i="9" s="1"/>
  <c r="E117" i="9"/>
  <c r="V16" i="9" s="1" a="1"/>
  <c r="V16" i="9" s="1"/>
  <c r="O124" i="9"/>
  <c r="AE23" i="9" s="1" a="1"/>
  <c r="AE23" i="9" s="1"/>
  <c r="E115" i="9"/>
  <c r="V14" i="9" s="1" a="1"/>
  <c r="V14" i="9" s="1"/>
  <c r="L122" i="9"/>
  <c r="AC21" i="9" s="1" a="1"/>
  <c r="AC21" i="9" s="1"/>
  <c r="I88" i="9" a="1"/>
  <c r="I88" i="9" s="1"/>
  <c r="C138" i="9"/>
  <c r="T37" i="9" s="1" a="1"/>
  <c r="T37" i="9" s="1"/>
  <c r="G70" i="9" a="1"/>
  <c r="G70" i="9" s="1"/>
  <c r="K93" i="9" a="1"/>
  <c r="K93" i="9" s="1"/>
  <c r="G88" i="9" a="1"/>
  <c r="G88" i="9" s="1"/>
  <c r="J75" i="9" a="1"/>
  <c r="J75" i="9" s="1"/>
  <c r="L136" i="9"/>
  <c r="AC35" i="9" s="1" a="1"/>
  <c r="AC35" i="9" s="1"/>
  <c r="E139" i="9"/>
  <c r="V38" i="9" s="1" a="1"/>
  <c r="V38" i="9" s="1"/>
  <c r="I68" i="9" a="1"/>
  <c r="I68" i="9" s="1"/>
  <c r="O121" i="9"/>
  <c r="AE20" i="9" s="1" a="1"/>
  <c r="AE20" i="9" s="1"/>
  <c r="F113" i="9"/>
  <c r="W12" i="9" s="1" a="1"/>
  <c r="W12" i="9" s="1"/>
  <c r="F128" i="9"/>
  <c r="W27" i="9" s="1" a="1"/>
  <c r="W27" i="9" s="1"/>
  <c r="G129" i="9"/>
  <c r="AB43" i="9" a="1"/>
  <c r="AB43" i="9" s="1"/>
  <c r="I82" i="9" a="1"/>
  <c r="I82" i="9" s="1"/>
  <c r="B11" i="9"/>
  <c r="E11" i="9" s="1"/>
  <c r="I76" i="9" a="1"/>
  <c r="I76" i="9" s="1"/>
  <c r="O64" i="9" a="1"/>
  <c r="O64" i="9" s="1"/>
  <c r="D127" i="9"/>
  <c r="U26" i="9" s="1" a="1"/>
  <c r="U26" i="9" s="1"/>
  <c r="D126" i="9"/>
  <c r="U25" i="9" s="1" a="1"/>
  <c r="U25" i="9" s="1"/>
  <c r="Q131" i="9"/>
  <c r="AG30" i="9" s="1"/>
  <c r="B15" i="20" s="1"/>
  <c r="Q123" i="9"/>
  <c r="AG22" i="9" s="1"/>
  <c r="B9" i="20" s="1"/>
  <c r="Q115" i="9"/>
  <c r="AG14" i="9" s="1"/>
  <c r="B11" i="20" s="1"/>
  <c r="J87" i="9" a="1"/>
  <c r="J87" i="9" s="1"/>
  <c r="F142" i="9"/>
  <c r="W41" i="9" s="1" a="1"/>
  <c r="W41" i="9" s="1"/>
  <c r="O93" i="9" a="1"/>
  <c r="O93" i="9" s="1"/>
  <c r="E132" i="9"/>
  <c r="V31" i="9" s="1" a="1"/>
  <c r="V31" i="9" s="1"/>
  <c r="K82" i="9" a="1"/>
  <c r="K82" i="9" s="1"/>
  <c r="Q112" i="9"/>
  <c r="AG11" i="9" s="1"/>
  <c r="B5" i="20" s="1"/>
  <c r="I132" i="9"/>
  <c r="Z31" i="9" s="1" a="1"/>
  <c r="Z31" i="9" s="1"/>
  <c r="H68" i="9" a="1"/>
  <c r="H68" i="9" s="1"/>
  <c r="M116" i="9"/>
  <c r="AD15" i="9" s="1" a="1"/>
  <c r="AD15" i="9" s="1"/>
  <c r="O108" i="9"/>
  <c r="I86" i="9" a="1"/>
  <c r="I86" i="9" s="1"/>
  <c r="D134" i="9"/>
  <c r="U33" i="9" s="1" a="1"/>
  <c r="U33" i="9" s="1"/>
  <c r="M61" i="9" a="1"/>
  <c r="M61" i="9" s="1"/>
  <c r="O78" i="9" a="1"/>
  <c r="O78" i="9" s="1"/>
  <c r="F139" i="9"/>
  <c r="W38" i="9" s="1" a="1"/>
  <c r="W38" i="9" s="1"/>
  <c r="C140" i="9"/>
  <c r="T39" i="9" s="1" a="1"/>
  <c r="T39" i="9" s="1"/>
  <c r="Q137" i="9"/>
  <c r="AG36" i="9" s="1"/>
  <c r="B17" i="20" s="1"/>
  <c r="J120" i="9"/>
  <c r="M66" i="9" a="1"/>
  <c r="M66" i="9" s="1"/>
  <c r="I130" i="9"/>
  <c r="I119" i="9"/>
  <c r="J136" i="9"/>
  <c r="AA35" i="9" s="1" a="1"/>
  <c r="AA35" i="9" s="1"/>
  <c r="M141" i="9"/>
  <c r="AD40" i="9" s="1" a="1"/>
  <c r="AD40" i="9" s="1"/>
  <c r="E109" i="9"/>
  <c r="V8" i="9" s="1" a="1"/>
  <c r="V8" i="9" s="1"/>
  <c r="H91" i="9" a="1"/>
  <c r="H91" i="9" s="1"/>
  <c r="D143" i="9"/>
  <c r="U42" i="9" s="1" a="1"/>
  <c r="U42" i="9" s="1"/>
  <c r="D139" i="9"/>
  <c r="U38" i="9" s="1" a="1"/>
  <c r="U38" i="9" s="1"/>
  <c r="G115" i="9"/>
  <c r="I113" i="9"/>
  <c r="Z12" i="9" s="1" a="1"/>
  <c r="Z12" i="9" s="1"/>
  <c r="B10" i="9"/>
  <c r="J142" i="9"/>
  <c r="AA41" i="9" s="1" a="1"/>
  <c r="AA41" i="9" s="1"/>
  <c r="K94" i="9" a="1"/>
  <c r="K94" i="9" s="1"/>
  <c r="Q65" i="9"/>
  <c r="M128" i="9"/>
  <c r="AD27" i="9" s="1" a="1"/>
  <c r="AD27" i="9" s="1"/>
  <c r="I78" i="9" a="1"/>
  <c r="I78" i="9" s="1"/>
  <c r="F115" i="9"/>
  <c r="W14" i="9" s="1" a="1"/>
  <c r="W14" i="9" s="1"/>
  <c r="F122" i="9"/>
  <c r="W21" i="9" s="1" a="1"/>
  <c r="W21" i="9" s="1"/>
  <c r="M112" i="9"/>
  <c r="AD11" i="9" s="1" a="1"/>
  <c r="AD11" i="9" s="1"/>
  <c r="O94" i="9" a="1"/>
  <c r="O94" i="9" s="1"/>
  <c r="F114" i="9"/>
  <c r="W13" i="9" s="1" a="1"/>
  <c r="W13" i="9" s="1"/>
  <c r="F130" i="9"/>
  <c r="W29" i="9" s="1" a="1"/>
  <c r="W29" i="9" s="1"/>
  <c r="M125" i="9"/>
  <c r="G136" i="9"/>
  <c r="L124" i="9"/>
  <c r="AC23" i="9" s="1" a="1"/>
  <c r="AC23" i="9" s="1"/>
  <c r="M131" i="9"/>
  <c r="AD30" i="9" s="1" a="1"/>
  <c r="AD30" i="9" s="1"/>
  <c r="L83" i="9" a="1"/>
  <c r="L83" i="9" s="1"/>
  <c r="I97" i="9" a="1"/>
  <c r="I97" i="9" s="1"/>
  <c r="K122" i="9"/>
  <c r="AB21" i="9" s="1" a="1"/>
  <c r="AB21" i="9" s="1"/>
  <c r="O128" i="9"/>
  <c r="AE27" i="9" s="1" a="1"/>
  <c r="AE27" i="9" s="1"/>
  <c r="K83" i="9" a="1"/>
  <c r="K83" i="9" s="1"/>
  <c r="M95" i="9" a="1"/>
  <c r="M95" i="9" s="1"/>
  <c r="J91" i="9" a="1"/>
  <c r="J91" i="9" s="1"/>
  <c r="M113" i="9"/>
  <c r="AD12" i="9" s="1" a="1"/>
  <c r="AD12" i="9" s="1"/>
  <c r="O83" i="9" a="1"/>
  <c r="O83" i="9" s="1"/>
  <c r="I75" i="9" a="1"/>
  <c r="I75" i="9" s="1"/>
  <c r="Q111" i="9"/>
  <c r="AG10" i="9" s="1"/>
  <c r="B27" i="20" s="1"/>
  <c r="I90" i="9" a="1"/>
  <c r="I90" i="9" s="1"/>
  <c r="I128" i="9"/>
  <c r="Z27" i="9" s="1" a="1"/>
  <c r="Z27" i="9" s="1"/>
  <c r="I122" i="9"/>
  <c r="Q127" i="9"/>
  <c r="AG26" i="9" s="1"/>
  <c r="B32" i="20" s="1"/>
  <c r="M87" i="9" a="1"/>
  <c r="M87" i="9" s="1"/>
  <c r="J119" i="9"/>
  <c r="AA18" i="9" s="1" a="1"/>
  <c r="AA18" i="9" s="1"/>
  <c r="B5" i="9"/>
  <c r="I70" i="9" a="1"/>
  <c r="I70" i="9" s="1"/>
  <c r="L79" i="9" a="1"/>
  <c r="L79" i="9" s="1"/>
  <c r="G83" i="9" a="1"/>
  <c r="G83" i="9" s="1"/>
  <c r="K116" i="9"/>
  <c r="AB15" i="9" s="1" a="1"/>
  <c r="AB15" i="9" s="1"/>
  <c r="H123" i="9"/>
  <c r="O70" i="9" a="1"/>
  <c r="O70" i="9" s="1"/>
  <c r="L80" i="9" a="1"/>
  <c r="L80" i="9" s="1"/>
  <c r="D121" i="9"/>
  <c r="U20" i="9" s="1" a="1"/>
  <c r="U20" i="9" s="1"/>
  <c r="O138" i="9"/>
  <c r="AE37" i="9" s="1" a="1"/>
  <c r="AE37" i="9" s="1"/>
  <c r="I61" i="9" a="1"/>
  <c r="I61" i="9" s="1"/>
  <c r="M65" i="9" a="1"/>
  <c r="M65" i="9" s="1"/>
  <c r="M90" i="9" a="1"/>
  <c r="M90" i="9" s="1"/>
  <c r="M58" i="9" a="1"/>
  <c r="M58" i="9" s="1"/>
  <c r="I69" i="9" a="1"/>
  <c r="I69" i="9" s="1"/>
  <c r="K79" i="9" a="1"/>
  <c r="K79" i="9" s="1"/>
  <c r="H71" i="9" a="1"/>
  <c r="H71" i="9" s="1"/>
  <c r="I143" i="9"/>
  <c r="L71" i="9" a="1"/>
  <c r="L71" i="9" s="1"/>
  <c r="Q96" i="9"/>
  <c r="K114" i="9"/>
  <c r="I124" i="9"/>
  <c r="Z23" i="9" s="1" a="1"/>
  <c r="Z23" i="9" s="1"/>
  <c r="E135" i="9"/>
  <c r="V34" i="9" s="1" a="1"/>
  <c r="V34" i="9" s="1"/>
  <c r="G128" i="9"/>
  <c r="J73" i="9" a="1"/>
  <c r="J73" i="9" s="1"/>
  <c r="J97" i="9" a="1"/>
  <c r="J97" i="9" s="1"/>
  <c r="O137" i="9"/>
  <c r="Q118" i="9"/>
  <c r="AG17" i="9" s="1"/>
  <c r="B31" i="20" s="1"/>
  <c r="L123" i="9"/>
  <c r="AC22" i="9" s="1" a="1"/>
  <c r="AC22" i="9" s="1"/>
  <c r="O75" i="9" a="1"/>
  <c r="O75" i="9" s="1"/>
  <c r="H60" i="9" a="1"/>
  <c r="H60" i="9" s="1"/>
  <c r="L97" i="9" a="1"/>
  <c r="L97" i="9" s="1"/>
  <c r="K75" i="9" a="1"/>
  <c r="K75" i="9" s="1"/>
  <c r="I65" i="9" a="1"/>
  <c r="I65" i="9" s="1"/>
  <c r="H75" i="9" a="1"/>
  <c r="H75" i="9" s="1"/>
  <c r="L5" i="22"/>
  <c r="G76" i="2"/>
  <c r="H190" i="1" s="1"/>
  <c r="G92" i="2"/>
  <c r="H216" i="1" s="1"/>
  <c r="H20" i="15"/>
  <c r="L15" i="22"/>
  <c r="L4" i="22"/>
  <c r="L14" i="22"/>
  <c r="L3" i="22"/>
  <c r="L11" i="22"/>
  <c r="L10" i="22"/>
  <c r="H31" i="15"/>
  <c r="L19" i="22"/>
  <c r="L8" i="22"/>
  <c r="L18" i="22"/>
  <c r="L7" i="22"/>
  <c r="L6" i="22"/>
  <c r="E92" i="7"/>
  <c r="P56" i="7"/>
  <c r="H51" i="15"/>
  <c r="H27" i="15"/>
  <c r="H54" i="15"/>
  <c r="H12" i="15"/>
  <c r="H41" i="15"/>
  <c r="K30" i="15"/>
  <c r="H43" i="15"/>
  <c r="F57" i="15"/>
  <c r="H15" i="15"/>
  <c r="H14" i="15"/>
  <c r="H50" i="15"/>
  <c r="H53" i="15"/>
  <c r="H52" i="15"/>
  <c r="C6" i="8"/>
  <c r="C9" i="8"/>
  <c r="Q90" i="9"/>
  <c r="C2006" i="17"/>
  <c r="K4" i="17" s="1"/>
  <c r="N5" i="17"/>
  <c r="N7" i="17" s="1"/>
  <c r="C12" i="10"/>
  <c r="C16" i="10"/>
  <c r="C7" i="8"/>
  <c r="D2006" i="17"/>
  <c r="K5" i="17" s="1"/>
  <c r="H15" i="7"/>
  <c r="H13" i="7"/>
  <c r="H21" i="7"/>
  <c r="C5" i="8"/>
  <c r="H17" i="7"/>
  <c r="E54" i="7"/>
  <c r="H10" i="7"/>
  <c r="I37" i="12"/>
  <c r="C43" i="12"/>
  <c r="J207" i="14"/>
  <c r="C12" i="8" s="1"/>
  <c r="E190" i="18"/>
  <c r="G54" i="7"/>
  <c r="K22" i="22"/>
  <c r="L9" i="22"/>
  <c r="D190" i="18"/>
  <c r="D206" i="14"/>
  <c r="C10" i="8" s="1"/>
  <c r="G57" i="15"/>
  <c r="L12" i="22"/>
  <c r="D2" i="2"/>
  <c r="H297" i="1"/>
  <c r="I45" i="2"/>
  <c r="D45" i="2" s="1"/>
  <c r="H33" i="1"/>
  <c r="H20" i="1"/>
  <c r="H51" i="1"/>
  <c r="H29" i="1"/>
  <c r="H79" i="1"/>
  <c r="H134" i="2"/>
  <c r="I134" i="2" s="1"/>
  <c r="D134" i="2" s="1"/>
  <c r="G134" i="2"/>
  <c r="H280" i="1" s="1"/>
  <c r="A17" i="21"/>
  <c r="B17" i="21" s="1"/>
  <c r="A41" i="21"/>
  <c r="B41" i="21" s="1"/>
  <c r="A26" i="21"/>
  <c r="B26" i="21" s="1"/>
  <c r="A38" i="21"/>
  <c r="B38" i="21" s="1"/>
  <c r="A30" i="21"/>
  <c r="B30" i="21" s="1"/>
  <c r="H118" i="1" l="1"/>
  <c r="H134" i="1"/>
  <c r="H121" i="1"/>
  <c r="H198" i="1"/>
  <c r="H136" i="1"/>
  <c r="H184" i="1"/>
  <c r="H330" i="1"/>
  <c r="H362" i="1"/>
  <c r="H152" i="1"/>
  <c r="H12" i="1"/>
  <c r="H348" i="1"/>
  <c r="H119" i="1"/>
  <c r="H317" i="1"/>
  <c r="H316" i="1"/>
  <c r="H349" i="1"/>
  <c r="H156" i="1"/>
  <c r="H253" i="1"/>
  <c r="H318" i="1"/>
  <c r="H338" i="1"/>
  <c r="H351" i="1"/>
  <c r="H352" i="1"/>
  <c r="H331" i="1"/>
  <c r="H363" i="1"/>
  <c r="H365" i="1"/>
  <c r="H358" i="1"/>
  <c r="H284" i="1"/>
  <c r="H353" i="1"/>
  <c r="H245" i="1"/>
  <c r="H244" i="1"/>
  <c r="H304" i="1"/>
  <c r="H43" i="1"/>
  <c r="H255" i="1"/>
  <c r="H124" i="1"/>
  <c r="H340" i="1"/>
  <c r="H339" i="1"/>
  <c r="H122" i="1"/>
  <c r="H165" i="1"/>
  <c r="H164" i="1"/>
  <c r="H271" i="1"/>
  <c r="H163" i="1"/>
  <c r="H225" i="1"/>
  <c r="H270" i="1"/>
  <c r="H101" i="1"/>
  <c r="G57" i="9" a="1"/>
  <c r="G57" i="9" s="1"/>
  <c r="H57" i="9" a="1"/>
  <c r="H57" i="9" s="1"/>
  <c r="E57" i="9" a="1"/>
  <c r="E57" i="9" s="1"/>
  <c r="P100" i="9"/>
  <c r="R100" i="9" s="1"/>
  <c r="M106" i="9"/>
  <c r="AD5" i="9" s="1" a="1"/>
  <c r="AD5" i="9" s="1"/>
  <c r="N57" i="9" a="1"/>
  <c r="N57" i="9" s="1"/>
  <c r="M57" i="9" a="1"/>
  <c r="M57" i="9" s="1"/>
  <c r="P99" i="9"/>
  <c r="R99" i="9" s="1"/>
  <c r="P102" i="9"/>
  <c r="R102" i="9" s="1"/>
  <c r="P98" i="9"/>
  <c r="R98" i="9" s="1"/>
  <c r="P101" i="9"/>
  <c r="R101" i="9" s="1"/>
  <c r="P103" i="9"/>
  <c r="R103" i="9" s="1"/>
  <c r="AF43" i="9"/>
  <c r="AH43" i="9" s="1"/>
  <c r="C35" i="20" s="1"/>
  <c r="Q106" i="9"/>
  <c r="AG5" i="9" s="1"/>
  <c r="B2" i="20" s="1"/>
  <c r="AF44" i="9"/>
  <c r="AH44" i="9" s="1"/>
  <c r="H143" i="1"/>
  <c r="H110" i="1"/>
  <c r="H250" i="1"/>
  <c r="H224" i="1"/>
  <c r="H158" i="1"/>
  <c r="H154" i="1"/>
  <c r="H105" i="1"/>
  <c r="H155" i="1"/>
  <c r="H283" i="1"/>
  <c r="H305" i="1"/>
  <c r="H171" i="1"/>
  <c r="H300" i="1"/>
  <c r="H149" i="1"/>
  <c r="H9" i="1"/>
  <c r="H75" i="1"/>
  <c r="H8" i="1"/>
  <c r="H11" i="1"/>
  <c r="H45" i="1"/>
  <c r="H44" i="1"/>
  <c r="H292" i="1"/>
  <c r="H189" i="1"/>
  <c r="H5" i="1"/>
  <c r="H22" i="1"/>
  <c r="H161" i="1"/>
  <c r="H3" i="1"/>
  <c r="H310" i="1"/>
  <c r="H68" i="1"/>
  <c r="H333" i="1"/>
  <c r="H334" i="1"/>
  <c r="H52" i="1"/>
  <c r="H176" i="1"/>
  <c r="H228" i="1"/>
  <c r="H324" i="1"/>
  <c r="H278"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94" i="1"/>
  <c r="H58" i="1"/>
  <c r="H49" i="1"/>
  <c r="C22" i="23"/>
  <c r="C23" i="23" s="1"/>
  <c r="I47" i="2"/>
  <c r="D47" i="2" s="1"/>
  <c r="H321" i="1"/>
  <c r="H332" i="1"/>
  <c r="H342" i="1"/>
  <c r="H343" i="1"/>
  <c r="H341" i="1"/>
  <c r="H123" i="1"/>
  <c r="H133" i="1"/>
  <c r="H131" i="1"/>
  <c r="H237" i="1"/>
  <c r="H221" i="1"/>
  <c r="H35" i="1"/>
  <c r="H78" i="1"/>
  <c r="H55" i="1"/>
  <c r="H42" i="1"/>
  <c r="H314" i="1"/>
  <c r="H200" i="1"/>
  <c r="H201" i="1"/>
  <c r="H269" i="1"/>
  <c r="H257" i="1"/>
  <c r="H226" i="1"/>
  <c r="H232" i="1"/>
  <c r="H168" i="1"/>
  <c r="H208" i="1"/>
  <c r="H153" i="1"/>
  <c r="H139" i="1"/>
  <c r="H138" i="1"/>
  <c r="H88" i="1"/>
  <c r="H82" i="1"/>
  <c r="H211" i="1"/>
  <c r="H212" i="1"/>
  <c r="H157" i="1"/>
  <c r="H150" i="1"/>
  <c r="E106" i="9"/>
  <c r="U5" i="9" s="1" a="1"/>
  <c r="U5" i="9" s="1"/>
  <c r="D10" i="19" s="1" a="1"/>
  <c r="D10" i="19" s="1"/>
  <c r="O106" i="9"/>
  <c r="AE5" i="9" s="1" a="1"/>
  <c r="AE5" i="9" s="1"/>
  <c r="J106" i="9"/>
  <c r="AA5" i="9" s="1" a="1"/>
  <c r="AA5" i="9" s="1"/>
  <c r="K57" i="9" a="1"/>
  <c r="K57" i="9" s="1"/>
  <c r="J57" i="9" a="1"/>
  <c r="J57" i="9" s="1"/>
  <c r="E13" i="8"/>
  <c r="E9" i="8"/>
  <c r="E4" i="8"/>
  <c r="E10" i="8"/>
  <c r="E5" i="8"/>
  <c r="E6" i="8"/>
  <c r="E7" i="8"/>
  <c r="E12" i="8"/>
  <c r="D106" i="9"/>
  <c r="O57" i="9" a="1"/>
  <c r="O57" i="9" s="1"/>
  <c r="C11" i="9"/>
  <c r="C106" i="9"/>
  <c r="T5" i="9" s="1" a="1"/>
  <c r="T5" i="9" s="1"/>
  <c r="D8" i="19" s="1" a="1"/>
  <c r="D8" i="19" s="1"/>
  <c r="H106" i="9"/>
  <c r="Y5" i="9" s="1" a="1"/>
  <c r="Y5" i="9" s="1"/>
  <c r="D57" i="9" a="1"/>
  <c r="D57" i="9" s="1"/>
  <c r="L57" i="9" a="1"/>
  <c r="L57" i="9" s="1"/>
  <c r="C57" i="9" a="1"/>
  <c r="C57" i="9" s="1"/>
  <c r="I106" i="9"/>
  <c r="Z5" i="9" s="1" a="1"/>
  <c r="Z5" i="9" s="1"/>
  <c r="C8" i="9"/>
  <c r="I57" i="9" a="1"/>
  <c r="I57" i="9" s="1"/>
  <c r="C12" i="9"/>
  <c r="F57" i="9" a="1"/>
  <c r="F57" i="9" s="1"/>
  <c r="K106" i="9"/>
  <c r="AB5" i="9" s="1" a="1"/>
  <c r="AB5" i="9" s="1"/>
  <c r="L106" i="9"/>
  <c r="AC5" i="9" s="1" a="1"/>
  <c r="AC5" i="9" s="1"/>
  <c r="P117" i="9"/>
  <c r="R117" i="9" s="1"/>
  <c r="F106" i="9"/>
  <c r="W5" i="9" s="1" a="1"/>
  <c r="W5" i="9" s="1"/>
  <c r="D14" i="19" s="1" a="1"/>
  <c r="D14" i="19" s="1"/>
  <c r="E14" i="19" s="1"/>
  <c r="E9" i="9"/>
  <c r="P140" i="9"/>
  <c r="R140" i="9" s="1"/>
  <c r="C12" i="19" a="1"/>
  <c r="C12" i="19" s="1"/>
  <c r="P118" i="9"/>
  <c r="R118" i="9" s="1"/>
  <c r="P124" i="9"/>
  <c r="R124" i="9" s="1"/>
  <c r="B2" i="9"/>
  <c r="Q57" i="9"/>
  <c r="G106" i="9"/>
  <c r="X5" i="9" s="1" a="1"/>
  <c r="X5" i="9" s="1"/>
  <c r="E13" i="9"/>
  <c r="P133" i="9"/>
  <c r="R133" i="9" s="1"/>
  <c r="P61" i="9"/>
  <c r="R61" i="9" s="1"/>
  <c r="P62" i="9"/>
  <c r="R62" i="9" s="1"/>
  <c r="AF25" i="9"/>
  <c r="AH25" i="9" s="1"/>
  <c r="C16" i="20" s="1"/>
  <c r="P96" i="9"/>
  <c r="R96" i="9" s="1"/>
  <c r="AF31" i="9"/>
  <c r="AH31" i="9" s="1"/>
  <c r="C36" i="20" s="1"/>
  <c r="P59" i="9"/>
  <c r="R59" i="9" s="1"/>
  <c r="AF34" i="9"/>
  <c r="AH34" i="9" s="1"/>
  <c r="C7" i="20" s="1"/>
  <c r="P63" i="9"/>
  <c r="R63" i="9" s="1"/>
  <c r="AF8" i="9"/>
  <c r="AH8" i="9" s="1"/>
  <c r="C22" i="20" s="1"/>
  <c r="P67" i="9"/>
  <c r="R67" i="9" s="1"/>
  <c r="AF17" i="9"/>
  <c r="AH17" i="9" s="1"/>
  <c r="C31" i="20" s="1"/>
  <c r="AF9" i="9"/>
  <c r="AH9" i="9" s="1"/>
  <c r="C33" i="20" s="1"/>
  <c r="P73" i="9"/>
  <c r="R73" i="9" s="1"/>
  <c r="P66" i="9"/>
  <c r="R66" i="9" s="1"/>
  <c r="P129" i="9"/>
  <c r="R129" i="9" s="1"/>
  <c r="P135" i="9"/>
  <c r="R135" i="9" s="1"/>
  <c r="AF26" i="9"/>
  <c r="AH26" i="9" s="1"/>
  <c r="C32" i="20" s="1"/>
  <c r="AF20" i="9"/>
  <c r="AH20" i="9" s="1"/>
  <c r="C37" i="20" s="1"/>
  <c r="E14" i="9"/>
  <c r="C14" i="9"/>
  <c r="C15" i="9"/>
  <c r="E15" i="9"/>
  <c r="P81" i="9"/>
  <c r="R81" i="9" s="1"/>
  <c r="C6" i="9"/>
  <c r="P77" i="9"/>
  <c r="R77" i="9" s="1"/>
  <c r="E7" i="9" a="1"/>
  <c r="E7" i="9" s="1"/>
  <c r="C7" i="9"/>
  <c r="P74" i="9"/>
  <c r="R74" i="9" s="1"/>
  <c r="P58" i="9"/>
  <c r="R58" i="9" s="1"/>
  <c r="X28" i="9" a="1"/>
  <c r="X28" i="9" s="1"/>
  <c r="AF28" i="9" s="1"/>
  <c r="AH28" i="9" s="1"/>
  <c r="C30" i="20" s="1"/>
  <c r="P64" i="9"/>
  <c r="R64" i="9" s="1"/>
  <c r="P72" i="9"/>
  <c r="R72" i="9" s="1"/>
  <c r="P95" i="9"/>
  <c r="R95" i="9" s="1"/>
  <c r="P110" i="9"/>
  <c r="R110" i="9" s="1"/>
  <c r="C18" i="9"/>
  <c r="E18" i="9"/>
  <c r="P127" i="9"/>
  <c r="R127" i="9" s="1"/>
  <c r="P85" i="9"/>
  <c r="R85" i="9" s="1"/>
  <c r="P92" i="9"/>
  <c r="R92" i="9" s="1"/>
  <c r="P89" i="9"/>
  <c r="R89" i="9" s="1"/>
  <c r="P126" i="9"/>
  <c r="R126" i="9" s="1"/>
  <c r="E3" i="9"/>
  <c r="C3" i="9"/>
  <c r="C4" i="9"/>
  <c r="E4" i="9"/>
  <c r="AF23" i="9"/>
  <c r="AH23" i="9" s="1"/>
  <c r="C8" i="20" s="1"/>
  <c r="P132" i="9"/>
  <c r="R132" i="9" s="1"/>
  <c r="AF16" i="9"/>
  <c r="AH16" i="9" s="1"/>
  <c r="C12" i="20" s="1"/>
  <c r="P88" i="9"/>
  <c r="R88" i="9" s="1"/>
  <c r="P86" i="9"/>
  <c r="R86" i="9" s="1"/>
  <c r="P90" i="9"/>
  <c r="R90" i="9" s="1"/>
  <c r="P109" i="9"/>
  <c r="R109" i="9" s="1"/>
  <c r="E16" i="9"/>
  <c r="C16" i="9"/>
  <c r="P82" i="9"/>
  <c r="R82" i="9" s="1"/>
  <c r="P60" i="9"/>
  <c r="R60" i="9" s="1"/>
  <c r="P68" i="9"/>
  <c r="R68" i="9" s="1"/>
  <c r="H89" i="1"/>
  <c r="H87" i="1"/>
  <c r="P71" i="9"/>
  <c r="R71" i="9" s="1"/>
  <c r="X39" i="9" a="1"/>
  <c r="X39" i="9" s="1"/>
  <c r="AF39" i="9" s="1"/>
  <c r="AH39" i="9" s="1"/>
  <c r="C34" i="20" s="1"/>
  <c r="P80" i="9"/>
  <c r="R80" i="9" s="1"/>
  <c r="P79" i="9"/>
  <c r="R79" i="9" s="1"/>
  <c r="P87" i="9"/>
  <c r="R87" i="9" s="1"/>
  <c r="P84" i="9"/>
  <c r="R84" i="9" s="1"/>
  <c r="P78" i="9"/>
  <c r="R78" i="9" s="1"/>
  <c r="P91" i="9"/>
  <c r="R91" i="9" s="1"/>
  <c r="P93" i="9"/>
  <c r="R93" i="9" s="1"/>
  <c r="AC32" i="9" a="1"/>
  <c r="AC32" i="9" s="1"/>
  <c r="AF32" i="9" s="1"/>
  <c r="AH32" i="9" s="1"/>
  <c r="C13" i="20" s="1"/>
  <c r="P94" i="9"/>
  <c r="R94" i="9" s="1"/>
  <c r="P75" i="9"/>
  <c r="R75" i="9" s="1"/>
  <c r="AF30" i="9"/>
  <c r="AH30" i="9" s="1"/>
  <c r="C15" i="20" s="1"/>
  <c r="E18" i="19" a="1"/>
  <c r="E18" i="19" s="1"/>
  <c r="AF15" i="9"/>
  <c r="AH15" i="9" s="1"/>
  <c r="C4" i="20" s="1"/>
  <c r="AF12" i="9"/>
  <c r="AH12" i="9" s="1"/>
  <c r="C23" i="20" s="1"/>
  <c r="P112" i="9"/>
  <c r="R112" i="9" s="1"/>
  <c r="X27" i="9" a="1"/>
  <c r="X27" i="9" s="1"/>
  <c r="AF27" i="9" s="1"/>
  <c r="AH27" i="9" s="1"/>
  <c r="C19" i="20" s="1"/>
  <c r="P128" i="9"/>
  <c r="R128" i="9" s="1"/>
  <c r="Z29" i="9" a="1"/>
  <c r="Z29" i="9" s="1"/>
  <c r="AF29" i="9" s="1"/>
  <c r="AH29" i="9" s="1"/>
  <c r="C28" i="20" s="1"/>
  <c r="P130" i="9"/>
  <c r="R130" i="9" s="1"/>
  <c r="P121" i="9"/>
  <c r="R121" i="9" s="1"/>
  <c r="AF40" i="9"/>
  <c r="AH40" i="9" s="1"/>
  <c r="C25" i="20" s="1"/>
  <c r="X14" i="9" a="1"/>
  <c r="X14" i="9" s="1"/>
  <c r="AF14" i="9" s="1"/>
  <c r="AH14" i="9" s="1"/>
  <c r="C11" i="20" s="1"/>
  <c r="P115" i="9"/>
  <c r="R115" i="9" s="1"/>
  <c r="P97" i="9"/>
  <c r="R97" i="9" s="1"/>
  <c r="AA19" i="9" a="1"/>
  <c r="AA19" i="9" s="1"/>
  <c r="AF19" i="9" s="1"/>
  <c r="AH19" i="9" s="1"/>
  <c r="C38" i="20" s="1"/>
  <c r="P120" i="9"/>
  <c r="R120" i="9" s="1"/>
  <c r="P70" i="9"/>
  <c r="R70" i="9" s="1"/>
  <c r="P69" i="9"/>
  <c r="R69" i="9" s="1"/>
  <c r="P123" i="9"/>
  <c r="R123" i="9" s="1"/>
  <c r="Y22" i="9" a="1"/>
  <c r="Y22" i="9" s="1"/>
  <c r="AF22" i="9" s="1"/>
  <c r="AH22" i="9" s="1"/>
  <c r="C9" i="20" s="1"/>
  <c r="AE7" i="9" a="1"/>
  <c r="AE7" i="9" s="1"/>
  <c r="AF7" i="9" s="1"/>
  <c r="AH7" i="9" s="1"/>
  <c r="C29" i="20" s="1"/>
  <c r="P108" i="9"/>
  <c r="R108" i="9" s="1"/>
  <c r="P116" i="9"/>
  <c r="R116" i="9" s="1"/>
  <c r="X41" i="9" a="1"/>
  <c r="X41" i="9" s="1"/>
  <c r="AF41" i="9" s="1"/>
  <c r="AH41" i="9" s="1"/>
  <c r="C26" i="20" s="1"/>
  <c r="P142" i="9"/>
  <c r="AE36" i="9" a="1"/>
  <c r="AE36" i="9" s="1"/>
  <c r="AF36" i="9" s="1"/>
  <c r="AH36" i="9" s="1"/>
  <c r="C17" i="20" s="1"/>
  <c r="P137" i="9"/>
  <c r="R137" i="9" s="1"/>
  <c r="P83" i="9"/>
  <c r="R83" i="9" s="1"/>
  <c r="P143" i="9"/>
  <c r="Z42" i="9" a="1"/>
  <c r="Z42" i="9" s="1"/>
  <c r="AF42" i="9" s="1"/>
  <c r="AH42" i="9" s="1"/>
  <c r="C10" i="20" s="1"/>
  <c r="AF11" i="9"/>
  <c r="AH11" i="9" s="1"/>
  <c r="C5" i="20" s="1"/>
  <c r="X35" i="9" a="1"/>
  <c r="X35" i="9" s="1"/>
  <c r="AF35" i="9" s="1"/>
  <c r="AH35" i="9" s="1"/>
  <c r="C39" i="20" s="1"/>
  <c r="P136" i="9"/>
  <c r="R136" i="9" s="1"/>
  <c r="P107" i="9"/>
  <c r="R107" i="9" s="1"/>
  <c r="Y6" i="9" a="1"/>
  <c r="Y6" i="9" s="1"/>
  <c r="AF6" i="9" s="1"/>
  <c r="AH6" i="9" s="1"/>
  <c r="C6" i="20" s="1"/>
  <c r="P141" i="9"/>
  <c r="AB13" i="9" a="1"/>
  <c r="AB13" i="9" s="1"/>
  <c r="AF13" i="9" s="1"/>
  <c r="AH13" i="9" s="1"/>
  <c r="C20" i="20" s="1"/>
  <c r="P114" i="9"/>
  <c r="R114" i="9" s="1"/>
  <c r="P125" i="9"/>
  <c r="R125" i="9" s="1"/>
  <c r="AD24" i="9" a="1"/>
  <c r="AD24" i="9" s="1"/>
  <c r="AF24" i="9" s="1"/>
  <c r="AH24" i="9" s="1"/>
  <c r="C40" i="20" s="1"/>
  <c r="AC38" i="9" a="1"/>
  <c r="AC38" i="9" s="1"/>
  <c r="AF38" i="9" s="1"/>
  <c r="AH38" i="9" s="1"/>
  <c r="P139" i="9"/>
  <c r="R139" i="9" s="1"/>
  <c r="P65" i="9"/>
  <c r="R65" i="9" s="1"/>
  <c r="E5" i="9"/>
  <c r="C5" i="9"/>
  <c r="Y37" i="9" a="1"/>
  <c r="Y37" i="9" s="1"/>
  <c r="AF37" i="9" s="1"/>
  <c r="AH37" i="9" s="1"/>
  <c r="C21" i="20" s="1"/>
  <c r="P138" i="9"/>
  <c r="R138" i="9" s="1"/>
  <c r="AD33" i="9" a="1"/>
  <c r="AD33" i="9" s="1"/>
  <c r="AF33" i="9" s="1"/>
  <c r="AH33" i="9" s="1"/>
  <c r="C24" i="20" s="1"/>
  <c r="P134" i="9"/>
  <c r="R134" i="9" s="1"/>
  <c r="X10" i="9" a="1"/>
  <c r="X10" i="9" s="1"/>
  <c r="AF10" i="9" s="1"/>
  <c r="AH10" i="9" s="1"/>
  <c r="C27" i="20" s="1"/>
  <c r="P111" i="9"/>
  <c r="R111" i="9" s="1"/>
  <c r="C10" i="9"/>
  <c r="E10" i="9"/>
  <c r="Z21" i="9" a="1"/>
  <c r="Z21" i="9" s="1"/>
  <c r="AF21" i="9" s="1"/>
  <c r="AH21" i="9" s="1"/>
  <c r="C14" i="20" s="1"/>
  <c r="P122" i="9"/>
  <c r="R122" i="9" s="1"/>
  <c r="P113" i="9"/>
  <c r="R113" i="9" s="1"/>
  <c r="P119" i="9"/>
  <c r="R119" i="9" s="1"/>
  <c r="Z18" i="9" a="1"/>
  <c r="Z18" i="9" s="1"/>
  <c r="AF18" i="9" s="1"/>
  <c r="AH18" i="9" s="1"/>
  <c r="C18" i="20" s="1"/>
  <c r="P76" i="9"/>
  <c r="R76" i="9" s="1"/>
  <c r="E17" i="9"/>
  <c r="C17" i="9"/>
  <c r="P131" i="9"/>
  <c r="R131" i="9" s="1"/>
  <c r="H57" i="15"/>
  <c r="K6" i="17"/>
  <c r="F2006" i="17"/>
  <c r="H54" i="7"/>
  <c r="P7" i="17"/>
  <c r="C19" i="10"/>
  <c r="F190" i="18"/>
  <c r="L22" i="22"/>
  <c r="C11" i="8"/>
  <c r="E11" i="8" s="1"/>
  <c r="V5" i="9" l="1" a="1"/>
  <c r="V5" i="9" s="1"/>
  <c r="D12" i="19" s="1" a="1"/>
  <c r="D12" i="19" s="1"/>
  <c r="E12" i="19" s="1"/>
  <c r="E16" i="19" s="1"/>
  <c r="E14" i="8"/>
  <c r="P57" i="9"/>
  <c r="C21" i="9" s="1"/>
  <c r="AF5" i="9"/>
  <c r="AH5" i="9" s="1"/>
  <c r="C2" i="20" s="1"/>
  <c r="P106" i="9"/>
  <c r="R106" i="9" s="1"/>
  <c r="C2" i="9"/>
  <c r="E2" i="9"/>
  <c r="C3" i="20"/>
  <c r="E20" i="19" a="1"/>
  <c r="E20" i="19" s="1"/>
  <c r="C14" i="8"/>
  <c r="C4" i="10" s="1"/>
  <c r="C15" i="10" s="1"/>
  <c r="C17" i="10" s="1"/>
  <c r="R57" i="9" l="1"/>
  <c r="C23" i="9"/>
  <c r="C3" i="10" s="1"/>
  <c r="C11" i="10" s="1"/>
  <c r="C13" i="10" s="1"/>
  <c r="C21" i="10" s="1"/>
  <c r="AM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<sst xmlns="http://schemas.openxmlformats.org/spreadsheetml/2006/main" count="7306" uniqueCount="1324">
  <si>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</si>
  <si>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</si>
  <si>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</si>
  <si>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</si>
  <si>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</si>
  <si>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</si>
  <si>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</si>
  <si>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</si>
  <si>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</si>
  <si>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</si>
  <si>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</si>
  <si>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</si>
  <si>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</si>
  <si>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</si>
  <si>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</si>
  <si>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</si>
  <si>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</si>
  <si>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</si>
  <si>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</si>
  <si>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</si>
  <si>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</si>
  <si>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</si>
  <si>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</si>
  <si>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</si>
  <si>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</si>
  <si>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</si>
  <si>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</si>
  <si>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</si>
  <si>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</si>
  <si>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</si>
  <si>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</si>
  <si>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</si>
  <si>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</si>
  <si>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</si>
  <si>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</si>
  <si>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</si>
  <si>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</si>
  <si>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</si>
  <si>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</si>
  <si>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</si>
  <si>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</si>
  <si>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</si>
  <si>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</si>
  <si>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</si>
  <si>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</si>
  <si>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</si>
  <si>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</si>
  <si>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</si>
  <si>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</si>
  <si>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</si>
  <si>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</si>
  <si>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</si>
  <si>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</si>
  <si>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</si>
  <si>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</si>
  <si>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</si>
  <si>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</si>
  <si>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</si>
  <si>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</si>
  <si>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</si>
  <si>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</si>
  <si>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</si>
  <si>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</si>
  <si>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</si>
  <si>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</si>
  <si>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</si>
  <si>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</si>
  <si>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</si>
  <si>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</si>
  <si>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</si>
  <si>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</si>
  <si>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</si>
  <si>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</si>
  <si>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</si>
  <si>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</si>
  <si>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</si>
  <si>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</si>
  <si>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</si>
  <si>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</si>
  <si>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</si>
  <si>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</si>
  <si>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</si>
  <si>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</si>
  <si>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</si>
  <si>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</si>
  <si>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</si>
  <si>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</si>
  <si>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</si>
  <si>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</si>
  <si>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</si>
  <si>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</si>
  <si>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</si>
  <si>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</si>
  <si>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</si>
  <si>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</si>
  <si>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</si>
  <si>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</si>
  <si>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</si>
  <si>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</si>
  <si>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</si>
  <si>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</si>
  <si>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</si>
  <si>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</si>
  <si>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</si>
  <si>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</si>
  <si>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</si>
  <si>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</si>
  <si>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</si>
  <si>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</si>
  <si>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</si>
  <si>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</si>
  <si>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</si>
  <si>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</si>
  <si>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</si>
  <si>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</si>
  <si>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</si>
  <si>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</si>
  <si>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</si>
  <si>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</si>
  <si>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</si>
  <si>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</si>
  <si>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</si>
  <si>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</si>
  <si>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</si>
  <si>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</si>
  <si>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</si>
  <si>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</si>
  <si>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</si>
  <si>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</si>
  <si>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</si>
  <si>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</si>
  <si>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</si>
  <si>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</si>
  <si>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</si>
  <si>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</si>
  <si>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</si>
  <si>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</si>
  <si>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</si>
  <si>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</si>
  <si>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</si>
  <si>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</si>
  <si>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</si>
  <si>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</si>
  <si>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</si>
  <si>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</si>
  <si>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</si>
  <si>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</si>
  <si>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</si>
  <si>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</si>
  <si>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</si>
  <si>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</si>
  <si>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</si>
  <si>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</si>
  <si>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</si>
  <si>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</si>
  <si>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</si>
  <si>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</si>
  <si>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</si>
  <si>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</si>
  <si>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</si>
  <si>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</si>
  <si>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</si>
  <si>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</si>
  <si>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</si>
  <si>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</si>
  <si>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</si>
  <si>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</si>
  <si>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</si>
  <si>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</si>
  <si>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</si>
  <si>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</si>
  <si>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</si>
  <si>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</si>
  <si>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</si>
  <si>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</si>
  <si>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</si>
  <si>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</si>
  <si>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</si>
  <si>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</si>
  <si>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</si>
  <si>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</si>
  <si>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</si>
  <si>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</si>
  <si>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</si>
  <si>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</si>
  <si>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</si>
  <si>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</si>
  <si>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</si>
  <si>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</si>
  <si>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</si>
  <si>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</si>
  <si>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</si>
  <si>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</si>
  <si>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</si>
  <si>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</si>
  <si>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</si>
  <si>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</si>
  <si>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</si>
  <si>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</si>
  <si>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</si>
  <si>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</si>
  <si>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</si>
  <si>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</si>
  <si>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</si>
  <si>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</si>
  <si>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</si>
  <si>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</si>
  <si>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</si>
  <si>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</si>
  <si>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</si>
  <si>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</si>
  <si>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</si>
  <si>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</si>
  <si>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</si>
  <si>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</si>
  <si>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</si>
  <si>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</si>
  <si>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</si>
  <si>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</si>
  <si>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</si>
  <si>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</si>
  <si>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</si>
  <si>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</si>
  <si>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</si>
  <si>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</si>
  <si>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</si>
  <si>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</si>
  <si>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</si>
  <si>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</si>
  <si>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</si>
  <si>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</si>
  <si>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</si>
  <si>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</si>
  <si>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</si>
  <si>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</si>
  <si>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</si>
  <si>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</si>
  <si>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</si>
  <si>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</si>
  <si>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</si>
  <si>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</si>
  <si>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</si>
  <si>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</si>
  <si>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</si>
  <si>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</si>
  <si>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</si>
  <si>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</si>
  <si>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</si>
  <si>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</si>
  <si>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</si>
  <si>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</si>
  <si>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</si>
  <si>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</si>
  <si>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</si>
  <si>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</si>
  <si>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</si>
  <si>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</si>
  <si>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</si>
  <si>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</si>
  <si>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</si>
  <si>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</si>
  <si>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</si>
  <si>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</si>
  <si>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</si>
  <si>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</si>
  <si>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</si>
  <si>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</si>
  <si>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</si>
  <si>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</si>
  <si>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</si>
  <si>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</si>
  <si>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</si>
  <si>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</si>
  <si>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</si>
  <si>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</si>
  <si>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</si>
  <si>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</si>
  <si>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</si>
  <si>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</si>
  <si>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</si>
  <si>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</si>
  <si>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</si>
  <si>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</si>
  <si>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</si>
  <si>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</si>
  <si>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</si>
  <si>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</si>
  <si>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</si>
  <si>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</si>
  <si>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</si>
  <si>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</si>
  <si>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</si>
  <si>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</si>
  <si>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</si>
  <si>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</si>
  <si>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</si>
  <si>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</si>
  <si>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</si>
  <si>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</si>
  <si>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</si>
  <si>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</si>
  <si>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</si>
  <si>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</si>
  <si>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</si>
  <si>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</si>
  <si>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</si>
  <si>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</si>
  <si>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</si>
  <si>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</si>
  <si>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</si>
  <si>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</si>
  <si>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</si>
  <si>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</si>
  <si>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</si>
  <si>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</si>
  <si>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</si>
  <si>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</si>
  <si>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</si>
  <si>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</si>
  <si>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</si>
  <si>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</si>
  <si>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</si>
  <si>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</si>
  <si>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</si>
  <si>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</si>
  <si>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</si>
  <si>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</si>
  <si>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</si>
  <si>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</si>
  <si>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</si>
  <si>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</si>
  <si>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</si>
  <si>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</si>
  <si>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</si>
  <si>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</si>
  <si>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</si>
  <si>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</si>
  <si>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</si>
  <si>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</si>
  <si>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</si>
  <si>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</si>
  <si>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</si>
  <si>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</si>
  <si>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</si>
  <si>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</si>
  <si>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</si>
  <si>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</si>
  <si>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</si>
  <si>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</si>
  <si>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</si>
  <si>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</si>
  <si>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</si>
  <si>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</si>
  <si>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</si>
  <si>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</si>
  <si>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</si>
  <si>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</si>
  <si>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</si>
  <si>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</si>
  <si>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</si>
  <si>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</si>
  <si>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</si>
  <si>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</si>
  <si>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</si>
  <si>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</si>
  <si>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</si>
  <si>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</si>
  <si>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</si>
  <si>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</si>
  <si>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</si>
  <si>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</si>
  <si>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</si>
  <si>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</si>
  <si>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</si>
  <si>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</si>
  <si>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</si>
  <si>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</si>
  <si>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</si>
  <si>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</si>
  <si>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</si>
  <si>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</si>
  <si>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</si>
  <si>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</si>
  <si>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</si>
  <si>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</si>
  <si>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</si>
  <si>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</si>
  <si>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</si>
  <si>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</si>
  <si>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</si>
  <si>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</si>
  <si>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</si>
  <si>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</si>
  <si>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</si>
  <si>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</si>
  <si>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</si>
  <si>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</si>
  <si>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</si>
  <si>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</si>
  <si>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</si>
  <si>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</si>
  <si>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</si>
  <si>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</si>
  <si>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</si>
  <si>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</si>
  <si>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</si>
  <si>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</si>
  <si>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</si>
  <si>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</si>
  <si>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</si>
  <si>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</si>
  <si>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</si>
  <si>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</si>
  <si>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</si>
  <si>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</si>
  <si>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</si>
  <si>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</si>
  <si>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</si>
  <si>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</si>
  <si>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</si>
  <si>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</si>
  <si>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</si>
  <si>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</si>
  <si>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</si>
  <si>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</si>
  <si>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</si>
  <si>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</si>
  <si>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</si>
  <si>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</si>
  <si>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</si>
  <si>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</si>
  <si>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</si>
  <si>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</si>
  <si>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</si>
  <si>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</si>
  <si>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</si>
  <si>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</si>
  <si>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</si>
  <si>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</si>
  <si>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</si>
  <si>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</si>
  <si>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</si>
  <si>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</si>
  <si>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</si>
  <si>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</si>
  <si>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</si>
  <si>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</si>
  <si>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</si>
  <si>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</si>
  <si>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</si>
  <si>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</si>
  <si>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</si>
  <si>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</si>
  <si>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</si>
  <si>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</si>
  <si>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</si>
  <si>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</si>
  <si>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</si>
  <si>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</si>
  <si>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</si>
  <si>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</si>
  <si>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</si>
  <si>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</si>
  <si>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</si>
  <si>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</si>
  <si>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</si>
  <si>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</si>
  <si>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</si>
  <si>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</si>
  <si>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</si>
  <si>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</si>
  <si>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</si>
  <si>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</si>
  <si>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</si>
  <si>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</si>
  <si>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</si>
  <si>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</si>
  <si>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</si>
  <si>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</si>
  <si>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</si>
  <si>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</si>
  <si>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</si>
  <si>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</si>
  <si>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</si>
  <si>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</si>
  <si>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</si>
  <si>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</si>
  <si>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</si>
  <si>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</si>
  <si>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</si>
  <si>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</si>
  <si>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</si>
  <si>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</si>
  <si>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</si>
  <si>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</si>
  <si>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</si>
  <si>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</si>
  <si>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</si>
  <si>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</si>
  <si>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</si>
  <si>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</si>
  <si>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</si>
  <si>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</si>
  <si>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</si>
  <si>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</si>
  <si>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</si>
  <si>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</si>
  <si>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</si>
  <si>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</si>
  <si>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</si>
  <si>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</si>
  <si>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</si>
  <si>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</si>
  <si>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</si>
  <si>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</si>
  <si>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</si>
  <si>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</si>
  <si>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</si>
  <si>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</si>
  <si>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</si>
  <si>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</si>
  <si>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</si>
  <si>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</si>
  <si>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</si>
  <si>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</si>
  <si>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</si>
  <si>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</si>
  <si>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</si>
  <si>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</si>
  <si>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</si>
  <si>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</si>
  <si>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</si>
  <si>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</si>
  <si>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</si>
  <si>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</si>
  <si>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</si>
  <si>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</si>
  <si>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</si>
  <si>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</si>
  <si>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</si>
  <si>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</si>
  <si>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</si>
  <si>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</si>
  <si>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</si>
  <si>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</si>
  <si>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</si>
  <si>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</si>
  <si>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</si>
  <si>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</si>
  <si>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</si>
  <si>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</si>
  <si>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</si>
  <si>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</si>
  <si>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</si>
  <si>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</si>
  <si>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</si>
  <si>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</si>
  <si>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</si>
  <si>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</si>
  <si>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</si>
  <si>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</si>
  <si>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</si>
  <si>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</si>
  <si>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</si>
  <si>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</si>
  <si>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</si>
  <si>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</si>
  <si>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</si>
  <si>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</si>
  <si>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</si>
  <si>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</si>
  <si>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</si>
  <si>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</si>
  <si>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</si>
  <si>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</si>
  <si>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</si>
  <si>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</si>
  <si>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</si>
  <si>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</si>
  <si>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</si>
  <si>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</si>
  <si>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</si>
  <si>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</si>
  <si>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</si>
  <si>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</si>
  <si>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</si>
  <si>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</si>
  <si>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</si>
  <si>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</si>
  <si>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</si>
  <si>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</si>
  <si>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</si>
  <si>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</si>
  <si>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</si>
  <si>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</si>
  <si>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</si>
  <si>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</si>
  <si>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</si>
  <si>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</si>
  <si>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</si>
  <si>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</si>
  <si>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</si>
  <si>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</si>
  <si>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</si>
  <si>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</si>
  <si>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</si>
  <si>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</si>
  <si>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</si>
  <si>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</si>
  <si>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</si>
  <si>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</si>
  <si>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</si>
  <si>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</si>
  <si>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</si>
  <si>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</si>
  <si>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</si>
  <si>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</si>
  <si>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</si>
  <si>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</si>
  <si>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</si>
  <si>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</si>
  <si>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</si>
  <si>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</si>
  <si>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</si>
  <si>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</si>
  <si>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</si>
  <si>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</si>
  <si>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</si>
  <si>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</si>
  <si>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</si>
  <si>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</si>
  <si>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</si>
  <si>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</si>
  <si>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</si>
  <si>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</si>
  <si>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</si>
  <si>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</si>
  <si>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</si>
  <si>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</si>
  <si>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</si>
  <si>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</si>
  <si>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</si>
  <si>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</si>
  <si>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</si>
  <si>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</si>
  <si>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</si>
  <si>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</si>
  <si>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</si>
  <si>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</si>
  <si>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</si>
  <si>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</si>
  <si>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</si>
  <si>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</si>
  <si>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</si>
  <si>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</si>
  <si>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</si>
  <si>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</si>
  <si>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</si>
  <si>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</si>
  <si>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</si>
  <si>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</si>
  <si>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</si>
  <si>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</si>
  <si>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</si>
  <si>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</si>
  <si>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</si>
  <si>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</si>
  <si>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</si>
  <si>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</si>
  <si>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</si>
  <si>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</si>
  <si>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</si>
  <si>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</si>
  <si>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</si>
  <si>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</si>
  <si>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</si>
  <si>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</si>
  <si>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</si>
  <si>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</si>
  <si>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</si>
  <si>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</si>
  <si>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</si>
  <si>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</si>
  <si>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</si>
  <si>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</si>
  <si>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</si>
  <si>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</si>
  <si>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</si>
  <si>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</si>
  <si>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</si>
  <si>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</si>
  <si>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</si>
  <si>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</si>
  <si>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</si>
  <si>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</si>
  <si>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</si>
  <si>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</si>
  <si>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</si>
  <si>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</si>
  <si>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</si>
  <si>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</si>
  <si>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</si>
  <si>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</si>
  <si>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</si>
  <si>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</si>
  <si>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</si>
  <si>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</si>
  <si>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</si>
  <si>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</si>
  <si>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</si>
  <si>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</si>
  <si>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</si>
  <si>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</si>
  <si>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</si>
  <si>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</si>
  <si>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</si>
  <si>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</si>
  <si>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</si>
  <si>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</si>
  <si>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</si>
  <si>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</si>
  <si>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</si>
  <si>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</si>
  <si>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</si>
  <si>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</si>
  <si>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</si>
  <si>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</si>
  <si>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</si>
  <si>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</si>
  <si>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</si>
  <si>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</si>
  <si>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</si>
  <si>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</si>
  <si>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</si>
  <si>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</si>
  <si>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</si>
  <si>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</si>
  <si>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</si>
  <si>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</si>
  <si>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</si>
  <si>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</si>
  <si>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</si>
  <si>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</si>
  <si>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</si>
  <si>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</si>
  <si>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</si>
  <si>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</si>
  <si>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</si>
  <si>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</si>
  <si>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</si>
  <si>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</si>
  <si>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</si>
  <si>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</si>
  <si>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</si>
  <si>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</si>
  <si>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</si>
  <si>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</si>
  <si>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</si>
  <si>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</si>
  <si>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</si>
  <si>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</si>
  <si>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</si>
  <si>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</si>
  <si>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</si>
  <si>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</si>
  <si>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</si>
  <si>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</si>
  <si>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</si>
  <si>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</si>
  <si>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</si>
  <si>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</si>
  <si>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</si>
  <si>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</si>
  <si>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</si>
  <si>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</si>
  <si>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</si>
  <si>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</si>
  <si>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</si>
  <si>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</si>
  <si>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</si>
  <si>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</si>
  <si>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</si>
  <si>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</si>
  <si>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</si>
  <si>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</si>
  <si>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</si>
  <si>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</si>
  <si>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</si>
  <si>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</si>
  <si>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</si>
  <si>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</si>
  <si>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</si>
  <si>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</si>
  <si>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</si>
  <si>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</si>
  <si>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</si>
  <si>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</si>
  <si>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</si>
  <si>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</si>
  <si>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</si>
  <si>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</si>
  <si>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</si>
  <si>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</si>
  <si>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</si>
  <si>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</si>
  <si>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</si>
  <si>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</si>
  <si>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</si>
  <si>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</si>
  <si>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</si>
  <si>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</si>
  <si>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</si>
  <si>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</si>
  <si>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</si>
  <si>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</si>
  <si>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</si>
  <si>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</si>
  <si>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</si>
  <si>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</si>
  <si>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</si>
  <si>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</si>
  <si>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</si>
  <si>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</si>
  <si>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</si>
  <si>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</si>
  <si>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</si>
  <si>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</si>
  <si>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</si>
  <si>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</si>
  <si>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</si>
  <si>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</si>
  <si>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</si>
  <si>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</si>
  <si>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</si>
  <si>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</si>
  <si>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</si>
  <si>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</si>
  <si>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</si>
  <si>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</si>
  <si>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</si>
  <si>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</si>
  <si>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</si>
  <si>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</si>
  <si>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</si>
  <si>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</si>
  <si>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</si>
  <si>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</si>
  <si>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</si>
  <si>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</si>
  <si>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</si>
  <si>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</si>
  <si>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</si>
  <si>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</si>
  <si>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</si>
  <si>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</si>
  <si>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</si>
  <si>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</si>
  <si>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</si>
  <si>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</si>
  <si>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</si>
  <si>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</si>
  <si>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</si>
  <si>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</si>
  <si>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</si>
  <si>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</si>
  <si>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</si>
  <si>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</si>
  <si>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</si>
  <si>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</si>
  <si>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</si>
  <si>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</si>
  <si>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</si>
  <si>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</si>
  <si>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</si>
  <si>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</si>
  <si>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</si>
  <si>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</si>
  <si>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</si>
  <si>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</si>
  <si>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</si>
  <si>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</si>
  <si>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</si>
  <si>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</si>
  <si>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</si>
  <si>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</si>
  <si>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</si>
  <si>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</si>
  <si>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</si>
  <si>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</si>
  <si>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</si>
  <si>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</si>
  <si>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</si>
  <si>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</si>
  <si>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</si>
  <si>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</si>
  <si>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</si>
  <si>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</si>
  <si>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</si>
  <si>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</si>
  <si>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</si>
  <si>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</si>
  <si>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</si>
  <si>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</si>
  <si>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</si>
  <si>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</si>
  <si>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</si>
  <si>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</si>
  <si>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</si>
  <si>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</si>
  <si>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</si>
  <si>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</si>
  <si>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</si>
  <si>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</si>
  <si>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</si>
  <si>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</si>
  <si>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</si>
  <si>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</si>
  <si>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</si>
  <si>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</si>
  <si>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</si>
  <si>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</si>
  <si>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</si>
  <si>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</si>
  <si>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</si>
  <si>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</si>
  <si>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</si>
  <si>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</si>
  <si>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</si>
  <si>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</si>
  <si>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</si>
  <si>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</si>
  <si>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</si>
  <si>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</si>
  <si>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</si>
  <si>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</si>
  <si>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</si>
  <si>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</si>
  <si>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</si>
  <si>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</si>
  <si>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</si>
  <si>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</si>
  <si>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</si>
  <si>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</si>
  <si>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</si>
  <si>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</si>
  <si>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</si>
  <si>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</si>
  <si>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</si>
  <si>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</si>
  <si>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</si>
  <si>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</si>
  <si>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</si>
  <si>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</si>
  <si>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</si>
  <si>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</si>
  <si>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</si>
  <si>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</si>
  <si>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</si>
  <si>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</si>
  <si>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</si>
  <si>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</si>
  <si>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</si>
  <si>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</si>
  <si>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</si>
  <si>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</si>
  <si>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</si>
  <si>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</si>
  <si>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</si>
  <si>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</si>
  <si>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</si>
  <si>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</si>
  <si>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</si>
  <si>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</si>
  <si>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</si>
  <si>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</si>
  <si>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</si>
  <si>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</si>
  <si>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</si>
  <si>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</si>
  <si>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</si>
  <si>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</si>
  <si>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</si>
  <si>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</si>
  <si>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</si>
  <si>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</si>
  <si>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</si>
  <si>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</si>
  <si>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</si>
  <si>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</si>
  <si>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</si>
  <si>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</si>
  <si>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</si>
  <si>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</si>
  <si>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</si>
  <si>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</si>
  <si>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</si>
  <si>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</si>
  <si>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</si>
  <si>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</si>
  <si>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</si>
  <si>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</si>
  <si>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</si>
  <si>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</si>
  <si>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</si>
  <si>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</si>
  <si>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</si>
  <si>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</si>
  <si>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</si>
  <si>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</si>
  <si>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</si>
  <si>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</si>
  <si>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</si>
  <si>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</si>
  <si>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</si>
  <si>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</si>
  <si>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</si>
  <si>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</si>
  <si>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</si>
  <si>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</si>
  <si>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</si>
  <si>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</si>
  <si>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</si>
  <si>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</si>
  <si>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</si>
  <si>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</si>
  <si>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</si>
  <si>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</si>
  <si>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</si>
  <si>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</si>
  <si>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</si>
  <si>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</si>
  <si>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</si>
  <si>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</si>
  <si>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</si>
  <si>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</si>
  <si>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</si>
  <si>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</si>
  <si>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</si>
  <si>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</si>
  <si>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</si>
  <si>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</si>
  <si>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</si>
  <si>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</si>
  <si>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</si>
  <si>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</si>
  <si>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</si>
  <si>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</si>
  <si>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</si>
  <si>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</si>
  <si>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</si>
  <si>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</si>
  <si>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</si>
  <si>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</si>
  <si>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</si>
  <si>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</si>
  <si>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</si>
  <si>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</si>
  <si>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</si>
  <si>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</si>
  <si>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</si>
  <si>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</si>
  <si>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</si>
  <si>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</si>
  <si>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</si>
  <si>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</si>
  <si>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</si>
  <si>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</si>
  <si>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</si>
  <si>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</si>
  <si>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</si>
  <si>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</si>
  <si>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</si>
  <si>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</si>
  <si>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</si>
  <si>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</si>
  <si>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</si>
  <si>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</si>
  <si>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</si>
  <si>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</si>
  <si>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</si>
  <si>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</si>
  <si>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</si>
  <si>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</si>
  <si>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</si>
  <si>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</si>
  <si>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</si>
  <si>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</si>
  <si>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</si>
  <si>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</si>
  <si>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</si>
  <si>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</si>
  <si>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</si>
  <si>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</si>
  <si>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</si>
  <si>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</si>
  <si>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</si>
  <si>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</si>
  <si>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</si>
  <si>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</si>
  <si>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</si>
  <si>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</si>
  <si>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</si>
  <si>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</si>
  <si>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</si>
  <si>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</si>
  <si>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</si>
  <si>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</si>
  <si>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</si>
  <si>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</si>
  <si>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</si>
  <si>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</si>
  <si>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</si>
  <si>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</si>
  <si>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</si>
  <si>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</si>
  <si>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</si>
  <si>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</si>
  <si>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</si>
  <si>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</si>
  <si>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</si>
  <si>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</si>
  <si>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</si>
  <si>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</si>
  <si>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</si>
  <si>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</si>
  <si>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</si>
  <si>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</si>
  <si>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</si>
  <si>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</si>
  <si>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</si>
  <si>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</si>
  <si>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</si>
  <si>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</si>
  <si>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</si>
  <si>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</si>
  <si>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</si>
  <si>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</si>
  <si>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</si>
  <si>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</si>
  <si>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</si>
  <si>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</si>
  <si>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</si>
  <si>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</si>
  <si>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</si>
  <si>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</si>
  <si>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</si>
  <si>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</si>
  <si>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</si>
  <si>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</si>
  <si>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</si>
  <si>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</si>
  <si>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</si>
  <si>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</si>
  <si>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</si>
  <si>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</si>
  <si>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</si>
  <si>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</si>
  <si>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</si>
  <si>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</si>
  <si>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</si>
  <si>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</si>
  <si>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</si>
  <si>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</si>
  <si>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</si>
  <si>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</si>
  <si>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</si>
  <si>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</si>
  <si>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</si>
  <si>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</si>
  <si>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</si>
  <si>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</si>
  <si>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</si>
  <si>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</si>
  <si>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</si>
  <si>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</si>
  <si>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</si>
  <si>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</si>
  <si>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</si>
  <si>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</si>
  <si>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</si>
  <si>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</si>
  <si>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</si>
  <si>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</si>
  <si>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</si>
  <si>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</si>
  <si>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</si>
  <si>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</si>
  <si>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</si>
  <si>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</si>
  <si>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</si>
  <si>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</si>
  <si>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</si>
  <si>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</si>
  <si>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</si>
  <si>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</si>
  <si>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</si>
  <si>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</si>
  <si>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</si>
  <si>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</si>
  <si>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</si>
  <si>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</si>
  <si>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</si>
  <si>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</si>
  <si>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</si>
  <si>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</si>
  <si>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</si>
  <si>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</si>
  <si>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</si>
  <si>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</si>
  <si>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</si>
  <si>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</si>
  <si>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</si>
  <si>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</si>
  <si>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</si>
  <si>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</si>
  <si>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</si>
  <si>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</si>
  <si>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</si>
  <si>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</si>
  <si>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</si>
  <si>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</si>
  <si>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</si>
  <si>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</si>
  <si>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</si>
  <si>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</si>
  <si>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</si>
  <si>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</si>
  <si>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</si>
  <si>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</si>
  <si>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</si>
  <si>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</si>
  <si>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</si>
  <si>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</si>
  <si>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</si>
  <si>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</si>
  <si>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</si>
  <si>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</si>
  <si>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</si>
  <si>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</si>
  <si>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</si>
  <si>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</si>
  <si>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</si>
  <si>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</si>
  <si>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</si>
  <si>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</si>
  <si>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</si>
  <si>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</si>
  <si>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</si>
  <si>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</si>
  <si>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</si>
  <si>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</si>
  <si>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</si>
  <si>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</si>
  <si>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</si>
  <si>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</si>
  <si>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</si>
  <si>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</si>
  <si>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</si>
  <si>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</si>
  <si>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</si>
  <si>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</si>
  <si>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</si>
  <si>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</si>
  <si>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</si>
  <si>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</si>
  <si>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</si>
  <si>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</si>
  <si>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</si>
  <si>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</si>
  <si>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</si>
  <si>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</si>
  <si>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</si>
  <si>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</si>
  <si>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</si>
  <si>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</si>
  <si>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</si>
  <si>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</si>
  <si>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</si>
  <si>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</si>
  <si>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</si>
  <si>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</si>
  <si>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</si>
  <si>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</si>
  <si>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</si>
  <si>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</si>
  <si>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</si>
  <si>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</si>
  <si>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</si>
  <si>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</si>
  <si>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</si>
  <si>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</si>
  <si>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</si>
  <si>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</si>
  <si>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</si>
  <si>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</si>
  <si>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</si>
  <si>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</si>
  <si>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</si>
  <si>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</si>
  <si>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</si>
  <si>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</si>
  <si>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</si>
  <si>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</si>
  <si>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</si>
  <si>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</si>
  <si>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</si>
  <si>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</si>
  <si>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1867-b</t>
  </si>
  <si>
    <t>1867-a</t>
  </si>
  <si>
    <t>G star</t>
  </si>
  <si>
    <t>1873-b</t>
  </si>
  <si>
    <t>1873-a</t>
  </si>
  <si>
    <t>Billing (Super Kataan)</t>
  </si>
  <si>
    <t>2391+2297</t>
  </si>
  <si>
    <t>2263+2281</t>
  </si>
  <si>
    <t>2251+2263</t>
  </si>
  <si>
    <t>Raza Khan</t>
  </si>
  <si>
    <t>Cheque# CA000000135</t>
  </si>
  <si>
    <t>Cheque# CA000000136</t>
  </si>
  <si>
    <t>Cheque# CA000000139</t>
  </si>
  <si>
    <t>S.ansari cheque1</t>
  </si>
  <si>
    <t>S.ansari cheque2</t>
  </si>
  <si>
    <t>S.ansari cheque3</t>
  </si>
  <si>
    <t>Bill NILL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</si>
</sst>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6">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5" fontId="0" fillId="8"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xf numFmtId="14" fontId="0" fillId="0" borderId="7" xfId="0" applyNumberFormat="1" applyFont="1" applyBorder="1"/>
  </cellXfs>
  <cellStyles count="3">
    <cellStyle name="Comma" xfId="1" builtinId="3"/>
    <cellStyle name="Hyperlink" xfId="2" builtinId="8"/>
    <cellStyle name="Normal" xfId="0" builtinId="0"/>
  </cellStyles>
  <dxfs count="147">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478</xdr:row>
      <xdr:rowOff>87338</xdr:rowOff>
    </xdr:from>
    <xdr:to>
      <xdr:col>15</xdr:col>
      <xdr:colOff>817243</xdr:colOff>
      <xdr:row>485</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505626</xdr:colOff>
      <xdr:row>743</xdr:row>
      <xdr:rowOff>144299</xdr:rowOff>
    </xdr:from>
    <xdr:to>
      <xdr:col>3</xdr:col>
      <xdr:colOff>959816</xdr:colOff>
      <xdr:row>752</xdr:row>
      <xdr:rowOff>17540</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41776" y="69393720"/>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594050</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725980</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6018516" createdVersion="8" refreshedVersion="8" minRefreshableVersion="3" recordCount="2002" xr:uid="{B5BDFB73-D93A-4A7A-8149-666BC190B09B}">
  <cacheSource type="worksheet">
    <worksheetSource name="Table14"/>
  </cacheSource>
  <cacheFields count="7">
    <cacheField name="Date" numFmtId="14">
      <sharedItems containsNonDate="0" containsDate="1" containsString="0" containsBlank="1" minDate="2026-03-30T00:00:00" maxDate="2026-09-16T00:00:00" count="163">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m/>
      </sharedItems>
    </cacheField>
    <cacheField name="Party" numFmtId="0">
      <sharedItems containsBlank="1"/>
    </cacheField>
    <cacheField name="Debit" numFmtId="164">
      <sharedItems containsString="0" containsBlank="1" containsNumber="1" minValue="140" maxValue="2170551"/>
    </cacheField>
    <cacheField name="Credit" numFmtId="164">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63657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6597224" createdVersion="8" refreshedVersion="8" minRefreshableVersion="3" recordCount="52" xr:uid="{AC867DCC-CE64-4D1A-827D-F1F3EE10EE4E}">
  <cacheSource type="worksheet">
    <worksheetSource name="Table8"/>
  </cacheSource>
  <cacheFields count="9">
    <cacheField name="Date" numFmtId="0">
      <sharedItems containsNonDate="0" containsDate="1" containsString="0" containsBlank="1" minDate="2026-02-20T00:00:00" maxDate="2026-09-16T00:00:00" count="3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6828701"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6-03-17T00:00:00" maxDate="2026-09-17T00:00:00" count="5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7060186" createdVersion="8" refreshedVersion="8" minRefreshableVersion="3" recordCount="52" xr:uid="{376A650C-1F79-4049-BC45-E34989F046B2}">
  <cacheSource type="worksheet">
    <worksheetSource name="Table2"/>
  </cacheSource>
  <cacheFields count="8">
    <cacheField name="Date" numFmtId="14">
      <sharedItems containsNonDate="0" containsDate="1" containsString="0" containsBlank="1" minDate="2026-03-30T00:00:00" maxDate="2026-09-15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7291663" createdVersion="8" refreshedVersion="8" minRefreshableVersion="3" recordCount="372" xr:uid="{46CBB50D-3613-4E5B-8212-DD0313DCD05A}">
  <cacheSource type="worksheet">
    <worksheetSource name="Table1"/>
  </cacheSource>
  <cacheFields count="14">
    <cacheField name="Date" numFmtId="0">
      <sharedItems containsSemiMixedTypes="0" containsNonDate="0" containsDate="1" containsString="0" minDate="2026-03-30T00:00:00" maxDate="2026-09-18T00:00:00"/>
    </cacheField>
    <cacheField name="Party Name" numFmtId="0">
      <sharedItems containsBlank="1" count="5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Hafiz Qasim" u="1"/>
        <s v="zaid ejaz" u="1"/>
        <s v="Reject" u="1"/>
        <s v="YING" u="1"/>
        <s v="Meow" u="1"/>
        <s v="Umer Sb" u="1"/>
        <s v="-" u="1"/>
        <s v="Sajjad" u="1"/>
        <s v="Haji Ejaz" u="1"/>
      </sharedItems>
    </cacheField>
    <cacheField name="Bill Number" numFmtId="0">
      <sharedItems containsMixedTypes="1" containsNumber="1" containsInteger="1" minValue="1613" maxValue="1902"/>
    </cacheField>
    <cacheField name="Quality" numFmtId="0">
      <sharedItems containsBlank="1"/>
    </cacheField>
    <cacheField name="Shipment Number" numFmtId="164">
      <sharedItems containsBlank="1" containsMixedTypes="1" containsNumber="1" containsInteger="1" minValue="1558" maxValue="17000" count="679">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n v="2233"/>
        <n v="2294"/>
        <n v="2235"/>
        <n v="2600"/>
        <n v="2291"/>
        <n v="2293"/>
        <n v="2307"/>
        <n v="2299"/>
        <n v="2300"/>
        <n v="2298"/>
        <n v="2302"/>
        <n v="2301"/>
        <s v="2305+2306"/>
        <n v="2309"/>
        <n v="2234"/>
        <n v="2304"/>
        <n v="2312"/>
        <s v="2391+2297"/>
        <n v="2287"/>
        <n v="2286"/>
        <n v="2464"/>
        <n v="2311"/>
        <n v="2279"/>
        <n v="2313"/>
        <n v="2285"/>
        <n v="2284"/>
        <s v="2251+2263"/>
        <n v="2315"/>
        <s v="2263+2281"/>
        <n v="2314"/>
        <n v="2318"/>
        <n v="2292"/>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54.36142234320669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String="0" containsBlank="1" containsNumber="1" minValue="10" maxValue="133035.84491587419"/>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2">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m/>
  </r>
  <r>
    <x v="150"/>
    <s v="Arb Dasti"/>
    <m/>
    <n v="200000"/>
    <s v="Cash"/>
    <s v="Bank"/>
    <m/>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m/>
  </r>
  <r>
    <x v="150"/>
    <s v="Arb Dasti"/>
    <m/>
    <n v="2900"/>
    <s v="Tanveer sb"/>
    <m/>
    <m/>
  </r>
  <r>
    <x v="150"/>
    <s v="Arb Dasti"/>
    <m/>
    <n v="40000"/>
    <s v="bricks"/>
    <m/>
    <m/>
  </r>
  <r>
    <x v="150"/>
    <s v="advance salary"/>
    <n v="2900"/>
    <m/>
    <s v="Tanveer sb"/>
    <m/>
    <m/>
  </r>
  <r>
    <x v="150"/>
    <s v="Building Acc"/>
    <n v="40000"/>
    <m/>
    <s v="bricks"/>
    <m/>
    <m/>
  </r>
  <r>
    <x v="151"/>
    <s v="Arb Dasti"/>
    <m/>
    <n v="12000"/>
    <s v="shah gari karaya"/>
    <m/>
    <m/>
  </r>
  <r>
    <x v="151"/>
    <s v="Arb Dasti"/>
    <m/>
    <n v="5000"/>
    <s v="tana master"/>
    <m/>
    <m/>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m/>
  </r>
  <r>
    <x v="153"/>
    <s v="Arb Dasti"/>
    <m/>
    <n v="200000"/>
    <s v="TID:712834"/>
    <s v="Bank"/>
    <m/>
  </r>
  <r>
    <x v="153"/>
    <s v="Malik Zaheer"/>
    <n v="200000"/>
    <m/>
    <s v="TID:833978"/>
    <m/>
    <m/>
  </r>
  <r>
    <x v="153"/>
    <s v="jojo dyes"/>
    <n v="200000"/>
    <m/>
    <s v="TID:862231//Agn cheque"/>
    <m/>
    <m/>
  </r>
  <r>
    <x v="153"/>
    <s v="Arb Dasti"/>
    <m/>
    <n v="55000"/>
    <s v="TID:288823"/>
    <m/>
    <m/>
  </r>
  <r>
    <x v="153"/>
    <s v="advance salary"/>
    <n v="50000"/>
    <m/>
    <s v="Ghulam abbas july2"/>
    <m/>
    <m/>
  </r>
  <r>
    <x v="153"/>
    <s v="Arb Dasti"/>
    <m/>
    <n v="94000"/>
    <s v="TID:284820"/>
    <m/>
    <m/>
  </r>
  <r>
    <x v="153"/>
    <s v="Arb Dasti"/>
    <m/>
    <n v="70000"/>
    <s v="TID:243525"/>
    <m/>
    <m/>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m/>
  </r>
  <r>
    <x v="153"/>
    <s v="loom adj"/>
    <n v="402119"/>
    <m/>
    <s v="20 ctn dhaga"/>
    <m/>
    <m/>
  </r>
  <r>
    <x v="153"/>
    <s v="Arb Dasti"/>
    <m/>
    <n v="6000"/>
    <s v="gari karaya"/>
    <m/>
    <m/>
  </r>
  <r>
    <x v="153"/>
    <s v="Transport"/>
    <n v="6000"/>
    <m/>
    <s v="gari karaya"/>
    <m/>
    <m/>
  </r>
  <r>
    <x v="154"/>
    <s v="Arb Dasti"/>
    <m/>
    <n v="30000"/>
    <s v="TID:493110"/>
    <m/>
    <m/>
  </r>
  <r>
    <x v="154"/>
    <s v="Arb Dasti"/>
    <m/>
    <n v="100000"/>
    <s v="Jojo dyes"/>
    <m/>
    <m/>
  </r>
  <r>
    <x v="154"/>
    <s v="jojo dyes"/>
    <n v="100000"/>
    <m/>
    <s v="online"/>
    <m/>
    <m/>
  </r>
  <r>
    <x v="154"/>
    <s v="Arb Dasti"/>
    <m/>
    <n v="7500"/>
    <s v="jc"/>
    <m/>
    <m/>
  </r>
  <r>
    <x v="154"/>
    <s v="Parts"/>
    <n v="6500"/>
    <m/>
    <m/>
    <m/>
    <m/>
  </r>
  <r>
    <x v="154"/>
    <s v="shafique ansari"/>
    <m/>
    <n v="100000"/>
    <s v="TID:225927"/>
    <m/>
    <m/>
  </r>
  <r>
    <x v="154"/>
    <s v="Parts"/>
    <n v="11750"/>
    <m/>
    <m/>
    <m/>
    <m/>
  </r>
  <r>
    <x v="154"/>
    <s v="Arb Dasti"/>
    <m/>
    <n v="122000"/>
    <s v="TID:533605"/>
    <m/>
    <m/>
  </r>
  <r>
    <x v="154"/>
    <s v="Arb Dasti"/>
    <m/>
    <n v="13000"/>
    <s v="parts guj"/>
    <m/>
    <m/>
  </r>
  <r>
    <x v="154"/>
    <s v="Kaleem ullah"/>
    <n v="200000"/>
    <m/>
    <s v="TID:829991"/>
    <m/>
    <m/>
  </r>
  <r>
    <x v="154"/>
    <s v="advance salary"/>
    <n v="22000"/>
    <m/>
    <s v="Ghulam abbas Aug1"/>
    <m/>
    <m/>
  </r>
  <r>
    <x v="154"/>
    <s v="Arb Dasti"/>
    <m/>
    <n v="7100"/>
    <s v="Tanveer sb"/>
    <m/>
    <m/>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5"/>
    <s v="Arb Dasti"/>
    <m/>
    <n v="40000"/>
    <s v="TID:299754"/>
    <m/>
    <m/>
  </r>
  <r>
    <x v="155"/>
    <s v="rashan"/>
    <n v="22310"/>
    <m/>
    <m/>
    <m/>
    <m/>
  </r>
  <r>
    <x v="155"/>
    <s v="Parts"/>
    <n v="11632"/>
    <m/>
    <s v="Diesel"/>
    <m/>
    <m/>
  </r>
  <r>
    <x v="155"/>
    <s v="salary"/>
    <n v="33287"/>
    <m/>
    <s v="Shoaib folding"/>
    <m/>
    <m/>
  </r>
  <r>
    <x v="155"/>
    <s v="salary"/>
    <n v="50000"/>
    <m/>
    <s v="Munawar"/>
    <m/>
    <m/>
  </r>
  <r>
    <x v="155"/>
    <s v="Arb Dasti"/>
    <m/>
    <n v="60000"/>
    <s v="TID:825912"/>
    <m/>
    <m/>
  </r>
  <r>
    <x v="155"/>
    <s v="Arb Dasti"/>
    <m/>
    <n v="33287"/>
    <s v="Shoaib folding"/>
    <m/>
    <m/>
  </r>
  <r>
    <x v="155"/>
    <s v="Arb Dasti"/>
    <m/>
    <n v="50000"/>
    <s v="Munawar"/>
    <m/>
    <m/>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1"/>
    <s v="Arb Dasti"/>
    <m/>
    <n v="300002"/>
    <s v="yousaf wood"/>
    <m/>
    <m/>
  </r>
  <r>
    <x v="161"/>
    <s v="yousaf wood"/>
    <n v="300002"/>
    <m/>
    <s v="TID:714444"/>
    <m/>
    <m/>
  </r>
  <r>
    <x v="161"/>
    <s v="Faizan kamoki"/>
    <m/>
    <n v="500000"/>
    <s v="TID:774505"/>
    <m/>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2"/>
    <m/>
    <m/>
    <m/>
    <m/>
    <m/>
    <m/>
  </r>
  <r>
    <x v="162"/>
    <m/>
    <m/>
    <m/>
    <m/>
    <m/>
    <m/>
  </r>
  <r>
    <x v="162"/>
    <m/>
    <m/>
    <m/>
    <m/>
    <m/>
    <m/>
  </r>
  <r>
    <x v="162"/>
    <m/>
    <m/>
    <m/>
    <m/>
    <m/>
    <m/>
  </r>
  <r>
    <x v="162"/>
    <m/>
    <m/>
    <m/>
    <m/>
    <m/>
    <m/>
  </r>
  <r>
    <x v="162"/>
    <m/>
    <m/>
    <m/>
    <m/>
    <m/>
    <m/>
  </r>
  <r>
    <x v="162"/>
    <m/>
    <m/>
    <m/>
    <m/>
    <m/>
    <m/>
  </r>
  <r>
    <x v="162"/>
    <m/>
    <m/>
    <m/>
    <m/>
    <m/>
    <m/>
  </r>
  <r>
    <x v="162"/>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69677.212874908568"/>
    <n v="10"/>
    <n v="696772.12874908571"/>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316875"/>
    <x v="1"/>
    <n v="260000"/>
    <n v="56875"/>
    <m/>
  </r>
  <r>
    <x v="35"/>
    <s v="Payment"/>
    <m/>
    <m/>
    <n v="93425"/>
    <x v="10"/>
    <n v="93425"/>
    <n v="0"/>
    <m/>
  </r>
  <r>
    <x v="36"/>
    <s v="Payment"/>
    <m/>
    <m/>
    <m/>
    <x v="0"/>
    <n v="135000"/>
    <n v="-135000"/>
    <m/>
  </r>
  <r>
    <x v="37"/>
    <s v="Payment"/>
    <m/>
    <m/>
    <m/>
    <x v="0"/>
    <n v="100000"/>
    <n v="-1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960"/>
    <m/>
    <n v="224640"/>
    <m/>
    <n v="224640"/>
  </r>
  <r>
    <x v="51"/>
    <x v="4"/>
    <x v="1"/>
    <n v="377"/>
    <n v="1000"/>
    <m/>
    <n v="377000"/>
    <m/>
    <n v="377000"/>
  </r>
  <r>
    <x v="52"/>
    <x v="4"/>
    <x v="1"/>
    <n v="237"/>
    <n v="1000"/>
    <m/>
    <n v="237000"/>
    <m/>
    <n v="237000"/>
  </r>
  <r>
    <x v="52"/>
    <x v="1"/>
    <x v="1"/>
    <n v="211"/>
    <n v="960"/>
    <m/>
    <n v="202560"/>
    <m/>
    <n v="202560"/>
  </r>
  <r>
    <x v="53"/>
    <x v="1"/>
    <x v="1"/>
    <n v="215"/>
    <n v="960"/>
    <m/>
    <n v="206400"/>
    <m/>
    <n v="2064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09T00:00:00"/>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5-12T00:00:00"/>
    <x v="33"/>
    <s v="Kora transport"/>
    <s v="Custom"/>
    <x v="0"/>
    <m/>
    <m/>
    <e v="#DIV/0!"/>
    <m/>
    <n v="17000"/>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4"/>
    <n v="1669"/>
    <s v="Silky"/>
    <x v="41"/>
    <n v="50029"/>
    <n v="36039"/>
    <n v="4.8759473711538419"/>
    <n v="32954.462326261892"/>
    <n v="395453.54791514273"/>
    <m/>
  </r>
  <r>
    <d v="2026-05-04T00:00:00"/>
    <x v="34"/>
    <n v="1670"/>
    <s v="Silky"/>
    <x v="41"/>
    <n v="50029"/>
    <n v="16005"/>
    <n v="4.8759473711538419"/>
    <n v="14635.149963423557"/>
    <n v="175621.79956108268"/>
    <m/>
  </r>
  <r>
    <d v="2026-05-04T00:00:00"/>
    <x v="34"/>
    <n v="1671"/>
    <s v="Silky"/>
    <x v="42"/>
    <n v="36740"/>
    <n v="38709"/>
    <n v="3.6583015388389128"/>
    <n v="35395.940014630578"/>
    <n v="424751.28017556691"/>
    <m/>
  </r>
  <r>
    <d v="2026-05-04T00:00:00"/>
    <x v="34"/>
    <n v="1672"/>
    <s v="Silky"/>
    <x v="43"/>
    <n v="39984"/>
    <n v="41078"/>
    <n v="6.0569728988888727"/>
    <n v="37562.179956108266"/>
    <n v="450746.15947329917"/>
    <m/>
  </r>
  <r>
    <d v="2026-05-04T00:00:00"/>
    <x v="34"/>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5"/>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4"/>
    <n v="1702"/>
    <s v="Silky"/>
    <x v="57"/>
    <n v="30184"/>
    <n v="7748"/>
    <n v="3.6329919725706645"/>
    <n v="7084.8573518653993"/>
    <n v="85018.288222384785"/>
    <m/>
  </r>
  <r>
    <d v="2026-05-13T00:00:00"/>
    <x v="34"/>
    <n v="1703"/>
    <s v="Silky"/>
    <x v="57"/>
    <n v="30184"/>
    <n v="24062"/>
    <n v="3.6329919725706645"/>
    <n v="22002.56035113387"/>
    <n v="264030.72421360645"/>
    <m/>
  </r>
  <r>
    <d v="2026-05-15T00:00:00"/>
    <x v="35"/>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5"/>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5"/>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6"/>
    <n v="1737"/>
    <m/>
    <x v="0"/>
    <m/>
    <m/>
    <m/>
    <m/>
    <m/>
    <m/>
  </r>
  <r>
    <d v="2026-05-25T00:00:00"/>
    <x v="36"/>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23112.6554498903"/>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64879.29773226043"/>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2.2400269056344229"/>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5"/>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n v="55.627853399319818"/>
    <n v="6634.9670811997075"/>
    <n v="66349.670811997072"/>
    <m/>
  </r>
  <r>
    <d v="2026-07-11T00:00:00"/>
    <x v="0"/>
    <n v="1808"/>
    <s v="Chamki"/>
    <x v="132"/>
    <n v="27569"/>
    <n v="11620"/>
    <n v="61.458677479924475"/>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3T00:00:00"/>
    <x v="18"/>
    <n v="1814"/>
    <s v="super kataan"/>
    <x v="137"/>
    <n v="7211"/>
    <n v="7429"/>
    <n v="5.1477579821204955"/>
    <n v="6793.1602048280911"/>
    <n v="101897.40307242137"/>
    <m/>
  </r>
  <r>
    <d v="2026-07-13T00:00:00"/>
    <x v="35"/>
    <n v="1815"/>
    <s v="Chamki"/>
    <x v="138"/>
    <n v="2977"/>
    <n v="2111"/>
    <n v="78.583681808962638"/>
    <n v="1930.3218727139724"/>
    <n v="19303.218727139723"/>
    <m/>
  </r>
  <r>
    <d v="2026-07-13T00:00:00"/>
    <x v="0"/>
    <n v="1816"/>
    <s v="Silky"/>
    <x v="139"/>
    <n v="36789"/>
    <n v="38686"/>
    <n v="3.8437887442222376"/>
    <n v="35374.908558888077"/>
    <n v="424498.90270665695"/>
    <m/>
  </r>
  <r>
    <d v="2026-07-13T00:00:00"/>
    <x v="39"/>
    <n v="1817"/>
    <s v="Chamki"/>
    <x v="140"/>
    <n v="12033"/>
    <n v="12741"/>
    <n v="3.178658104988159"/>
    <n v="11650.512070226774"/>
    <n v="116505.12070226774"/>
    <m/>
  </r>
  <r>
    <d v="2026-07-17T00:00:00"/>
    <x v="18"/>
    <n v="1818"/>
    <s v="super kataan"/>
    <x v="137"/>
    <m/>
    <n v="51"/>
    <n v="5.1477579821204955"/>
    <n v="46.634967081199711"/>
    <n v="699.52450621799562"/>
    <m/>
  </r>
  <r>
    <d v="2026-07-17T00:00:00"/>
    <x v="0"/>
    <n v="1819"/>
    <s v="Crinkle"/>
    <x v="141"/>
    <m/>
    <n v="300"/>
    <e v="#DIV/0!"/>
    <n v="274.32333577176303"/>
    <n v="2743.2333577176305"/>
    <m/>
  </r>
  <r>
    <d v="2026-07-18T00:00:00"/>
    <x v="35"/>
    <n v="1820"/>
    <s v="Chamki"/>
    <x v="142"/>
    <n v="21989"/>
    <n v="23571"/>
    <n v="1.9801514776141715"/>
    <n v="21553.584491587419"/>
    <n v="215535.84491587419"/>
    <m/>
  </r>
  <r>
    <d v="2026-07-18T00:00:00"/>
    <x v="0"/>
    <n v="1821"/>
    <s v="Chamki"/>
    <x v="143"/>
    <n v="14222"/>
    <n v="15277"/>
    <n v="1.7757089817366705"/>
    <n v="13969.458668617412"/>
    <n v="139694.58668617412"/>
    <m/>
  </r>
  <r>
    <d v="2026-07-18T00:00:00"/>
    <x v="35"/>
    <n v="1822"/>
    <s v="Chamki"/>
    <x v="138"/>
    <n v="2977"/>
    <n v="1089"/>
    <n v="78.583681808962638"/>
    <n v="995.79370885149967"/>
    <n v="9957.9370885149965"/>
    <m/>
  </r>
  <r>
    <d v="2026-07-18T00:00:00"/>
    <x v="0"/>
    <n v="1823"/>
    <s v="Chamki"/>
    <x v="70"/>
    <m/>
    <n v="2266"/>
    <e v="#DIV/0!"/>
    <n v="2072.0555961960499"/>
    <n v="20720.555961960497"/>
    <m/>
  </r>
  <r>
    <d v="2026-07-18T00:00:00"/>
    <x v="17"/>
    <n v="1824"/>
    <s v="Satin"/>
    <x v="144"/>
    <n v="10346"/>
    <n v="10516"/>
    <n v="7.0563760881545363"/>
    <n v="9615.9473299195324"/>
    <n v="336558.15654718364"/>
    <m/>
  </r>
  <r>
    <d v="2026-07-18T00:00:00"/>
    <x v="17"/>
    <n v="1825"/>
    <s v="Silky"/>
    <x v="145"/>
    <n v="1641"/>
    <n v="1730"/>
    <n v="3.5995590320637803"/>
    <n v="1581.9312362838334"/>
    <n v="18983.174835406"/>
    <m/>
  </r>
  <r>
    <d v="2026-07-18T00:00:00"/>
    <x v="0"/>
    <n v="1826"/>
    <s v="Crinkle"/>
    <x v="146"/>
    <n v="2492"/>
    <n v="2582"/>
    <n v="5.256440213658081"/>
    <n v="2361.0095098756401"/>
    <n v="23610.095098756399"/>
    <m/>
  </r>
  <r>
    <d v="2026-07-18T00:00:00"/>
    <x v="40"/>
    <n v="1827"/>
    <s v="super kataan"/>
    <x v="147"/>
    <n v="7310"/>
    <n v="7534"/>
    <n v="5.7568622113788166"/>
    <n v="6889.1733723482084"/>
    <n v="103337.60058522313"/>
    <m/>
  </r>
  <r>
    <d v="2026-08-01T00:00:00"/>
    <x v="0"/>
    <n v="1828"/>
    <s v="Crinkle"/>
    <x v="141"/>
    <m/>
    <n v="1311"/>
    <e v="#DIV/0!"/>
    <n v="1198.7929773226044"/>
    <n v="11987.929773226044"/>
    <m/>
  </r>
  <r>
    <d v="2026-08-01T00:00:00"/>
    <x v="0"/>
    <n v="1829"/>
    <s v="Crinkle"/>
    <x v="148"/>
    <n v="13467"/>
    <n v="13975"/>
    <n v="5.1095612135742243"/>
    <n v="12778.89539136796"/>
    <n v="127788.95391367959"/>
    <m/>
  </r>
  <r>
    <d v="2026-08-04T00:00:00"/>
    <x v="31"/>
    <n v="1830"/>
    <s v="Silky"/>
    <x v="149"/>
    <n v="28109"/>
    <n v="29828"/>
    <n v="2.966826053338238"/>
    <n v="27275.054864667156"/>
    <n v="354575.71324067301"/>
    <m/>
  </r>
  <r>
    <d v="2026-08-04T00:00:00"/>
    <x v="31"/>
    <n v="1831"/>
    <s v="Silky"/>
    <x v="150"/>
    <n v="46027"/>
    <n v="29491"/>
    <n v="3.192854154543582"/>
    <n v="26966.898317483541"/>
    <n v="350569.67812728602"/>
    <m/>
  </r>
  <r>
    <d v="2026-08-05T00:00:00"/>
    <x v="31"/>
    <n v="1832"/>
    <s v="super kataan"/>
    <x v="151"/>
    <n v="8855"/>
    <n v="9093"/>
    <n v="6.1011823010487092"/>
    <n v="8314.7403072421366"/>
    <n v="133035.84491587419"/>
    <n v="133035.84491587419"/>
  </r>
  <r>
    <d v="2026-08-05T00:00:00"/>
    <x v="31"/>
    <n v="1833"/>
    <s v="Silky"/>
    <x v="150"/>
    <n v="46027"/>
    <n v="19237"/>
    <n v="3.192854154543582"/>
    <n v="17590.526700804683"/>
    <n v="228676.84711046089"/>
    <m/>
  </r>
  <r>
    <d v="2026-08-05T00:00:00"/>
    <x v="0"/>
    <n v="1834"/>
    <s v="Silky"/>
    <x v="152"/>
    <n v="40084"/>
    <n v="37597"/>
    <n v="2.3311105201388642"/>
    <n v="34379.114850036582"/>
    <n v="412549.37820043898"/>
    <m/>
  </r>
  <r>
    <d v="2026-08-05T00:00:00"/>
    <x v="0"/>
    <n v="1835"/>
    <s v="Silky"/>
    <x v="152"/>
    <n v="40084"/>
    <n v="5217"/>
    <n v="2.3311105201388642"/>
    <n v="4770.4828090709589"/>
    <n v="57245.793708851503"/>
    <m/>
  </r>
  <r>
    <d v="2026-08-05T00:00:00"/>
    <x v="33"/>
    <n v="1836"/>
    <s v="Satin"/>
    <x v="153"/>
    <n v="15066"/>
    <n v="3752"/>
    <n v="6.9444359473279746"/>
    <n v="3430.8705193855162"/>
    <n v="51463.057790782746"/>
    <m/>
  </r>
  <r>
    <d v="2026-08-07T00:00:00"/>
    <x v="17"/>
    <n v="1837"/>
    <s v="Kataan"/>
    <x v="154"/>
    <n v="21375"/>
    <n v="22868"/>
    <n v="2.1719135683637205"/>
    <n v="20910.753474762256"/>
    <n v="230018.28822238481"/>
    <m/>
  </r>
  <r>
    <d v="2026-08-07T00:00:00"/>
    <x v="33"/>
    <n v="1838"/>
    <s v="Satin"/>
    <x v="153"/>
    <n v="15066"/>
    <n v="11580"/>
    <n v="6.9444359473279746"/>
    <n v="10588.880760790053"/>
    <n v="158833.21141185079"/>
    <m/>
  </r>
  <r>
    <d v="2026-09-01T00:00:00"/>
    <x v="31"/>
    <n v="1839"/>
    <s v="Silky"/>
    <x v="155"/>
    <n v="24824"/>
    <n v="26279"/>
    <n v="3.1992837476345528"/>
    <n v="24029.809802487202"/>
    <n v="312387.52743233362"/>
    <m/>
  </r>
  <r>
    <d v="2026-09-01T00:00:00"/>
    <x v="31"/>
    <n v="1840"/>
    <s v="Silky"/>
    <x v="156"/>
    <n v="52998"/>
    <n v="23318"/>
    <n v="59.767843166874414"/>
    <n v="21322.238478419898"/>
    <n v="277189.10021945869"/>
    <m/>
  </r>
  <r>
    <d v="2026-09-01T00:00:00"/>
    <x v="0"/>
    <n v="1841"/>
    <s v="Chamki"/>
    <x v="157"/>
    <n v="7917"/>
    <n v="4180"/>
    <n v="3.4422513977542621"/>
    <n v="3822.238478419898"/>
    <n v="38222.384784198977"/>
    <m/>
  </r>
  <r>
    <d v="2026-09-01T00:00:00"/>
    <x v="0"/>
    <n v="1842"/>
    <s v="Silky"/>
    <x v="158"/>
    <m/>
    <n v="22541"/>
    <e v="#DIV/0!"/>
    <n v="20611.741038771033"/>
    <n v="247340.8924652524"/>
    <m/>
  </r>
  <r>
    <d v="2026-09-01T00:00:00"/>
    <x v="42"/>
    <n v="1843"/>
    <s v="Chamki"/>
    <x v="159"/>
    <n v="50645"/>
    <n v="53747"/>
    <n v="-10.660988247943877"/>
    <n v="49146.854425749822"/>
    <n v="491468.54425749823"/>
    <m/>
  </r>
  <r>
    <d v="2026-09-01T00:00:00"/>
    <x v="2"/>
    <n v="1844"/>
    <s v="Chamki"/>
    <x v="160"/>
    <n v="30026"/>
    <n v="23007"/>
    <n v="29.934534668831986"/>
    <n v="21037.856620336504"/>
    <n v="210378.56620336504"/>
    <m/>
  </r>
  <r>
    <d v="2026-09-01T00:00:00"/>
    <x v="0"/>
    <n v="1845"/>
    <s v="Chamki"/>
    <x v="161"/>
    <n v="55950"/>
    <n v="7686"/>
    <n v="-54.361422343206698"/>
    <n v="7028.1638624725683"/>
    <n v="70281.638624725689"/>
    <m/>
  </r>
  <r>
    <d v="2026-09-01T00:00:00"/>
    <x v="0"/>
    <n v="1846"/>
    <s v="Silky"/>
    <x v="162"/>
    <m/>
    <n v="9103"/>
    <n v="5.9334469576428575"/>
    <n v="8323.8844184345289"/>
    <n v="99886.613021214347"/>
    <m/>
  </r>
  <r>
    <d v="2026-09-01T00:00:00"/>
    <x v="0"/>
    <n v="1847"/>
    <s v="Chamki"/>
    <x v="161"/>
    <n v="55950"/>
    <n v="25142"/>
    <n v="-54.361422343206698"/>
    <n v="22990.124359912217"/>
    <n v="229901.24359912216"/>
    <m/>
  </r>
  <r>
    <d v="2026-09-01T00:00:00"/>
    <x v="0"/>
    <n v="1848"/>
    <s v="Chamki"/>
    <x v="99"/>
    <n v="52646"/>
    <n v="12683"/>
    <n v="2.2400269056344229"/>
    <n v="11597.4762253109"/>
    <n v="115974.762253109"/>
    <m/>
  </r>
  <r>
    <d v="2026-09-01T00:00:00"/>
    <x v="0"/>
    <n v="1849"/>
    <s v="Chamki"/>
    <x v="159"/>
    <n v="50645"/>
    <n v="3159"/>
    <n v="-10.660988247943877"/>
    <n v="2888.6247256766646"/>
    <n v="28886.247256766648"/>
    <m/>
  </r>
  <r>
    <d v="2026-09-01T00:00:00"/>
    <x v="0"/>
    <n v="1850"/>
    <s v="Chamki"/>
    <x v="163"/>
    <n v="2007"/>
    <n v="2140"/>
    <n v="2.4992628215291859"/>
    <n v="1956.8397951719094"/>
    <n v="19568.397951719093"/>
    <m/>
  </r>
  <r>
    <d v="2026-09-01T00:00:00"/>
    <x v="0"/>
    <n v="1851"/>
    <s v="Silky"/>
    <x v="162"/>
    <m/>
    <n v="2035"/>
    <n v="5.9334469576428575"/>
    <n v="1860.8266276517925"/>
    <n v="22329.91953182151"/>
    <m/>
  </r>
  <r>
    <d v="2026-09-01T00:00:00"/>
    <x v="4"/>
    <n v="1852"/>
    <s v="super kataan"/>
    <x v="164"/>
    <n v="25044"/>
    <n v="17178"/>
    <n v="6.0979669198450637"/>
    <n v="15707.754206291151"/>
    <n v="235616.31309436727"/>
    <m/>
  </r>
  <r>
    <d v="2026-09-01T00:00:00"/>
    <x v="0"/>
    <n v="1853"/>
    <s v="Chamki"/>
    <x v="99"/>
    <m/>
    <n v="16246"/>
    <n v="2.2400269056344229"/>
    <n v="14855.523043160207"/>
    <n v="148555.23043160207"/>
    <m/>
  </r>
  <r>
    <d v="2026-09-01T00:00:00"/>
    <x v="0"/>
    <n v="1854"/>
    <s v="Silky"/>
    <x v="162"/>
    <m/>
    <n v="1044"/>
    <n v="5.9334469576428575"/>
    <n v="954.64520848573522"/>
    <n v="11455.742501828823"/>
    <m/>
  </r>
  <r>
    <d v="2026-09-01T00:00:00"/>
    <x v="0"/>
    <n v="1855"/>
    <s v="Chamki"/>
    <x v="99"/>
    <m/>
    <n v="20441"/>
    <n v="2.2400269056344229"/>
    <n v="18691.477688368694"/>
    <n v="186914.77688368695"/>
    <m/>
  </r>
  <r>
    <d v="2026-09-01T00:00:00"/>
    <x v="43"/>
    <n v="1856"/>
    <s v="Silky"/>
    <x v="165"/>
    <n v="33339"/>
    <n v="35292"/>
    <n v="3.2022639545571252"/>
    <n v="32271.3972201902"/>
    <n v="387256.76664228237"/>
    <m/>
  </r>
  <r>
    <d v="2026-09-01T00:00:00"/>
    <x v="0"/>
    <n v="1857"/>
    <s v="Silky"/>
    <x v="162"/>
    <m/>
    <n v="16195"/>
    <n v="5.9334469576428575"/>
    <n v="14808.888076079007"/>
    <n v="177706.65691294809"/>
    <m/>
  </r>
  <r>
    <d v="2026-09-01T00:00:00"/>
    <x v="0"/>
    <n v="1858"/>
    <s v="Silky"/>
    <x v="162"/>
    <n v="45382"/>
    <n v="18308"/>
    <n v="5.9334469576428575"/>
    <n v="16741.038771031457"/>
    <n v="200892.4652523775"/>
    <m/>
  </r>
  <r>
    <d v="2026-09-01T00:00:00"/>
    <x v="44"/>
    <n v="1859"/>
    <s v="Silky"/>
    <x v="166"/>
    <n v="21723"/>
    <n v="22990"/>
    <n v="3.225559861393748"/>
    <n v="21022.31163130944"/>
    <n v="252267.73957571329"/>
    <m/>
  </r>
  <r>
    <d v="2026-09-01T00:00:00"/>
    <x v="44"/>
    <n v="1860"/>
    <s v="Silky"/>
    <x v="167"/>
    <n v="3281"/>
    <n v="3564"/>
    <n v="0.67170896164142846"/>
    <n v="3258.9612289685447"/>
    <n v="39107.534747622536"/>
    <m/>
  </r>
  <r>
    <d v="2026-09-01T00:00:00"/>
    <x v="4"/>
    <n v="1861"/>
    <s v="super kataan"/>
    <x v="168"/>
    <n v="15382"/>
    <n v="10269"/>
    <n v="6.4544703396943959"/>
    <n v="9390.0877834674484"/>
    <n v="140851.31675201171"/>
    <m/>
  </r>
  <r>
    <d v="2026-09-01T00:00:00"/>
    <x v="4"/>
    <n v="1862"/>
    <s v="super kataan"/>
    <x v="169"/>
    <n v="14134"/>
    <n v="7050"/>
    <n v="5.2593998150630199"/>
    <n v="6446.5983906364308"/>
    <n v="96698.975859546466"/>
    <m/>
  </r>
  <r>
    <d v="2026-09-01T00:00:00"/>
    <x v="4"/>
    <n v="1863"/>
    <s v="super kataan"/>
    <x v="164"/>
    <n v="25044"/>
    <n v="8540"/>
    <n v="6.0979669198450637"/>
    <n v="7809.0709583028538"/>
    <n v="117136.06437454281"/>
    <m/>
  </r>
  <r>
    <d v="2026-09-01T00:00:00"/>
    <x v="8"/>
    <n v="1864"/>
    <s v="Silky"/>
    <x v="170"/>
    <n v="50416"/>
    <n v="38700"/>
    <n v="2.6896513618254119"/>
    <n v="35387.710314557429"/>
    <n v="389264.8134601317"/>
    <m/>
  </r>
  <r>
    <d v="2026-09-01T00:00:00"/>
    <x v="8"/>
    <n v="1865"/>
    <s v="Silky"/>
    <x v="170"/>
    <n v="50416"/>
    <n v="14952"/>
    <n v="2.6896513618254119"/>
    <n v="13672.275054864669"/>
    <n v="150395.02560351137"/>
    <m/>
  </r>
  <r>
    <d v="2026-09-01T00:00:00"/>
    <x v="45"/>
    <n v="1866"/>
    <s v="Custom"/>
    <x v="171"/>
    <m/>
    <n v="8229"/>
    <e v="#DIV/0!"/>
    <n v="7524.6891002194598"/>
    <n v="106977"/>
    <m/>
  </r>
  <r>
    <d v="2026-09-01T00:00:00"/>
    <x v="0"/>
    <s v="1867-a"/>
    <s v="Chamki"/>
    <x v="157"/>
    <m/>
    <n v="4180"/>
    <n v="3.4422513977542621"/>
    <n v="3822.238478419898"/>
    <n v="38222.384784198977"/>
    <m/>
  </r>
  <r>
    <d v="2026-09-01T00:00:00"/>
    <x v="0"/>
    <s v="1867-b"/>
    <s v="Chamki"/>
    <x v="172"/>
    <n v="9937"/>
    <n v="10619"/>
    <n v="2.2830665673626811"/>
    <n v="9710.1316752011717"/>
    <n v="97101.316752011713"/>
    <m/>
  </r>
  <r>
    <d v="2026-09-01T00:00:00"/>
    <x v="0"/>
    <n v="1868"/>
    <s v="Chamki"/>
    <x v="159"/>
    <m/>
    <n v="4384"/>
    <n v="-10.660988247943877"/>
    <n v="4008.7783467446966"/>
    <n v="40087.783467446963"/>
    <m/>
  </r>
  <r>
    <d v="2026-09-01T00:00:00"/>
    <x v="46"/>
    <n v="1869"/>
    <s v="Chamki"/>
    <x v="173"/>
    <n v="52646"/>
    <n v="12905"/>
    <n v="2.6221460528300895"/>
    <n v="11800.475493782005"/>
    <n v="118004.75493782005"/>
    <m/>
  </r>
  <r>
    <d v="2026-09-01T00:00:00"/>
    <x v="46"/>
    <n v="1870"/>
    <s v="Chamki"/>
    <x v="173"/>
    <m/>
    <n v="29995"/>
    <n v="2.6221460528300895"/>
    <n v="27427.761521580105"/>
    <n v="274277.61521580105"/>
    <m/>
  </r>
  <r>
    <d v="2026-09-01T00:00:00"/>
    <x v="46"/>
    <n v="1871"/>
    <s v="Chamki"/>
    <x v="161"/>
    <n v="55950"/>
    <n v="18433"/>
    <n v="-54.361422343206698"/>
    <n v="16855.340160936357"/>
    <n v="168553.40160936356"/>
    <m/>
  </r>
  <r>
    <d v="2026-09-01T00:00:00"/>
    <x v="46"/>
    <n v="1872"/>
    <s v="Chamki"/>
    <x v="161"/>
    <n v="55950"/>
    <n v="25650"/>
    <n v="-54.361422343206698"/>
    <n v="23454.645208485737"/>
    <n v="234546.45208485739"/>
    <m/>
  </r>
  <r>
    <d v="2026-09-01T00:00:00"/>
    <x v="0"/>
    <s v="1873-a"/>
    <s v="Chamki"/>
    <x v="161"/>
    <m/>
    <n v="2206"/>
    <n v="-54.361422343206698"/>
    <n v="2017.1909290416972"/>
    <n v="20171.909290416974"/>
    <m/>
  </r>
  <r>
    <d v="2026-09-01T00:00:00"/>
    <x v="0"/>
    <s v="1873-b"/>
    <s v="Chamki"/>
    <x v="173"/>
    <m/>
    <n v="13164"/>
    <n v="2.6221460528300895"/>
    <n v="12037.307973664962"/>
    <n v="120373.07973664961"/>
    <m/>
  </r>
  <r>
    <d v="2026-09-01T00:00:00"/>
    <x v="18"/>
    <n v="1874"/>
    <s v="Silky"/>
    <x v="174"/>
    <n v="2056"/>
    <n v="2165"/>
    <n v="3.7110859361434905"/>
    <n v="1979.7000731528897"/>
    <n v="23756.400877834676"/>
    <m/>
  </r>
  <r>
    <d v="2026-09-01T00:00:00"/>
    <x v="36"/>
    <n v="1875"/>
    <m/>
    <x v="0"/>
    <m/>
    <m/>
    <e v="#DIV/0!"/>
    <m/>
    <m/>
    <m/>
  </r>
  <r>
    <d v="2026-09-12T00:00:00"/>
    <x v="47"/>
    <n v="1876"/>
    <s v="Silky"/>
    <x v="175"/>
    <n v="26349"/>
    <n v="28033"/>
    <n v="2.7147637267722615"/>
    <n v="25633.686905632774"/>
    <n v="307604.2428675933"/>
    <n v="12"/>
  </r>
  <r>
    <d v="2026-09-12T00:00:00"/>
    <x v="33"/>
    <n v="1877"/>
    <s v="Satin"/>
    <x v="176"/>
    <n v="9961"/>
    <n v="9950"/>
    <n v="8.6598671174566846"/>
    <n v="9098.3906364301401"/>
    <n v="136475.85954645209"/>
    <n v="14.999999999999998"/>
  </r>
  <r>
    <d v="2026-09-12T00:00:00"/>
    <x v="46"/>
    <n v="1878"/>
    <s v="Chamki"/>
    <x v="161"/>
    <n v="55950"/>
    <n v="15332"/>
    <n v="-54.361422343206698"/>
    <n v="14019.751280175567"/>
    <n v="140197.51280175569"/>
    <n v="10"/>
  </r>
  <r>
    <d v="2026-09-12T00:00:00"/>
    <x v="4"/>
    <n v="1879"/>
    <s v="Silky"/>
    <x v="177"/>
    <n v="25204"/>
    <n v="24082"/>
    <n v="12.629548589435586"/>
    <n v="22020.848573518655"/>
    <n v="242229.33430870521"/>
    <n v="11"/>
  </r>
  <r>
    <d v="2026-09-14T00:00:00"/>
    <x v="4"/>
    <n v="1880"/>
    <s v="Silky"/>
    <x v="178"/>
    <n v="45382"/>
    <n v="40303"/>
    <n v="8.4037392148974277"/>
    <n v="36853.511338697885"/>
    <n v="405388.62472567672"/>
    <n v="11"/>
  </r>
  <r>
    <d v="2026-09-14T00:00:00"/>
    <x v="4"/>
    <n v="1881"/>
    <s v="Silky"/>
    <x v="178"/>
    <n v="45382"/>
    <n v="5156"/>
    <n v="8.4037392148974277"/>
    <n v="4714.7037307973669"/>
    <n v="51861.741038771033"/>
    <n v="11"/>
  </r>
  <r>
    <d v="2026-09-14T00:00:00"/>
    <x v="4"/>
    <n v="1882"/>
    <s v="Silky"/>
    <x v="177"/>
    <n v="25204"/>
    <n v="2703"/>
    <n v="12.629548589435586"/>
    <n v="2471.6532553035845"/>
    <n v="27188.185808339429"/>
    <n v="11"/>
  </r>
  <r>
    <d v="2026-09-14T00:00:00"/>
    <x v="4"/>
    <n v="1883"/>
    <s v="Silky"/>
    <x v="179"/>
    <n v="2643"/>
    <n v="2811"/>
    <n v="2.7465131978274968"/>
    <n v="2570.4096561814195"/>
    <n v="28274.506217995615"/>
    <n v="11"/>
  </r>
  <r>
    <d v="2026-09-14T00:00:00"/>
    <x v="31"/>
    <n v="1884"/>
    <s v="Silky"/>
    <x v="180"/>
    <n v="47453"/>
    <n v="38834"/>
    <n v="2.500454343990242"/>
    <n v="35510.241404535482"/>
    <n v="461633.13825896126"/>
    <n v="13"/>
  </r>
  <r>
    <d v="2026-09-14T00:00:00"/>
    <x v="31"/>
    <n v="1885"/>
    <s v="Silky"/>
    <x v="180"/>
    <n v="47453"/>
    <n v="11763"/>
    <n v="2.500454343990242"/>
    <n v="10756.217995610828"/>
    <n v="139830.83394294078"/>
    <n v="13"/>
  </r>
  <r>
    <d v="2026-09-14T00:00:00"/>
    <x v="4"/>
    <n v="1886"/>
    <s v="Silky"/>
    <x v="181"/>
    <n v="32210"/>
    <n v="34147"/>
    <n v="3.0599301811198245"/>
    <n v="31224.396488661303"/>
    <n v="343468.36137527431"/>
    <n v="11"/>
  </r>
  <r>
    <d v="2026-09-15T00:00:00"/>
    <x v="17"/>
    <n v="1887"/>
    <s v="Chamki"/>
    <x v="182"/>
    <n v="42978"/>
    <n v="42500"/>
    <n v="2.3930278137232932"/>
    <n v="38862.472567666424"/>
    <n v="388624.72567666427"/>
    <n v="10"/>
  </r>
  <r>
    <d v="2026-09-15T00:00:00"/>
    <x v="17"/>
    <n v="1888"/>
    <s v="Silky"/>
    <x v="183"/>
    <n v="10305"/>
    <n v="10853"/>
    <n v="3.696226326024771"/>
    <n v="9924.1038771031472"/>
    <n v="119089.24652523777"/>
    <n v="12"/>
  </r>
  <r>
    <d v="2026-09-15T00:00:00"/>
    <x v="17"/>
    <n v="1889"/>
    <s v="Kataan"/>
    <x v="184"/>
    <n v="37255"/>
    <n v="39253"/>
    <n v="3.6548660220192914"/>
    <n v="35893.379663496715"/>
    <n v="394827.17629846383"/>
    <n v="11"/>
  </r>
  <r>
    <d v="2026-09-15T00:00:00"/>
    <x v="0"/>
    <n v="1890"/>
    <s v="Silky"/>
    <x v="185"/>
    <n v="52169"/>
    <n v="39357"/>
    <n v="31.015586996305103"/>
    <n v="35988.47841989759"/>
    <n v="431861.74103877111"/>
    <n v="12"/>
  </r>
  <r>
    <d v="2026-09-15T00:00:00"/>
    <x v="4"/>
    <n v="1891"/>
    <s v="super kataan"/>
    <x v="168"/>
    <n v="15382"/>
    <n v="5467"/>
    <n v="6.4544703396943959"/>
    <n v="4999.085588880761"/>
    <n v="74986.283833211419"/>
    <n v="15.000000000000002"/>
  </r>
  <r>
    <d v="2026-09-15T00:00:00"/>
    <x v="4"/>
    <n v="1892"/>
    <s v="super kataan"/>
    <x v="169"/>
    <n v="14134"/>
    <n v="7594"/>
    <n v="5.2593998150630199"/>
    <n v="6944.0380395025613"/>
    <n v="104160.57059253842"/>
    <n v="15"/>
  </r>
  <r>
    <d v="2026-09-15T00:00:00"/>
    <x v="4"/>
    <n v="1893"/>
    <s v="super kataan"/>
    <x v="186"/>
    <n v="10736"/>
    <n v="10564"/>
    <n v="10.023853729107529"/>
    <n v="9659.839063643014"/>
    <n v="144897.58595464521"/>
    <n v="15"/>
  </r>
  <r>
    <d v="2026-09-15T00:00:00"/>
    <x v="17"/>
    <n v="1894"/>
    <s v="Chamki"/>
    <x v="182"/>
    <n v="42978"/>
    <n v="3376"/>
    <n v="2.3930278137232932"/>
    <n v="3087.0519385515731"/>
    <n v="30870.51938551573"/>
    <n v="10"/>
  </r>
  <r>
    <d v="2026-09-17T00:00:00"/>
    <x v="0"/>
    <n v="1895"/>
    <s v="Silky"/>
    <x v="187"/>
    <n v="52169"/>
    <n v="15828"/>
    <n v="72.256897400145263"/>
    <n v="14473.299195318215"/>
    <n v="173679.59034381859"/>
    <n v="12"/>
  </r>
  <r>
    <d v="2026-09-15T00:00:00"/>
    <x v="0"/>
    <n v="1896"/>
    <s v="Custom"/>
    <x v="188"/>
    <n v="1567"/>
    <n v="1641"/>
    <n v="4.2406734734177576"/>
    <n v="1500.5486466715436"/>
    <n v="18006.583760058522"/>
    <n v="12"/>
  </r>
  <r>
    <d v="2026-09-15T00:00:00"/>
    <x v="18"/>
    <n v="1897"/>
    <s v="super kataan"/>
    <x v="189"/>
    <n v="27476"/>
    <n v="6754"/>
    <n v="77.522446137204739"/>
    <n v="6175.9326993416244"/>
    <n v="92638.990490124372"/>
    <n v="15.000000000000002"/>
  </r>
  <r>
    <d v="2026-09-15T00:00:00"/>
    <x v="17"/>
    <n v="1898"/>
    <s v="Kataan"/>
    <x v="190"/>
    <n v="49260"/>
    <n v="41188"/>
    <n v="3.2016195212183476"/>
    <n v="37662.765179224582"/>
    <n v="451953.18215069501"/>
    <n v="12"/>
  </r>
  <r>
    <d v="2026-09-15T00:00:00"/>
    <x v="17"/>
    <n v="1899"/>
    <s v="Kataan"/>
    <x v="190"/>
    <n v="49260"/>
    <n v="10958"/>
    <n v="3.2016195212183476"/>
    <n v="10020.117044623263"/>
    <n v="120241.40453547915"/>
    <n v="12"/>
  </r>
  <r>
    <d v="2026-09-15T00:00:00"/>
    <x v="18"/>
    <n v="1900"/>
    <m/>
    <x v="0"/>
    <m/>
    <m/>
    <e v="#DIV/0!"/>
    <m/>
    <m/>
    <m/>
  </r>
  <r>
    <d v="2026-09-15T00:00:00"/>
    <x v="18"/>
    <n v="1901"/>
    <s v="super kataan"/>
    <x v="0"/>
    <n v="27467"/>
    <n v="20953"/>
    <e v="#DIV/0!"/>
    <m/>
    <m/>
    <m/>
  </r>
  <r>
    <d v="2026-09-15T00:00:00"/>
    <x v="18"/>
    <n v="1902"/>
    <s v="super kataan"/>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7">
      <pivotArea field="0" grandRow="1" outline="0" collapsedLevelsAreSubtotals="1" axis="axisRow" fieldPosition="0">
        <references count="1">
          <reference field="4294967294" count="1" selected="0">
            <x v="1"/>
          </reference>
        </references>
      </pivotArea>
    </format>
    <format dxfId="126">
      <pivotArea field="0" grandRow="1" outline="0" collapsedLevelsAreSubtotals="1" axis="axisRow" fieldPosition="0">
        <references count="1">
          <reference field="4294967294" count="1" selected="0">
            <x v="0"/>
          </reference>
        </references>
      </pivotArea>
    </format>
    <format dxfId="125">
      <pivotArea collapsedLevelsAreSubtotals="1" fieldPosition="0">
        <references count="2">
          <reference field="4294967294" count="1" selected="0">
            <x v="1"/>
          </reference>
          <reference field="0" count="0"/>
        </references>
      </pivotArea>
    </format>
    <format dxfId="124">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17" firstHeaderRow="0" firstDataRow="1" firstDataCol="1" rowPageCount="1" colPageCount="1"/>
  <pivotFields count="9">
    <pivotField axis="axisRow" numFmtId="14" showAll="0">
      <items count="5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0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5">
      <pivotArea dataOnly="0" labelOnly="1" outline="0" fieldPosition="0">
        <references count="1">
          <reference field="1" count="1">
            <x v="1"/>
          </reference>
        </references>
      </pivotArea>
    </format>
    <format dxfId="8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27" firstHeaderRow="0" firstDataRow="1" firstDataCol="1"/>
  <pivotFields count="7">
    <pivotField axis="axisRow" numFmtId="14" showAll="0">
      <items count="1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t="default"/>
      </items>
    </pivotField>
    <pivotField showAll="0"/>
    <pivotField dataField="1" showAll="0"/>
    <pivotField dataField="1" showAll="0"/>
    <pivotField showAll="0"/>
    <pivotField showAll="0"/>
    <pivotField showAll="0"/>
  </pivotFields>
  <rowFields count="1">
    <field x="0"/>
  </rowFields>
  <rowItems count="1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t="grand">
      <x/>
    </i>
  </rowItems>
  <colFields count="1">
    <field x="-2"/>
  </colFields>
  <colItems count="2">
    <i>
      <x/>
    </i>
    <i i="1">
      <x v="1"/>
    </i>
  </colItems>
  <dataFields count="2">
    <dataField name="Sum of Credit" fld="3" baseField="0" baseItem="0"/>
    <dataField name="Sum of Debit" fld="2" baseField="0" baseItem="0"/>
  </dataFields>
  <formats count="1">
    <format dxfId="14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9">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95" firstHeaderRow="0" firstDataRow="1" firstDataCol="1" rowPageCount="1" colPageCount="1"/>
  <pivotFields count="14">
    <pivotField showAll="0"/>
    <pivotField axis="axisPage" multipleItemSelectionAllowed="1" showAll="0">
      <items count="58">
        <item m="1" x="54"/>
        <item x="2"/>
        <item x="0"/>
        <item x="1"/>
        <item m="1" x="56"/>
        <item m="1" x="52"/>
        <item x="6"/>
        <item m="1" x="55"/>
        <item x="3"/>
        <item x="4"/>
        <item m="1" x="53"/>
        <item m="1" x="51"/>
        <item x="36"/>
        <item x="5"/>
        <item x="10"/>
        <item x="8"/>
        <item x="9"/>
        <item x="7"/>
        <item x="11"/>
        <item m="1" x="50"/>
        <item x="13"/>
        <item x="14"/>
        <item x="15"/>
        <item x="16"/>
        <item x="17"/>
        <item x="18"/>
        <item x="19"/>
        <item x="20"/>
        <item x="21"/>
        <item x="22"/>
        <item x="23"/>
        <item x="24"/>
        <item x="25"/>
        <item x="12"/>
        <item x="27"/>
        <item x="26"/>
        <item x="28"/>
        <item x="29"/>
        <item x="30"/>
        <item x="31"/>
        <item x="32"/>
        <item m="1" x="49"/>
        <item x="33"/>
        <item x="34"/>
        <item x="35"/>
        <item x="37"/>
        <item x="38"/>
        <item x="39"/>
        <item x="41"/>
        <item x="40"/>
        <item x="42"/>
        <item x="43"/>
        <item x="44"/>
        <item m="1" x="48"/>
        <item x="46"/>
        <item x="45"/>
        <item x="47"/>
        <item t="default"/>
      </items>
    </pivotField>
    <pivotField showAll="0"/>
    <pivotField showAll="0"/>
    <pivotField axis="axisRow" showAll="0">
      <items count="680">
        <item m="1" x="662"/>
        <item m="1" x="663"/>
        <item m="1" x="661"/>
        <item m="1" x="660"/>
        <item m="1" x="664"/>
        <item m="1" x="666"/>
        <item m="1" x="665"/>
        <item m="1" x="667"/>
        <item m="1" x="668"/>
        <item m="1" x="669"/>
        <item m="1" x="670"/>
        <item m="1" x="671"/>
        <item m="1" x="672"/>
        <item m="1" x="673"/>
        <item m="1" x="598"/>
        <item m="1" x="620"/>
        <item m="1" x="674"/>
        <item m="1" x="675"/>
        <item m="1" x="676"/>
        <item m="1" x="628"/>
        <item m="1" x="627"/>
        <item m="1" x="677"/>
        <item m="1" x="678"/>
        <item m="1" x="637"/>
        <item m="1" x="629"/>
        <item m="1" x="630"/>
        <item m="1" x="631"/>
        <item m="1" x="632"/>
        <item m="1" x="633"/>
        <item m="1" x="634"/>
        <item m="1" x="635"/>
        <item m="1" x="636"/>
        <item m="1" x="638"/>
        <item m="1" x="658"/>
        <item m="1" x="639"/>
        <item m="1" x="659"/>
        <item m="1" x="640"/>
        <item m="1" x="641"/>
        <item m="1" x="642"/>
        <item m="1" x="643"/>
        <item m="1" x="644"/>
        <item m="1" x="575"/>
        <item m="1" x="645"/>
        <item m="1" x="646"/>
        <item m="1" x="647"/>
        <item m="1" x="648"/>
        <item m="1" x="649"/>
        <item m="1" x="650"/>
        <item m="1" x="651"/>
        <item m="1" x="652"/>
        <item m="1" x="653"/>
        <item m="1" x="654"/>
        <item m="1" x="655"/>
        <item m="1" x="656"/>
        <item m="1" x="657"/>
        <item x="0"/>
        <item m="1" x="574"/>
        <item m="1" x="576"/>
        <item m="1" x="577"/>
        <item m="1" x="578"/>
        <item m="1" x="579"/>
        <item m="1" x="580"/>
        <item m="1" x="581"/>
        <item m="1" x="582"/>
        <item m="1" x="583"/>
        <item m="1" x="584"/>
        <item m="1" x="585"/>
        <item m="1" x="586"/>
        <item m="1" x="587"/>
        <item m="1" x="588"/>
        <item m="1" x="313"/>
        <item m="1" x="589"/>
        <item m="1" x="590"/>
        <item m="1" x="591"/>
        <item m="1" x="592"/>
        <item m="1" x="593"/>
        <item m="1" x="594"/>
        <item m="1" x="595"/>
        <item m="1" x="596"/>
        <item m="1" x="597"/>
        <item m="1" x="599"/>
        <item m="1" x="600"/>
        <item m="1" x="601"/>
        <item m="1" x="602"/>
        <item m="1" x="603"/>
        <item m="1" x="604"/>
        <item m="1" x="605"/>
        <item m="1" x="606"/>
        <item m="1" x="607"/>
        <item m="1" x="608"/>
        <item m="1" x="609"/>
        <item m="1" x="610"/>
        <item m="1" x="611"/>
        <item m="1" x="612"/>
        <item m="1" x="613"/>
        <item m="1" x="614"/>
        <item m="1" x="615"/>
        <item m="1" x="616"/>
        <item m="1" x="617"/>
        <item m="1" x="618"/>
        <item m="1" x="619"/>
        <item m="1" x="621"/>
        <item m="1" x="622"/>
        <item m="1" x="623"/>
        <item m="1" x="624"/>
        <item m="1" x="625"/>
        <item m="1" x="626"/>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329"/>
        <item m="1" x="543"/>
        <item m="1" x="544"/>
        <item m="1" x="545"/>
        <item m="1" x="546"/>
        <item m="1" x="547"/>
        <item m="1" x="548"/>
        <item m="1" x="549"/>
        <item m="1" x="550"/>
        <item m="1" x="551"/>
        <item m="1" x="552"/>
        <item m="1" x="553"/>
        <item m="1" x="573"/>
        <item m="1" x="554"/>
        <item m="1" x="555"/>
        <item m="1" x="556"/>
        <item m="1" x="557"/>
        <item m="1" x="558"/>
        <item m="1" x="559"/>
        <item m="1" x="560"/>
        <item m="1" x="561"/>
        <item m="1" x="562"/>
        <item m="1" x="563"/>
        <item m="1" x="564"/>
        <item m="1" x="565"/>
        <item m="1" x="566"/>
        <item m="1" x="567"/>
        <item m="1" x="568"/>
        <item m="1" x="569"/>
        <item m="1" x="570"/>
        <item m="1" x="571"/>
        <item m="1" x="572"/>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369"/>
        <item m="1" x="492"/>
        <item m="1" x="360"/>
        <item m="1" x="361"/>
        <item m="1" x="362"/>
        <item m="1" x="363"/>
        <item m="1" x="364"/>
        <item m="1" x="365"/>
        <item m="1" x="366"/>
        <item m="1" x="367"/>
        <item m="1" x="368"/>
        <item m="1" x="370"/>
        <item m="1" x="371"/>
        <item m="1" x="372"/>
        <item m="1" x="373"/>
        <item m="1" x="374"/>
        <item m="1" x="375"/>
        <item m="1" x="376"/>
        <item m="1" x="377"/>
        <item m="1" x="378"/>
        <item m="1" x="379"/>
        <item m="1" x="380"/>
        <item m="1" x="381"/>
        <item m="1" x="382"/>
        <item m="1" x="383"/>
        <item m="1" x="310"/>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314"/>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311"/>
        <item m="1" x="435"/>
        <item m="1" x="436"/>
        <item m="1" x="308"/>
        <item m="1" x="317"/>
        <item m="1" x="309"/>
        <item m="1" x="312"/>
        <item m="1" x="315"/>
        <item m="1" x="316"/>
        <item m="1" x="318"/>
        <item m="1" x="319"/>
        <item m="1" x="320"/>
        <item m="1" x="321"/>
        <item m="1" x="322"/>
        <item m="1" x="323"/>
        <item m="1" x="324"/>
        <item m="1" x="325"/>
        <item m="1" x="326"/>
        <item m="1" x="327"/>
        <item m="1" x="234"/>
        <item m="1" x="328"/>
        <item m="1" x="330"/>
        <item m="1" x="331"/>
        <item m="1" x="332"/>
        <item m="1" x="289"/>
        <item m="1" x="265"/>
        <item m="1" x="333"/>
        <item m="1" x="334"/>
        <item m="1" x="335"/>
        <item m="1" x="257"/>
        <item m="1" x="336"/>
        <item m="1" x="337"/>
        <item m="1" x="338"/>
        <item m="1" x="339"/>
        <item m="1" x="304"/>
        <item m="1" x="340"/>
        <item m="1" x="341"/>
        <item m="1" x="342"/>
        <item m="1" x="343"/>
        <item m="1" x="344"/>
        <item m="1" x="345"/>
        <item m="1" x="346"/>
        <item m="1" x="347"/>
        <item m="1" x="348"/>
        <item m="1" x="349"/>
        <item m="1" x="350"/>
        <item m="1" x="351"/>
        <item m="1" x="359"/>
        <item m="1" x="352"/>
        <item m="1" x="353"/>
        <item m="1" x="254"/>
        <item m="1" x="255"/>
        <item m="1" x="354"/>
        <item m="1" x="266"/>
        <item m="1" x="355"/>
        <item m="1" x="356"/>
        <item m="1" x="357"/>
        <item m="1" x="358"/>
        <item m="1" x="253"/>
        <item m="1" x="251"/>
        <item m="1" x="250"/>
        <item m="1" x="252"/>
        <item m="1" x="256"/>
        <item m="1" x="203"/>
        <item m="1" x="199"/>
        <item m="1" x="258"/>
        <item m="1" x="259"/>
        <item m="1" x="260"/>
        <item m="1" x="261"/>
        <item m="1" x="262"/>
        <item m="1" x="263"/>
        <item m="1" x="264"/>
        <item m="1" x="267"/>
        <item m="1" x="268"/>
        <item m="1" x="269"/>
        <item m="1" x="270"/>
        <item m="1" x="271"/>
        <item m="1" x="272"/>
        <item m="1" x="273"/>
        <item m="1" x="274"/>
        <item m="1" x="275"/>
        <item m="1" x="276"/>
        <item m="1" x="277"/>
        <item m="1" x="278"/>
        <item m="1" x="279"/>
        <item m="1" x="280"/>
        <item m="1" x="192"/>
        <item m="1" x="281"/>
        <item m="1" x="282"/>
        <item m="1" x="283"/>
        <item m="1" x="200"/>
        <item m="1" x="284"/>
        <item m="1" x="285"/>
        <item m="1" x="286"/>
        <item m="1" x="287"/>
        <item m="1" x="288"/>
        <item m="1" x="290"/>
        <item m="1" x="291"/>
        <item m="1" x="292"/>
        <item m="1" x="293"/>
        <item m="1" x="198"/>
        <item m="1" x="294"/>
        <item m="1" x="295"/>
        <item m="1" x="296"/>
        <item m="1" x="297"/>
        <item m="1" x="298"/>
        <item m="1" x="299"/>
        <item m="1" x="205"/>
        <item m="1" x="300"/>
        <item m="1" x="245"/>
        <item m="1" x="301"/>
        <item m="1" x="197"/>
        <item m="1" x="302"/>
        <item m="1" x="303"/>
        <item m="1" x="209"/>
        <item m="1" x="305"/>
        <item m="1" x="306"/>
        <item m="1" x="307"/>
        <item m="1" x="191"/>
        <item m="1" x="193"/>
        <item m="1" x="194"/>
        <item m="1" x="195"/>
        <item m="1" x="196"/>
        <item m="1" x="201"/>
        <item m="1" x="202"/>
        <item m="1" x="204"/>
        <item m="1" x="206"/>
        <item m="1" x="207"/>
        <item m="1" x="208"/>
        <item m="1" x="210"/>
        <item m="1" x="211"/>
        <item m="1" x="212"/>
        <item m="1" x="213"/>
        <item m="1" x="214"/>
        <item m="1" x="215"/>
        <item m="1" x="216"/>
        <item m="1" x="217"/>
        <item x="84"/>
        <item m="1" x="218"/>
        <item m="1" x="219"/>
        <item m="1" x="220"/>
        <item m="1" x="221"/>
        <item m="1" x="222"/>
        <item m="1" x="223"/>
        <item m="1" x="224"/>
        <item m="1" x="225"/>
        <item m="1" x="226"/>
        <item m="1" x="227"/>
        <item m="1" x="228"/>
        <item m="1" x="229"/>
        <item m="1" x="230"/>
        <item m="1" x="231"/>
        <item m="1" x="232"/>
        <item m="1" x="233"/>
        <item m="1" x="235"/>
        <item m="1" x="236"/>
        <item x="16"/>
        <item m="1" x="237"/>
        <item m="1" x="238"/>
        <item m="1" x="239"/>
        <item m="1" x="240"/>
        <item m="1" x="241"/>
        <item m="1" x="242"/>
        <item m="1" x="243"/>
        <item m="1" x="244"/>
        <item m="1" x="249"/>
        <item m="1" x="246"/>
        <item m="1" x="247"/>
        <item m="1" x="248"/>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92">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2">
      <pivotArea type="all" dataOnly="0" outline="0" fieldPosition="0"/>
    </format>
    <format dxfId="31">
      <pivotArea outline="0" collapsedLevelsAreSubtotals="1" fieldPosition="0"/>
    </format>
    <format dxfId="30">
      <pivotArea field="4" type="button" dataOnly="0" labelOnly="1" outline="0" axis="axisRow" fieldPosition="0"/>
    </format>
    <format dxfId="29">
      <pivotArea dataOnly="0" labelOnly="1" fieldPosition="0">
        <references count="1">
          <reference field="4" count="0"/>
        </references>
      </pivotArea>
    </format>
    <format dxfId="28">
      <pivotArea dataOnly="0" labelOnly="1" grandRow="1" outline="0" fieldPosition="0"/>
    </format>
    <format dxfId="27">
      <pivotArea dataOnly="0" labelOnly="1" outline="0" fieldPosition="0">
        <references count="1">
          <reference field="4294967294" count="2">
            <x v="0"/>
            <x v="1"/>
          </reference>
        </references>
      </pivotArea>
    </format>
    <format dxfId="26">
      <pivotArea grandRow="1" outline="0" collapsedLevelsAreSubtotals="1" fieldPosition="0"/>
    </format>
    <format dxfId="25">
      <pivotArea field="4" type="button" dataOnly="0" labelOnly="1" outline="0" axis="axisRow" fieldPosition="0"/>
    </format>
    <format dxfId="2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79">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59" s="1"/>
        <i x="173"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1" s="1"/>
        <i x="153" s="1"/>
        <i x="151" s="1"/>
        <i x="149" s="1"/>
        <i x="184" s="1"/>
        <i x="183" s="1"/>
        <i x="178" s="1"/>
        <i x="177" s="1"/>
        <i x="152" s="1"/>
        <i x="150" s="1"/>
        <i x="155" s="1"/>
        <i x="163" s="1"/>
        <i x="190" s="1"/>
        <i x="164" s="1"/>
        <i x="160" s="1"/>
        <i x="156" s="1"/>
        <i x="168" s="1"/>
        <i x="166" s="1"/>
        <i x="167" s="1"/>
        <i x="170" s="1"/>
        <i x="169" s="1"/>
        <i x="157" s="1"/>
        <i x="174" s="1"/>
        <i x="165" s="1"/>
        <i x="172" s="1"/>
        <i x="180" s="1"/>
        <i x="175" s="1"/>
        <i x="182" s="1"/>
        <i x="188" s="1"/>
        <i x="186" s="1"/>
        <i x="189" s="1"/>
        <i x="179" s="1"/>
        <i x="73" s="1"/>
        <i x="162" s="1"/>
        <i x="65" s="1"/>
        <i x="93" s="1"/>
        <i x="1" s="1"/>
        <i x="22" s="1"/>
        <i x="27" s="1"/>
        <i x="64" s="1"/>
        <i x="72" s="1"/>
        <i x="19" s="1"/>
        <i x="53" s="1"/>
        <i x="76" s="1"/>
        <i x="71" s="1"/>
        <i x="106" s="1"/>
        <i x="124" s="1"/>
        <i x="100" s="1"/>
        <i x="127" s="1"/>
        <i x="115" s="1"/>
        <i x="111" s="1"/>
        <i x="125" s="1"/>
        <i x="114" s="1"/>
        <i x="185" s="1"/>
        <i x="132" s="1"/>
        <i x="187" s="1"/>
        <i x="140" s="1"/>
        <i x="171" s="1"/>
        <i x="176" s="1"/>
        <i x="87" s="1"/>
        <i x="98" s="1"/>
        <i x="70" s="1"/>
        <i x="0" s="1"/>
        <i x="633" s="1" nd="1"/>
        <i x="662" s="1" nd="1"/>
        <i x="663" s="1" nd="1"/>
        <i x="671" s="1" nd="1"/>
        <i x="661" s="1" nd="1"/>
        <i x="660" s="1" nd="1"/>
        <i x="664" s="1" nd="1"/>
        <i x="675" s="1" nd="1"/>
        <i x="667" s="1" nd="1"/>
        <i x="668" s="1" nd="1"/>
        <i x="665" s="1" nd="1"/>
        <i x="666" s="1" nd="1"/>
        <i x="676" s="1" nd="1"/>
        <i x="669" s="1" nd="1"/>
        <i x="670" s="1" nd="1"/>
        <i x="673" s="1" nd="1"/>
        <i x="674" s="1" nd="1"/>
        <i x="672" s="1" nd="1"/>
        <i x="628" s="1" nd="1"/>
        <i x="678" s="1" nd="1"/>
        <i x="627" s="1" nd="1"/>
        <i x="677" s="1" nd="1"/>
        <i x="630" s="1" nd="1"/>
        <i x="591" s="1" nd="1"/>
        <i x="629" s="1" nd="1"/>
        <i x="631" s="1" nd="1"/>
        <i x="637" s="1" nd="1"/>
        <i x="632" s="1" nd="1"/>
        <i x="634" s="1" nd="1"/>
        <i x="650" s="1" nd="1"/>
        <i x="574" s="1" nd="1"/>
        <i x="638" s="1" nd="1"/>
        <i x="579" s="1" nd="1"/>
        <i x="644" s="1" nd="1"/>
        <i x="639" s="1" nd="1"/>
        <i x="642" s="1" nd="1"/>
        <i x="647" s="1" nd="1"/>
        <i x="658" s="1" nd="1"/>
        <i x="640" s="1" nd="1"/>
        <i x="652" s="1" nd="1"/>
        <i x="655" s="1" nd="1"/>
        <i x="646" s="1" nd="1"/>
        <i x="635" s="1" nd="1"/>
        <i x="643" s="1" nd="1"/>
        <i x="636" s="1" nd="1"/>
        <i x="641" s="1" nd="1"/>
        <i x="575" s="1" nd="1"/>
        <i x="645" s="1" nd="1"/>
        <i x="651" s="1" nd="1"/>
        <i x="313" s="1" nd="1"/>
        <i x="648" s="1" nd="1"/>
        <i x="653" s="1" nd="1"/>
        <i x="649" s="1" nd="1"/>
        <i x="615" s="1" nd="1"/>
        <i x="654" s="1" nd="1"/>
        <i x="656" s="1" nd="1"/>
        <i x="577" s="1" nd="1"/>
        <i x="584" s="1" nd="1"/>
        <i x="657" s="1" nd="1"/>
        <i x="581" s="1" nd="1"/>
        <i x="582" s="1" nd="1"/>
        <i x="576" s="1" nd="1"/>
        <i x="580" s="1" nd="1"/>
        <i x="468" s="1" nd="1"/>
        <i x="578" s="1" nd="1"/>
        <i x="587" s="1" nd="1"/>
        <i x="583" s="1" nd="1"/>
        <i x="585" s="1" nd="1"/>
        <i x="588" s="1" nd="1"/>
        <i x="595" s="1" nd="1"/>
        <i x="586" s="1" nd="1"/>
        <i x="594" s="1" nd="1"/>
        <i x="599" s="1" nd="1"/>
        <i x="593" s="1" nd="1"/>
        <i x="596" s="1" nd="1"/>
        <i x="606" s="1" nd="1"/>
        <i x="592" s="1" nd="1"/>
        <i x="589" s="1" nd="1"/>
        <i x="590" s="1" nd="1"/>
        <i x="605" s="1" nd="1"/>
        <i x="464" s="1" nd="1"/>
        <i x="598" s="1" nd="1"/>
        <i x="609" s="1" nd="1"/>
        <i x="604" s="1" nd="1"/>
        <i x="597" s="1" nd="1"/>
        <i x="621" s="1" nd="1"/>
        <i x="602" s="1" nd="1"/>
        <i x="612" s="1" nd="1"/>
        <i x="610" s="1" nd="1"/>
        <i x="600" s="1" nd="1"/>
        <i x="608" s="1" nd="1"/>
        <i x="607" s="1" nd="1"/>
        <i x="603" s="1" nd="1"/>
        <i x="613" s="1" nd="1"/>
        <i x="611" s="1" nd="1"/>
        <i x="614" s="1" nd="1"/>
        <i x="601" s="1" nd="1"/>
        <i x="543" s="1" nd="1"/>
        <i x="616" s="1" nd="1"/>
        <i x="617" s="1" nd="1"/>
        <i x="502" s="1" nd="1"/>
        <i x="504" s="1" nd="1"/>
        <i x="624" s="1" nd="1"/>
        <i x="498" s="1" nd="1"/>
        <i x="544" s="1" nd="1"/>
        <i x="618" s="1" nd="1"/>
        <i x="619" s="1" nd="1"/>
        <i x="501" s="1" nd="1"/>
        <i x="626" s="1" nd="1"/>
        <i x="500" s="1" nd="1"/>
        <i x="515" s="1" nd="1"/>
        <i x="625" s="1" nd="1"/>
        <i x="620" s="1" nd="1"/>
        <i x="519" s="1" nd="1"/>
        <i x="232" s="1" nd="1"/>
        <i x="623" s="1" nd="1"/>
        <i x="622" s="1" nd="1"/>
        <i x="540" s="1" nd="1"/>
        <i x="493" s="1" nd="1"/>
        <i x="505" s="1" nd="1"/>
        <i x="541" s="1" nd="1"/>
        <i x="539" s="1" nd="1"/>
        <i x="497" s="1" nd="1"/>
        <i x="499" s="1" nd="1"/>
        <i x="332" s="1" nd="1"/>
        <i x="503" s="1" nd="1"/>
        <i x="494" s="1" nd="1"/>
        <i x="529" s="1" nd="1"/>
        <i x="534" s="1" nd="1"/>
        <i x="495" s="1" nd="1"/>
        <i x="496" s="1" nd="1"/>
        <i x="506" s="1" nd="1"/>
        <i x="509" s="1" nd="1"/>
        <i x="516" s="1" nd="1"/>
        <i x="508" s="1" nd="1"/>
        <i x="511" s="1" nd="1"/>
        <i x="510" s="1" nd="1"/>
        <i x="552" s="1" nd="1"/>
        <i x="507" s="1" nd="1"/>
        <i x="233" s="1" nd="1"/>
        <i x="230" s="1" nd="1"/>
        <i x="532" s="1" nd="1"/>
        <i x="547" s="1" nd="1"/>
        <i x="512" s="1" nd="1"/>
        <i x="537" s="1" nd="1"/>
        <i x="549" s="1" nd="1"/>
        <i x="521" s="1" nd="1"/>
        <i x="561" s="1" nd="1"/>
        <i x="520" s="1" nd="1"/>
        <i x="517" s="1" nd="1"/>
        <i x="513" s="1" nd="1"/>
        <i x="514" s="1" nd="1"/>
        <i x="533" s="1" nd="1"/>
        <i x="522" s="1" nd="1"/>
        <i x="445" s="1" nd="1"/>
        <i x="523" s="1" nd="1"/>
        <i x="518" s="1" nd="1"/>
        <i x="525" s="1" nd="1"/>
        <i x="526" s="1" nd="1"/>
        <i x="554" s="1" nd="1"/>
        <i x="524" s="1" nd="1"/>
        <i x="542" s="1" nd="1"/>
        <i x="530" s="1" nd="1"/>
        <i x="527" s="1" nd="1"/>
        <i x="531" s="1" nd="1"/>
        <i x="528" s="1" nd="1"/>
        <i x="535" s="1" nd="1"/>
        <i x="234" s="1" nd="1"/>
        <i x="553" s="1" nd="1"/>
        <i x="548" s="1" nd="1"/>
        <i x="567" s="1" nd="1"/>
        <i x="536" s="1" nd="1"/>
        <i x="438" s="1" nd="1"/>
        <i x="546" s="1" nd="1"/>
        <i x="538" s="1" nd="1"/>
        <i x="562" s="1" nd="1"/>
        <i x="545" s="1" nd="1"/>
        <i x="560" s="1" nd="1"/>
        <i x="446" s="1" nd="1"/>
        <i x="551" s="1" nd="1"/>
        <i x="550" s="1" nd="1"/>
        <i x="566" s="1" nd="1"/>
        <i x="563" s="1" nd="1"/>
        <i x="457" s="1" nd="1"/>
        <i x="571" s="1" nd="1"/>
        <i x="555" s="1" nd="1"/>
        <i x="564" s="1" nd="1"/>
        <i x="569" s="1" nd="1"/>
        <i x="448" s="1" nd="1"/>
        <i x="474" s="1" nd="1"/>
        <i x="573" s="1" nd="1"/>
        <i x="570" s="1" nd="1"/>
        <i x="439" s="1" nd="1"/>
        <i x="459" s="1" nd="1"/>
        <i x="565" s="1" nd="1"/>
        <i x="441" s="1" nd="1"/>
        <i x="556" s="1" nd="1"/>
        <i x="559" s="1" nd="1"/>
        <i x="456" s="1" nd="1"/>
        <i x="568" s="1" nd="1"/>
        <i x="195" s="1" nd="1"/>
        <i x="229" s="1" nd="1"/>
        <i x="557" s="1" nd="1"/>
        <i x="558" s="1" nd="1"/>
        <i x="443" s="1" nd="1"/>
        <i x="461" s="1" nd="1"/>
        <i x="462" s="1" nd="1"/>
        <i x="475" s="1" nd="1"/>
        <i x="572" s="1" nd="1"/>
        <i x="437" s="1" nd="1"/>
        <i x="460" s="1" nd="1"/>
        <i x="453" s="1" nd="1"/>
        <i x="440" s="1" nd="1"/>
        <i x="444" s="1" nd="1"/>
        <i x="450" s="1" nd="1"/>
        <i x="442" s="1" nd="1"/>
        <i x="466" s="1" nd="1"/>
        <i x="470" s="1" nd="1"/>
        <i x="471" s="1" nd="1"/>
        <i x="463" s="1" nd="1"/>
        <i x="447" s="1" nd="1"/>
        <i x="312" s="1" nd="1"/>
        <i x="449" s="1" nd="1"/>
        <i x="451" s="1" nd="1"/>
        <i x="454" s="1" nd="1"/>
        <i x="467" s="1" nd="1"/>
        <i x="452" s="1" nd="1"/>
        <i x="473" s="1" nd="1"/>
        <i x="405" s="1" nd="1"/>
        <i x="384" s="1" nd="1"/>
        <i x="488" s="1" nd="1"/>
        <i x="455" s="1" nd="1"/>
        <i x="476" s="1" nd="1"/>
        <i x="472" s="1" nd="1"/>
        <i x="458" s="1" nd="1"/>
        <i x="480" s="1" nd="1"/>
        <i x="416" s="1" nd="1"/>
        <i x="379" s="1" nd="1"/>
        <i x="465" s="1" nd="1"/>
        <i x="489" s="1" nd="1"/>
        <i x="469" s="1" nd="1"/>
        <i x="492" s="1" nd="1"/>
        <i x="479" s="1" nd="1"/>
        <i x="484" s="1" nd="1"/>
        <i x="361" s="1" nd="1"/>
        <i x="481" s="1" nd="1"/>
        <i x="483" s="1" nd="1"/>
        <i x="401" s="1" nd="1"/>
        <i x="369" s="1" nd="1"/>
        <i x="478" s="1" nd="1"/>
        <i x="366" s="1" nd="1"/>
        <i x="477" s="1" nd="1"/>
        <i x="378" s="1" nd="1"/>
        <i x="362" s="1" nd="1"/>
        <i x="360" s="1" nd="1"/>
        <i x="482" s="1" nd="1"/>
        <i x="376" s="1" nd="1"/>
        <i x="370" s="1" nd="1"/>
        <i x="381" s="1" nd="1"/>
        <i x="398" s="1" nd="1"/>
        <i x="375" s="1" nd="1"/>
        <i x="386" s="1" nd="1"/>
        <i x="380" s="1" nd="1"/>
        <i x="377" s="1" nd="1"/>
        <i x="490" s="1" nd="1"/>
        <i x="434" s="1" nd="1"/>
        <i x="388" s="1" nd="1"/>
        <i x="389" s="1" nd="1"/>
        <i x="486" s="1" nd="1"/>
        <i x="485" s="1" nd="1"/>
        <i x="363" s="1" nd="1"/>
        <i x="365" s="1" nd="1"/>
        <i x="396" s="1" nd="1"/>
        <i x="372" s="1" nd="1"/>
        <i x="491" s="1" nd="1"/>
        <i x="430" s="1" nd="1"/>
        <i x="421" s="1" nd="1"/>
        <i x="409" s="1" nd="1"/>
        <i x="383" s="1" nd="1"/>
        <i x="368" s="1" nd="1"/>
        <i x="399" s="1" nd="1"/>
        <i x="418" s="1" nd="1"/>
        <i x="410" s="1" nd="1"/>
        <i x="406" s="1" nd="1"/>
        <i x="374" s="1" nd="1"/>
        <i x="394" s="1" nd="1"/>
        <i x="393" s="1" nd="1"/>
        <i x="408" s="1" nd="1"/>
        <i x="395" s="1" nd="1"/>
        <i x="487" s="1" nd="1"/>
        <i x="371" s="1" nd="1"/>
        <i x="367" s="1" nd="1"/>
        <i x="397" s="1" nd="1"/>
        <i x="364" s="1" nd="1"/>
        <i x="402" s="1" nd="1"/>
        <i x="403" s="1" nd="1"/>
        <i x="407" s="1" nd="1"/>
        <i x="311" s="1" nd="1"/>
        <i x="387" s="1" nd="1"/>
        <i x="382" s="1" nd="1"/>
        <i x="415" s="1" nd="1"/>
        <i x="414" s="1" nd="1"/>
        <i x="419" s="1" nd="1"/>
        <i x="373" s="1" nd="1"/>
        <i x="417" s="1" nd="1"/>
        <i x="404" s="1" nd="1"/>
        <i x="310" s="1" nd="1"/>
        <i x="385" s="1" nd="1"/>
        <i x="390" s="1" nd="1"/>
        <i x="391" s="1" nd="1"/>
        <i x="400" s="1" nd="1"/>
        <i x="392" s="1" nd="1"/>
        <i x="411" s="1" nd="1"/>
        <i x="328" s="1" nd="1"/>
        <i x="422" s="1" nd="1"/>
        <i x="412" s="1" nd="1"/>
        <i x="428" s="1" nd="1"/>
        <i x="425" s="1" nd="1"/>
        <i x="423" s="1" nd="1"/>
        <i x="323" s="1" nd="1"/>
        <i x="322" s="1" nd="1"/>
        <i x="435" s="1" nd="1"/>
        <i x="309" s="1" nd="1"/>
        <i x="321" s="1" nd="1"/>
        <i x="429" s="1" nd="1"/>
        <i x="436" s="1" nd="1"/>
        <i x="314" s="1" nd="1"/>
        <i x="431" s="1" nd="1"/>
        <i x="432" s="1" nd="1"/>
        <i x="413" s="1" nd="1"/>
        <i x="426" s="1" nd="1"/>
        <i x="433" s="1" nd="1"/>
        <i x="424" s="1" nd="1"/>
        <i x="344" s="1" nd="1"/>
        <i x="427" s="1" nd="1"/>
        <i x="308" s="1" nd="1"/>
        <i x="317" s="1" nd="1"/>
        <i x="316" s="1" nd="1"/>
        <i x="420" s="1" nd="1"/>
        <i x="304" s="1" nd="1"/>
        <i x="298" s="1" nd="1"/>
        <i x="269" s="1" nd="1"/>
        <i x="303" s="1" nd="1"/>
        <i x="223" s="1" nd="1"/>
        <i x="320" s="1" nd="1"/>
        <i x="318" s="1" nd="1"/>
        <i x="325" s="1" nd="1"/>
        <i x="326" s="1" nd="1"/>
        <i x="324" s="1" nd="1"/>
        <i x="319" s="1" nd="1"/>
        <i x="315" s="1" nd="1"/>
        <i x="265" s="1" nd="1"/>
        <i x="289" s="1" nd="1"/>
        <i x="341" s="1" nd="1"/>
        <i x="331" s="1" nd="1"/>
        <i x="327" s="1" nd="1"/>
        <i x="345" s="1" nd="1"/>
        <i x="330" s="1" nd="1"/>
        <i x="213" s="1" nd="1"/>
        <i x="340" s="1" nd="1"/>
        <i x="342" s="1" nd="1"/>
        <i x="329" s="1" nd="1"/>
        <i x="333" s="1" nd="1"/>
        <i x="343" s="1" nd="1"/>
        <i x="336" s="1" nd="1"/>
        <i x="334" s="1" nd="1"/>
        <i x="335" s="1" nd="1"/>
        <i x="257" s="1" nd="1"/>
        <i x="339" s="1" nd="1"/>
        <i x="337" s="1" nd="1"/>
        <i x="338" s="1" nd="1"/>
        <i x="347" s="1" nd="1"/>
        <i x="346" s="1" nd="1"/>
        <i x="266" s="1" nd="1"/>
        <i x="356" s="1" nd="1"/>
        <i x="355" s="1" nd="1"/>
        <i x="267" s="1" nd="1"/>
        <i x="354" s="1" nd="1"/>
        <i x="359" s="1" nd="1"/>
        <i x="352" s="1" nd="1"/>
        <i x="358" s="1" nd="1"/>
        <i x="258" s="1" nd="1"/>
        <i x="263" s="1" nd="1"/>
        <i x="348" s="1" nd="1"/>
        <i x="251" s="1" nd="1"/>
        <i x="250" s="1" nd="1"/>
        <i x="252" s="1" nd="1"/>
        <i x="255" s="1" nd="1"/>
        <i x="349" s="1" nd="1"/>
        <i x="350" s="1" nd="1"/>
        <i x="351" s="1" nd="1"/>
        <i x="353" s="1" nd="1"/>
        <i x="357" s="1" nd="1"/>
        <i x="262" s="1" nd="1"/>
        <i x="261" s="1" nd="1"/>
        <i x="259" s="1" nd="1"/>
        <i x="203" s="1" nd="1"/>
        <i x="276" s="1" nd="1"/>
        <i x="254" s="1" nd="1"/>
        <i x="253" s="1" nd="1"/>
        <i x="199" s="1" nd="1"/>
        <i x="256" s="1" nd="1"/>
        <i x="275" s="1" nd="1"/>
        <i x="270" s="1" nd="1"/>
        <i x="271" s="1" nd="1"/>
        <i x="245" s="1" nd="1"/>
        <i x="260" s="1" nd="1"/>
        <i x="283" s="1" nd="1"/>
        <i x="305" s="1" nd="1"/>
        <i x="200" s="1" nd="1"/>
        <i x="272" s="1" nd="1"/>
        <i x="274" s="1" nd="1"/>
        <i x="264" s="1" nd="1"/>
        <i x="280" s="1" nd="1"/>
        <i x="284" s="1" nd="1"/>
        <i x="278" s="1" nd="1"/>
        <i x="277" s="1" nd="1"/>
        <i x="193" s="1" nd="1"/>
        <i x="273" s="1" nd="1"/>
        <i x="196" s="1" nd="1"/>
        <i x="268" s="1" nd="1"/>
        <i x="291" s="1" nd="1"/>
        <i x="292" s="1" nd="1"/>
        <i x="290" s="1" nd="1"/>
        <i x="279" s="1" nd="1"/>
        <i x="301" s="1" nd="1"/>
        <i x="282" s="1" nd="1"/>
        <i x="281" s="1" nd="1"/>
        <i x="194" s="1" nd="1"/>
        <i x="288" s="1" nd="1"/>
        <i x="293" s="1" nd="1"/>
        <i x="297" s="1" nd="1"/>
        <i x="307" s="1" nd="1"/>
        <i x="306" s="1" nd="1"/>
        <i x="287" s="1" nd="1"/>
        <i x="286" s="1" nd="1"/>
        <i x="198" s="1" nd="1"/>
        <i x="300" s="1" nd="1"/>
        <i x="192" s="1" nd="1"/>
        <i x="247" s="1" nd="1"/>
        <i x="202" s="1" nd="1"/>
        <i x="296" s="1" nd="1"/>
        <i x="207" s="1" nd="1"/>
        <i x="197" s="1" nd="1"/>
        <i x="285" s="1" nd="1"/>
        <i x="212" s="1" nd="1"/>
        <i x="205" s="1" nd="1"/>
        <i x="295" s="1" nd="1"/>
        <i x="294" s="1" nd="1"/>
        <i x="224" s="1" nd="1"/>
        <i x="299" s="1" nd="1"/>
        <i x="201" s="1" nd="1"/>
        <i x="209" s="1" nd="1"/>
        <i x="243" s="1" nd="1"/>
        <i x="246" s="1" nd="1"/>
        <i x="302" s="1" nd="1"/>
        <i x="191" s="1" nd="1"/>
        <i x="206" s="1" nd="1"/>
        <i x="204" s="1" nd="1"/>
        <i x="208" s="1" nd="1"/>
        <i x="211" s="1" nd="1"/>
        <i x="210" s="1" nd="1"/>
        <i x="219" s="1" nd="1"/>
        <i x="215" s="1" nd="1"/>
        <i x="216" s="1" nd="1"/>
        <i x="218" s="1" nd="1"/>
        <i x="228" s="1" nd="1"/>
        <i x="221" s="1" nd="1"/>
        <i x="214" s="1" nd="1"/>
        <i x="217" s="1" nd="1"/>
        <i x="222" s="1" nd="1"/>
        <i x="239" s="1" nd="1"/>
        <i x="227" s="1" nd="1"/>
        <i x="220" s="1" nd="1"/>
        <i x="236" s="1" nd="1"/>
        <i x="225" s="1" nd="1"/>
        <i x="238" s="1" nd="1"/>
        <i x="237" s="1" nd="1"/>
        <i x="231" s="1" nd="1"/>
        <i x="235" s="1" nd="1"/>
        <i x="226" s="1" nd="1"/>
        <i x="241" s="1" nd="1"/>
        <i x="240" s="1" nd="1"/>
        <i x="242" s="1" nd="1"/>
        <i x="248" s="1" nd="1"/>
        <i x="244" s="1" nd="1"/>
        <i x="249" s="1" nd="1"/>
        <i x="659"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3">
      <calculatedColumnFormula>B57</calculatedColumnFormula>
    </tableColumn>
    <tableColumn id="2" xr3:uid="{7EDCC2ED-0339-42B3-9633-FFEA7A3DD9F3}" name="Tiyaar" dataDxfId="122">
      <calculatedColumnFormula>SUMIFS(ledger!G:G, ledger!B:B, B2, ledger!E:E, "&lt;&gt;*RD*") / 1.0936</calculatedColumnFormula>
    </tableColumn>
    <tableColumn id="3" xr3:uid="{CC1535DD-3FE7-4F55-8040-E7643388A78E}" name="Rate"/>
    <tableColumn id="4" xr3:uid="{059CB70B-ADAD-4985-84AA-0D530BAC5567}" name="Total" dataDxfId="121">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0" dataDxfId="119">
  <autoFilter ref="B7:E20" xr:uid="{449E5D32-DF9C-4018-96AB-CA98E118D910}"/>
  <tableColumns count="4">
    <tableColumn id="1" xr3:uid="{F663704C-91DD-4BB9-B7EB-EEB0C5EDED6C}" name="Description" dataDxfId="118"/>
    <tableColumn id="2" xr3:uid="{6D94D495-CD0B-4FD3-9771-81D731982A97}" name="Rate" dataDxfId="117" dataCellStyle="Comma"/>
    <tableColumn id="3" xr3:uid="{2D14CEAD-3602-40E7-A488-3584EBC9141E}" name="gazana" dataDxfId="116" dataCellStyle="Comma"/>
    <tableColumn id="4" xr3:uid="{06FEE63C-6480-4079-8426-51BC26B38B34}" name="sum" dataDxfId="115"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4" totalsRowDxfId="113" dataCellStyle="Comma">
      <totalsRowFormula>SUM(Table12[Amount])</totalsRowFormula>
    </tableColumn>
    <tableColumn id="3" xr3:uid="{12F975D1-A51D-47BD-82DF-F0C35A709016}" name="Description"/>
    <tableColumn id="4" xr3:uid="{96712812-B120-49C2-B905-59FC86A743E8}" name="cost per meter" totalsRowFunction="custom" dataDxfId="112" totalsRowDxfId="111">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0" dataDxfId="109" headerRowCellStyle="Comma" dataCellStyle="Comma">
  <autoFilter ref="B2:C5" xr:uid="{136E8F7F-D03F-4198-8335-91A003EA9E45}"/>
  <tableColumns count="2">
    <tableColumn id="1" xr3:uid="{279FA697-9952-479A-AC05-0D4992B41374}" name="Column1" dataDxfId="108" dataCellStyle="Comma"/>
    <tableColumn id="2" xr3:uid="{8A64998B-65EF-41CD-BCB0-3DDB7B359C54}" name="Column2" dataDxfId="107"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6"/>
    <tableColumn id="2" xr3:uid="{51D27FA2-8DDF-4369-BAF7-7D1FE90E16A0}" name="Column2" dataDxfId="10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04" totalsRowDxfId="103"/>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2">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74" totalsRowCount="1" headerRowDxfId="101" dataDxfId="100" headerRowCellStyle="Comma" dataCellStyle="Comma">
  <autoFilter ref="A1:K373" xr:uid="{11DACEC6-751B-4B1D-817F-5C5BCD38EF6D}">
    <filterColumn colId="1">
      <filters>
        <filter val="Shafique Ansari"/>
      </filters>
    </filterColumn>
    <filterColumn colId="3">
      <filters>
        <filter val="Chamki"/>
      </filters>
    </filterColumn>
  </autoFilter>
  <sortState xmlns:xlrd2="http://schemas.microsoft.com/office/spreadsheetml/2017/richdata2" ref="A2:K358">
    <sortCondition sortBy="cellColor" ref="C1:C358" dxfId="99"/>
  </sortState>
  <tableColumns count="11">
    <tableColumn id="1" xr3:uid="{2FCE3FA8-A48C-4685-8919-AE44C6C71FD9}" name="Date" dataDxfId="98" dataCellStyle="Comma"/>
    <tableColumn id="2" xr3:uid="{5780FD5F-0890-44E6-B59C-8E37A559FE36}" name="Party Name" dataDxfId="97" dataCellStyle="Comma"/>
    <tableColumn id="3" xr3:uid="{5B3ECD85-9174-40AC-BFBD-49CAC97A83D3}" name="Bill Number" dataDxfId="96" dataCellStyle="Comma"/>
    <tableColumn id="4" xr3:uid="{11B50761-04B6-4262-AD4D-7182450037D1}" name="Quality" dataDxfId="95" dataCellStyle="Comma"/>
    <tableColumn id="5" xr3:uid="{2C556969-B713-4967-BD24-466AACCBE5F5}" name="Shipment Number" dataDxfId="94" totalsRowDxfId="15" dataCellStyle="Comma"/>
    <tableColumn id="6" xr3:uid="{F4E1FD2B-9017-4DEB-B772-BF447ECE56F7}" name="Kora/metre" dataDxfId="93" totalsRowDxfId="14" dataCellStyle="Comma"/>
    <tableColumn id="7" xr3:uid="{52ACC1DA-7A76-4A90-B809-3A1AE728E7EA}" name="Tiyaar/gaz" dataDxfId="92" totalsRowDxfId="13" dataCellStyle="Comma"/>
    <tableColumn id="8" xr3:uid="{31A0FF5E-56F0-44D1-9865-73256B964660}" name="shortage %" dataDxfId="91" totalsRowDxfId="12" dataCellStyle="Comma">
      <calculatedColumnFormula>_xlfn.XLOOKUP(Table1[[#This Row],[Shipment Number]], 'pivot '!A:A,'pivot '!G:G, "NF")</calculatedColumnFormula>
    </tableColumn>
    <tableColumn id="9" xr3:uid="{F99075E0-AC8E-094D-BB85-272AD2C6C568}" name="tiyar/meters" totalsRowFunction="custom" dataDxfId="90" totalsRowDxfId="11"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89" totalsRowDxfId="10"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88" totalsRowDxfId="9"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7">
      <calculatedColumnFormula>Table29[[#This Row],[Production]]*5</calculatedColumnFormula>
    </tableColumn>
    <tableColumn id="5" xr3:uid="{61BAD31A-7476-4DFA-AA0E-D8493144CFE9}" name="Paid" totalsRowFunction="sum"/>
    <tableColumn id="6" xr3:uid="{B4A08D30-B37A-4FB3-9696-F3E66FA4D037}" name="Balance" totalsRowFunction="sum" dataDxfId="86">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1" totalsRowCount="1" headerRowDxfId="83" headerRowBorderDxfId="82" tableBorderDxfId="81">
  <autoFilter ref="A1:I110" xr:uid="{F8E8C957-ABE7-4E4F-8D4E-7D44E26B334F}"/>
  <tableColumns count="9">
    <tableColumn id="1" xr3:uid="{C2E817D6-AB98-4DDD-8890-736B27F261CD}" name="Date" dataDxfId="80" totalsRowDxfId="79"/>
    <tableColumn id="2" xr3:uid="{CFB51890-CCDC-463C-81C9-3F8BD7469CB9}" name="Party Name"/>
    <tableColumn id="3" xr3:uid="{A113D971-1C9D-4733-99C4-BD0CC4333209}" name="Vehicle Number"/>
    <tableColumn id="4" xr3:uid="{49780304-3DD1-4AE9-98EE-2BC7EB8F3B57}" name="Weight" dataDxfId="78" totalsRowDxfId="77" dataCellStyle="Comma"/>
    <tableColumn id="5" xr3:uid="{FCAF1BC6-1D8C-42AD-8BBC-F924BF2DC7FE}" name="Rate" dataDxfId="76" totalsRowDxfId="75" dataCellStyle="Comma"/>
    <tableColumn id="6" xr3:uid="{8C70A624-4134-410C-9C45-9FDEB51D51BF}" name="Rent" dataDxfId="74" totalsRowDxfId="73" dataCellStyle="Comma"/>
    <tableColumn id="7" xr3:uid="{EBCE10AE-9634-4982-9C95-37ABC8A7078C}" name="Total" totalsRowFunction="sum" dataDxfId="72" totalsRowDxfId="71" dataCellStyle="Comma">
      <calculatedColumnFormula>D2*E2</calculatedColumnFormula>
    </tableColumn>
    <tableColumn id="9" xr3:uid="{D4788559-C94A-44D9-B9AE-E72B214355AC}" name="Paid" totalsRowFunction="sum" dataDxfId="70" totalsRowDxfId="69" dataCellStyle="Comma"/>
    <tableColumn id="8" xr3:uid="{E26F5BF0-1875-4FC6-994D-49F202ED562B}" name="balance" totalsRowFunction="sum" dataDxfId="68" totalsRowDxfId="67"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006" totalsRowCount="1">
  <autoFilter ref="A1:G2005" xr:uid="{CB032221-B416-47A8-9A76-693DE76CFD04}"/>
  <sortState xmlns:xlrd2="http://schemas.microsoft.com/office/spreadsheetml/2017/richdata2" ref="A2:G2005">
    <sortCondition ref="A1:A2005"/>
  </sortState>
  <tableColumns count="7">
    <tableColumn id="1" xr3:uid="{554B1EED-65B6-4E9A-B646-82727FAC40DE}" name="Date" dataDxfId="145" totalsRowDxfId="3"/>
    <tableColumn id="2" xr3:uid="{32259059-42CF-4947-83DE-115AA430BE2B}" name="Party"/>
    <tableColumn id="3" xr3:uid="{A1320223-D55D-483C-91C3-AB19B95CC9D8}" name="Debit" totalsRowFunction="sum" dataDxfId="144" totalsRowDxfId="2" dataCellStyle="Comma"/>
    <tableColumn id="4" xr3:uid="{E9745767-9FF0-4B1C-9052-FF335D1D7588}" name="Credit" totalsRowFunction="sum" dataDxfId="143" totalsRowDxfId="1" dataCellStyle="Comma"/>
    <tableColumn id="5" xr3:uid="{5C88A48E-2467-4E6D-B626-2442B7FD0BE4}" name="Description"/>
    <tableColumn id="6" xr3:uid="{63CA4666-144E-4BE6-8B7C-7CB992BD3041}" name="Mode" totalsRowFunction="custom" dataDxfId="142"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1" tableBorderDxfId="140" totalsRowBorderDxfId="139">
  <autoFilter ref="J3:K6" xr:uid="{DCE01694-23ED-48BF-8B92-4186B9ED10A8}"/>
  <tableColumns count="2">
    <tableColumn id="1" xr3:uid="{C8484DAF-2989-4C2F-9AEC-A6917E1C57F6}" name="Type" dataDxfId="138"/>
    <tableColumn id="2" xr3:uid="{B07B7A2A-4D4E-4654-BED6-FE2F0A7BEC34}" name="Amount" dataDxfId="13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6" headerRowBorderDxfId="135" tableBorderDxfId="134" totalsRowBorderDxfId="133">
  <autoFilter ref="M3:O6" xr:uid="{D166BDD1-ACD7-45D7-8AE9-7350373F8CEB}"/>
  <tableColumns count="3">
    <tableColumn id="1" xr3:uid="{64F0205E-DEA7-4571-BA86-E4374A5FEE28}" name="Type" totalsRowLabel="Total" dataDxfId="132" totalsRowDxfId="131"/>
    <tableColumn id="2" xr3:uid="{15FA05F9-789C-4459-9BE0-5C1EC84D3365}" name="amount" totalsRowFunction="custom" dataDxfId="130" totalsRowDxfId="129">
      <totalsRowFormula>SUM(N5:N6)</totalsRowFormula>
    </tableColumn>
    <tableColumn id="3" xr3:uid="{3681D409-90C6-44D0-BDE2-4B5943A516F0}" name="Actual" totalsRowFunction="custom" totalsRowDxfId="128">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6" totalsRowDxfId="65"/>
    <tableColumn id="2" xr3:uid="{5B9D0FEE-4304-4C5C-A05C-5B27CF7841D3}" name="Type"/>
    <tableColumn id="3" xr3:uid="{6A91CA0D-C802-4C6F-9F39-CA53687E8EDE}" name="Description"/>
    <tableColumn id="4" xr3:uid="{A251D40C-AB87-4BB4-85F8-444B20E32FDF}" name="Total" totalsRowFunction="custom" dataDxfId="64" totalsRowDxfId="63"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54" totalsRowCount="1" headerRowDxfId="62" headerRowBorderDxfId="61">
  <autoFilter ref="A1:I5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0"/>
    <tableColumn id="4" xr3:uid="{1889A312-9B41-4EC4-BD8F-05252F27084A}" name="Price" totalsRowFunction="sum"/>
    <tableColumn id="6" xr3:uid="{8B974B20-F003-4E67-8660-024FA4F324A9}" name="Party"/>
    <tableColumn id="7" xr3:uid="{0A5A5C21-FD61-47DA-9F54-66A6479FA557}" name="Paid" totalsRowFunction="sum" dataDxfId="59">
      <calculatedColumnFormula>SUMIFS(Table14[Debit], Table14[Date], Table8[[#This Row],[Date]], Table14[Party], Table8[[#This Row],[Party]])</calculatedColumnFormula>
    </tableColumn>
    <tableColumn id="8" xr3:uid="{8DCB3B43-2161-4081-82EC-CDB0F4DE4E6F}" name="Balance" totalsRowFunction="sum" dataDxfId="5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7" totalsRowCount="1" headerRowDxfId="57" headerRowBorderDxfId="56">
  <autoFilter ref="A4:H56" xr:uid="{A4C80688-A8BA-4BA7-90B4-791CD99446B4}"/>
  <sortState xmlns:xlrd2="http://schemas.microsoft.com/office/spreadsheetml/2017/richdata2" ref="A5:H6">
    <sortCondition ref="A4:A6"/>
  </sortState>
  <tableColumns count="8">
    <tableColumn id="1" xr3:uid="{4A818912-918E-4111-ACFC-BC93FEF7C1AD}" name="Date" dataDxfId="55" totalsRowDxfId="54"/>
    <tableColumn id="8" xr3:uid="{477ACFD5-62AF-4F69-974B-E9B974C11D7D}" name="Party Name" dataDxfId="5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2">
      <calculatedColumnFormula>Table2[[#This Row],[Quantity]]*200*Table2[[#This Row],[Boxes]]</calculatedColumnFormula>
    </tableColumn>
    <tableColumn id="6" xr3:uid="{30432929-CBD4-4BA8-B63F-CD0F6CF6405F}" name="Paid" totalsRowFunction="sum" dataDxfId="51">
      <calculatedColumnFormula>SUMIFS(Table14[Debit], Table14[Date], Table2[[#This Row],[Date]], Table14[Party], Table2[[#This Row],[Party Name]])</calculatedColumnFormula>
    </tableColumn>
    <tableColumn id="7" xr3:uid="{BB689DF2-5D1E-436D-84C4-9745D88E8F3D}" name="Balance" totalsRowFunction="sum" dataDxfId="50">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9" totalsRowDxfId="48"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7" totalsRowDxfId="46"/>
    <tableColumn id="2" xr3:uid="{053BFC14-4828-417C-9F9F-95B6E232A945}" name="Amount" totalsRowFunction="custom" dataDxfId="45" totalsRowDxfId="4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3" totalsRowDxfId="4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41" totalsRowDxfId="40">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9" totalsRowDxfId="38">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7" totalsRowDxfId="36">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5" totalsRowDxfId="34">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3">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06" totalsRowCount="1">
  <autoFilter ref="B2:E205" xr:uid="{4694C645-BA0B-477E-AE5E-02046C12E841}"/>
  <tableColumns count="4">
    <tableColumn id="1" xr3:uid="{1D391A77-9D14-4B37-AD91-EEEDC97B6A4E}" name="Date" dataDxfId="23" totalsRowDxfId="22"/>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07" totalsRowCount="1">
  <autoFilter ref="H2:J206" xr:uid="{A7265B0E-A50D-4BC5-9C1C-E62AF5B48CAF}"/>
  <tableColumns count="3">
    <tableColumn id="1" xr3:uid="{AB5830E5-ECCF-4406-AB96-EB98EE86F300}" name="Date" dataDxfId="21" totalsRowDxfId="2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9">
      <calculatedColumnFormula>Billing!S5</calculatedColumnFormula>
    </tableColumn>
    <tableColumn id="2" xr3:uid="{7093A59E-B58F-487D-888A-9AA8156B5F9A}" name="Amount Paid" dataDxfId="18">
      <calculatedColumnFormula>Billing!AG5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7">
      <calculatedColumnFormula>G2</calculatedColumnFormula>
    </tableColumn>
    <tableColumn id="2" xr3:uid="{F72CFEEB-BA11-4A49-BD19-88592EB6A27C}" name="Credit" dataDxfId="16"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M153"/>
  <sheetViews>
    <sheetView topLeftCell="O121" zoomScaleNormal="100" workbookViewId="0">
      <selection activeCell="R123" sqref="R1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21875" bestFit="1" customWidth="1"/>
    <col min="24" max="24" width="12" bestFit="1" customWidth="1"/>
    <col min="25" max="25" width="11.44140625" bestFit="1" customWidth="1"/>
    <col min="26" max="26" width="15.5546875" bestFit="1" customWidth="1"/>
    <col min="27" max="27" width="12.33203125" bestFit="1" customWidth="1"/>
    <col min="28" max="28" width="12.33203125" customWidth="1"/>
    <col min="29" max="29" width="14.21875" customWidth="1"/>
    <col min="30" max="31" width="12.33203125" customWidth="1"/>
    <col min="32" max="32" width="11.33203125" bestFit="1" customWidth="1"/>
    <col min="33" max="33" width="15.5546875" customWidth="1"/>
    <col min="34" max="34" width="13.6640625" customWidth="1"/>
    <col min="36" max="36" width="15.88671875" customWidth="1"/>
    <col min="39" max="39" width="12.109375" customWidth="1"/>
    <col min="40" max="40" width="11.44140625" customWidth="1"/>
  </cols>
  <sheetData>
    <row r="1" spans="2:39" ht="28.8" x14ac:dyDescent="0.55000000000000004">
      <c r="B1" t="s">
        <v>2</v>
      </c>
      <c r="C1" t="s">
        <v>3</v>
      </c>
      <c r="D1" t="s">
        <v>4</v>
      </c>
      <c r="E1" t="s">
        <v>5</v>
      </c>
      <c r="G1" s="9" t="s">
        <v>0</v>
      </c>
    </row>
    <row r="2" spans="2:39" x14ac:dyDescent="0.3">
      <c r="B2" t="str">
        <f t="shared" ref="B2:B18" si="0">B57</f>
        <v>BSC</v>
      </c>
      <c r="C2" s="18">
        <f>SUMIFS(ledger!G:G, ledger!B:B, B2, ledger!E:E, "&lt;&gt;*RD*") / 1.0936</f>
        <v>1297884.0526700807</v>
      </c>
      <c r="D2">
        <v>10</v>
      </c>
      <c r="E2" s="14">
        <f>(SUMIFS(ledger!G:G, ledger!B:B, B2, ledger!E:E, "&lt;&gt;*RD*",ledger!D:D, "Silky") / 1.0936)*12 + (SUMIFS(ledger!G:G, ledger!B:B, B2, ledger!E:E, "&lt;&gt;*RD*",ledger!D:D, "Chamki") / 1.0936)*10</f>
        <v>12319873.811265547</v>
      </c>
      <c r="I2" t="s">
        <v>21</v>
      </c>
      <c r="S2" t="s">
        <v>1</v>
      </c>
    </row>
    <row r="3" spans="2:39"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9" x14ac:dyDescent="0.3">
      <c r="B4" t="str">
        <f t="shared" si="0"/>
        <v>Arshad</v>
      </c>
      <c r="C4" s="18">
        <f>SUMIFS(ledger!G:G, ledger!B:B, B4, ledger!E:E, "&lt;&gt;*RD*") / 1.0936</f>
        <v>69677.212874908568</v>
      </c>
      <c r="D4">
        <v>10</v>
      </c>
      <c r="E4" s="14">
        <f>(SUMIFS(ledger!G:G, ledger!B:B, B4, ledger!E:E, "&lt;&gt;*RD*",ledger!D:D, "Silky") / 1.0936)*12 + (SUMIFS(ledger!G:G, ledger!B:B, B4, ledger!E:E, "&lt;&gt;*RD*",ledger!D:D, "Chamki") / 1.0936)*10</f>
        <v>696772.12874908571</v>
      </c>
      <c r="I4" t="s">
        <v>9</v>
      </c>
      <c r="S4" s="21"/>
      <c r="T4" s="23" t="s">
        <v>10</v>
      </c>
      <c r="U4" s="23" t="s">
        <v>11</v>
      </c>
      <c r="V4" s="23" t="s">
        <v>12</v>
      </c>
      <c r="W4" s="23" t="s">
        <v>13</v>
      </c>
      <c r="X4" s="23" t="s">
        <v>14</v>
      </c>
      <c r="Y4" s="23" t="s">
        <v>15</v>
      </c>
      <c r="Z4" s="23" t="s">
        <v>178</v>
      </c>
      <c r="AA4" s="23" t="s">
        <v>179</v>
      </c>
      <c r="AB4" s="23" t="s">
        <v>199</v>
      </c>
      <c r="AC4" s="23" t="s">
        <v>200</v>
      </c>
      <c r="AD4" s="23" t="s">
        <v>205</v>
      </c>
      <c r="AE4" s="23" t="s">
        <v>275</v>
      </c>
      <c r="AF4" s="23" t="s">
        <v>16</v>
      </c>
      <c r="AG4" s="23" t="s">
        <v>17</v>
      </c>
      <c r="AH4" s="23" t="s">
        <v>18</v>
      </c>
      <c r="AI4" s="23" t="s">
        <v>19</v>
      </c>
      <c r="AJ4" s="23" t="s">
        <v>20</v>
      </c>
      <c r="AM4" s="135" t="s">
        <v>626</v>
      </c>
    </row>
    <row r="5" spans="2:39"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2">_xlfn.UNIQUE(Table1[Party Name])</f>
        <v>BSC</v>
      </c>
      <c r="T5" s="22" cm="1">
        <f t="array" ref="T5">_xlfn.BYROW(B57,_xlfn.LAMBDA(_xlpm.party,SUMIFS(ledger!G:G,ledger!B:B,_xlpm.party,ledger!E:E,"&lt;&gt;*RD*")))+_xlfn.IFNA(C106,0)</f>
        <v>5765879.8824000005</v>
      </c>
      <c r="U5" s="22" cm="1">
        <f t="array" ref="U5">_xlfn.BYROW(B57, _xlfn.LAMBDA(_xlpm.party, SUMIFS(ledger!G:G, ledger!B:B, _xlpm.party, ledger!E:E, "&lt;&gt;*RD*") / 1.0936 ))+_xlfn.IFNA(E106,0)</f>
        <v>4424571.0336503293</v>
      </c>
      <c r="V5" s="22" cm="1">
        <f t="array" ref="V5">(_xlfn.BYROW(B57,_xlfn.LAMBDA(_xlpm.party,SUMIFS(ledger!G:G,ledger!B:B,_xlpm.party,ledger!E:E,"&lt;&gt;*RD*",ledger!D:D,"Chamki")+SUMIFS(ledger!G:G, ledger!B:B, _xlpm.party, ledger!E:E, "&lt;&gt;*RD*", ledger!D:D, "Crinkle")))/1.0936)+_xlfn.IFNA(E106,0)</f>
        <v>3943876.0811997079</v>
      </c>
      <c r="W5" s="70" cm="1">
        <f t="array" ref="W5">(_xlfn.BYROW(B57,_xlfn.LAMBDA(_xlpm.party,SUMIFS(ledger!G:G,ledger!B:B,_xlpm.party,ledger!E:E,"&lt;&gt;*RD*",ledger!D:D,"Silky")))/1.0936)+_xlfn.IFNA(F106,0)</f>
        <v>1133635.6986100953</v>
      </c>
      <c r="X5" s="22" cm="1">
        <f t="array" ref="X5">(_xlfn.BYROW(B57,_xlfn.LAMBDA(_xlpm.party,
(SUMIFS(ledger!J:J,ledger!B:B,_xlpm.party,ledger!E:E,"&lt;&gt;*RD*",ledger!D:D,"Chamki",ledger!C:C,"&lt;&gt;Closing CF")+
SUMIFS(ledger!J:J,ledger!B:B,_xlpm.party,ledger!E:E,"&lt;&gt;*RD*",ledger!D:D,"Crinkle",ledger!C:C,"&lt;&gt;Closing CF")
)+_xlfn.IFNA(G106,0))))</f>
        <v>39438760.811997086</v>
      </c>
      <c r="Y5" s="70" cm="1">
        <f t="array" ref="Y5">_xlfn.BYROW(B57, _xlfn.LAMBDA(_xlpm.party,
   SUMIFS(ledger!J:J, ledger!B:B, _xlpm.party, ledger!E:E, "&lt;&gt;*RD*", ledger!D:D, "Silky", ledger!C:C, "&lt;&gt;Closing CF")
)) + _xlfn.IFNA(H106, 0)</f>
        <v>14389870.153621068</v>
      </c>
      <c r="Z5" s="70" cm="1">
        <f t="array" ref="Z5">_xlfn.BYROW(B57, _xlfn.LAMBDA(_xlpm.party,
   SUMIFS(ledger!J:J, ledger!B:B, _xlpm.party, ledger!E:E, "&lt;&gt;*RD*", ledger!D:D, "Slub", ledger!C:C, "&lt;&gt;Closing CF")
))+ _xlfn.IFNA(I106, 0)</f>
        <v>0</v>
      </c>
      <c r="AA5" s="70" cm="1">
        <f t="array" ref="AA5">_xlfn.BYROW(B57, _xlfn.LAMBDA(_xlpm.party,
   SUMIFS(ledger!J:J, ledger!B:B, _xlpm.party, ledger!E:E, "&lt;&gt;*RD*", ledger!D:D, "Satin", ledger!C:C, "&lt;&gt;Closing CF")
))+ _xlfn.IFNA(J106, 0)</f>
        <v>0</v>
      </c>
      <c r="AB5" s="70" cm="1">
        <f t="array" ref="AB5">_xlfn.BYROW(B57, _xlfn.LAMBDA(_xlpm.party,
   SUMIFS(ledger!J:J, ledger!B:B, _xlpm.party, ledger!E:E, "&lt;&gt;*RD*", ledger!D:D, "Black-Chamki", ledger!C:C, "&lt;&gt;Closing CF")
))+ _xlfn.IFNA(K106, 0)</f>
        <v>0</v>
      </c>
      <c r="AC5" s="70" cm="1">
        <f t="array" ref="AC5">_xlfn.BYROW(B57, _xlfn.LAMBDA(_xlpm.party,
   SUMIFS(ledger!J:J, ledger!B:B, _xlpm.party, ledger!E:E, "&lt;&gt;*RD*", ledger!D:D, "Kataan", ledger!C:C, "&lt;&gt;Closing CF")
))+ _xlfn.IFNA(L106, 0)</f>
        <v>2127095.8302852963</v>
      </c>
      <c r="AD5" s="70" cm="1">
        <f t="array" ref="AD5">_xlfn.BYROW(B57, _xlfn.LAMBDA(_xlpm.party,
   SUMIFS(ledger!J:J, ledger!B:B, _xlpm.party, ledger!E:E, "&lt;&gt;*RD*", ledger!D:D, "Munaar", ledger!C:C, "&lt;&gt;Closing CF")
))+ _xlfn.IFNA(M106, 0)</f>
        <v>0</v>
      </c>
      <c r="AE5" s="70" cm="1">
        <f t="array" ref="AE5">_xlfn.BYROW(B57, _xlfn.LAMBDA(_xlpm.party,
   SUMIFS(ledger!J:J, ledger!B:B, _xlpm.party, ledger!E:E, "&lt;&gt;*RD*", ledger!D:D, "Custom", ledger!C:C, "&lt;&gt;Closing CF")
))+ _xlfn.IFNA(O106, 0)</f>
        <v>18006.583760058522</v>
      </c>
      <c r="AF5" s="39">
        <f>X5+Y5+Z5+AA5+AB5+AC5+AD5+AE5</f>
        <v>55973733.379663512</v>
      </c>
      <c r="AG5" s="22">
        <f>(SUMIF(Table14[Party],#REF!,Table14[Credit]))+_xlfn.IFNA(Q106,0)</f>
        <v>19750734</v>
      </c>
      <c r="AH5" s="33">
        <f>AF5-AG5</f>
        <v>36222999.379663512</v>
      </c>
      <c r="AI5" s="21">
        <v>10</v>
      </c>
      <c r="AJ5" s="21">
        <v>13</v>
      </c>
      <c r="AM5" s="14" t="e">
        <f>SUM(AH5:AH47)</f>
        <v>#REF!</v>
      </c>
    </row>
    <row r="6" spans="2:39"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_xlfn.BYROW(B58,_xlfn.LAMBDA(_xlpm.party,SUMIFS(ledger!G:G,ledger!B:B,_xlpm.party,ledger!E:E,"&lt;&gt;*RD*")))+_xlfn.IFNA(C107,0)</f>
        <v>703440</v>
      </c>
      <c r="U6" s="22" cm="1">
        <f t="array" ref="U6">_xlfn.BYROW(B58, _xlfn.LAMBDA(_xlpm.party, SUMIFS(ledger!G:G, ledger!B:B, _xlpm.party, ledger!E:E, "&lt;&gt;*RD*") / 1.0936 ))+_xlfn.IFNA(D107,0)</f>
        <v>643233.35771762987</v>
      </c>
      <c r="V6" s="22" cm="1">
        <f t="array" ref="V6">(_xlfn.BYROW(B58,_xlfn.LAMBDA(_xlpm.party,SUMIFS(ledger!G:G,ledger!B:B,_xlpm.party,ledger!E:E,"&lt;&gt;*RD*",ledger!D:D,"Chamki")+SUMIFS(ledger!G:G, ledger!B:B, _xlpm.party, ledger!E:E, "&lt;&gt;*RD*", ledger!D:D, "Crinkle")))/1.0936)+_xlfn.IFNA(E107,0)</f>
        <v>148145.57425018289</v>
      </c>
      <c r="W6" s="70" cm="1">
        <f t="array" ref="W6">(_xlfn.BYROW(B58,_xlfn.LAMBDA(_xlpm.party,SUMIFS(ledger!G:G,ledger!B:B,_xlpm.party,ledger!E:E,"&lt;&gt;*RD*",ledger!D:D,"Silky")))/1.0936)+_xlfn.IFNA(F107,0)</f>
        <v>495087.78346744698</v>
      </c>
      <c r="X6" s="22" cm="1">
        <f t="array" ref="X6">(_xlfn.BYROW(B58,_xlfn.LAMBDA(_xlpm.party,
(SUMIFS(ledger!J:J,ledger!B:B,_xlpm.party,ledger!E:E,"&lt;&gt;*RD*",ledger!D:D,"Chamki",ledger!C:C,"&lt;&gt;Closing CF")+
SUMIFS(ledger!J:J,ledger!B:B,_xlpm.party,ledger!E:E,"&lt;&gt;*RD*",ledger!D:D,"Crinkle",ledger!C:C,"&lt;&gt;Closing CF")
)+_xlfn.IFNA(G107,0))))</f>
        <v>1481455.7425018288</v>
      </c>
      <c r="Y6" s="70" cm="1">
        <f t="array" ref="Y6">_xlfn.BYROW(B58, _xlfn.LAMBDA(_xlpm.party,
   SUMIFS(ledger!J:J, ledger!B:B, _xlpm.party, ledger!E:E, "&lt;&gt;*RD*", ledger!D:D, "Silky", ledger!C:C, "&lt;&gt;Closing CF")
)) + _xlfn.IFNA(H107, 0)</f>
        <v>6376997.0738844192</v>
      </c>
      <c r="Z6" s="70" cm="1">
        <f t="array" ref="Z6">_xlfn.BYROW(B58, _xlfn.LAMBDA(_xlpm.party,
   SUMIFS(ledger!J:J, ledger!B:B, _xlpm.party, ledger!E:E, "&lt;&gt;*RD*", ledger!D:D, "Slub", ledger!C:C, "&lt;&gt;Closing CF")
))+ _xlfn.IFNA(I107, 0)</f>
        <v>0</v>
      </c>
      <c r="AA6" s="70" cm="1">
        <f t="array" ref="AA6">_xlfn.BYROW(B58, _xlfn.LAMBDA(_xlpm.party,
   SUMIFS(ledger!J:J, ledger!B:B, _xlpm.party, ledger!E:E, "&lt;&gt;*RD*", ledger!D:D, "Satin", ledger!C:C, "&lt;&gt;Closing CF")
))+ _xlfn.IFNA(J107, 0)</f>
        <v>0</v>
      </c>
      <c r="AB6" s="70" cm="1">
        <f t="array" ref="AB6">_xlfn.BYROW(B58, _xlfn.LAMBDA(_xlpm.party,
   SUMIFS(ledger!J:J, ledger!B:B, _xlpm.party, ledger!E:E, "&lt;&gt;*RD*", ledger!D:D, "Black-Chamki", ledger!C:C, "&lt;&gt;Closing CF")
))+ _xlfn.IFNA(K107, 0)</f>
        <v>0</v>
      </c>
      <c r="AC6" s="70" cm="1">
        <f t="array" ref="AC6">_xlfn.BYROW(B58, _xlfn.LAMBDA(_xlpm.party,
   SUMIFS(ledger!J:J, ledger!B:B, _xlpm.party, ledger!E:E, "&lt;&gt;*RD*", ledger!D:D, "Kataan", ledger!C:C, "&lt;&gt;Closing CF")
))+ _xlfn.IFNA(L107, 0)</f>
        <v>0</v>
      </c>
      <c r="AD6" s="70" cm="1">
        <f t="array" ref="AD6">_xlfn.BYROW(B58, _xlfn.LAMBDA(_xlpm.party,
   SUMIFS(ledger!J:J, ledger!B:B, _xlpm.party, ledger!E:E, "&lt;&gt;*RD*", ledger!D:D, "Munaar", ledger!C:C, "&lt;&gt;Closing CF")
))+ _xlfn.IFNA(M107, 0)</f>
        <v>0</v>
      </c>
      <c r="AE6" s="70" cm="1">
        <f t="array" ref="AE6">_xlfn.BYROW(B58, _xlfn.LAMBDA(_xlpm.party,
   SUMIFS(ledger!J:J, ledger!B:B, _xlpm.party, ledger!E:E, "&lt;&gt;*RD*", ledger!D:D, "Custom", ledger!C:C, "&lt;&gt;Closing CF")
))+ _xlfn.IFNA(O107, 0)</f>
        <v>0</v>
      </c>
      <c r="AF6" s="39">
        <f t="shared" ref="AF6:AF38" si="1">X6+Y6+Z6+AA6+AB6+AC6+AD6+AE6</f>
        <v>7858452.816386248</v>
      </c>
      <c r="AG6" s="22">
        <f>(SUMIF(Table14[Party],S6,Table14[Credit]))+_xlfn.IFNA(Q107,0)</f>
        <v>7214622</v>
      </c>
      <c r="AH6" s="33">
        <f t="shared" ref="AH6:AH36" si="2">AF6-AG6</f>
        <v>643830.81638624799</v>
      </c>
      <c r="AI6" s="21">
        <v>10</v>
      </c>
      <c r="AJ6" s="21">
        <v>13</v>
      </c>
    </row>
    <row r="7" spans="2:39"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_xlfn.BYROW(B59,_xlfn.LAMBDA(_xlpm.party,SUMIFS(ledger!G:G,ledger!B:B,_xlpm.party,ledger!E:E,"&lt;&gt;*RD*")))+_xlfn.IFNA(C108,0)</f>
        <v>1043426</v>
      </c>
      <c r="U7" s="22" cm="1">
        <f t="array" ref="U7">_xlfn.BYROW(B59, _xlfn.LAMBDA(_xlpm.party, SUMIFS(ledger!G:G, ledger!B:B, _xlpm.party, ledger!E:E, "&lt;&gt;*RD*") / 1.0936 ))+_xlfn.IFNA(D108,0)</f>
        <v>954120.33650329208</v>
      </c>
      <c r="V7" s="22" cm="1">
        <f t="array" ref="V7">(_xlfn.BYROW(B59,_xlfn.LAMBDA(_xlpm.party,SUMIFS(ledger!G:G,ledger!B:B,_xlpm.party,ledger!E:E,"&lt;&gt;*RD*",ledger!D:D,"Chamki")+SUMIFS(ledger!G:G, ledger!B:B, _xlpm.party, ledger!E:E, "&lt;&gt;*RD*", ledger!D:D, "Crinkle")))/1.0936)+_xlfn.IFNA(E108,0)</f>
        <v>788594.5501097294</v>
      </c>
      <c r="W7" s="70" cm="1">
        <f t="array" ref="W7">(_xlfn.BYROW(B59,_xlfn.LAMBDA(_xlpm.party,SUMIFS(ledger!G:G,ledger!B:B,_xlpm.party,ledger!E:E,"&lt;&gt;*RD*",ledger!D:D,"Silky")))/1.0936)+_xlfn.IFNA(F108,0)</f>
        <v>165525.78639356254</v>
      </c>
      <c r="X7" s="22" cm="1">
        <f t="array" ref="X7">(_xlfn.BYROW(B59,_xlfn.LAMBDA(_xlpm.party,
(SUMIFS(ledger!J:J,ledger!B:B,_xlpm.party,ledger!E:E,"&lt;&gt;*RD*",ledger!D:D,"Chamki",ledger!C:C,"&lt;&gt;Closing CF")+
SUMIFS(ledger!J:J,ledger!B:B,_xlpm.party,ledger!E:E,"&lt;&gt;*RD*",ledger!D:D,"Crinkle",ledger!C:C,"&lt;&gt;Closing CF")
)+_xlfn.IFNA(G108,0))))</f>
        <v>7885945.5010972936</v>
      </c>
      <c r="Y7" s="70" cm="1">
        <f t="array" ref="Y7">_xlfn.BYROW(B59, _xlfn.LAMBDA(_xlpm.party,
   SUMIFS(ledger!J:J, ledger!B:B, _xlpm.party, ledger!E:E, "&lt;&gt;*RD*", ledger!D:D, "Silky", ledger!C:C, "&lt;&gt;Closing CF")
)) + _xlfn.IFNA(H108, 0)</f>
        <v>2137040.9656181419</v>
      </c>
      <c r="Z7" s="70" cm="1">
        <f t="array" ref="Z7">_xlfn.BYROW(B59, _xlfn.LAMBDA(_xlpm.party,
   SUMIFS(ledger!J:J, ledger!B:B, _xlpm.party, ledger!E:E, "&lt;&gt;*RD*", ledger!D:D, "Slub", ledger!C:C, "&lt;&gt;Closing CF")
))+ _xlfn.IFNA(I108, 0)</f>
        <v>0</v>
      </c>
      <c r="AA7" s="70" cm="1">
        <f t="array" ref="AA7">_xlfn.BYROW(B59, _xlfn.LAMBDA(_xlpm.party,
   SUMIFS(ledger!J:J, ledger!B:B, _xlpm.party, ledger!E:E, "&lt;&gt;*RD*", ledger!D:D, "Satin", ledger!C:C, "&lt;&gt;Closing CF")
))+ _xlfn.IFNA(J108, 0)</f>
        <v>0</v>
      </c>
      <c r="AB7" s="70" cm="1">
        <f t="array" ref="AB7">_xlfn.BYROW(B59, _xlfn.LAMBDA(_xlpm.party,
   SUMIFS(ledger!J:J, ledger!B:B, _xlpm.party, ledger!E:E, "&lt;&gt;*RD*", ledger!D:D, "Black-Chamki", ledger!C:C, "&lt;&gt;Closing CF")
))+ _xlfn.IFNA(K108, 0)</f>
        <v>0</v>
      </c>
      <c r="AC7" s="70" cm="1">
        <f t="array" ref="AC7">_xlfn.BYROW(B59, _xlfn.LAMBDA(_xlpm.party,
   SUMIFS(ledger!J:J, ledger!B:B, _xlpm.party, ledger!E:E, "&lt;&gt;*RD*", ledger!D:D, "Kataan", ledger!C:C, "&lt;&gt;Closing CF")
))+ _xlfn.IFNA(L108, 0)</f>
        <v>0</v>
      </c>
      <c r="AD7" s="70" cm="1">
        <f t="array" ref="AD7">_xlfn.BYROW(B59, _xlfn.LAMBDA(_xlpm.party,
   SUMIFS(ledger!J:J, ledger!B:B, _xlpm.party, ledger!E:E, "&lt;&gt;*RD*", ledger!D:D, "Munaar", ledger!C:C, "&lt;&gt;Closing CF")
))+ _xlfn.IFNA(M108, 0)</f>
        <v>0</v>
      </c>
      <c r="AE7" s="70" cm="1">
        <f t="array" ref="AE7">_xlfn.BYROW(B59, _xlfn.LAMBDA(_xlpm.party,
   SUMIFS(ledger!J:J, ledger!B:B, _xlpm.party, ledger!E:E, "&lt;&gt;*RD*", ledger!D:D, "Custom", ledger!C:C, "&lt;&gt;Closing CF")
))+ _xlfn.IFNA(O108, 0)</f>
        <v>0</v>
      </c>
      <c r="AF7" s="39">
        <f t="shared" si="1"/>
        <v>10022986.466715436</v>
      </c>
      <c r="AG7" s="22">
        <f>(SUMIF(Table14[Party],S7,Table14[Credit]))+_xlfn.IFNA(Q108,0)</f>
        <v>9812586</v>
      </c>
      <c r="AH7" s="33">
        <f t="shared" si="2"/>
        <v>210400.46671543643</v>
      </c>
      <c r="AI7" s="21">
        <v>10</v>
      </c>
      <c r="AJ7" s="21">
        <v>13</v>
      </c>
    </row>
    <row r="8" spans="2:39"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_xlfn.BYROW(B60,_xlfn.LAMBDA(_xlpm.party,SUMIFS(ledger!G:G,ledger!B:B,_xlpm.party,ledger!E:E,"&lt;&gt;*RD*")))+_xlfn.IFNA(C109,0)</f>
        <v>143457</v>
      </c>
      <c r="U8" s="22" cm="1">
        <f t="array" ref="U8">_xlfn.BYROW(B60, _xlfn.LAMBDA(_xlpm.party, SUMIFS(ledger!G:G, ledger!B:B, _xlpm.party, ledger!E:E, "&lt;&gt;*RD*") / 1.0936 ))+_xlfn.IFNA(D109,0)</f>
        <v>131178.67593269935</v>
      </c>
      <c r="V8" s="22" cm="1">
        <f t="array" ref="V8">(_xlfn.BYROW(B60,_xlfn.LAMBDA(_xlpm.party,SUMIFS(ledger!G:G,ledger!B:B,_xlpm.party,ledger!E:E,"&lt;&gt;*RD*",ledger!D:D,"Chamki")+SUMIFS(ledger!G:G, ledger!B:B, _xlpm.party, ledger!E:E, "&lt;&gt;*RD*", ledger!D:D, "Crinkle")))/1.0936)+_xlfn.IFNA(E109,0)</f>
        <v>131178.67593269935</v>
      </c>
      <c r="W8" s="70" cm="1">
        <f t="array" ref="W8">(_xlfn.BYROW(B60,_xlfn.LAMBDA(_xlpm.party,SUMIFS(ledger!G:G,ledger!B:B,_xlpm.party,ledger!E:E,"&lt;&gt;*RD*",ledger!D:D,"Silky")))/1.0936)+_xlfn.IFNA(F109,0)</f>
        <v>0</v>
      </c>
      <c r="X8" s="22" cm="1">
        <f t="array" ref="X8">(_xlfn.BYROW(B60,_xlfn.LAMBDA(_xlpm.party,
(SUMIFS(ledger!J:J,ledger!B:B,_xlpm.party,ledger!E:E,"&lt;&gt;*RD*",ledger!D:D,"Chamki",ledger!C:C,"&lt;&gt;Closing CF")+
SUMIFS(ledger!J:J,ledger!B:B,_xlpm.party,ledger!E:E,"&lt;&gt;*RD*",ledger!D:D,"Crinkle",ledger!C:C,"&lt;&gt;Closing CF")
)+_xlfn.IFNA(G109,0))))</f>
        <v>1354241.9972933433</v>
      </c>
      <c r="Y8" s="70" cm="1">
        <f t="array" ref="Y8">_xlfn.BYROW(B60, _xlfn.LAMBDA(_xlpm.party,
   SUMIFS(ledger!J:J, ledger!B:B, _xlpm.party, ledger!E:E, "&lt;&gt;*RD*", ledger!D:D, "Silky", ledger!C:C, "&lt;&gt;Closing CF")
)) + _xlfn.IFNA(H109, 0)</f>
        <v>0</v>
      </c>
      <c r="Z8" s="70" cm="1">
        <f t="array" ref="Z8">_xlfn.BYROW(B60, _xlfn.LAMBDA(_xlpm.party,
   SUMIFS(ledger!J:J, ledger!B:B, _xlpm.party, ledger!E:E, "&lt;&gt;*RD*", ledger!D:D, "Slub", ledger!C:C, "&lt;&gt;Closing CF")
))+ _xlfn.IFNA(I109, 0)</f>
        <v>0</v>
      </c>
      <c r="AA8" s="70" cm="1">
        <f t="array" ref="AA8">_xlfn.BYROW(B60, _xlfn.LAMBDA(_xlpm.party,
   SUMIFS(ledger!J:J, ledger!B:B, _xlpm.party, ledger!E:E, "&lt;&gt;*RD*", ledger!D:D, "Satin", ledger!C:C, "&lt;&gt;Closing CF")
))+ _xlfn.IFNA(J109, 0)</f>
        <v>0</v>
      </c>
      <c r="AB8" s="70" cm="1">
        <f t="array" ref="AB8">_xlfn.BYROW(B60, _xlfn.LAMBDA(_xlpm.party,
   SUMIFS(ledger!J:J, ledger!B:B, _xlpm.party, ledger!E:E, "&lt;&gt;*RD*", ledger!D:D, "Black-Chamki", ledger!C:C, "&lt;&gt;Closing CF")
))+ _xlfn.IFNA(K109, 0)</f>
        <v>0</v>
      </c>
      <c r="AC8" s="70" cm="1">
        <f t="array" ref="AC8">_xlfn.BYROW(B60, _xlfn.LAMBDA(_xlpm.party,
   SUMIFS(ledger!J:J, ledger!B:B, _xlpm.party, ledger!E:E, "&lt;&gt;*RD*", ledger!D:D, "Kataan", ledger!C:C, "&lt;&gt;Closing CF")
))+ _xlfn.IFNA(L109, 0)</f>
        <v>0</v>
      </c>
      <c r="AD8" s="70" cm="1">
        <f t="array" ref="AD8">_xlfn.BYROW(B60, _xlfn.LAMBDA(_xlpm.party,
   SUMIFS(ledger!J:J, ledger!B:B, _xlpm.party, ledger!E:E, "&lt;&gt;*RD*", ledger!D:D, "Munaar", ledger!C:C, "&lt;&gt;Closing CF")
))+ _xlfn.IFNA(M109, 0)</f>
        <v>0</v>
      </c>
      <c r="AE8" s="70" cm="1">
        <f t="array" ref="AE8">_xlfn.BYROW(B60, _xlfn.LAMBDA(_xlpm.party,
   SUMIFS(ledger!J:J, ledger!B:B, _xlpm.party, ledger!E:E, "&lt;&gt;*RD*", ledger!D:D, "Custom", ledger!C:C, "&lt;&gt;Closing CF")
))+ _xlfn.IFNA(O109, 0)</f>
        <v>0</v>
      </c>
      <c r="AF8" s="39">
        <f t="shared" si="1"/>
        <v>1354241.9972933433</v>
      </c>
      <c r="AG8" s="22">
        <f>(SUMIF(Table14[Party],S8,Table14[Credit]))+_xlfn.IFNA(Q109,0)</f>
        <v>1353710</v>
      </c>
      <c r="AH8" s="33">
        <f t="shared" si="2"/>
        <v>531.99729334330186</v>
      </c>
      <c r="AI8" s="21">
        <v>10.5</v>
      </c>
      <c r="AJ8" s="21">
        <v>13</v>
      </c>
    </row>
    <row r="9" spans="2:39"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_xlfn.BYROW(B61,_xlfn.LAMBDA(_xlpm.party,SUMIFS(ledger!G:G,ledger!B:B,_xlpm.party,ledger!E:E,"&lt;&gt;*RD*")))+_xlfn.IFNA(C110,0)</f>
        <v>1388831</v>
      </c>
      <c r="U9" s="22" cm="1">
        <f t="array" ref="U9">_xlfn.BYROW(B61, _xlfn.LAMBDA(_xlpm.party, SUMIFS(ledger!G:G, ledger!B:B, _xlpm.party, ledger!E:E, "&lt;&gt;*RD*") / 1.0936 ))+_xlfn.IFNA(D110,0)</f>
        <v>1269962.5091441111</v>
      </c>
      <c r="V9" s="22" cm="1">
        <f t="array" ref="V9">(_xlfn.BYROW(B61,_xlfn.LAMBDA(_xlpm.party,SUMIFS(ledger!G:G,ledger!B:B,_xlpm.party,ledger!E:E,"&lt;&gt;*RD*",ledger!D:D,"Chamki")+SUMIFS(ledger!G:G, ledger!B:B, _xlpm.party, ledger!E:E, "&lt;&gt;*RD*", ledger!D:D, "Crinkle")))/1.0936)+_xlfn.IFNA(E110,0)</f>
        <v>599330.65106071695</v>
      </c>
      <c r="W9" s="70" cm="1">
        <f t="array" ref="W9">(_xlfn.BYROW(B61,_xlfn.LAMBDA(_xlpm.party,SUMIFS(ledger!G:G,ledger!B:B,_xlpm.party,ledger!E:E,"&lt;&gt;*RD*",ledger!D:D,"Silky")))/1.0936)+_xlfn.IFNA(F110,0)</f>
        <v>585679.40746159479</v>
      </c>
      <c r="X9" s="22" cm="1">
        <f t="array" ref="X9">(_xlfn.BYROW(B61,_xlfn.LAMBDA(_xlpm.party,
(SUMIFS(ledger!J:J,ledger!B:B,_xlpm.party,ledger!E:E,"&lt;&gt;*RD*",ledger!D:D,"Chamki",ledger!C:C,"&lt;&gt;Closing CF")+
SUMIFS(ledger!J:J,ledger!B:B,_xlpm.party,ledger!E:E,"&lt;&gt;*RD*",ledger!D:D,"Crinkle",ledger!C:C,"&lt;&gt;Closing CF")
)+_xlfn.IFNA(G110,0))))</f>
        <v>5408917.8595464528</v>
      </c>
      <c r="Y9" s="70" cm="1">
        <f t="array" ref="Y9">_xlfn.BYROW(B61, _xlfn.LAMBDA(_xlpm.party,
   SUMIFS(ledger!J:J, ledger!B:B, _xlpm.party, ledger!E:E, "&lt;&gt;*RD*", ledger!D:D, "Silky", ledger!C:C, "&lt;&gt;Closing CF")
)) + _xlfn.IFNA(H110, 0)</f>
        <v>6928297.3664959762</v>
      </c>
      <c r="Z9" s="70" cm="1">
        <f t="array" ref="Z9">_xlfn.BYROW(B61, _xlfn.LAMBDA(_xlpm.party,
   SUMIFS(ledger!J:J, ledger!B:B, _xlpm.party, ledger!E:E, "&lt;&gt;*RD*", ledger!D:D, "Slub", ledger!C:C, "&lt;&gt;Closing CF")
))+ _xlfn.IFNA(I110, 0)</f>
        <v>0</v>
      </c>
      <c r="AA9" s="70" cm="1">
        <f t="array" ref="AA9">_xlfn.BYROW(B61, _xlfn.LAMBDA(_xlpm.party,
   SUMIFS(ledger!J:J, ledger!B:B, _xlpm.party, ledger!E:E, "&lt;&gt;*RD*", ledger!D:D, "Satin", ledger!C:C, "&lt;&gt;Closing CF")
))+ _xlfn.IFNA(J110, 0)</f>
        <v>239959.76591075349</v>
      </c>
      <c r="AB9" s="70" cm="1">
        <f t="array" ref="AB9">_xlfn.BYROW(B61, _xlfn.LAMBDA(_xlpm.party,
   SUMIFS(ledger!J:J, ledger!B:B, _xlpm.party, ledger!E:E, "&lt;&gt;*RD*", ledger!D:D, "Black-Chamki", ledger!C:C, "&lt;&gt;Closing CF")
))+ _xlfn.IFNA(K110, 0)</f>
        <v>0</v>
      </c>
      <c r="AC9" s="70" cm="1">
        <f t="array" ref="AC9">_xlfn.BYROW(B61, _xlfn.LAMBDA(_xlpm.party,
   SUMIFS(ledger!J:J, ledger!B:B, _xlpm.party, ledger!E:E, "&lt;&gt;*RD*", ledger!D:D, "Kataan", ledger!C:C, "&lt;&gt;Closing CF")
))+ _xlfn.IFNA(L110, 0)</f>
        <v>0</v>
      </c>
      <c r="AD9" s="70" cm="1">
        <f t="array" ref="AD9">_xlfn.BYROW(B61, _xlfn.LAMBDA(_xlpm.party,
   SUMIFS(ledger!J:J, ledger!B:B, _xlpm.party, ledger!E:E, "&lt;&gt;*RD*", ledger!D:D, "Munaar", ledger!C:C, "&lt;&gt;Closing CF")
))+ _xlfn.IFNA(M110, 0)</f>
        <v>0</v>
      </c>
      <c r="AE9" s="70" cm="1">
        <f t="array" ref="AE9">_xlfn.BYROW(B61, _xlfn.LAMBDA(_xlpm.party,
   SUMIFS(ledger!J:J, ledger!B:B, _xlpm.party, ledger!E:E, "&lt;&gt;*RD*", ledger!D:D, "Custom", ledger!C:C, "&lt;&gt;Closing CF")
))+ _xlfn.IFNA(O110, 0)</f>
        <v>0</v>
      </c>
      <c r="AF9" s="39">
        <f t="shared" si="1"/>
        <v>12577174.991953183</v>
      </c>
      <c r="AG9" s="22">
        <f>(SUMIF(Table14[Party],S9,Table14[Credit]))+_xlfn.IFNA(Q110,0)</f>
        <v>12178764</v>
      </c>
      <c r="AH9" s="33">
        <f t="shared" si="2"/>
        <v>398410.99195318297</v>
      </c>
      <c r="AI9" s="21">
        <v>10</v>
      </c>
      <c r="AJ9" s="21">
        <v>13</v>
      </c>
    </row>
    <row r="10" spans="2:39"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_xlfn.BYROW(B62,_xlfn.LAMBDA(_xlpm.party,SUMIFS(ledger!G:G,ledger!B:B,_xlpm.party,ledger!E:E,"&lt;&gt;*RD*")))+_xlfn.IFNA(C111,0)</f>
        <v>1135029</v>
      </c>
      <c r="U10" s="22" cm="1">
        <f t="array" ref="U10">_xlfn.BYROW(B62, _xlfn.LAMBDA(_xlpm.party, SUMIFS(ledger!G:G, ledger!B:B, _xlpm.party, ledger!E:E, "&lt;&gt;*RD*") / 1.0936 ))+_xlfn.IFNA(D111,0)</f>
        <v>1037883.1382589615</v>
      </c>
      <c r="V10" s="22" cm="1">
        <f t="array" ref="V10">(_xlfn.BYROW(B62,_xlfn.LAMBDA(_xlpm.party,SUMIFS(ledger!G:G,ledger!B:B,_xlpm.party,ledger!E:E,"&lt;&gt;*RD*",ledger!D:D,"Chamki")+SUMIFS(ledger!G:G, ledger!B:B, _xlpm.party, ledger!E:E, "&lt;&gt;*RD*", ledger!D:D, "Crinkle")))/1.0936)+_xlfn.IFNA(E111,0)</f>
        <v>1005535.8449158743</v>
      </c>
      <c r="W10" s="70" cm="1">
        <f t="array" ref="W10">(_xlfn.BYROW(B62,_xlfn.LAMBDA(_xlpm.party,SUMIFS(ledger!G:G,ledger!B:B,_xlpm.party,ledger!E:E,"&lt;&gt;*RD*",ledger!D:D,"Silky")))/1.0936)+_xlfn.IFNA(F111,0)</f>
        <v>0</v>
      </c>
      <c r="X10" s="22" cm="1">
        <f t="array" ref="X10">(_xlfn.BYROW(B62,_xlfn.LAMBDA(_xlpm.party,
(SUMIFS(ledger!J:J,ledger!B:B,_xlpm.party,ledger!E:E,"&lt;&gt;*RD*",ledger!D:D,"Chamki",ledger!C:C,"&lt;&gt;Closing CF")+
SUMIFS(ledger!J:J,ledger!B:B,_xlpm.party,ledger!E:E,"&lt;&gt;*RD*",ledger!D:D,"Crinkle",ledger!C:C,"&lt;&gt;Closing CF")
)+_xlfn.IFNA(G111,0))))</f>
        <v>10055358.449158743</v>
      </c>
      <c r="Y10" s="70" cm="1">
        <f t="array" ref="Y10">_xlfn.BYROW(B62, _xlfn.LAMBDA(_xlpm.party,
   SUMIFS(ledger!J:J, ledger!B:B, _xlpm.party, ledger!E:E, "&lt;&gt;*RD*", ledger!D:D, "Silky", ledger!C:C, "&lt;&gt;Closing CF")
)) + _xlfn.IFNA(H111, 0)</f>
        <v>0</v>
      </c>
      <c r="Z10" s="70" cm="1">
        <f t="array" ref="Z10">_xlfn.BYROW(B62, _xlfn.LAMBDA(_xlpm.party,
   SUMIFS(ledger!J:J, ledger!B:B, _xlpm.party, ledger!E:E, "&lt;&gt;*RD*", ledger!D:D, "Slub", ledger!C:C, "&lt;&gt;Closing CF")
))+ _xlfn.IFNA(I111, 0)</f>
        <v>71359.729334308722</v>
      </c>
      <c r="AA10" s="70" cm="1">
        <f t="array" ref="AA10">_xlfn.BYROW(B62, _xlfn.LAMBDA(_xlpm.party,
   SUMIFS(ledger!J:J, ledger!B:B, _xlpm.party, ledger!E:E, "&lt;&gt;*RD*", ledger!D:D, "Satin", ledger!C:C, "&lt;&gt;Closing CF")
))+ _xlfn.IFNA(J111, 0)</f>
        <v>0</v>
      </c>
      <c r="AB10" s="70" cm="1">
        <f t="array" ref="AB10">_xlfn.BYROW(B62, _xlfn.LAMBDA(_xlpm.party,
   SUMIFS(ledger!J:J, ledger!B:B, _xlpm.party, ledger!E:E, "&lt;&gt;*RD*", ledger!D:D, "Black-Chamki", ledger!C:C, "&lt;&gt;Closing CF")
))+ _xlfn.IFNA(K111, 0)</f>
        <v>322297.00073152891</v>
      </c>
      <c r="AC10" s="70" cm="1">
        <f t="array" ref="AC10">_xlfn.BYROW(B62, _xlfn.LAMBDA(_xlpm.party,
   SUMIFS(ledger!J:J, ledger!B:B, _xlpm.party, ledger!E:E, "&lt;&gt;*RD*", ledger!D:D, "Kataan", ledger!C:C, "&lt;&gt;Closing CF")
))+ _xlfn.IFNA(L111, 0)</f>
        <v>0</v>
      </c>
      <c r="AD10" s="70" cm="1">
        <f t="array" ref="AD10">_xlfn.BYROW(B62, _xlfn.LAMBDA(_xlpm.party,
   SUMIFS(ledger!J:J, ledger!B:B, _xlpm.party, ledger!E:E, "&lt;&gt;*RD*", ledger!D:D, "Munaar", ledger!C:C, "&lt;&gt;Closing CF")
))+ _xlfn.IFNA(M111, 0)</f>
        <v>0</v>
      </c>
      <c r="AE10" s="70" cm="1">
        <f t="array" ref="AE10">_xlfn.BYROW(B62, _xlfn.LAMBDA(_xlpm.party,
   SUMIFS(ledger!J:J, ledger!B:B, _xlpm.party, ledger!E:E, "&lt;&gt;*RD*", ledger!D:D, "Custom", ledger!C:C, "&lt;&gt;Closing CF")
))+ _xlfn.IFNA(O111, 0)</f>
        <v>0</v>
      </c>
      <c r="AF10" s="39">
        <f t="shared" si="1"/>
        <v>10449015.179224581</v>
      </c>
      <c r="AG10" s="22">
        <f>(SUMIF(Table14[Party],S10,Table14[Credit]))+_xlfn.IFNA(Q111,0)</f>
        <v>10448871</v>
      </c>
      <c r="AH10" s="33">
        <f t="shared" si="2"/>
        <v>144.17922458052635</v>
      </c>
      <c r="AI10" s="21">
        <v>10</v>
      </c>
      <c r="AJ10" s="21">
        <v>13</v>
      </c>
    </row>
    <row r="11" spans="2:39"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_xlfn.BYROW(B63,_xlfn.LAMBDA(_xlpm.party,SUMIFS(ledger!G:G,ledger!B:B,_xlpm.party,ledger!E:E,"&lt;&gt;*RD*")))+_xlfn.IFNA(C112,0)</f>
        <v>283694</v>
      </c>
      <c r="U11" s="22" cm="1">
        <f t="array" ref="U11">_xlfn.BYROW(B63, _xlfn.LAMBDA(_xlpm.party, SUMIFS(ledger!G:G, ledger!B:B, _xlpm.party, ledger!E:E, "&lt;&gt;*RD*") / 1.0936 ))+_xlfn.IFNA(D112,0)</f>
        <v>259412.94806144846</v>
      </c>
      <c r="V11" s="22" cm="1">
        <f t="array" ref="V11">(_xlfn.BYROW(B63,_xlfn.LAMBDA(_xlpm.party,SUMIFS(ledger!G:G,ledger!B:B,_xlpm.party,ledger!E:E,"&lt;&gt;*RD*",ledger!D:D,"Chamki")+SUMIFS(ledger!G:G, ledger!B:B, _xlpm.party, ledger!E:E, "&lt;&gt;*RD*", ledger!D:D, "Crinkle")))/1.0936)+_xlfn.IFNA(E112,0)</f>
        <v>259412.94806144846</v>
      </c>
      <c r="W11" s="70" cm="1">
        <f t="array" ref="W11">(_xlfn.BYROW(B63,_xlfn.LAMBDA(_xlpm.party,SUMIFS(ledger!G:G,ledger!B:B,_xlpm.party,ledger!E:E,"&lt;&gt;*RD*",ledger!D:D,"Silky")))/1.0936)+_xlfn.IFNA(F112,0)</f>
        <v>0</v>
      </c>
      <c r="X11" s="22" cm="1">
        <f t="array" ref="X11">(_xlfn.BYROW(B63,_xlfn.LAMBDA(_xlpm.party,
(SUMIFS(ledger!J:J,ledger!B:B,_xlpm.party,ledger!E:E,"&lt;&gt;*RD*",ledger!D:D,"Chamki",ledger!C:C,"&lt;&gt;Closing CF")+
SUMIFS(ledger!J:J,ledger!B:B,_xlpm.party,ledger!E:E,"&lt;&gt;*RD*",ledger!D:D,"Crinkle",ledger!C:C,"&lt;&gt;Closing CF")
)+_xlfn.IFNA(G112,0))))</f>
        <v>2594129.4806144848</v>
      </c>
      <c r="Y11" s="70" cm="1">
        <f t="array" ref="Y11">_xlfn.BYROW(B63, _xlfn.LAMBDA(_xlpm.party,
   SUMIFS(ledger!J:J, ledger!B:B, _xlpm.party, ledger!E:E, "&lt;&gt;*RD*", ledger!D:D, "Silky", ledger!C:C, "&lt;&gt;Closing CF")
)) + _xlfn.IFNA(H112, 0)</f>
        <v>0</v>
      </c>
      <c r="Z11" s="70" cm="1">
        <f t="array" ref="Z11">_xlfn.BYROW(B63, _xlfn.LAMBDA(_xlpm.party,
   SUMIFS(ledger!J:J, ledger!B:B, _xlpm.party, ledger!E:E, "&lt;&gt;*RD*", ledger!D:D, "Slub", ledger!C:C, "&lt;&gt;Closing CF")
))+ _xlfn.IFNA(I112, 0)</f>
        <v>0</v>
      </c>
      <c r="AA11" s="70" cm="1">
        <f t="array" ref="AA11">_xlfn.BYROW(B63, _xlfn.LAMBDA(_xlpm.party,
   SUMIFS(ledger!J:J, ledger!B:B, _xlpm.party, ledger!E:E, "&lt;&gt;*RD*", ledger!D:D, "Satin", ledger!C:C, "&lt;&gt;Closing CF")
))+ _xlfn.IFNA(J112, 0)</f>
        <v>0</v>
      </c>
      <c r="AB11" s="70" cm="1">
        <f t="array" ref="AB11">_xlfn.BYROW(B63, _xlfn.LAMBDA(_xlpm.party,
   SUMIFS(ledger!J:J, ledger!B:B, _xlpm.party, ledger!E:E, "&lt;&gt;*RD*", ledger!D:D, "Black-Chamki", ledger!C:C, "&lt;&gt;Closing CF")
))+ _xlfn.IFNA(K112, 0)</f>
        <v>0</v>
      </c>
      <c r="AC11" s="70" cm="1">
        <f t="array" ref="AC11">_xlfn.BYROW(B63, _xlfn.LAMBDA(_xlpm.party,
   SUMIFS(ledger!J:J, ledger!B:B, _xlpm.party, ledger!E:E, "&lt;&gt;*RD*", ledger!D:D, "Kataan", ledger!C:C, "&lt;&gt;Closing CF")
))+ _xlfn.IFNA(L112, 0)</f>
        <v>0</v>
      </c>
      <c r="AD11" s="70" cm="1">
        <f t="array" ref="AD11">_xlfn.BYROW(B63, _xlfn.LAMBDA(_xlpm.party,
   SUMIFS(ledger!J:J, ledger!B:B, _xlpm.party, ledger!E:E, "&lt;&gt;*RD*", ledger!D:D, "Munaar", ledger!C:C, "&lt;&gt;Closing CF")
))+ _xlfn.IFNA(M112, 0)</f>
        <v>0</v>
      </c>
      <c r="AE11" s="70" cm="1">
        <f t="array" ref="AE11">_xlfn.BYROW(B63, _xlfn.LAMBDA(_xlpm.party,
   SUMIFS(ledger!J:J, ledger!B:B, _xlpm.party, ledger!E:E, "&lt;&gt;*RD*", ledger!D:D, "Custom", ledger!C:C, "&lt;&gt;Closing CF")
))+ _xlfn.IFNA(O112, 0)</f>
        <v>0</v>
      </c>
      <c r="AF11" s="39">
        <f t="shared" si="1"/>
        <v>2594129.4806144848</v>
      </c>
      <c r="AG11" s="22">
        <f>(SUMIF(Table14[Party],S11,Table14[Credit]))+_xlfn.IFNA(Q112,0)</f>
        <v>2176321</v>
      </c>
      <c r="AH11" s="33">
        <f t="shared" si="2"/>
        <v>417808.48061448475</v>
      </c>
      <c r="AI11" s="21">
        <v>10</v>
      </c>
      <c r="AJ11" s="21">
        <v>13</v>
      </c>
    </row>
    <row r="12" spans="2:39"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_xlfn.BYROW(B64,_xlfn.LAMBDA(_xlpm.party,SUMIFS(ledger!G:G,ledger!B:B,_xlpm.party,ledger!E:E,"&lt;&gt;*RD*")))+_xlfn.IFNA(C113,0)</f>
        <v>749236</v>
      </c>
      <c r="U12" s="22" cm="1">
        <f t="array" ref="U12">_xlfn.BYROW(B64, _xlfn.LAMBDA(_xlpm.party, SUMIFS(ledger!G:G, ledger!B:B, _xlpm.party, ledger!E:E, "&lt;&gt;*RD*") / 1.0936 ))+_xlfn.IFNA(D113,0)</f>
        <v>685109.72933430877</v>
      </c>
      <c r="V12" s="22" cm="1">
        <f t="array" ref="V12">(_xlfn.BYROW(B64,_xlfn.LAMBDA(_xlpm.party,SUMIFS(ledger!G:G,ledger!B:B,_xlpm.party,ledger!E:E,"&lt;&gt;*RD*",ledger!D:D,"Chamki")+SUMIFS(ledger!G:G, ledger!B:B, _xlpm.party, ledger!E:E, "&lt;&gt;*RD*", ledger!D:D, "Crinkle")))/1.0936)+_xlfn.IFNA(E113,0)</f>
        <v>501118.32479882962</v>
      </c>
      <c r="W12" s="70" cm="1">
        <f t="array" ref="W12">(_xlfn.BYROW(B64,_xlfn.LAMBDA(_xlpm.party,SUMIFS(ledger!G:G,ledger!B:B,_xlpm.party,ledger!E:E,"&lt;&gt;*RD*",ledger!D:D,"Silky")))/1.0936)+_xlfn.IFNA(F113,0)</f>
        <v>183991.40453547917</v>
      </c>
      <c r="X12" s="22" cm="1">
        <f t="array" ref="X12">(_xlfn.BYROW(B64,_xlfn.LAMBDA(_xlpm.party,
(SUMIFS(ledger!J:J,ledger!B:B,_xlpm.party,ledger!E:E,"&lt;&gt;*RD*",ledger!D:D,"Chamki",ledger!C:C,"&lt;&gt;Closing CF")+
SUMIFS(ledger!J:J,ledger!B:B,_xlpm.party,ledger!E:E,"&lt;&gt;*RD*",ledger!D:D,"Crinkle",ledger!C:C,"&lt;&gt;Closing CF")
)+_xlfn.IFNA(G113,0))))</f>
        <v>5011183.2479882967</v>
      </c>
      <c r="Y12" s="70" cm="1">
        <f t="array" ref="Y12">_xlfn.BYROW(B64, _xlfn.LAMBDA(_xlpm.party,
   SUMIFS(ledger!J:J, ledger!B:B, _xlpm.party, ledger!E:E, "&lt;&gt;*RD*", ledger!D:D, "Silky", ledger!C:C, "&lt;&gt;Closing CF")
)) + _xlfn.IFNA(H113, 0)</f>
        <v>2391888.2589612291</v>
      </c>
      <c r="Z12" s="70" cm="1">
        <f t="array" ref="Z12">_xlfn.BYROW(B64, _xlfn.LAMBDA(_xlpm.party,
   SUMIFS(ledger!J:J, ledger!B:B, _xlpm.party, ledger!E:E, "&lt;&gt;*RD*", ledger!D:D, "Slub", ledger!C:C, "&lt;&gt;Closing CF")
))+ _xlfn.IFNA(I113, 0)</f>
        <v>0</v>
      </c>
      <c r="AA12" s="70" cm="1">
        <f t="array" ref="AA12">_xlfn.BYROW(B64, _xlfn.LAMBDA(_xlpm.party,
   SUMIFS(ledger!J:J, ledger!B:B, _xlpm.party, ledger!E:E, "&lt;&gt;*RD*", ledger!D:D, "Satin", ledger!C:C, "&lt;&gt;Closing CF")
))+ _xlfn.IFNA(J113, 0)</f>
        <v>0</v>
      </c>
      <c r="AB12" s="70" cm="1">
        <f t="array" ref="AB12">_xlfn.BYROW(B64, _xlfn.LAMBDA(_xlpm.party,
   SUMIFS(ledger!J:J, ledger!B:B, _xlpm.party, ledger!E:E, "&lt;&gt;*RD*", ledger!D:D, "Black-Chamki", ledger!C:C, "&lt;&gt;Closing CF")
))+ _xlfn.IFNA(K113, 0)</f>
        <v>0</v>
      </c>
      <c r="AC12" s="70" cm="1">
        <f t="array" ref="AC12">_xlfn.BYROW(B64, _xlfn.LAMBDA(_xlpm.party,
   SUMIFS(ledger!J:J, ledger!B:B, _xlpm.party, ledger!E:E, "&lt;&gt;*RD*", ledger!D:D, "Kataan", ledger!C:C, "&lt;&gt;Closing CF")
))+ _xlfn.IFNA(L113, 0)</f>
        <v>0</v>
      </c>
      <c r="AD12" s="70" cm="1">
        <f t="array" ref="AD12">_xlfn.BYROW(B64, _xlfn.LAMBDA(_xlpm.party,
   SUMIFS(ledger!J:J, ledger!B:B, _xlpm.party, ledger!E:E, "&lt;&gt;*RD*", ledger!D:D, "Munaar", ledger!C:C, "&lt;&gt;Closing CF")
))+ _xlfn.IFNA(M113, 0)</f>
        <v>0</v>
      </c>
      <c r="AE12" s="70" cm="1">
        <f t="array" ref="AE12">_xlfn.BYROW(B64, _xlfn.LAMBDA(_xlpm.party,
   SUMIFS(ledger!J:J, ledger!B:B, _xlpm.party, ledger!E:E, "&lt;&gt;*RD*", ledger!D:D, "Custom", ledger!C:C, "&lt;&gt;Closing CF")
))+ _xlfn.IFNA(O113, 0)</f>
        <v>0</v>
      </c>
      <c r="AF12" s="39">
        <f t="shared" si="1"/>
        <v>7403071.5069495253</v>
      </c>
      <c r="AG12" s="22">
        <f>(SUMIF(Table14[Party],S12,Table14[Credit]))+_xlfn.IFNA(Q113,0)</f>
        <v>7402540</v>
      </c>
      <c r="AH12" s="33">
        <f t="shared" si="2"/>
        <v>531.50694952532649</v>
      </c>
      <c r="AI12" s="21">
        <v>10</v>
      </c>
      <c r="AJ12" s="21">
        <v>13</v>
      </c>
    </row>
    <row r="13" spans="2:39"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_xlfn.BYROW(B65,_xlfn.LAMBDA(_xlpm.party,SUMIFS(ledger!G:G,ledger!B:B,_xlpm.party,ledger!E:E,"&lt;&gt;*RD*")))+_xlfn.IFNA(C114,0)</f>
        <v>336741</v>
      </c>
      <c r="U13" s="22" cm="1">
        <f t="array" ref="U13">_xlfn.BYROW(B65, _xlfn.LAMBDA(_xlpm.party, SUMIFS(ledger!G:G, ledger!B:B, _xlpm.party, ledger!E:E, "&lt;&gt;*RD*") / 1.0936 ))+_xlfn.IFNA(D114,0)</f>
        <v>307919.71470373083</v>
      </c>
      <c r="V13" s="22" cm="1">
        <f t="array" ref="V13">(_xlfn.BYROW(B65,_xlfn.LAMBDA(_xlpm.party,SUMIFS(ledger!G:G,ledger!B:B,_xlpm.party,ledger!E:E,"&lt;&gt;*RD*",ledger!D:D,"Chamki")+SUMIFS(ledger!G:G, ledger!B:B, _xlpm.party, ledger!E:E, "&lt;&gt;*RD*", ledger!D:D, "Crinkle")))/1.0936)+_xlfn.IFNA(E114,0)</f>
        <v>46132.955376737387</v>
      </c>
      <c r="W13" s="70" cm="1">
        <f t="array" ref="W13">(_xlfn.BYROW(B65,_xlfn.LAMBDA(_xlpm.party,SUMIFS(ledger!G:G,ledger!B:B,_xlpm.party,ledger!E:E,"&lt;&gt;*RD*",ledger!D:D,"Silky")))/1.0936)+_xlfn.IFNA(F114,0)</f>
        <v>261786.75932699343</v>
      </c>
      <c r="X13" s="22" cm="1">
        <f t="array" ref="X13">(_xlfn.BYROW(B65,_xlfn.LAMBDA(_xlpm.party,
(SUMIFS(ledger!J:J,ledger!B:B,_xlpm.party,ledger!E:E,"&lt;&gt;*RD*",ledger!D:D,"Chamki",ledger!C:C,"&lt;&gt;Closing CF")+
SUMIFS(ledger!J:J,ledger!B:B,_xlpm.party,ledger!E:E,"&lt;&gt;*RD*",ledger!D:D,"Crinkle",ledger!C:C,"&lt;&gt;Closing CF")
)+_xlfn.IFNA(G114,0))))</f>
        <v>461329.5537673739</v>
      </c>
      <c r="Y13" s="70" cm="1">
        <f t="array" ref="Y13">_xlfn.BYROW(B65, _xlfn.LAMBDA(_xlpm.party,
   SUMIFS(ledger!J:J, ledger!B:B, _xlpm.party, ledger!E:E, "&lt;&gt;*RD*", ledger!D:D, "Silky", ledger!C:C, "&lt;&gt;Closing CF")
)) + _xlfn.IFNA(H114, 0)</f>
        <v>3189934.1623994149</v>
      </c>
      <c r="Z13" s="70" cm="1">
        <f t="array" ref="Z13">_xlfn.BYROW(B65, _xlfn.LAMBDA(_xlpm.party,
   SUMIFS(ledger!J:J, ledger!B:B, _xlpm.party, ledger!E:E, "&lt;&gt;*RD*", ledger!D:D, "Slub", ledger!C:C, "&lt;&gt;Closing CF")
))+ _xlfn.IFNA(I114, 0)</f>
        <v>0</v>
      </c>
      <c r="AA13" s="70" cm="1">
        <f t="array" ref="AA13">_xlfn.BYROW(B65, _xlfn.LAMBDA(_xlpm.party,
   SUMIFS(ledger!J:J, ledger!B:B, _xlpm.party, ledger!E:E, "&lt;&gt;*RD*", ledger!D:D, "Satin", ledger!C:C, "&lt;&gt;Closing CF")
))+ _xlfn.IFNA(J114, 0)</f>
        <v>0</v>
      </c>
      <c r="AB13" s="70" cm="1">
        <f t="array" ref="AB13">_xlfn.BYROW(B65, _xlfn.LAMBDA(_xlpm.party,
   SUMIFS(ledger!J:J, ledger!B:B, _xlpm.party, ledger!E:E, "&lt;&gt;*RD*", ledger!D:D, "Black-Chamki", ledger!C:C, "&lt;&gt;Closing CF")
))+ _xlfn.IFNA(K114, 0)</f>
        <v>0</v>
      </c>
      <c r="AC13" s="70" cm="1">
        <f t="array" ref="AC13">_xlfn.BYROW(B65, _xlfn.LAMBDA(_xlpm.party,
   SUMIFS(ledger!J:J, ledger!B:B, _xlpm.party, ledger!E:E, "&lt;&gt;*RD*", ledger!D:D, "Kataan", ledger!C:C, "&lt;&gt;Closing CF")
))+ _xlfn.IFNA(L114, 0)</f>
        <v>0</v>
      </c>
      <c r="AD13" s="70" cm="1">
        <f t="array" ref="AD13">_xlfn.BYROW(B65, _xlfn.LAMBDA(_xlpm.party,
   SUMIFS(ledger!J:J, ledger!B:B, _xlpm.party, ledger!E:E, "&lt;&gt;*RD*", ledger!D:D, "Munaar", ledger!C:C, "&lt;&gt;Closing CF")
))+ _xlfn.IFNA(M114, 0)</f>
        <v>0</v>
      </c>
      <c r="AE13" s="70" cm="1">
        <f t="array" ref="AE13">_xlfn.BYROW(B65, _xlfn.LAMBDA(_xlpm.party,
   SUMIFS(ledger!J:J, ledger!B:B, _xlpm.party, ledger!E:E, "&lt;&gt;*RD*", ledger!D:D, "Custom", ledger!C:C, "&lt;&gt;Closing CF")
))+ _xlfn.IFNA(O114, 0)</f>
        <v>0</v>
      </c>
      <c r="AF13" s="39">
        <f t="shared" si="1"/>
        <v>3651263.7161667887</v>
      </c>
      <c r="AG13" s="22">
        <f>(SUMIF(Table14[Party],S13,Table14[Credit]))+_xlfn.IFNA(Q114,0)</f>
        <v>3649649</v>
      </c>
      <c r="AH13" s="33">
        <f t="shared" si="2"/>
        <v>1614.7161667887121</v>
      </c>
      <c r="AI13" s="21">
        <v>10</v>
      </c>
      <c r="AJ13" s="21">
        <v>13</v>
      </c>
    </row>
    <row r="14" spans="2:39"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_xlfn.BYROW(B66,_xlfn.LAMBDA(_xlpm.party,SUMIFS(ledger!G:G,ledger!B:B,_xlpm.party,ledger!E:E,"&lt;&gt;*RD*")))+_xlfn.IFNA(C115,0)</f>
        <v>23305</v>
      </c>
      <c r="U14" s="22" cm="1">
        <f t="array" ref="U14">_xlfn.BYROW(B66, _xlfn.LAMBDA(_xlpm.party, SUMIFS(ledger!G:G, ledger!B:B, _xlpm.party, ledger!E:E, "&lt;&gt;*RD*") / 1.0936 ))+_xlfn.IFNA(D115,0)</f>
        <v>21310.35113386979</v>
      </c>
      <c r="V14" s="22" cm="1">
        <f t="array" ref="V14">(_xlfn.BYROW(B66,_xlfn.LAMBDA(_xlpm.party,SUMIFS(ledger!G:G,ledger!B:B,_xlpm.party,ledger!E:E,"&lt;&gt;*RD*",ledger!D:D,"Chamki")+SUMIFS(ledger!G:G, ledger!B:B, _xlpm.party, ledger!E:E, "&lt;&gt;*RD*", ledger!D:D, "Crinkle")))/1.0936)+_xlfn.IFNA(E115,0)</f>
        <v>21310.35113386979</v>
      </c>
      <c r="W14" s="70" cm="1">
        <f t="array" ref="W14">(_xlfn.BYROW(B66,_xlfn.LAMBDA(_xlpm.party,SUMIFS(ledger!G:G,ledger!B:B,_xlpm.party,ledger!E:E,"&lt;&gt;*RD*",ledger!D:D,"Silky")))/1.0936)+_xlfn.IFNA(F115,0)</f>
        <v>0</v>
      </c>
      <c r="X14" s="22" cm="1">
        <f t="array" ref="X14">(_xlfn.BYROW(B66,_xlfn.LAMBDA(_xlpm.party,
(SUMIFS(ledger!J:J,ledger!B:B,_xlpm.party,ledger!E:E,"&lt;&gt;*RD*",ledger!D:D,"Chamki",ledger!C:C,"&lt;&gt;Closing CF")+
SUMIFS(ledger!J:J,ledger!B:B,_xlpm.party,ledger!E:E,"&lt;&gt;*RD*",ledger!D:D,"Crinkle",ledger!C:C,"&lt;&gt;Closing CF")
)+_xlfn.IFNA(G115,0))))</f>
        <v>255724.21360643749</v>
      </c>
      <c r="Y14" s="70" cm="1">
        <f t="array" ref="Y14">_xlfn.BYROW(B66, _xlfn.LAMBDA(_xlpm.party,
   SUMIFS(ledger!J:J, ledger!B:B, _xlpm.party, ledger!E:E, "&lt;&gt;*RD*", ledger!D:D, "Silky", ledger!C:C, "&lt;&gt;Closing CF")
)) + _xlfn.IFNA(H115, 0)</f>
        <v>0</v>
      </c>
      <c r="Z14" s="70" cm="1">
        <f t="array" ref="Z14">_xlfn.BYROW(B66, _xlfn.LAMBDA(_xlpm.party,
   SUMIFS(ledger!J:J, ledger!B:B, _xlpm.party, ledger!E:E, "&lt;&gt;*RD*", ledger!D:D, "Slub", ledger!C:C, "&lt;&gt;Closing CF")
))+ _xlfn.IFNA(I115, 0)</f>
        <v>0</v>
      </c>
      <c r="AA14" s="70" cm="1">
        <f t="array" ref="AA14">_xlfn.BYROW(B66, _xlfn.LAMBDA(_xlpm.party,
   SUMIFS(ledger!J:J, ledger!B:B, _xlpm.party, ledger!E:E, "&lt;&gt;*RD*", ledger!D:D, "Satin", ledger!C:C, "&lt;&gt;Closing CF")
))+ _xlfn.IFNA(J115, 0)</f>
        <v>0</v>
      </c>
      <c r="AB14" s="70" cm="1">
        <f t="array" ref="AB14">_xlfn.BYROW(B66, _xlfn.LAMBDA(_xlpm.party,
   SUMIFS(ledger!J:J, ledger!B:B, _xlpm.party, ledger!E:E, "&lt;&gt;*RD*", ledger!D:D, "Black-Chamki", ledger!C:C, "&lt;&gt;Closing CF")
))+ _xlfn.IFNA(K115, 0)</f>
        <v>0</v>
      </c>
      <c r="AC14" s="70" cm="1">
        <f t="array" ref="AC14">_xlfn.BYROW(B66, _xlfn.LAMBDA(_xlpm.party,
   SUMIFS(ledger!J:J, ledger!B:B, _xlpm.party, ledger!E:E, "&lt;&gt;*RD*", ledger!D:D, "Kataan", ledger!C:C, "&lt;&gt;Closing CF")
))+ _xlfn.IFNA(L115, 0)</f>
        <v>0</v>
      </c>
      <c r="AD14" s="70" cm="1">
        <f t="array" ref="AD14">_xlfn.BYROW(B66, _xlfn.LAMBDA(_xlpm.party,
   SUMIFS(ledger!J:J, ledger!B:B, _xlpm.party, ledger!E:E, "&lt;&gt;*RD*", ledger!D:D, "Munaar", ledger!C:C, "&lt;&gt;Closing CF")
))+ _xlfn.IFNA(M115, 0)</f>
        <v>0</v>
      </c>
      <c r="AE14" s="70" cm="1">
        <f t="array" ref="AE14">_xlfn.BYROW(B66, _xlfn.LAMBDA(_xlpm.party,
   SUMIFS(ledger!J:J, ledger!B:B, _xlpm.party, ledger!E:E, "&lt;&gt;*RD*", ledger!D:D, "Custom", ledger!C:C, "&lt;&gt;Closing CF")
))+ _xlfn.IFNA(O115, 0)</f>
        <v>0</v>
      </c>
      <c r="AF14" s="39">
        <f t="shared" si="1"/>
        <v>255724.21360643749</v>
      </c>
      <c r="AG14" s="22">
        <f>(SUMIF(Table14[Party],S14,Table14[Credit]))+_xlfn.IFNA(Q115,0)</f>
        <v>130000</v>
      </c>
      <c r="AH14" s="33">
        <f t="shared" si="2"/>
        <v>125724.21360643749</v>
      </c>
      <c r="AI14" s="21">
        <v>12</v>
      </c>
      <c r="AJ14" s="21">
        <v>13</v>
      </c>
    </row>
    <row r="15" spans="2:39"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_xlfn.BYROW(B67,_xlfn.LAMBDA(_xlpm.party,SUMIFS(ledger!G:G,ledger!B:B,_xlpm.party,ledger!E:E,"&lt;&gt;*RD*")))+_xlfn.IFNA(C116,0)</f>
        <v>809806</v>
      </c>
      <c r="U15" s="22" cm="1">
        <f t="array" ref="U15">_xlfn.BYROW(B67, _xlfn.LAMBDA(_xlpm.party, SUMIFS(ledger!G:G, ledger!B:B, _xlpm.party, ledger!E:E, "&lt;&gt;*RD*") / 1.0936 ))+_xlfn.IFNA(D116,0)</f>
        <v>740495.6108266277</v>
      </c>
      <c r="V15" s="22" cm="1">
        <f t="array" ref="V15">(_xlfn.BYROW(B67,_xlfn.LAMBDA(_xlpm.party,SUMIFS(ledger!G:G,ledger!B:B,_xlpm.party,ledger!E:E,"&lt;&gt;*RD*",ledger!D:D,"Chamki")+SUMIFS(ledger!G:G, ledger!B:B, _xlpm.party, ledger!E:E, "&lt;&gt;*RD*", ledger!D:D, "Crinkle")))/1.0936)+_xlfn.IFNA(E116,0)</f>
        <v>635991.2216532554</v>
      </c>
      <c r="W15" s="70" cm="1">
        <f t="array" ref="W15">(_xlfn.BYROW(B67,_xlfn.LAMBDA(_xlpm.party,SUMIFS(ledger!G:G,ledger!B:B,_xlpm.party,ledger!E:E,"&lt;&gt;*RD*",ledger!D:D,"Silky")))/1.0936)+_xlfn.IFNA(F116,0)</f>
        <v>57155.267008046823</v>
      </c>
      <c r="X15" s="22" cm="1">
        <f t="array" ref="X15">(_xlfn.BYROW(B67,_xlfn.LAMBDA(_xlpm.party,
(SUMIFS(ledger!J:J,ledger!B:B,_xlpm.party,ledger!E:E,"&lt;&gt;*RD*",ledger!D:D,"Chamki",ledger!C:C,"&lt;&gt;Closing CF")+
SUMIFS(ledger!J:J,ledger!B:B,_xlpm.party,ledger!E:E,"&lt;&gt;*RD*",ledger!D:D,"Crinkle",ledger!C:C,"&lt;&gt;Closing CF")
)+_xlfn.IFNA(G116,0))))</f>
        <v>6359912.2165325535</v>
      </c>
      <c r="Y15" s="70" cm="1">
        <f t="array" ref="Y15">_xlfn.BYROW(B67, _xlfn.LAMBDA(_xlpm.party,
   SUMIFS(ledger!J:J, ledger!B:B, _xlpm.party, ledger!E:E, "&lt;&gt;*RD*", ledger!D:D, "Silky", ledger!C:C, "&lt;&gt;Closing CF")
)) + _xlfn.IFNA(H116, 0)</f>
        <v>743018.47110460862</v>
      </c>
      <c r="Z15" s="70" cm="1">
        <f t="array" ref="Z15">_xlfn.BYROW(B67, _xlfn.LAMBDA(_xlpm.party,
   SUMIFS(ledger!J:J, ledger!B:B, _xlpm.party, ledger!E:E, "&lt;&gt;*RD*", ledger!D:D, "Slub", ledger!C:C, "&lt;&gt;Closing CF")
))+ _xlfn.IFNA(I116, 0)</f>
        <v>0</v>
      </c>
      <c r="AA15" s="70" cm="1">
        <f t="array" ref="AA15">_xlfn.BYROW(B67, _xlfn.LAMBDA(_xlpm.party,
   SUMIFS(ledger!J:J, ledger!B:B, _xlpm.party, ledger!E:E, "&lt;&gt;*RD*", ledger!D:D, "Satin", ledger!C:C, "&lt;&gt;Closing CF")
))+ _xlfn.IFNA(J116, 0)</f>
        <v>0</v>
      </c>
      <c r="AB15" s="70" cm="1">
        <f t="array" ref="AB15">_xlfn.BYROW(B67, _xlfn.LAMBDA(_xlpm.party,
   SUMIFS(ledger!J:J, ledger!B:B, _xlpm.party, ledger!E:E, "&lt;&gt;*RD*", ledger!D:D, "Black-Chamki", ledger!C:C, "&lt;&gt;Closing CF")
))+ _xlfn.IFNA(K116, 0)</f>
        <v>0</v>
      </c>
      <c r="AC15" s="70" cm="1">
        <f t="array" ref="AC15">_xlfn.BYROW(B67, _xlfn.LAMBDA(_xlpm.party,
   SUMIFS(ledger!J:J, ledger!B:B, _xlpm.party, ledger!E:E, "&lt;&gt;*RD*", ledger!D:D, "Kataan", ledger!C:C, "&lt;&gt;Closing CF")
))+ _xlfn.IFNA(L116, 0)</f>
        <v>520840.34381858085</v>
      </c>
      <c r="AD15" s="70" cm="1">
        <f t="array" ref="AD15">_xlfn.BYROW(B67, _xlfn.LAMBDA(_xlpm.party,
   SUMIFS(ledger!J:J, ledger!B:B, _xlpm.party, ledger!E:E, "&lt;&gt;*RD*", ledger!D:D, "Munaar", ledger!C:C, "&lt;&gt;Closing CF")
))+ _xlfn.IFNA(M116, 0)</f>
        <v>0</v>
      </c>
      <c r="AE15" s="70" cm="1">
        <f t="array" ref="AE15">_xlfn.BYROW(B67, _xlfn.LAMBDA(_xlpm.party,
   SUMIFS(ledger!J:J, ledger!B:B, _xlpm.party, ledger!E:E, "&lt;&gt;*RD*", ledger!D:D, "Custom", ledger!C:C, "&lt;&gt;Closing CF")
))+ _xlfn.IFNA(O116, 0)</f>
        <v>0</v>
      </c>
      <c r="AF15" s="39">
        <f t="shared" si="1"/>
        <v>7623771.0314557431</v>
      </c>
      <c r="AG15" s="22">
        <f>(SUMIF(Table14[Party],S15,Table14[Credit]))+_xlfn.IFNA(Q116,0)</f>
        <v>6695853</v>
      </c>
      <c r="AH15" s="33">
        <f t="shared" si="2"/>
        <v>927918.03145574313</v>
      </c>
      <c r="AI15" s="21">
        <v>10</v>
      </c>
      <c r="AJ15" s="21">
        <v>13</v>
      </c>
    </row>
    <row r="16" spans="2:39"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_xlfn.BYROW(B68,_xlfn.LAMBDA(_xlpm.party,SUMIFS(ledger!G:G,ledger!B:B,_xlpm.party,ledger!E:E,"&lt;&gt;*RD*")))+_xlfn.IFNA(C117,0)</f>
        <v>681314</v>
      </c>
      <c r="U16" s="22" cm="1">
        <f t="array" ref="U16">_xlfn.BYROW(B68, _xlfn.LAMBDA(_xlpm.party, SUMIFS(ledger!G:G, ledger!B:B, _xlpm.party, ledger!E:E, "&lt;&gt;*RD*") / 1.0936 ))+_xlfn.IFNA(D117,0)</f>
        <v>623001.09729334316</v>
      </c>
      <c r="V16" s="22" cm="1">
        <f t="array" ref="V16">(_xlfn.BYROW(B68,_xlfn.LAMBDA(_xlpm.party,SUMIFS(ledger!G:G,ledger!B:B,_xlpm.party,ledger!E:E,"&lt;&gt;*RD*",ledger!D:D,"Chamki")+SUMIFS(ledger!G:G, ledger!B:B, _xlpm.party, ledger!E:E, "&lt;&gt;*RD*", ledger!D:D, "Crinkle")))/1.0936)+_xlfn.IFNA(E117,0)</f>
        <v>481526.15215801029</v>
      </c>
      <c r="W16" s="70" cm="1">
        <f t="array" ref="W16">(_xlfn.BYROW(B68,_xlfn.LAMBDA(_xlpm.party,SUMIFS(ledger!G:G,ledger!B:B,_xlpm.party,ledger!E:E,"&lt;&gt;*RD*",ledger!D:D,"Silky")))/1.0936)+_xlfn.IFNA(F117,0)</f>
        <v>141474.94513533285</v>
      </c>
      <c r="X16" s="22" cm="1">
        <f t="array" ref="X16">(_xlfn.BYROW(B68,_xlfn.LAMBDA(_xlpm.party,
(SUMIFS(ledger!J:J,ledger!B:B,_xlpm.party,ledger!E:E,"&lt;&gt;*RD*",ledger!D:D,"Chamki",ledger!C:C,"&lt;&gt;Closing CF")+
SUMIFS(ledger!J:J,ledger!B:B,_xlpm.party,ledger!E:E,"&lt;&gt;*RD*",ledger!D:D,"Crinkle",ledger!C:C,"&lt;&gt;Closing CF")
)+_xlfn.IFNA(G117,0))))</f>
        <v>4861679.7732260432</v>
      </c>
      <c r="Y16" s="70" cm="1">
        <f t="array" ref="Y16">_xlfn.BYROW(B68, _xlfn.LAMBDA(_xlpm.party,
   SUMIFS(ledger!J:J, ledger!B:B, _xlpm.party, ledger!E:E, "&lt;&gt;*RD*", ledger!D:D, "Silky", ledger!C:C, "&lt;&gt;Closing CF")
)) + _xlfn.IFNA(H117, 0)</f>
        <v>1776019.5683979518</v>
      </c>
      <c r="Z16" s="70" cm="1">
        <f t="array" ref="Z16">_xlfn.BYROW(B68, _xlfn.LAMBDA(_xlpm.party,
   SUMIFS(ledger!J:J, ledger!B:B, _xlpm.party, ledger!E:E, "&lt;&gt;*RD*", ledger!D:D, "Slub", ledger!C:C, "&lt;&gt;Closing CF")
))+ _xlfn.IFNA(I117, 0)</f>
        <v>0</v>
      </c>
      <c r="AA16" s="70" cm="1">
        <f t="array" ref="AA16">_xlfn.BYROW(B68, _xlfn.LAMBDA(_xlpm.party,
   SUMIFS(ledger!J:J, ledger!B:B, _xlpm.party, ledger!E:E, "&lt;&gt;*RD*", ledger!D:D, "Satin", ledger!C:C, "&lt;&gt;Closing CF")
))+ _xlfn.IFNA(J117, 0)</f>
        <v>0</v>
      </c>
      <c r="AB16" s="70" cm="1">
        <f t="array" ref="AB16">_xlfn.BYROW(B68, _xlfn.LAMBDA(_xlpm.party,
   SUMIFS(ledger!J:J, ledger!B:B, _xlpm.party, ledger!E:E, "&lt;&gt;*RD*", ledger!D:D, "Black-Chamki", ledger!C:C, "&lt;&gt;Closing CF")
))+ _xlfn.IFNA(K117, 0)</f>
        <v>0</v>
      </c>
      <c r="AC16" s="70" cm="1">
        <f t="array" ref="AC16">_xlfn.BYROW(B68, _xlfn.LAMBDA(_xlpm.party,
   SUMIFS(ledger!J:J, ledger!B:B, _xlpm.party, ledger!E:E, "&lt;&gt;*RD*", ledger!D:D, "Kataan", ledger!C:C, "&lt;&gt;Closing CF")
))+ _xlfn.IFNA(L117, 0)</f>
        <v>0</v>
      </c>
      <c r="AD16" s="70" cm="1">
        <f t="array" ref="AD16">_xlfn.BYROW(B68, _xlfn.LAMBDA(_xlpm.party,
   SUMIFS(ledger!J:J, ledger!B:B, _xlpm.party, ledger!E:E, "&lt;&gt;*RD*", ledger!D:D, "Munaar", ledger!C:C, "&lt;&gt;Closing CF")
))+ _xlfn.IFNA(M117, 0)</f>
        <v>0</v>
      </c>
      <c r="AE16" s="70" cm="1">
        <f t="array" ref="AE16">_xlfn.BYROW(B68, _xlfn.LAMBDA(_xlpm.party,
   SUMIFS(ledger!J:J, ledger!B:B, _xlpm.party, ledger!E:E, "&lt;&gt;*RD*", ledger!D:D, "Custom", ledger!C:C, "&lt;&gt;Closing CF")
))+ _xlfn.IFNA(O117, 0)</f>
        <v>0</v>
      </c>
      <c r="AF16" s="39">
        <f t="shared" si="1"/>
        <v>6637699.3416239955</v>
      </c>
      <c r="AG16" s="22">
        <f>(SUMIF(Table14[Party],S16,Table14[Credit]))+_xlfn.IFNA(Q117,0)</f>
        <v>6545761</v>
      </c>
      <c r="AH16" s="33">
        <f t="shared" si="2"/>
        <v>91938.341623995453</v>
      </c>
      <c r="AI16" s="21">
        <v>10</v>
      </c>
      <c r="AJ16" s="21">
        <v>13</v>
      </c>
    </row>
    <row r="17" spans="2:36"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_xlfn.BYROW(B69,_xlfn.LAMBDA(_xlpm.party,SUMIFS(ledger!G:G,ledger!B:B,_xlpm.party,ledger!E:E,"&lt;&gt;*RD*")))+_xlfn.IFNA(C118,0)</f>
        <v>132768</v>
      </c>
      <c r="U17" s="22" cm="1">
        <f t="array" ref="U17">_xlfn.BYROW(B69, _xlfn.LAMBDA(_xlpm.party, SUMIFS(ledger!G:G, ledger!B:B, _xlpm.party, ledger!E:E, "&lt;&gt;*RD*") / 1.0936 ))+_xlfn.IFNA(D118,0)</f>
        <v>121404.53547915144</v>
      </c>
      <c r="V17" s="22" cm="1">
        <f t="array" ref="V17">(_xlfn.BYROW(B69,_xlfn.LAMBDA(_xlpm.party,SUMIFS(ledger!G:G,ledger!B:B,_xlpm.party,ledger!E:E,"&lt;&gt;*RD*",ledger!D:D,"Chamki")+SUMIFS(ledger!G:G, ledger!B:B, _xlpm.party, ledger!E:E, "&lt;&gt;*RD*", ledger!D:D, "Crinkle")))/1.0936)+_xlfn.IFNA(E118,0)</f>
        <v>121404.53547915144</v>
      </c>
      <c r="W17" s="70" cm="1">
        <f t="array" ref="W17">(_xlfn.BYROW(B69,_xlfn.LAMBDA(_xlpm.party,SUMIFS(ledger!G:G,ledger!B:B,_xlpm.party,ledger!E:E,"&lt;&gt;*RD*",ledger!D:D,"Silky")))/1.0936)+_xlfn.IFNA(F118,0)</f>
        <v>0</v>
      </c>
      <c r="X17" s="22" cm="1">
        <f t="array" ref="X17">(_xlfn.BYROW(B69,_xlfn.LAMBDA(_xlpm.party,
(SUMIFS(ledger!J:J,ledger!B:B,_xlpm.party,ledger!E:E,"&lt;&gt;*RD*",ledger!D:D,"Chamki",ledger!C:C,"&lt;&gt;Closing CF")+
SUMIFS(ledger!J:J,ledger!B:B,_xlpm.party,ledger!E:E,"&lt;&gt;*RD*",ledger!D:D,"Crinkle",ledger!C:C,"&lt;&gt;Closing CF")
)+_xlfn.IFNA(G118,0))))</f>
        <v>1214045.3547915143</v>
      </c>
      <c r="Y17" s="70" cm="1">
        <f t="array" ref="Y17">_xlfn.BYROW(B69, _xlfn.LAMBDA(_xlpm.party,
   SUMIFS(ledger!J:J, ledger!B:B, _xlpm.party, ledger!E:E, "&lt;&gt;*RD*", ledger!D:D, "Silky", ledger!C:C, "&lt;&gt;Closing CF")
)) + _xlfn.IFNA(H118, 0)</f>
        <v>0</v>
      </c>
      <c r="Z17" s="70" cm="1">
        <f t="array" ref="Z17">_xlfn.BYROW(B69, _xlfn.LAMBDA(_xlpm.party,
   SUMIFS(ledger!J:J, ledger!B:B, _xlpm.party, ledger!E:E, "&lt;&gt;*RD*", ledger!D:D, "Slub", ledger!C:C, "&lt;&gt;Closing CF")
))+ _xlfn.IFNA(I118, 0)</f>
        <v>0</v>
      </c>
      <c r="AA17" s="70" cm="1">
        <f t="array" ref="AA17">_xlfn.BYROW(B69, _xlfn.LAMBDA(_xlpm.party,
   SUMIFS(ledger!J:J, ledger!B:B, _xlpm.party, ledger!E:E, "&lt;&gt;*RD*", ledger!D:D, "Satin", ledger!C:C, "&lt;&gt;Closing CF")
))+ _xlfn.IFNA(J118, 0)</f>
        <v>0</v>
      </c>
      <c r="AB17" s="70" cm="1">
        <f t="array" ref="AB17">_xlfn.BYROW(B69, _xlfn.LAMBDA(_xlpm.party,
   SUMIFS(ledger!J:J, ledger!B:B, _xlpm.party, ledger!E:E, "&lt;&gt;*RD*", ledger!D:D, "Black-Chamki", ledger!C:C, "&lt;&gt;Closing CF")
))+ _xlfn.IFNA(K118, 0)</f>
        <v>0</v>
      </c>
      <c r="AC17" s="70" cm="1">
        <f t="array" ref="AC17">_xlfn.BYROW(B69, _xlfn.LAMBDA(_xlpm.party,
   SUMIFS(ledger!J:J, ledger!B:B, _xlpm.party, ledger!E:E, "&lt;&gt;*RD*", ledger!D:D, "Kataan", ledger!C:C, "&lt;&gt;Closing CF")
))+ _xlfn.IFNA(L118, 0)</f>
        <v>0</v>
      </c>
      <c r="AD17" s="70" cm="1">
        <f t="array" ref="AD17">_xlfn.BYROW(B69, _xlfn.LAMBDA(_xlpm.party,
   SUMIFS(ledger!J:J, ledger!B:B, _xlpm.party, ledger!E:E, "&lt;&gt;*RD*", ledger!D:D, "Munaar", ledger!C:C, "&lt;&gt;Closing CF")
))+ _xlfn.IFNA(M118, 0)</f>
        <v>0</v>
      </c>
      <c r="AE17" s="70" cm="1">
        <f t="array" ref="AE17">_xlfn.BYROW(B69, _xlfn.LAMBDA(_xlpm.party,
   SUMIFS(ledger!J:J, ledger!B:B, _xlpm.party, ledger!E:E, "&lt;&gt;*RD*", ledger!D:D, "Custom", ledger!C:C, "&lt;&gt;Closing CF")
))+ _xlfn.IFNA(O118, 0)</f>
        <v>0</v>
      </c>
      <c r="AF17" s="39">
        <f t="shared" si="1"/>
        <v>1214045.3547915143</v>
      </c>
      <c r="AG17" s="22">
        <f>(SUMIF(Table14[Party],S17,Table14[Credit]))+_xlfn.IFNA(Q118,0)</f>
        <v>1214045</v>
      </c>
      <c r="AH17" s="33">
        <f t="shared" si="2"/>
        <v>0.35479151434265077</v>
      </c>
      <c r="AI17" s="21">
        <v>10</v>
      </c>
      <c r="AJ17" s="21">
        <v>13</v>
      </c>
    </row>
    <row r="18" spans="2:36"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_xlfn.BYROW(B70,_xlfn.LAMBDA(_xlpm.party,SUMIFS(ledger!G:G,ledger!B:B,_xlpm.party,ledger!E:E,"&lt;&gt;*RD*")))+_xlfn.IFNA(C119,0)</f>
        <v>52914</v>
      </c>
      <c r="U18" s="22" cm="1">
        <f t="array" ref="U18">_xlfn.BYROW(B70, _xlfn.LAMBDA(_xlpm.party, SUMIFS(ledger!G:G, ledger!B:B, _xlpm.party, ledger!E:E, "&lt;&gt;*RD*") / 1.0936 ))+_xlfn.IFNA(D119,0)</f>
        <v>48385.149963423559</v>
      </c>
      <c r="V18" s="22" cm="1">
        <f t="array" ref="V18">(_xlfn.BYROW(B70,_xlfn.LAMBDA(_xlpm.party,SUMIFS(ledger!G:G,ledger!B:B,_xlpm.party,ledger!E:E,"&lt;&gt;*RD*",ledger!D:D,"Chamki")+SUMIFS(ledger!G:G, ledger!B:B, _xlpm.party, ledger!E:E, "&lt;&gt;*RD*", ledger!D:D, "Crinkle")))/1.0936)+_xlfn.IFNA(E119,0)</f>
        <v>48385.149963423559</v>
      </c>
      <c r="W18" s="70" cm="1">
        <f t="array" ref="W18">(_xlfn.BYROW(B70,_xlfn.LAMBDA(_xlpm.party,SUMIFS(ledger!G:G,ledger!B:B,_xlpm.party,ledger!E:E,"&lt;&gt;*RD*",ledger!D:D,"Silky")))/1.0936)+_xlfn.IFNA(F119,0)</f>
        <v>0</v>
      </c>
      <c r="X18" s="22" cm="1">
        <f t="array" ref="X18">(_xlfn.BYROW(B70,_xlfn.LAMBDA(_xlpm.party,
(SUMIFS(ledger!J:J,ledger!B:B,_xlpm.party,ledger!E:E,"&lt;&gt;*RD*",ledger!D:D,"Chamki",ledger!C:C,"&lt;&gt;Closing CF")+
SUMIFS(ledger!J:J,ledger!B:B,_xlpm.party,ledger!E:E,"&lt;&gt;*RD*",ledger!D:D,"Crinkle",ledger!C:C,"&lt;&gt;Closing CF")
)+_xlfn.IFNA(G119,0))))</f>
        <v>483851.49963423557</v>
      </c>
      <c r="Y18" s="70" cm="1">
        <f t="array" ref="Y18">_xlfn.BYROW(B70, _xlfn.LAMBDA(_xlpm.party,
   SUMIFS(ledger!J:J, ledger!B:B, _xlpm.party, ledger!E:E, "&lt;&gt;*RD*", ledger!D:D, "Silky", ledger!C:C, "&lt;&gt;Closing CF")
)) + _xlfn.IFNA(H119, 0)</f>
        <v>0</v>
      </c>
      <c r="Z18" s="70" cm="1">
        <f t="array" ref="Z18">_xlfn.BYROW(B70, _xlfn.LAMBDA(_xlpm.party,
   SUMIFS(ledger!J:J, ledger!B:B, _xlpm.party, ledger!E:E, "&lt;&gt;*RD*", ledger!D:D, "Slub", ledger!C:C, "&lt;&gt;Closing CF")
))+ _xlfn.IFNA(I119, 0)</f>
        <v>0</v>
      </c>
      <c r="AA18" s="70" cm="1">
        <f t="array" ref="AA18">_xlfn.BYROW(B70, _xlfn.LAMBDA(_xlpm.party,
   SUMIFS(ledger!J:J, ledger!B:B, _xlpm.party, ledger!E:E, "&lt;&gt;*RD*", ledger!D:D, "Satin", ledger!C:C, "&lt;&gt;Closing CF")
))+ _xlfn.IFNA(J119, 0)</f>
        <v>0</v>
      </c>
      <c r="AB18" s="70" cm="1">
        <f t="array" ref="AB18">_xlfn.BYROW(B70, _xlfn.LAMBDA(_xlpm.party,
   SUMIFS(ledger!J:J, ledger!B:B, _xlpm.party, ledger!E:E, "&lt;&gt;*RD*", ledger!D:D, "Black-Chamki", ledger!C:C, "&lt;&gt;Closing CF")
))+ _xlfn.IFNA(K119, 0)</f>
        <v>0</v>
      </c>
      <c r="AC18" s="70" cm="1">
        <f t="array" ref="AC18">_xlfn.BYROW(B70, _xlfn.LAMBDA(_xlpm.party,
   SUMIFS(ledger!J:J, ledger!B:B, _xlpm.party, ledger!E:E, "&lt;&gt;*RD*", ledger!D:D, "Kataan", ledger!C:C, "&lt;&gt;Closing CF")
))+ _xlfn.IFNA(L119, 0)</f>
        <v>0</v>
      </c>
      <c r="AD18" s="70" cm="1">
        <f t="array" ref="AD18">_xlfn.BYROW(B70, _xlfn.LAMBDA(_xlpm.party,
   SUMIFS(ledger!J:J, ledger!B:B, _xlpm.party, ledger!E:E, "&lt;&gt;*RD*", ledger!D:D, "Munaar", ledger!C:C, "&lt;&gt;Closing CF")
))+ _xlfn.IFNA(M119, 0)</f>
        <v>0</v>
      </c>
      <c r="AE18" s="70" cm="1">
        <f t="array" ref="AE18">_xlfn.BYROW(B70, _xlfn.LAMBDA(_xlpm.party,
   SUMIFS(ledger!J:J, ledger!B:B, _xlpm.party, ledger!E:E, "&lt;&gt;*RD*", ledger!D:D, "Custom", ledger!C:C, "&lt;&gt;Closing CF")
))+ _xlfn.IFNA(O119, 0)</f>
        <v>0</v>
      </c>
      <c r="AF18" s="39">
        <f t="shared" si="1"/>
        <v>483851.49963423557</v>
      </c>
      <c r="AG18" s="22">
        <f>(SUMIF(Table14[Party],S18,Table14[Credit]))+_xlfn.IFNA(Q119,0)</f>
        <v>480000</v>
      </c>
      <c r="AH18" s="33">
        <f t="shared" si="2"/>
        <v>3851.4996342355735</v>
      </c>
      <c r="AI18" s="21">
        <v>10</v>
      </c>
      <c r="AJ18" s="21">
        <v>13</v>
      </c>
    </row>
    <row r="19" spans="2:36" x14ac:dyDescent="0.3">
      <c r="I19" t="s">
        <v>176</v>
      </c>
      <c r="Q19" s="97"/>
      <c r="S19" t="str">
        <v>Hazrat Khan</v>
      </c>
      <c r="T19" s="22" cm="1">
        <f t="array" ref="T19">_xlfn.BYROW(B71,_xlfn.LAMBDA(_xlpm.party,SUMIFS(ledger!G:G,ledger!B:B,_xlpm.party,ledger!E:E,"&lt;&gt;*RD*")))+_xlfn.IFNA(C120,0)</f>
        <v>9750</v>
      </c>
      <c r="U19" s="22" cm="1">
        <f t="array" ref="U19">_xlfn.BYROW(B71, _xlfn.LAMBDA(_xlpm.party, SUMIFS(ledger!G:G, ledger!B:B, _xlpm.party, ledger!E:E, "&lt;&gt;*RD*") / 1.0936 ))+_xlfn.IFNA(D120,0)</f>
        <v>8915.5084125822978</v>
      </c>
      <c r="V19" s="22" cm="1">
        <f t="array" ref="V19">(_xlfn.BYROW(B71,_xlfn.LAMBDA(_xlpm.party,SUMIFS(ledger!G:G,ledger!B:B,_xlpm.party,ledger!E:E,"&lt;&gt;*RD*",ledger!D:D,"Chamki")+SUMIFS(ledger!G:G, ledger!B:B, _xlpm.party, ledger!E:E, "&lt;&gt;*RD*", ledger!D:D, "Crinkle")))/1.0936)+_xlfn.IFNA(E120,0)</f>
        <v>8915.5084125822978</v>
      </c>
      <c r="W19" s="70" cm="1">
        <f t="array" ref="W19">(_xlfn.BYROW(B71,_xlfn.LAMBDA(_xlpm.party,SUMIFS(ledger!G:G,ledger!B:B,_xlpm.party,ledger!E:E,"&lt;&gt;*RD*",ledger!D:D,"Silky")))/1.0936)+_xlfn.IFNA(F120,0)</f>
        <v>0</v>
      </c>
      <c r="X19" s="22" cm="1">
        <f t="array" ref="X19">(_xlfn.BYROW(B71,_xlfn.LAMBDA(_xlpm.party,
(SUMIFS(ledger!J:J,ledger!B:B,_xlpm.party,ledger!E:E,"&lt;&gt;*RD*",ledger!D:D,"Chamki",ledger!C:C,"&lt;&gt;Closing CF")+
SUMIFS(ledger!J:J,ledger!B:B,_xlpm.party,ledger!E:E,"&lt;&gt;*RD*",ledger!D:D,"Crinkle",ledger!C:C,"&lt;&gt;Closing CF")
)+_xlfn.IFNA(G120,0))))</f>
        <v>89155.084125822978</v>
      </c>
      <c r="Y19" s="70" cm="1">
        <f t="array" ref="Y19">_xlfn.BYROW(B71, _xlfn.LAMBDA(_xlpm.party,
   SUMIFS(ledger!J:J, ledger!B:B, _xlpm.party, ledger!E:E, "&lt;&gt;*RD*", ledger!D:D, "Silky", ledger!C:C, "&lt;&gt;Closing CF")
)) + _xlfn.IFNA(H120, 0)</f>
        <v>0</v>
      </c>
      <c r="Z19" s="70" cm="1">
        <f t="array" ref="Z19">_xlfn.BYROW(B71, _xlfn.LAMBDA(_xlpm.party,
   SUMIFS(ledger!J:J, ledger!B:B, _xlpm.party, ledger!E:E, "&lt;&gt;*RD*", ledger!D:D, "Slub", ledger!C:C, "&lt;&gt;Closing CF")
))+ _xlfn.IFNA(I120, 0)</f>
        <v>0</v>
      </c>
      <c r="AA19" s="70" cm="1">
        <f t="array" ref="AA19">_xlfn.BYROW(B71, _xlfn.LAMBDA(_xlpm.party,
   SUMIFS(ledger!J:J, ledger!B:B, _xlpm.party, ledger!E:E, "&lt;&gt;*RD*", ledger!D:D, "Satin", ledger!C:C, "&lt;&gt;Closing CF")
))+ _xlfn.IFNA(J120, 0)</f>
        <v>0</v>
      </c>
      <c r="AB19" s="70" cm="1">
        <f t="array" ref="AB19">_xlfn.BYROW(B71, _xlfn.LAMBDA(_xlpm.party,
   SUMIFS(ledger!J:J, ledger!B:B, _xlpm.party, ledger!E:E, "&lt;&gt;*RD*", ledger!D:D, "Black-Chamki", ledger!C:C, "&lt;&gt;Closing CF")
))+ _xlfn.IFNA(K120, 0)</f>
        <v>0</v>
      </c>
      <c r="AC19" s="70" cm="1">
        <f t="array" ref="AC19">_xlfn.BYROW(B71, _xlfn.LAMBDA(_xlpm.party,
   SUMIFS(ledger!J:J, ledger!B:B, _xlpm.party, ledger!E:E, "&lt;&gt;*RD*", ledger!D:D, "Kataan", ledger!C:C, "&lt;&gt;Closing CF")
))+ _xlfn.IFNA(L120, 0)</f>
        <v>0</v>
      </c>
      <c r="AD19" s="70" cm="1">
        <f t="array" ref="AD19">_xlfn.BYROW(B71, _xlfn.LAMBDA(_xlpm.party,
   SUMIFS(ledger!J:J, ledger!B:B, _xlpm.party, ledger!E:E, "&lt;&gt;*RD*", ledger!D:D, "Munaar", ledger!C:C, "&lt;&gt;Closing CF")
))+ _xlfn.IFNA(M120, 0)</f>
        <v>0</v>
      </c>
      <c r="AE19" s="70" cm="1">
        <f t="array" ref="AE19">_xlfn.BYROW(B71, _xlfn.LAMBDA(_xlpm.party,
   SUMIFS(ledger!J:J, ledger!B:B, _xlpm.party, ledger!E:E, "&lt;&gt;*RD*", ledger!D:D, "Custom", ledger!C:C, "&lt;&gt;Closing CF")
))+ _xlfn.IFNA(O120, 0)</f>
        <v>0</v>
      </c>
      <c r="AF19" s="39">
        <f t="shared" si="1"/>
        <v>89155.084125822978</v>
      </c>
      <c r="AG19" s="22">
        <f>(SUMIF(Table14[Party],S19,Table14[Credit]))+_xlfn.IFNA(Q120,0)</f>
        <v>95000</v>
      </c>
      <c r="AH19" s="33">
        <f t="shared" si="2"/>
        <v>-5844.9158741770225</v>
      </c>
      <c r="AI19" s="21">
        <v>10</v>
      </c>
      <c r="AJ19" s="21">
        <v>13</v>
      </c>
    </row>
    <row r="20" spans="2:36" x14ac:dyDescent="0.3">
      <c r="I20" t="s">
        <v>177</v>
      </c>
      <c r="Q20" s="97"/>
      <c r="S20" t="str">
        <v>Haseeb Shamsi</v>
      </c>
      <c r="T20" s="22" cm="1">
        <f t="array" ref="T20">_xlfn.BYROW(B72,_xlfn.LAMBDA(_xlpm.party,SUMIFS(ledger!G:G,ledger!B:B,_xlpm.party,ledger!E:E,"&lt;&gt;*RD*")))+_xlfn.IFNA(C121,0)</f>
        <v>61975</v>
      </c>
      <c r="U20" s="22" cm="1">
        <f t="array" ref="U20">_xlfn.BYROW(B72, _xlfn.LAMBDA(_xlpm.party, SUMIFS(ledger!G:G, ledger!B:B, _xlpm.party, ledger!E:E, "&lt;&gt;*RD*") / 1.0936 ))+_xlfn.IFNA(D121,0)</f>
        <v>56670.629114850046</v>
      </c>
      <c r="V20" s="22" cm="1">
        <f t="array" ref="V20">(_xlfn.BYROW(B72,_xlfn.LAMBDA(_xlpm.party,SUMIFS(ledger!G:G,ledger!B:B,_xlpm.party,ledger!E:E,"&lt;&gt;*RD*",ledger!D:D,"Chamki")+SUMIFS(ledger!G:G, ledger!B:B, _xlpm.party, ledger!E:E, "&lt;&gt;*RD*", ledger!D:D, "Crinkle")))/1.0936)+_xlfn.IFNA(E121,0)</f>
        <v>47437.820043891741</v>
      </c>
      <c r="W20" s="70" cm="1">
        <f t="array" ref="W20">(_xlfn.BYROW(B72,_xlfn.LAMBDA(_xlpm.party,SUMIFS(ledger!G:G,ledger!B:B,_xlpm.party,ledger!E:E,"&lt;&gt;*RD*",ledger!D:D,"Silky")))/1.0936)+_xlfn.IFNA(F121,0)</f>
        <v>9232.809070958303</v>
      </c>
      <c r="X20" s="22" cm="1">
        <f t="array" ref="X20">(_xlfn.BYROW(B72,_xlfn.LAMBDA(_xlpm.party,
(SUMIFS(ledger!J:J,ledger!B:B,_xlpm.party,ledger!E:E,"&lt;&gt;*RD*",ledger!D:D,"Chamki",ledger!C:C,"&lt;&gt;Closing CF")+
SUMIFS(ledger!J:J,ledger!B:B,_xlpm.party,ledger!E:E,"&lt;&gt;*RD*",ledger!D:D,"Crinkle",ledger!C:C,"&lt;&gt;Closing CF")
)+_xlfn.IFNA(G121,0))))</f>
        <v>474378.20043891744</v>
      </c>
      <c r="Y20" s="70" cm="1">
        <f t="array" ref="Y20">_xlfn.BYROW(B72, _xlfn.LAMBDA(_xlpm.party,
   SUMIFS(ledger!J:J, ledger!B:B, _xlpm.party, ledger!E:E, "&lt;&gt;*RD*", ledger!D:D, "Silky", ledger!C:C, "&lt;&gt;Closing CF")
)) + _xlfn.IFNA(H121, 0)</f>
        <v>120026.51792245793</v>
      </c>
      <c r="Z20" s="70" cm="1">
        <f t="array" ref="Z20">_xlfn.BYROW(B72, _xlfn.LAMBDA(_xlpm.party,
   SUMIFS(ledger!J:J, ledger!B:B, _xlpm.party, ledger!E:E, "&lt;&gt;*RD*", ledger!D:D, "Slub", ledger!C:C, "&lt;&gt;Closing CF")
))+ _xlfn.IFNA(I121, 0)</f>
        <v>0</v>
      </c>
      <c r="AA20" s="70" cm="1">
        <f t="array" ref="AA20">_xlfn.BYROW(B72, _xlfn.LAMBDA(_xlpm.party,
   SUMIFS(ledger!J:J, ledger!B:B, _xlpm.party, ledger!E:E, "&lt;&gt;*RD*", ledger!D:D, "Satin", ledger!C:C, "&lt;&gt;Closing CF")
))+ _xlfn.IFNA(J121, 0)</f>
        <v>0</v>
      </c>
      <c r="AB20" s="70" cm="1">
        <f t="array" ref="AB20">_xlfn.BYROW(B72, _xlfn.LAMBDA(_xlpm.party,
   SUMIFS(ledger!J:J, ledger!B:B, _xlpm.party, ledger!E:E, "&lt;&gt;*RD*", ledger!D:D, "Black-Chamki", ledger!C:C, "&lt;&gt;Closing CF")
))+ _xlfn.IFNA(K121, 0)</f>
        <v>0</v>
      </c>
      <c r="AC20" s="70" cm="1">
        <f t="array" ref="AC20">_xlfn.BYROW(B72, _xlfn.LAMBDA(_xlpm.party,
   SUMIFS(ledger!J:J, ledger!B:B, _xlpm.party, ledger!E:E, "&lt;&gt;*RD*", ledger!D:D, "Kataan", ledger!C:C, "&lt;&gt;Closing CF")
))+ _xlfn.IFNA(L121, 0)</f>
        <v>0</v>
      </c>
      <c r="AD20" s="70" cm="1">
        <f t="array" ref="AD20">_xlfn.BYROW(B72, _xlfn.LAMBDA(_xlpm.party,
   SUMIFS(ledger!J:J, ledger!B:B, _xlpm.party, ledger!E:E, "&lt;&gt;*RD*", ledger!D:D, "Munaar", ledger!C:C, "&lt;&gt;Closing CF")
))+ _xlfn.IFNA(M121, 0)</f>
        <v>0</v>
      </c>
      <c r="AE20" s="70" cm="1">
        <f t="array" ref="AE20">_xlfn.BYROW(B72, _xlfn.LAMBDA(_xlpm.party,
   SUMIFS(ledger!J:J, ledger!B:B, _xlpm.party, ledger!E:E, "&lt;&gt;*RD*", ledger!D:D, "Custom", ledger!C:C, "&lt;&gt;Closing CF")
))+ _xlfn.IFNA(O121, 0)</f>
        <v>0</v>
      </c>
      <c r="AF20" s="39">
        <f t="shared" si="1"/>
        <v>594404.71836137539</v>
      </c>
      <c r="AG20" s="22">
        <f>(SUMIF(Table14[Party],S20,Table14[Credit]))+_xlfn.IFNA(Q121,0)</f>
        <v>594405</v>
      </c>
      <c r="AH20" s="33">
        <f t="shared" si="2"/>
        <v>-0.28163862461224198</v>
      </c>
      <c r="AI20" s="21">
        <v>10</v>
      </c>
      <c r="AJ20" s="21">
        <v>13</v>
      </c>
    </row>
    <row r="21" spans="2:36" x14ac:dyDescent="0.3">
      <c r="B21" s="40" t="s">
        <v>29</v>
      </c>
      <c r="C21" s="41">
        <f>SUM(P57:P103)</f>
        <v>49394200.1163131</v>
      </c>
      <c r="D21" t="s">
        <v>30</v>
      </c>
      <c r="I21" t="s">
        <v>182</v>
      </c>
      <c r="Q21" s="98"/>
      <c r="S21" t="str">
        <v>Faizan</v>
      </c>
      <c r="T21" s="22" cm="1">
        <f t="array" ref="T21">_xlfn.BYROW(B73,_xlfn.LAMBDA(_xlpm.party,SUMIFS(ledger!G:G,ledger!B:B,_xlpm.party,ledger!E:E,"&lt;&gt;*RD*")))+_xlfn.IFNA(C122,0)</f>
        <v>565150</v>
      </c>
      <c r="U21" s="22" cm="1">
        <f t="array" ref="U21">_xlfn.BYROW(B73, _xlfn.LAMBDA(_xlpm.party, SUMIFS(ledger!G:G, ledger!B:B, _xlpm.party, ledger!E:E, "&lt;&gt;*RD*") / 1.0936 ))+_xlfn.IFNA(D122,0)</f>
        <v>516779.44403803954</v>
      </c>
      <c r="V21" s="22" cm="1">
        <f t="array" ref="V21">(_xlfn.BYROW(B73,_xlfn.LAMBDA(_xlpm.party,SUMIFS(ledger!G:G,ledger!B:B,_xlpm.party,ledger!E:E,"&lt;&gt;*RD*",ledger!D:D,"Chamki")+SUMIFS(ledger!G:G, ledger!B:B, _xlpm.party, ledger!E:E, "&lt;&gt;*RD*", ledger!D:D, "Crinkle")))/1.0936)+_xlfn.IFNA(E122,0)</f>
        <v>0</v>
      </c>
      <c r="W21" s="70" cm="1">
        <f t="array" ref="W21">(_xlfn.BYROW(B73,_xlfn.LAMBDA(_xlpm.party,SUMIFS(ledger!G:G,ledger!B:B,_xlpm.party,ledger!E:E,"&lt;&gt;*RD*",ledger!D:D,"Silky")))/1.0936)+_xlfn.IFNA(F122,0)</f>
        <v>513809.43672275054</v>
      </c>
      <c r="X21" s="22" cm="1">
        <f t="array" ref="X21">(_xlfn.BYROW(B73,_xlfn.LAMBDA(_xlpm.party,
(SUMIFS(ledger!J:J,ledger!B:B,_xlpm.party,ledger!E:E,"&lt;&gt;*RD*",ledger!D:D,"Chamki",ledger!C:C,"&lt;&gt;Closing CF")+
SUMIFS(ledger!J:J,ledger!B:B,_xlpm.party,ledger!E:E,"&lt;&gt;*RD*",ledger!D:D,"Crinkle",ledger!C:C,"&lt;&gt;Closing CF")
)+_xlfn.IFNA(G122,0))))</f>
        <v>30000</v>
      </c>
      <c r="Y21" s="70" cm="1">
        <f t="array" ref="Y21">_xlfn.BYROW(B73, _xlfn.LAMBDA(_xlpm.party,
   SUMIFS(ledger!J:J, ledger!B:B, _xlpm.party, ledger!E:E, "&lt;&gt;*RD*", ledger!D:D, "Silky", ledger!C:C, "&lt;&gt;Closing CF")
)) + _xlfn.IFNA(H122, 0)</f>
        <v>6679522.6773957582</v>
      </c>
      <c r="Z21" s="70" cm="1">
        <f t="array" ref="Z21">_xlfn.BYROW(B73, _xlfn.LAMBDA(_xlpm.party,
   SUMIFS(ledger!J:J, ledger!B:B, _xlpm.party, ledger!E:E, "&lt;&gt;*RD*", ledger!D:D, "Slub", ledger!C:C, "&lt;&gt;Closing CF")
))+ _xlfn.IFNA(I122, 0)</f>
        <v>44550.109729334312</v>
      </c>
      <c r="AA21" s="70" cm="1">
        <f t="array" ref="AA21">_xlfn.BYROW(B73, _xlfn.LAMBDA(_xlpm.party,
   SUMIFS(ledger!J:J, ledger!B:B, _xlpm.party, ledger!E:E, "&lt;&gt;*RD*", ledger!D:D, "Satin", ledger!C:C, "&lt;&gt;Closing CF")
))+ _xlfn.IFNA(J122, 0)</f>
        <v>0</v>
      </c>
      <c r="AB21" s="70" cm="1">
        <f t="array" ref="AB21">_xlfn.BYROW(B73, _xlfn.LAMBDA(_xlpm.party,
   SUMIFS(ledger!J:J, ledger!B:B, _xlpm.party, ledger!E:E, "&lt;&gt;*RD*", ledger!D:D, "Black-Chamki", ledger!C:C, "&lt;&gt;Closing CF")
))+ _xlfn.IFNA(K122, 0)</f>
        <v>0</v>
      </c>
      <c r="AC21" s="70" cm="1">
        <f t="array" ref="AC21">_xlfn.BYROW(B73, _xlfn.LAMBDA(_xlpm.party,
   SUMIFS(ledger!J:J, ledger!B:B, _xlpm.party, ledger!E:E, "&lt;&gt;*RD*", ledger!D:D, "Kataan", ledger!C:C, "&lt;&gt;Closing CF")
))+ _xlfn.IFNA(L122, 0)</f>
        <v>0</v>
      </c>
      <c r="AD21" s="70" cm="1">
        <f t="array" ref="AD21">_xlfn.BYROW(B73, _xlfn.LAMBDA(_xlpm.party,
   SUMIFS(ledger!J:J, ledger!B:B, _xlpm.party, ledger!E:E, "&lt;&gt;*RD*", ledger!D:D, "Munaar", ledger!C:C, "&lt;&gt;Closing CF")
))+ _xlfn.IFNA(M122, 0)</f>
        <v>0</v>
      </c>
      <c r="AE21" s="70" cm="1">
        <f t="array" ref="AE21">_xlfn.BYROW(B73, _xlfn.LAMBDA(_xlpm.party,
   SUMIFS(ledger!J:J, ledger!B:B, _xlpm.party, ledger!E:E, "&lt;&gt;*RD*", ledger!D:D, "Custom", ledger!C:C, "&lt;&gt;Closing CF")
))+ _xlfn.IFNA(O122, 0)</f>
        <v>0</v>
      </c>
      <c r="AF21" s="39">
        <f t="shared" si="1"/>
        <v>6754072.7871250929</v>
      </c>
      <c r="AG21" s="22">
        <f>(SUMIF(Table14[Party],S21,Table14[Credit]))+_xlfn.IFNA(Q122,0)</f>
        <v>6728187</v>
      </c>
      <c r="AH21" s="33">
        <f t="shared" si="2"/>
        <v>25885.787125092931</v>
      </c>
      <c r="AI21" s="21">
        <v>10</v>
      </c>
      <c r="AJ21" s="21">
        <v>13</v>
      </c>
    </row>
    <row r="22" spans="2:36" x14ac:dyDescent="0.3">
      <c r="C22" s="18"/>
      <c r="I22" t="s">
        <v>189</v>
      </c>
      <c r="Q22" s="21"/>
      <c r="S22" t="str">
        <v>Shafique Ansari</v>
      </c>
      <c r="T22" s="22" cm="1">
        <f t="array" ref="T22">_xlfn.BYROW(B74,_xlfn.LAMBDA(_xlpm.party,SUMIFS(ledger!G:G,ledger!B:B,_xlpm.party,ledger!E:E,"&lt;&gt;*RD*")))+_xlfn.IFNA(C123,0)</f>
        <v>495430</v>
      </c>
      <c r="U22" s="22" cm="1">
        <f t="array" ref="U22">_xlfn.BYROW(B74, _xlfn.LAMBDA(_xlpm.party, SUMIFS(ledger!G:G, ledger!B:B, _xlpm.party, ledger!E:E, "&lt;&gt;*RD*") / 1.0936 ))+_xlfn.IFNA(D123,0)</f>
        <v>453026.70080468187</v>
      </c>
      <c r="V22" s="22" cm="1">
        <f t="array" ref="V22">(_xlfn.BYROW(B74,_xlfn.LAMBDA(_xlpm.party,SUMIFS(ledger!G:G,ledger!B:B,_xlpm.party,ledger!E:E,"&lt;&gt;*RD*",ledger!D:D,"Chamki")+SUMIFS(ledger!G:G, ledger!B:B, _xlpm.party, ledger!E:E, "&lt;&gt;*RD*", ledger!D:D, "Crinkle")))/1.0936)+_xlfn.IFNA(E123,0)</f>
        <v>132549.37820043892</v>
      </c>
      <c r="W22" s="70" cm="1">
        <f t="array" ref="W22">(_xlfn.BYROW(B74,_xlfn.LAMBDA(_xlpm.party,SUMIFS(ledger!G:G,ledger!B:B,_xlpm.party,ledger!E:E,"&lt;&gt;*RD*",ledger!D:D,"Silky")))/1.0936)+_xlfn.IFNA(F123,0)</f>
        <v>36106.437454279447</v>
      </c>
      <c r="X22" s="22" cm="1">
        <f t="array" ref="X22">(_xlfn.BYROW(B74,_xlfn.LAMBDA(_xlpm.party,
(SUMIFS(ledger!J:J,ledger!B:B,_xlpm.party,ledger!E:E,"&lt;&gt;*RD*",ledger!D:D,"Chamki",ledger!C:C,"&lt;&gt;Closing CF")+
SUMIFS(ledger!J:J,ledger!B:B,_xlpm.party,ledger!E:E,"&lt;&gt;*RD*",ledger!D:D,"Crinkle",ledger!C:C,"&lt;&gt;Closing CF")
)+_xlfn.IFNA(G123,0))))</f>
        <v>1351793.1602048283</v>
      </c>
      <c r="Y22" s="70" cm="1">
        <f t="array" ref="Y22">_xlfn.BYROW(B74, _xlfn.LAMBDA(_xlpm.party,
   SUMIFS(ledger!J:J, ledger!B:B, _xlpm.party, ledger!E:E, "&lt;&gt;*RD*", ledger!D:D, "Silky", ledger!C:C, "&lt;&gt;Closing CF")
)) + _xlfn.IFNA(H123, 0)</f>
        <v>447533.83321141195</v>
      </c>
      <c r="Z22" s="70" cm="1">
        <f t="array" ref="Z22">_xlfn.BYROW(B74, _xlfn.LAMBDA(_xlpm.party,
   SUMIFS(ledger!J:J, ledger!B:B, _xlpm.party, ledger!E:E, "&lt;&gt;*RD*", ledger!D:D, "Slub", ledger!C:C, "&lt;&gt;Closing CF")
))+ _xlfn.IFNA(I123, 0)</f>
        <v>0</v>
      </c>
      <c r="AA22" s="70" cm="1">
        <f t="array" ref="AA22">_xlfn.BYROW(B74, _xlfn.LAMBDA(_xlpm.party,
   SUMIFS(ledger!J:J, ledger!B:B, _xlpm.party, ledger!E:E, "&lt;&gt;*RD*", ledger!D:D, "Satin", ledger!C:C, "&lt;&gt;Closing CF")
))+ _xlfn.IFNA(J123, 0)</f>
        <v>470003.65764447697</v>
      </c>
      <c r="AB22" s="70" cm="1">
        <f t="array" ref="AB22">_xlfn.BYROW(B74, _xlfn.LAMBDA(_xlpm.party,
   SUMIFS(ledger!J:J, ledger!B:B, _xlpm.party, ledger!E:E, "&lt;&gt;*RD*", ledger!D:D, "Black-Chamki", ledger!C:C, "&lt;&gt;Closing CF")
))+ _xlfn.IFNA(K123, 0)</f>
        <v>0</v>
      </c>
      <c r="AC22" s="70" cm="1">
        <f t="array" ref="AC22">_xlfn.BYROW(B74, _xlfn.LAMBDA(_xlpm.party,
   SUMIFS(ledger!J:J, ledger!B:B, _xlpm.party, ledger!E:E, "&lt;&gt;*RD*", ledger!D:D, "Kataan", ledger!C:C, "&lt;&gt;Closing CF")
))+ _xlfn.IFNA(L123, 0)</f>
        <v>2406969.6415508417</v>
      </c>
      <c r="AD22" s="70" cm="1">
        <f t="array" ref="AD22">_xlfn.BYROW(B74, _xlfn.LAMBDA(_xlpm.party,
   SUMIFS(ledger!J:J, ledger!B:B, _xlpm.party, ledger!E:E, "&lt;&gt;*RD*", ledger!D:D, "Munaar", ledger!C:C, "&lt;&gt;Closing CF")
))+ _xlfn.IFNA(M123, 0)</f>
        <v>0</v>
      </c>
      <c r="AE22" s="70" cm="1">
        <f t="array" ref="AE22">_xlfn.BYROW(B74, _xlfn.LAMBDA(_xlpm.party,
   SUMIFS(ledger!J:J, ledger!B:B, _xlpm.party, ledger!E:E, "&lt;&gt;*RD*", ledger!D:D, "Custom", ledger!C:C, "&lt;&gt;Closing CF")
))+ _xlfn.IFNA(O123, 0)</f>
        <v>701356.98610095098</v>
      </c>
      <c r="AF22" s="39">
        <f t="shared" si="1"/>
        <v>5377657.2787125101</v>
      </c>
      <c r="AG22" s="22">
        <f>(SUMIF(Table14[Party],S22,Table14[Credit]))+_xlfn.IFNA(Q123,0)</f>
        <v>3801017</v>
      </c>
      <c r="AH22" s="33">
        <f t="shared" si="2"/>
        <v>1576640.2787125101</v>
      </c>
      <c r="AI22" s="21">
        <v>10</v>
      </c>
      <c r="AJ22" s="21">
        <v>13</v>
      </c>
    </row>
    <row r="23" spans="2:36" x14ac:dyDescent="0.3">
      <c r="B23" s="24" t="s">
        <v>31</v>
      </c>
      <c r="C23" s="41">
        <f>SUM(P57:P103)</f>
        <v>49394200.1163131</v>
      </c>
      <c r="D23" t="s">
        <v>32</v>
      </c>
      <c r="I23" t="s">
        <v>192</v>
      </c>
      <c r="Q23" s="21"/>
      <c r="S23" t="str">
        <v>Amjad sohail</v>
      </c>
      <c r="T23" s="22" cm="1">
        <f t="array" ref="T23">_xlfn.BYROW(B75,_xlfn.LAMBDA(_xlpm.party,SUMIFS(ledger!G:G,ledger!B:B,_xlpm.party,ledger!E:E,"&lt;&gt;*RD*")))+_xlfn.IFNA(C124,0)</f>
        <v>517554</v>
      </c>
      <c r="U23" s="22" cm="1">
        <f t="array" ref="U23">_xlfn.BYROW(B75, _xlfn.LAMBDA(_xlpm.party, SUMIFS(ledger!G:G, ledger!B:B, _xlpm.party, ledger!E:E, "&lt;&gt;*RD*") / 1.0936 ))+_xlfn.IFNA(D124,0)</f>
        <v>473257.13240673003</v>
      </c>
      <c r="V23" s="22" cm="1">
        <f t="array" ref="V23">(_xlfn.BYROW(B75,_xlfn.LAMBDA(_xlpm.party,SUMIFS(ledger!G:G,ledger!B:B,_xlpm.party,ledger!E:E,"&lt;&gt;*RD*",ledger!D:D,"Chamki")+SUMIFS(ledger!G:G, ledger!B:B, _xlpm.party, ledger!E:E, "&lt;&gt;*RD*", ledger!D:D, "Crinkle")))/1.0936)+_xlfn.IFNA(E124,0)</f>
        <v>362820.04389173369</v>
      </c>
      <c r="W23" s="70" cm="1">
        <f t="array" ref="W23">(_xlfn.BYROW(B75,_xlfn.LAMBDA(_xlpm.party,SUMIFS(ledger!G:G,ledger!B:B,_xlpm.party,ledger!E:E,"&lt;&gt;*RD*",ledger!D:D,"Silky")))/1.0936)+_xlfn.IFNA(F124,0)</f>
        <v>97421.360643745429</v>
      </c>
      <c r="X23" s="22" cm="1">
        <f t="array" ref="X23">(_xlfn.BYROW(B75,_xlfn.LAMBDA(_xlpm.party,
(SUMIFS(ledger!J:J,ledger!B:B,_xlpm.party,ledger!E:E,"&lt;&gt;*RD*",ledger!D:D,"Chamki",ledger!C:C,"&lt;&gt;Closing CF")+
SUMIFS(ledger!J:J,ledger!B:B,_xlpm.party,ledger!E:E,"&lt;&gt;*RD*",ledger!D:D,"Crinkle",ledger!C:C,"&lt;&gt;Closing CF")
)+_xlfn.IFNA(G124,0))))</f>
        <v>3628200.4389173379</v>
      </c>
      <c r="Y23" s="70" cm="1">
        <f t="array" ref="Y23">_xlfn.BYROW(B75, _xlfn.LAMBDA(_xlpm.party,
   SUMIFS(ledger!J:J, ledger!B:B, _xlpm.party, ledger!E:E, "&lt;&gt;*RD*", ledger!D:D, "Silky", ledger!C:C, "&lt;&gt;Closing CF")
)) + _xlfn.IFNA(H124, 0)</f>
        <v>1264497.9882955379</v>
      </c>
      <c r="Z23" s="70" cm="1">
        <f t="array" ref="Z23">_xlfn.BYROW(B75, _xlfn.LAMBDA(_xlpm.party,
   SUMIFS(ledger!J:J, ledger!B:B, _xlpm.party, ledger!E:E, "&lt;&gt;*RD*", ledger!D:D, "Slub", ledger!C:C, "&lt;&gt;Closing CF")
))+ _xlfn.IFNA(I124, 0)</f>
        <v>0</v>
      </c>
      <c r="AA23" s="70" cm="1">
        <f t="array" ref="AA23">_xlfn.BYROW(B75, _xlfn.LAMBDA(_xlpm.party,
   SUMIFS(ledger!J:J, ledger!B:B, _xlpm.party, ledger!E:E, "&lt;&gt;*RD*", ledger!D:D, "Satin", ledger!C:C, "&lt;&gt;Closing CF")
))+ _xlfn.IFNA(J124, 0)</f>
        <v>0</v>
      </c>
      <c r="AB23" s="70" cm="1">
        <f t="array" ref="AB23">_xlfn.BYROW(B75, _xlfn.LAMBDA(_xlpm.party,
   SUMIFS(ledger!J:J, ledger!B:B, _xlpm.party, ledger!E:E, "&lt;&gt;*RD*", ledger!D:D, "Black-Chamki", ledger!C:C, "&lt;&gt;Closing CF")
))+ _xlfn.IFNA(K124, 0)</f>
        <v>0</v>
      </c>
      <c r="AC23" s="70" cm="1">
        <f t="array" ref="AC23">_xlfn.BYROW(B75, _xlfn.LAMBDA(_xlpm.party,
   SUMIFS(ledger!J:J, ledger!B:B, _xlpm.party, ledger!E:E, "&lt;&gt;*RD*", ledger!D:D, "Kataan", ledger!C:C, "&lt;&gt;Closing CF")
))+ _xlfn.IFNA(L124, 0)</f>
        <v>0</v>
      </c>
      <c r="AD23" s="70" cm="1">
        <f t="array" ref="AD23">_xlfn.BYROW(B75, _xlfn.LAMBDA(_xlpm.party,
   SUMIFS(ledger!J:J, ledger!B:B, _xlpm.party, ledger!E:E, "&lt;&gt;*RD*", ledger!D:D, "Munaar", ledger!C:C, "&lt;&gt;Closing CF")
))+ _xlfn.IFNA(M124, 0)</f>
        <v>0</v>
      </c>
      <c r="AE23" s="70" cm="1">
        <f t="array" ref="AE23">_xlfn.BYROW(B75, _xlfn.LAMBDA(_xlpm.party,
   SUMIFS(ledger!J:J, ledger!B:B, _xlpm.party, ledger!E:E, "&lt;&gt;*RD*", ledger!D:D, "Custom", ledger!C:C, "&lt;&gt;Closing CF")
))+ _xlfn.IFNA(O124, 0)</f>
        <v>0</v>
      </c>
      <c r="AF23" s="39">
        <f t="shared" si="1"/>
        <v>4892698.4272128753</v>
      </c>
      <c r="AG23" s="22">
        <f>(SUMIF(Table14[Party],S23,Table14[Credit]))+_xlfn.IFNA(Q124,0)</f>
        <v>4517830</v>
      </c>
      <c r="AH23" s="33">
        <f t="shared" si="2"/>
        <v>374868.42721287534</v>
      </c>
      <c r="AI23" s="21">
        <v>10</v>
      </c>
      <c r="AJ23" s="21">
        <v>13</v>
      </c>
    </row>
    <row r="24" spans="2:36" x14ac:dyDescent="0.3">
      <c r="I24" t="s">
        <v>191</v>
      </c>
      <c r="S24" t="str">
        <v>Salman Zaffar</v>
      </c>
      <c r="T24" s="22" cm="1">
        <f t="array" ref="T24">_xlfn.BYROW(B76,_xlfn.LAMBDA(_xlpm.party,SUMIFS(ledger!G:G,ledger!B:B,_xlpm.party,ledger!E:E,"&lt;&gt;*RD*")))+_xlfn.IFNA(C125,0)</f>
        <v>344332</v>
      </c>
      <c r="U24" s="22" cm="1">
        <f t="array" ref="U24">_xlfn.BYROW(B76, _xlfn.LAMBDA(_xlpm.party, SUMIFS(ledger!G:G, ledger!B:B, _xlpm.party, ledger!E:E, "&lt;&gt;*RD*") / 1.0936 ))+_xlfn.IFNA(D125,0)</f>
        <v>314861.00950987567</v>
      </c>
      <c r="V24" s="22" cm="1">
        <f t="array" ref="V24">(_xlfn.BYROW(B76,_xlfn.LAMBDA(_xlpm.party,SUMIFS(ledger!G:G,ledger!B:B,_xlpm.party,ledger!E:E,"&lt;&gt;*RD*",ledger!D:D,"Chamki")+SUMIFS(ledger!G:G, ledger!B:B, _xlpm.party, ledger!E:E, "&lt;&gt;*RD*", ledger!D:D, "Crinkle")))/1.0936)+_xlfn.IFNA(E125,0)</f>
        <v>72939.831748354074</v>
      </c>
      <c r="W24" s="70" cm="1">
        <f t="array" ref="W24">(_xlfn.BYROW(B76,_xlfn.LAMBDA(_xlpm.party,SUMIFS(ledger!G:G,ledger!B:B,_xlpm.party,ledger!E:E,"&lt;&gt;*RD*",ledger!D:D,"Silky")))/1.0936)+_xlfn.IFNA(F125,0)</f>
        <v>31409.107534747625</v>
      </c>
      <c r="X24" s="22" cm="1">
        <f t="array" ref="X24">(_xlfn.BYROW(B76,_xlfn.LAMBDA(_xlpm.party,
(SUMIFS(ledger!J:J,ledger!B:B,_xlpm.party,ledger!E:E,"&lt;&gt;*RD*",ledger!D:D,"Chamki",ledger!C:C,"&lt;&gt;Closing CF")+
SUMIFS(ledger!J:J,ledger!B:B,_xlpm.party,ledger!E:E,"&lt;&gt;*RD*",ledger!D:D,"Crinkle",ledger!C:C,"&lt;&gt;Closing CF")
)+_xlfn.IFNA(G125,0))))</f>
        <v>729398.31748354062</v>
      </c>
      <c r="Y24" s="70" cm="1">
        <f t="array" ref="Y24">_xlfn.BYROW(B76, _xlfn.LAMBDA(_xlpm.party,
   SUMIFS(ledger!J:J, ledger!B:B, _xlpm.party, ledger!E:E, "&lt;&gt;*RD*", ledger!D:D, "Silky", ledger!C:C, "&lt;&gt;Closing CF")
)) + _xlfn.IFNA(H125, 0)</f>
        <v>408318.39795171918</v>
      </c>
      <c r="Z24" s="70" cm="1">
        <f t="array" ref="Z24">_xlfn.BYROW(B76, _xlfn.LAMBDA(_xlpm.party,
   SUMIFS(ledger!J:J, ledger!B:B, _xlpm.party, ledger!E:E, "&lt;&gt;*RD*", ledger!D:D, "Slub", ledger!C:C, "&lt;&gt;Closing CF")
))+ _xlfn.IFNA(I125, 0)</f>
        <v>0</v>
      </c>
      <c r="AA24" s="70" cm="1">
        <f t="array" ref="AA24">_xlfn.BYROW(B76, _xlfn.LAMBDA(_xlpm.party,
   SUMIFS(ledger!J:J, ledger!B:B, _xlpm.party, ledger!E:E, "&lt;&gt;*RD*", ledger!D:D, "Satin", ledger!C:C, "&lt;&gt;Closing CF")
))+ _xlfn.IFNA(J125, 0)</f>
        <v>0</v>
      </c>
      <c r="AB24" s="70" cm="1">
        <f t="array" ref="AB24">_xlfn.BYROW(B76, _xlfn.LAMBDA(_xlpm.party,
   SUMIFS(ledger!J:J, ledger!B:B, _xlpm.party, ledger!E:E, "&lt;&gt;*RD*", ledger!D:D, "Black-Chamki", ledger!C:C, "&lt;&gt;Closing CF")
))+ _xlfn.IFNA(K125, 0)</f>
        <v>161653.2553035845</v>
      </c>
      <c r="AC24" s="70" cm="1">
        <f t="array" ref="AC24">_xlfn.BYROW(B76, _xlfn.LAMBDA(_xlpm.party,
   SUMIFS(ledger!J:J, ledger!B:B, _xlpm.party, ledger!E:E, "&lt;&gt;*RD*", ledger!D:D, "Kataan", ledger!C:C, "&lt;&gt;Closing CF")
))+ _xlfn.IFNA(L125, 0)</f>
        <v>1970409.6561814193</v>
      </c>
      <c r="AD24" s="70" cm="1">
        <f t="array" ref="AD24">_xlfn.BYROW(B76, _xlfn.LAMBDA(_xlpm.party,
   SUMIFS(ledger!J:J, ledger!B:B, _xlpm.party, ledger!E:E, "&lt;&gt;*RD*", ledger!D:D, "Munaar", ledger!C:C, "&lt;&gt;Closing CF")
))+ _xlfn.IFNA(M125, 0)</f>
        <v>0</v>
      </c>
      <c r="AE24" s="70" cm="1">
        <f t="array" ref="AE24">_xlfn.BYROW(B76, _xlfn.LAMBDA(_xlpm.party,
   SUMIFS(ledger!J:J, ledger!B:B, _xlpm.party, ledger!E:E, "&lt;&gt;*RD*", ledger!D:D, "Custom", ledger!C:C, "&lt;&gt;Closing CF")
))+ _xlfn.IFNA(O125, 0)</f>
        <v>0</v>
      </c>
      <c r="AF24" s="39">
        <f t="shared" si="1"/>
        <v>3269779.6269202633</v>
      </c>
      <c r="AG24" s="22">
        <f>(SUMIF(Table14[Party],S24,Table14[Credit]))+_xlfn.IFNA(Q125,0)</f>
        <v>3296025</v>
      </c>
      <c r="AH24" s="33">
        <f t="shared" si="2"/>
        <v>-26245.373079736717</v>
      </c>
      <c r="AI24" s="21">
        <v>10</v>
      </c>
      <c r="AJ24" s="21">
        <v>13</v>
      </c>
    </row>
    <row r="25" spans="2:36" x14ac:dyDescent="0.3">
      <c r="I25" t="s">
        <v>196</v>
      </c>
      <c r="S25" t="str">
        <v>Shahid Qasayi</v>
      </c>
      <c r="T25" s="22" cm="1">
        <f t="array" ref="T25">_xlfn.BYROW(B77,_xlfn.LAMBDA(_xlpm.party,SUMIFS(ledger!G:G,ledger!B:B,_xlpm.party,ledger!E:E,"&lt;&gt;*RD*")))+_xlfn.IFNA(C126,0)</f>
        <v>514433</v>
      </c>
      <c r="U25" s="22" cm="1">
        <f t="array" ref="U25">_xlfn.BYROW(B77, _xlfn.LAMBDA(_xlpm.party, SUMIFS(ledger!G:G, ledger!B:B, _xlpm.party, ledger!E:E, "&lt;&gt;*RD*") / 1.0936 ))+_xlfn.IFNA(D126,0)</f>
        <v>470403.2553035845</v>
      </c>
      <c r="V25" s="22" cm="1">
        <f t="array" ref="V25">(_xlfn.BYROW(B77,_xlfn.LAMBDA(_xlpm.party,SUMIFS(ledger!G:G,ledger!B:B,_xlpm.party,ledger!E:E,"&lt;&gt;*RD*",ledger!D:D,"Chamki")+SUMIFS(ledger!G:G, ledger!B:B, _xlpm.party, ledger!E:E, "&lt;&gt;*RD*", ledger!D:D, "Crinkle")))/1.0936)+_xlfn.IFNA(E126,0)</f>
        <v>416798.64667154354</v>
      </c>
      <c r="W25" s="70" cm="1">
        <f t="array" ref="W25">(_xlfn.BYROW(B77,_xlfn.LAMBDA(_xlpm.party,SUMIFS(ledger!G:G,ledger!B:B,_xlpm.party,ledger!E:E,"&lt;&gt;*RD*",ledger!D:D,"Silky")))/1.0936)+_xlfn.IFNA(F126,0)</f>
        <v>4065.4718361375276</v>
      </c>
      <c r="X25" s="22" cm="1">
        <f t="array" ref="X25">(_xlfn.BYROW(B77,_xlfn.LAMBDA(_xlpm.party,
(SUMIFS(ledger!J:J,ledger!B:B,_xlpm.party,ledger!E:E,"&lt;&gt;*RD*",ledger!D:D,"Chamki",ledger!C:C,"&lt;&gt;Closing CF")+
SUMIFS(ledger!J:J,ledger!B:B,_xlpm.party,ledger!E:E,"&lt;&gt;*RD*",ledger!D:D,"Crinkle",ledger!C:C,"&lt;&gt;Closing CF")
)+_xlfn.IFNA(G126,0))))</f>
        <v>4167986.4667154355</v>
      </c>
      <c r="Y25" s="70" cm="1">
        <f t="array" ref="Y25">_xlfn.BYROW(B77, _xlfn.LAMBDA(_xlpm.party,
   SUMIFS(ledger!J:J, ledger!B:B, _xlpm.party, ledger!E:E, "&lt;&gt;*RD*", ledger!D:D, "Silky", ledger!C:C, "&lt;&gt;Closing CF")
)) + _xlfn.IFNA(H126, 0)</f>
        <v>52851.13386978786</v>
      </c>
      <c r="Z25" s="70" cm="1">
        <f t="array" ref="Z25">_xlfn.BYROW(B77, _xlfn.LAMBDA(_xlpm.party,
   SUMIFS(ledger!J:J, ledger!B:B, _xlpm.party, ledger!E:E, "&lt;&gt;*RD*", ledger!D:D, "Slub", ledger!C:C, "&lt;&gt;Closing CF")
))+ _xlfn.IFNA(I126, 0)</f>
        <v>0</v>
      </c>
      <c r="AA25" s="70" cm="1">
        <f t="array" ref="AA25">_xlfn.BYROW(B77, _xlfn.LAMBDA(_xlpm.party,
   SUMIFS(ledger!J:J, ledger!B:B, _xlpm.party, ledger!E:E, "&lt;&gt;*RD*", ledger!D:D, "Satin", ledger!C:C, "&lt;&gt;Closing CF")
))+ _xlfn.IFNA(J126, 0)</f>
        <v>0</v>
      </c>
      <c r="AB25" s="70" cm="1">
        <f t="array" ref="AB25">_xlfn.BYROW(B77, _xlfn.LAMBDA(_xlpm.party,
   SUMIFS(ledger!J:J, ledger!B:B, _xlpm.party, ledger!E:E, "&lt;&gt;*RD*", ledger!D:D, "Black-Chamki", ledger!C:C, "&lt;&gt;Closing CF")
))+ _xlfn.IFNA(K126, 0)</f>
        <v>23767.373811265548</v>
      </c>
      <c r="AC25" s="70" cm="1">
        <f t="array" ref="AC25">_xlfn.BYROW(B77, _xlfn.LAMBDA(_xlpm.party,
   SUMIFS(ledger!J:J, ledger!B:B, _xlpm.party, ledger!E:E, "&lt;&gt;*RD*", ledger!D:D, "Kataan", ledger!C:C, "&lt;&gt;Closing CF")
))+ _xlfn.IFNA(L126, 0)</f>
        <v>523143.74542794435</v>
      </c>
      <c r="AD25" s="70" cm="1">
        <f t="array" ref="AD25">_xlfn.BYROW(B77, _xlfn.LAMBDA(_xlpm.party,
   SUMIFS(ledger!J:J, ledger!B:B, _xlpm.party, ledger!E:E, "&lt;&gt;*RD*", ledger!D:D, "Munaar", ledger!C:C, "&lt;&gt;Closing CF")
))+ _xlfn.IFNA(M126, 0)</f>
        <v>0</v>
      </c>
      <c r="AE25" s="70" cm="1">
        <f t="array" ref="AE25">_xlfn.BYROW(B77, _xlfn.LAMBDA(_xlpm.party,
   SUMIFS(ledger!J:J, ledger!B:B, _xlpm.party, ledger!E:E, "&lt;&gt;*RD*", ledger!D:D, "Custom", ledger!C:C, "&lt;&gt;Closing CF")
))+ _xlfn.IFNA(O126, 0)</f>
        <v>0</v>
      </c>
      <c r="AF25" s="39">
        <f t="shared" si="1"/>
        <v>4767748.7198244333</v>
      </c>
      <c r="AG25" s="22">
        <f>(SUMIF(Table14[Party],S25,Table14[Credit]))+_xlfn.IFNA(Q126,0)</f>
        <v>4752127</v>
      </c>
      <c r="AH25" s="33">
        <f t="shared" si="2"/>
        <v>15621.719824433327</v>
      </c>
      <c r="AI25" s="21">
        <v>10</v>
      </c>
      <c r="AJ25" s="21">
        <v>13</v>
      </c>
    </row>
    <row r="26" spans="2:36" x14ac:dyDescent="0.3">
      <c r="I26" t="s">
        <v>201</v>
      </c>
      <c r="S26" t="str">
        <v>Hameed corporation</v>
      </c>
      <c r="T26" s="22" cm="1">
        <f t="array" ref="T26">_xlfn.BYROW(B78,_xlfn.LAMBDA(_xlpm.party,SUMIFS(ledger!G:G,ledger!B:B,_xlpm.party,ledger!E:E,"&lt;&gt;*RD*")))+_xlfn.IFNA(C127,0)</f>
        <v>46404</v>
      </c>
      <c r="U26" s="22" cm="1">
        <f t="array" ref="U26">_xlfn.BYROW(B78, _xlfn.LAMBDA(_xlpm.party, SUMIFS(ledger!G:G, ledger!B:B, _xlpm.party, ledger!E:E, "&lt;&gt;*RD*") / 1.0936 ))+_xlfn.IFNA(D127,0)</f>
        <v>42432.333577176301</v>
      </c>
      <c r="V26" s="22" cm="1">
        <f t="array" ref="V26">(_xlfn.BYROW(B78,_xlfn.LAMBDA(_xlpm.party,SUMIFS(ledger!G:G,ledger!B:B,_xlpm.party,ledger!E:E,"&lt;&gt;*RD*",ledger!D:D,"Chamki")+SUMIFS(ledger!G:G, ledger!B:B, _xlpm.party, ledger!E:E, "&lt;&gt;*RD*", ledger!D:D, "Crinkle")))/1.0936)+_xlfn.IFNA(E127,0)</f>
        <v>42432.333577176301</v>
      </c>
      <c r="W26" s="70" cm="1">
        <f t="array" ref="W26">(_xlfn.BYROW(B78,_xlfn.LAMBDA(_xlpm.party,SUMIFS(ledger!G:G,ledger!B:B,_xlpm.party,ledger!E:E,"&lt;&gt;*RD*",ledger!D:D,"Silky")))/1.0936)+_xlfn.IFNA(F127,0)</f>
        <v>0</v>
      </c>
      <c r="X26" s="22" cm="1">
        <f t="array" ref="X26">(_xlfn.BYROW(B78,_xlfn.LAMBDA(_xlpm.party,
(SUMIFS(ledger!J:J,ledger!B:B,_xlpm.party,ledger!E:E,"&lt;&gt;*RD*",ledger!D:D,"Chamki",ledger!C:C,"&lt;&gt;Closing CF")+
SUMIFS(ledger!J:J,ledger!B:B,_xlpm.party,ledger!E:E,"&lt;&gt;*RD*",ledger!D:D,"Crinkle",ledger!C:C,"&lt;&gt;Closing CF")
)+_xlfn.IFNA(G127,0))))</f>
        <v>424323.335771763</v>
      </c>
      <c r="Y26" s="70" cm="1">
        <f t="array" ref="Y26">_xlfn.BYROW(B78, _xlfn.LAMBDA(_xlpm.party,
   SUMIFS(ledger!J:J, ledger!B:B, _xlpm.party, ledger!E:E, "&lt;&gt;*RD*", ledger!D:D, "Silky", ledger!C:C, "&lt;&gt;Closing CF")
)) + _xlfn.IFNA(H127, 0)</f>
        <v>0</v>
      </c>
      <c r="Z26" s="70" cm="1">
        <f t="array" ref="Z26">_xlfn.BYROW(B78, _xlfn.LAMBDA(_xlpm.party,
   SUMIFS(ledger!J:J, ledger!B:B, _xlpm.party, ledger!E:E, "&lt;&gt;*RD*", ledger!D:D, "Slub", ledger!C:C, "&lt;&gt;Closing CF")
))+ _xlfn.IFNA(I127, 0)</f>
        <v>0</v>
      </c>
      <c r="AA26" s="70" cm="1">
        <f t="array" ref="AA26">_xlfn.BYROW(B78, _xlfn.LAMBDA(_xlpm.party,
   SUMIFS(ledger!J:J, ledger!B:B, _xlpm.party, ledger!E:E, "&lt;&gt;*RD*", ledger!D:D, "Satin", ledger!C:C, "&lt;&gt;Closing CF")
))+ _xlfn.IFNA(J127, 0)</f>
        <v>0</v>
      </c>
      <c r="AB26" s="70" cm="1">
        <f t="array" ref="AB26">_xlfn.BYROW(B78, _xlfn.LAMBDA(_xlpm.party,
   SUMIFS(ledger!J:J, ledger!B:B, _xlpm.party, ledger!E:E, "&lt;&gt;*RD*", ledger!D:D, "Black-Chamki", ledger!C:C, "&lt;&gt;Closing CF")
))+ _xlfn.IFNA(K127, 0)</f>
        <v>0</v>
      </c>
      <c r="AC26" s="70" cm="1">
        <f t="array" ref="AC26">_xlfn.BYROW(B78, _xlfn.LAMBDA(_xlpm.party,
   SUMIFS(ledger!J:J, ledger!B:B, _xlpm.party, ledger!E:E, "&lt;&gt;*RD*", ledger!D:D, "Kataan", ledger!C:C, "&lt;&gt;Closing CF")
))+ _xlfn.IFNA(L127, 0)</f>
        <v>0</v>
      </c>
      <c r="AD26" s="70" cm="1">
        <f t="array" ref="AD26">_xlfn.BYROW(B78, _xlfn.LAMBDA(_xlpm.party,
   SUMIFS(ledger!J:J, ledger!B:B, _xlpm.party, ledger!E:E, "&lt;&gt;*RD*", ledger!D:D, "Munaar", ledger!C:C, "&lt;&gt;Closing CF")
))+ _xlfn.IFNA(M127, 0)</f>
        <v>0</v>
      </c>
      <c r="AE26" s="70" cm="1">
        <f t="array" ref="AE26">_xlfn.BYROW(B78, _xlfn.LAMBDA(_xlpm.party,
   SUMIFS(ledger!J:J, ledger!B:B, _xlpm.party, ledger!E:E, "&lt;&gt;*RD*", ledger!D:D, "Custom", ledger!C:C, "&lt;&gt;Closing CF")
))+ _xlfn.IFNA(O127, 0)</f>
        <v>0</v>
      </c>
      <c r="AF26" s="39">
        <f t="shared" si="1"/>
        <v>424323.335771763</v>
      </c>
      <c r="AG26" s="22">
        <f>(SUMIF(Table14[Party],S26,Table14[Credit]))+_xlfn.IFNA(Q127,0)</f>
        <v>424323</v>
      </c>
      <c r="AH26" s="33">
        <f t="shared" si="2"/>
        <v>0.33577176299877465</v>
      </c>
      <c r="AI26" s="21">
        <v>10</v>
      </c>
      <c r="AJ26" s="21">
        <v>13</v>
      </c>
    </row>
    <row r="27" spans="2:36" x14ac:dyDescent="0.3">
      <c r="I27" t="s">
        <v>203</v>
      </c>
      <c r="S27" t="str">
        <v>ibraheem behraam</v>
      </c>
      <c r="T27" s="22" cm="1">
        <f t="array" ref="T27">_xlfn.BYROW(B79,_xlfn.LAMBDA(_xlpm.party,SUMIFS(ledger!G:G,ledger!B:B,_xlpm.party,ledger!E:E,"&lt;&gt;*RD*")))+_xlfn.IFNA(C128,0)</f>
        <v>160320</v>
      </c>
      <c r="U27" s="22" cm="1">
        <f t="array" ref="U27">_xlfn.BYROW(B79, _xlfn.LAMBDA(_xlpm.party, SUMIFS(ledger!G:G, ledger!B:B, _xlpm.party, ledger!E:E, "&lt;&gt;*RD*") / 1.0936 ))+_xlfn.IFNA(D128,0)</f>
        <v>146598.39063643015</v>
      </c>
      <c r="V27" s="22" cm="1">
        <f t="array" ref="V27">(_xlfn.BYROW(B79,_xlfn.LAMBDA(_xlpm.party,SUMIFS(ledger!G:G,ledger!B:B,_xlpm.party,ledger!E:E,"&lt;&gt;*RD*",ledger!D:D,"Chamki")+SUMIFS(ledger!G:G, ledger!B:B, _xlpm.party, ledger!E:E, "&lt;&gt;*RD*", ledger!D:D, "Crinkle")))/1.0936)+_xlfn.IFNA(E128,0)</f>
        <v>0</v>
      </c>
      <c r="W27" s="70" cm="1">
        <f t="array" ref="W27">(_xlfn.BYROW(B79,_xlfn.LAMBDA(_xlpm.party,SUMIFS(ledger!G:G,ledger!B:B,_xlpm.party,ledger!E:E,"&lt;&gt;*RD*",ledger!D:D,"Silky")))/1.0936)+_xlfn.IFNA(F128,0)</f>
        <v>146598.39063643015</v>
      </c>
      <c r="X27" s="22" cm="1">
        <f t="array" ref="X27">(_xlfn.BYROW(B79,_xlfn.LAMBDA(_xlpm.party,
(SUMIFS(ledger!J:J,ledger!B:B,_xlpm.party,ledger!E:E,"&lt;&gt;*RD*",ledger!D:D,"Chamki",ledger!C:C,"&lt;&gt;Closing CF")+
SUMIFS(ledger!J:J,ledger!B:B,_xlpm.party,ledger!E:E,"&lt;&gt;*RD*",ledger!D:D,"Crinkle",ledger!C:C,"&lt;&gt;Closing CF")
)+_xlfn.IFNA(G128,0))))</f>
        <v>0</v>
      </c>
      <c r="Y27" s="70" cm="1">
        <f t="array" ref="Y27">_xlfn.BYROW(B79, _xlfn.LAMBDA(_xlpm.party,
   SUMIFS(ledger!J:J, ledger!B:B, _xlpm.party, ledger!E:E, "&lt;&gt;*RD*", ledger!D:D, "Silky", ledger!C:C, "&lt;&gt;Closing CF")
)) + _xlfn.IFNA(H128, 0)</f>
        <v>1905779.0782735921</v>
      </c>
      <c r="Z27" s="70" cm="1">
        <f t="array" ref="Z27">_xlfn.BYROW(B79, _xlfn.LAMBDA(_xlpm.party,
   SUMIFS(ledger!J:J, ledger!B:B, _xlpm.party, ledger!E:E, "&lt;&gt;*RD*", ledger!D:D, "Slub", ledger!C:C, "&lt;&gt;Closing CF")
))+ _xlfn.IFNA(I128, 0)</f>
        <v>0</v>
      </c>
      <c r="AA27" s="70" cm="1">
        <f t="array" ref="AA27">_xlfn.BYROW(B79, _xlfn.LAMBDA(_xlpm.party,
   SUMIFS(ledger!J:J, ledger!B:B, _xlpm.party, ledger!E:E, "&lt;&gt;*RD*", ledger!D:D, "Satin", ledger!C:C, "&lt;&gt;Closing CF")
))+ _xlfn.IFNA(J128, 0)</f>
        <v>0</v>
      </c>
      <c r="AB27" s="70" cm="1">
        <f t="array" ref="AB27">_xlfn.BYROW(B79, _xlfn.LAMBDA(_xlpm.party,
   SUMIFS(ledger!J:J, ledger!B:B, _xlpm.party, ledger!E:E, "&lt;&gt;*RD*", ledger!D:D, "Black-Chamki", ledger!C:C, "&lt;&gt;Closing CF")
))+ _xlfn.IFNA(K128, 0)</f>
        <v>0</v>
      </c>
      <c r="AC27" s="70" cm="1">
        <f t="array" ref="AC27">_xlfn.BYROW(B79, _xlfn.LAMBDA(_xlpm.party,
   SUMIFS(ledger!J:J, ledger!B:B, _xlpm.party, ledger!E:E, "&lt;&gt;*RD*", ledger!D:D, "Kataan", ledger!C:C, "&lt;&gt;Closing CF")
))+ _xlfn.IFNA(L128, 0)</f>
        <v>0</v>
      </c>
      <c r="AD27" s="70" cm="1">
        <f t="array" ref="AD27">_xlfn.BYROW(B79, _xlfn.LAMBDA(_xlpm.party,
   SUMIFS(ledger!J:J, ledger!B:B, _xlpm.party, ledger!E:E, "&lt;&gt;*RD*", ledger!D:D, "Munaar", ledger!C:C, "&lt;&gt;Closing CF")
))+ _xlfn.IFNA(M128, 0)</f>
        <v>0</v>
      </c>
      <c r="AE27" s="70" cm="1">
        <f t="array" ref="AE27">_xlfn.BYROW(B79, _xlfn.LAMBDA(_xlpm.party,
   SUMIFS(ledger!J:J, ledger!B:B, _xlpm.party, ledger!E:E, "&lt;&gt;*RD*", ledger!D:D, "Custom", ledger!C:C, "&lt;&gt;Closing CF")
))+ _xlfn.IFNA(O128, 0)</f>
        <v>0</v>
      </c>
      <c r="AF27" s="39">
        <f t="shared" si="1"/>
        <v>1905779.0782735921</v>
      </c>
      <c r="AG27" s="22">
        <f>(SUMIF(Table14[Party],S27,Table14[Credit]))+_xlfn.IFNA(Q128,0)</f>
        <v>1902400</v>
      </c>
      <c r="AH27" s="33">
        <f t="shared" si="2"/>
        <v>3379.0782735920511</v>
      </c>
      <c r="AI27" s="21">
        <v>10</v>
      </c>
      <c r="AJ27" s="21">
        <v>13</v>
      </c>
    </row>
    <row r="28" spans="2:36" x14ac:dyDescent="0.3">
      <c r="S28" t="str">
        <v>Zia-ullah karachi</v>
      </c>
      <c r="T28" s="22" cm="1">
        <f t="array" ref="T28">_xlfn.BYROW(B80,_xlfn.LAMBDA(_xlpm.party,SUMIFS(ledger!G:G,ledger!B:B,_xlpm.party,ledger!E:E,"&lt;&gt;*RD*")))+_xlfn.IFNA(C129,0)</f>
        <v>13622</v>
      </c>
      <c r="U28" s="22" cm="1">
        <f t="array" ref="U28">_xlfn.BYROW(B80, _xlfn.LAMBDA(_xlpm.party, SUMIFS(ledger!G:G, ledger!B:B, _xlpm.party, ledger!E:E, "&lt;&gt;*RD*") / 1.0936 ))+_xlfn.IFNA(D129,0)</f>
        <v>12456.108266276518</v>
      </c>
      <c r="V28" s="22" cm="1">
        <f t="array" ref="V28">(_xlfn.BYROW(B80,_xlfn.LAMBDA(_xlpm.party,SUMIFS(ledger!G:G,ledger!B:B,_xlpm.party,ledger!E:E,"&lt;&gt;*RD*",ledger!D:D,"Chamki")+SUMIFS(ledger!G:G, ledger!B:B, _xlpm.party, ledger!E:E, "&lt;&gt;*RD*", ledger!D:D, "Crinkle")))/1.0936)+_xlfn.IFNA(E129,0)</f>
        <v>12456.108266276518</v>
      </c>
      <c r="W28" s="70" cm="1">
        <f t="array" ref="W28">(_xlfn.BYROW(B80,_xlfn.LAMBDA(_xlpm.party,SUMIFS(ledger!G:G,ledger!B:B,_xlpm.party,ledger!E:E,"&lt;&gt;*RD*",ledger!D:D,"Silky")))/1.0936)+_xlfn.IFNA(F129,0)</f>
        <v>0</v>
      </c>
      <c r="X28" s="22" cm="1">
        <f t="array" ref="X28">(_xlfn.BYROW(B80,_xlfn.LAMBDA(_xlpm.party,
(SUMIFS(ledger!J:J,ledger!B:B,_xlpm.party,ledger!E:E,"&lt;&gt;*RD*",ledger!D:D,"Chamki",ledger!C:C,"&lt;&gt;Closing CF")+
SUMIFS(ledger!J:J,ledger!B:B,_xlpm.party,ledger!E:E,"&lt;&gt;*RD*",ledger!D:D,"Crinkle",ledger!C:C,"&lt;&gt;Closing CF")
)+_xlfn.IFNA(G129,0))))</f>
        <v>124561.08266276518</v>
      </c>
      <c r="Y28" s="70" cm="1">
        <f t="array" ref="Y28">_xlfn.BYROW(B80, _xlfn.LAMBDA(_xlpm.party,
   SUMIFS(ledger!J:J, ledger!B:B, _xlpm.party, ledger!E:E, "&lt;&gt;*RD*", ledger!D:D, "Silky", ledger!C:C, "&lt;&gt;Closing CF")
)) + _xlfn.IFNA(H129, 0)</f>
        <v>0</v>
      </c>
      <c r="Z28" s="70" cm="1">
        <f t="array" ref="Z28">_xlfn.BYROW(B80, _xlfn.LAMBDA(_xlpm.party,
   SUMIFS(ledger!J:J, ledger!B:B, _xlpm.party, ledger!E:E, "&lt;&gt;*RD*", ledger!D:D, "Slub", ledger!C:C, "&lt;&gt;Closing CF")
))+ _xlfn.IFNA(I129, 0)</f>
        <v>0</v>
      </c>
      <c r="AA28" s="70" cm="1">
        <f t="array" ref="AA28">_xlfn.BYROW(B80, _xlfn.LAMBDA(_xlpm.party,
   SUMIFS(ledger!J:J, ledger!B:B, _xlpm.party, ledger!E:E, "&lt;&gt;*RD*", ledger!D:D, "Satin", ledger!C:C, "&lt;&gt;Closing CF")
))+ _xlfn.IFNA(J129, 0)</f>
        <v>0</v>
      </c>
      <c r="AB28" s="70" cm="1">
        <f t="array" ref="AB28">_xlfn.BYROW(B80, _xlfn.LAMBDA(_xlpm.party,
   SUMIFS(ledger!J:J, ledger!B:B, _xlpm.party, ledger!E:E, "&lt;&gt;*RD*", ledger!D:D, "Black-Chamki", ledger!C:C, "&lt;&gt;Closing CF")
))+ _xlfn.IFNA(K129, 0)</f>
        <v>0</v>
      </c>
      <c r="AC28" s="70" cm="1">
        <f t="array" ref="AC28">_xlfn.BYROW(B80, _xlfn.LAMBDA(_xlpm.party,
   SUMIFS(ledger!J:J, ledger!B:B, _xlpm.party, ledger!E:E, "&lt;&gt;*RD*", ledger!D:D, "Kataan", ledger!C:C, "&lt;&gt;Closing CF")
))+ _xlfn.IFNA(L129, 0)</f>
        <v>0</v>
      </c>
      <c r="AD28" s="70" cm="1">
        <f t="array" ref="AD28">_xlfn.BYROW(B80, _xlfn.LAMBDA(_xlpm.party,
   SUMIFS(ledger!J:J, ledger!B:B, _xlpm.party, ledger!E:E, "&lt;&gt;*RD*", ledger!D:D, "Munaar", ledger!C:C, "&lt;&gt;Closing CF")
))+ _xlfn.IFNA(M129, 0)</f>
        <v>0</v>
      </c>
      <c r="AE28" s="70" cm="1">
        <f t="array" ref="AE28">_xlfn.BYROW(B80, _xlfn.LAMBDA(_xlpm.party,
   SUMIFS(ledger!J:J, ledger!B:B, _xlpm.party, ledger!E:E, "&lt;&gt;*RD*", ledger!D:D, "Custom", ledger!C:C, "&lt;&gt;Closing CF")
))+ _xlfn.IFNA(O129, 0)</f>
        <v>0</v>
      </c>
      <c r="AF28" s="39">
        <f t="shared" si="1"/>
        <v>124561.08266276518</v>
      </c>
      <c r="AG28" s="22">
        <f>(SUMIF(Table14[Party],S28,Table14[Credit]))+_xlfn.IFNA(Q129,0)</f>
        <v>124560</v>
      </c>
      <c r="AH28" s="33">
        <f t="shared" si="2"/>
        <v>1.0826627651840681</v>
      </c>
      <c r="AI28" s="21">
        <v>10</v>
      </c>
      <c r="AJ28" s="21">
        <v>13</v>
      </c>
    </row>
    <row r="29" spans="2:36" x14ac:dyDescent="0.3">
      <c r="S29" t="str">
        <v>ZA</v>
      </c>
      <c r="T29" s="22" cm="1">
        <f t="array" ref="T29">_xlfn.BYROW(B81,_xlfn.LAMBDA(_xlpm.party,SUMIFS(ledger!G:G,ledger!B:B,_xlpm.party,ledger!E:E,"&lt;&gt;*RD*")))+_xlfn.IFNA(C130,0)</f>
        <v>32399</v>
      </c>
      <c r="U29" s="22" cm="1">
        <f t="array" ref="U29">_xlfn.BYROW(B81, _xlfn.LAMBDA(_xlpm.party, SUMIFS(ledger!G:G, ledger!B:B, _xlpm.party, ledger!E:E, "&lt;&gt;*RD*") / 1.0936 ))+_xlfn.IFNA(D130,0)</f>
        <v>29626.005852231167</v>
      </c>
      <c r="V29" s="22" cm="1">
        <f t="array" ref="V29">(_xlfn.BYROW(B81,_xlfn.LAMBDA(_xlpm.party,SUMIFS(ledger!G:G,ledger!B:B,_xlpm.party,ledger!E:E,"&lt;&gt;*RD*",ledger!D:D,"Chamki")+SUMIFS(ledger!G:G, ledger!B:B, _xlpm.party, ledger!E:E, "&lt;&gt;*RD*", ledger!D:D, "Crinkle")))/1.0936)+_xlfn.IFNA(E130,0)</f>
        <v>0</v>
      </c>
      <c r="W29" s="70" cm="1">
        <f t="array" ref="W29">(_xlfn.BYROW(B81,_xlfn.LAMBDA(_xlpm.party,SUMIFS(ledger!G:G,ledger!B:B,_xlpm.party,ledger!E:E,"&lt;&gt;*RD*",ledger!D:D,"Silky")))/1.0936)+_xlfn.IFNA(F130,0)</f>
        <v>29626.005852231167</v>
      </c>
      <c r="X29" s="22" cm="1">
        <f t="array" ref="X29">(_xlfn.BYROW(B81,_xlfn.LAMBDA(_xlpm.party,
(SUMIFS(ledger!J:J,ledger!B:B,_xlpm.party,ledger!E:E,"&lt;&gt;*RD*",ledger!D:D,"Chamki",ledger!C:C,"&lt;&gt;Closing CF")+
SUMIFS(ledger!J:J,ledger!B:B,_xlpm.party,ledger!E:E,"&lt;&gt;*RD*",ledger!D:D,"Crinkle",ledger!C:C,"&lt;&gt;Closing CF")
)+_xlfn.IFNA(G130,0))))</f>
        <v>0</v>
      </c>
      <c r="Y29" s="70" cm="1">
        <f t="array" ref="Y29">_xlfn.BYROW(B81, _xlfn.LAMBDA(_xlpm.party,
   SUMIFS(ledger!J:J, ledger!B:B, _xlpm.party, ledger!E:E, "&lt;&gt;*RD*", ledger!D:D, "Silky", ledger!C:C, "&lt;&gt;Closing CF")
)) + _xlfn.IFNA(H130, 0)</f>
        <v>385138.07607900514</v>
      </c>
      <c r="Z29" s="70" cm="1">
        <f t="array" ref="Z29">_xlfn.BYROW(B81, _xlfn.LAMBDA(_xlpm.party,
   SUMIFS(ledger!J:J, ledger!B:B, _xlpm.party, ledger!E:E, "&lt;&gt;*RD*", ledger!D:D, "Slub", ledger!C:C, "&lt;&gt;Closing CF")
))+ _xlfn.IFNA(I130, 0)</f>
        <v>0</v>
      </c>
      <c r="AA29" s="70" cm="1">
        <f t="array" ref="AA29">_xlfn.BYROW(B81, _xlfn.LAMBDA(_xlpm.party,
   SUMIFS(ledger!J:J, ledger!B:B, _xlpm.party, ledger!E:E, "&lt;&gt;*RD*", ledger!D:D, "Satin", ledger!C:C, "&lt;&gt;Closing CF")
))+ _xlfn.IFNA(J130, 0)</f>
        <v>0</v>
      </c>
      <c r="AB29" s="70" cm="1">
        <f t="array" ref="AB29">_xlfn.BYROW(B81, _xlfn.LAMBDA(_xlpm.party,
   SUMIFS(ledger!J:J, ledger!B:B, _xlpm.party, ledger!E:E, "&lt;&gt;*RD*", ledger!D:D, "Black-Chamki", ledger!C:C, "&lt;&gt;Closing CF")
))+ _xlfn.IFNA(K130, 0)</f>
        <v>0</v>
      </c>
      <c r="AC29" s="70" cm="1">
        <f t="array" ref="AC29">_xlfn.BYROW(B81, _xlfn.LAMBDA(_xlpm.party,
   SUMIFS(ledger!J:J, ledger!B:B, _xlpm.party, ledger!E:E, "&lt;&gt;*RD*", ledger!D:D, "Kataan", ledger!C:C, "&lt;&gt;Closing CF")
))+ _xlfn.IFNA(L130, 0)</f>
        <v>0</v>
      </c>
      <c r="AD29" s="70" cm="1">
        <f t="array" ref="AD29">_xlfn.BYROW(B81, _xlfn.LAMBDA(_xlpm.party,
   SUMIFS(ledger!J:J, ledger!B:B, _xlpm.party, ledger!E:E, "&lt;&gt;*RD*", ledger!D:D, "Munaar", ledger!C:C, "&lt;&gt;Closing CF")
))+ _xlfn.IFNA(M130, 0)</f>
        <v>0</v>
      </c>
      <c r="AE29" s="70" cm="1">
        <f t="array" ref="AE29">_xlfn.BYROW(B81, _xlfn.LAMBDA(_xlpm.party,
   SUMIFS(ledger!J:J, ledger!B:B, _xlpm.party, ledger!E:E, "&lt;&gt;*RD*", ledger!D:D, "Custom", ledger!C:C, "&lt;&gt;Closing CF")
))+ _xlfn.IFNA(O130, 0)</f>
        <v>0</v>
      </c>
      <c r="AF29" s="39">
        <f t="shared" si="1"/>
        <v>385138.07607900514</v>
      </c>
      <c r="AG29" s="22">
        <f>(SUMIF(Table14[Party],S29,Table14[Credit]))+_xlfn.IFNA(Q130,0)</f>
        <v>385000</v>
      </c>
      <c r="AH29" s="33">
        <f t="shared" si="2"/>
        <v>138.07607900514267</v>
      </c>
      <c r="AI29" s="21">
        <v>10</v>
      </c>
      <c r="AJ29" s="21">
        <v>13</v>
      </c>
    </row>
    <row r="30" spans="2:36" x14ac:dyDescent="0.3">
      <c r="S30" t="str">
        <v>Ahmad Javaid</v>
      </c>
      <c r="T30" s="22" cm="1">
        <f t="array" ref="T30">_xlfn.BYROW(B82,_xlfn.LAMBDA(_xlpm.party,SUMIFS(ledger!G:G,ledger!B:B,_xlpm.party,ledger!E:E,"&lt;&gt;*RD*")))+_xlfn.IFNA(C131,0)</f>
        <v>12745</v>
      </c>
      <c r="U30" s="22" cm="1">
        <f t="array" ref="U30">_xlfn.BYROW(B82, _xlfn.LAMBDA(_xlpm.party, SUMIFS(ledger!G:G, ledger!B:B, _xlpm.party, ledger!E:E, "&lt;&gt;*RD*") / 1.0936 ))+_xlfn.IFNA(D131,0)</f>
        <v>11654.16971470373</v>
      </c>
      <c r="V30" s="22" cm="1">
        <f t="array" ref="V30">(_xlfn.BYROW(B82,_xlfn.LAMBDA(_xlpm.party,SUMIFS(ledger!G:G,ledger!B:B,_xlpm.party,ledger!E:E,"&lt;&gt;*RD*",ledger!D:D,"Chamki")+SUMIFS(ledger!G:G, ledger!B:B, _xlpm.party, ledger!E:E, "&lt;&gt;*RD*", ledger!D:D, "Crinkle")))/1.0936)+_xlfn.IFNA(E131,0)</f>
        <v>0</v>
      </c>
      <c r="W30" s="70" cm="1">
        <f t="array" ref="W30">(_xlfn.BYROW(B82,_xlfn.LAMBDA(_xlpm.party,SUMIFS(ledger!G:G,ledger!B:B,_xlpm.party,ledger!E:E,"&lt;&gt;*RD*",ledger!D:D,"Silky")))/1.0936)+_xlfn.IFNA(F131,0)</f>
        <v>0</v>
      </c>
      <c r="X30" s="22" cm="1">
        <f t="array" ref="X30">(_xlfn.BYROW(B82,_xlfn.LAMBDA(_xlpm.party,
(SUMIFS(ledger!J:J,ledger!B:B,_xlpm.party,ledger!E:E,"&lt;&gt;*RD*",ledger!D:D,"Chamki",ledger!C:C,"&lt;&gt;Closing CF")+
SUMIFS(ledger!J:J,ledger!B:B,_xlpm.party,ledger!E:E,"&lt;&gt;*RD*",ledger!D:D,"Crinkle",ledger!C:C,"&lt;&gt;Closing CF")
)+_xlfn.IFNA(G131,0))))</f>
        <v>0</v>
      </c>
      <c r="Y30" s="70" cm="1">
        <f t="array" ref="Y30">_xlfn.BYROW(B82, _xlfn.LAMBDA(_xlpm.party,
   SUMIFS(ledger!J:J, ledger!B:B, _xlpm.party, ledger!E:E, "&lt;&gt;*RD*", ledger!D:D, "Silky", ledger!C:C, "&lt;&gt;Closing CF")
)) + _xlfn.IFNA(H131, 0)</f>
        <v>0</v>
      </c>
      <c r="Z30" s="70" cm="1">
        <f t="array" ref="Z30">_xlfn.BYROW(B82, _xlfn.LAMBDA(_xlpm.party,
   SUMIFS(ledger!J:J, ledger!B:B, _xlpm.party, ledger!E:E, "&lt;&gt;*RD*", ledger!D:D, "Slub", ledger!C:C, "&lt;&gt;Closing CF")
))+ _xlfn.IFNA(I131, 0)</f>
        <v>0</v>
      </c>
      <c r="AA30" s="70" cm="1">
        <f t="array" ref="AA30">_xlfn.BYROW(B82, _xlfn.LAMBDA(_xlpm.party,
   SUMIFS(ledger!J:J, ledger!B:B, _xlpm.party, ledger!E:E, "&lt;&gt;*RD*", ledger!D:D, "Satin", ledger!C:C, "&lt;&gt;Closing CF")
))+ _xlfn.IFNA(J131, 0)</f>
        <v>0</v>
      </c>
      <c r="AB30" s="70" cm="1">
        <f t="array" ref="AB30">_xlfn.BYROW(B82, _xlfn.LAMBDA(_xlpm.party,
   SUMIFS(ledger!J:J, ledger!B:B, _xlpm.party, ledger!E:E, "&lt;&gt;*RD*", ledger!D:D, "Black-Chamki", ledger!C:C, "&lt;&gt;Closing CF")
))+ _xlfn.IFNA(K131, 0)</f>
        <v>0</v>
      </c>
      <c r="AC30" s="70" cm="1">
        <f t="array" ref="AC30">_xlfn.BYROW(B82, _xlfn.LAMBDA(_xlpm.party,
   SUMIFS(ledger!J:J, ledger!B:B, _xlpm.party, ledger!E:E, "&lt;&gt;*RD*", ledger!D:D, "Kataan", ledger!C:C, "&lt;&gt;Closing CF")
))+ _xlfn.IFNA(L131, 0)</f>
        <v>0</v>
      </c>
      <c r="AD30" s="70" cm="1">
        <f t="array" ref="AD30">_xlfn.BYROW(B82, _xlfn.LAMBDA(_xlpm.party,
   SUMIFS(ledger!J:J, ledger!B:B, _xlpm.party, ledger!E:E, "&lt;&gt;*RD*", ledger!D:D, "Munaar", ledger!C:C, "&lt;&gt;Closing CF")
))+ _xlfn.IFNA(M131, 0)</f>
        <v>151504.2062911485</v>
      </c>
      <c r="AE30" s="70" cm="1">
        <f t="array" ref="AE30">_xlfn.BYROW(B82, _xlfn.LAMBDA(_xlpm.party,
   SUMIFS(ledger!J:J, ledger!B:B, _xlpm.party, ledger!E:E, "&lt;&gt;*RD*", ledger!D:D, "Custom", ledger!C:C, "&lt;&gt;Closing CF")
))+ _xlfn.IFNA(O131, 0)</f>
        <v>0</v>
      </c>
      <c r="AF30" s="39">
        <f t="shared" si="1"/>
        <v>151504.2062911485</v>
      </c>
      <c r="AG30" s="22">
        <f>(SUMIF(Table14[Party],S30,Table14[Credit]))+_xlfn.IFNA(Q131,0)</f>
        <v>130000</v>
      </c>
      <c r="AH30" s="33">
        <f t="shared" si="2"/>
        <v>21504.206291148497</v>
      </c>
      <c r="AI30" s="21">
        <v>10</v>
      </c>
      <c r="AJ30" s="21">
        <v>13</v>
      </c>
    </row>
    <row r="31" spans="2:36" x14ac:dyDescent="0.3">
      <c r="S31" t="str">
        <v>Shani Badshah</v>
      </c>
      <c r="T31" s="22" cm="1">
        <f t="array" ref="T31">_xlfn.BYROW(B83,_xlfn.LAMBDA(_xlpm.party,SUMIFS(ledger!G:G,ledger!B:B,_xlpm.party,ledger!E:E,"&lt;&gt;*RD*")))+_xlfn.IFNA(C132,0)</f>
        <v>312320</v>
      </c>
      <c r="U31" s="22" cm="1">
        <f t="array" ref="U31">_xlfn.BYROW(B83, _xlfn.LAMBDA(_xlpm.party, SUMIFS(ledger!G:G, ledger!B:B, _xlpm.party, ledger!E:E, "&lt;&gt;*RD*") / 1.0936 ))+_xlfn.IFNA(D132,0)</f>
        <v>285588.88076079008</v>
      </c>
      <c r="V31" s="22" cm="1">
        <f t="array" ref="V31">(_xlfn.BYROW(B83,_xlfn.LAMBDA(_xlpm.party,SUMIFS(ledger!G:G,ledger!B:B,_xlpm.party,ledger!E:E,"&lt;&gt;*RD*",ledger!D:D,"Chamki")+SUMIFS(ledger!G:G, ledger!B:B, _xlpm.party, ledger!E:E, "&lt;&gt;*RD*", ledger!D:D, "Crinkle")))/1.0936)+_xlfn.IFNA(E132,0)</f>
        <v>198861.55815654719</v>
      </c>
      <c r="W31" s="70" cm="1">
        <f t="array" ref="W31">(_xlfn.BYROW(B83,_xlfn.LAMBDA(_xlpm.party,SUMIFS(ledger!G:G,ledger!B:B,_xlpm.party,ledger!E:E,"&lt;&gt;*RD*",ledger!D:D,"Silky")))/1.0936)+_xlfn.IFNA(F132,0)</f>
        <v>86727.322604242872</v>
      </c>
      <c r="X31" s="22" cm="1">
        <f t="array" ref="X31">(_xlfn.BYROW(B83,_xlfn.LAMBDA(_xlpm.party,
(SUMIFS(ledger!J:J,ledger!B:B,_xlpm.party,ledger!E:E,"&lt;&gt;*RD*",ledger!D:D,"Chamki",ledger!C:C,"&lt;&gt;Closing CF")+
SUMIFS(ledger!J:J,ledger!B:B,_xlpm.party,ledger!E:E,"&lt;&gt;*RD*",ledger!D:D,"Crinkle",ledger!C:C,"&lt;&gt;Closing CF")
)+_xlfn.IFNA(G132,0))))</f>
        <v>1988615.5815654721</v>
      </c>
      <c r="Y31" s="70" cm="1">
        <f t="array" ref="Y31">_xlfn.BYROW(B83, _xlfn.LAMBDA(_xlpm.party,
   SUMIFS(ledger!J:J, ledger!B:B, _xlpm.party, ledger!E:E, "&lt;&gt;*RD*", ledger!D:D, "Silky", ledger!C:C, "&lt;&gt;Closing CF")
)) + _xlfn.IFNA(H132, 0)</f>
        <v>1127455.1938551574</v>
      </c>
      <c r="Z31" s="70" cm="1">
        <f t="array" ref="Z31">_xlfn.BYROW(B83, _xlfn.LAMBDA(_xlpm.party,
   SUMIFS(ledger!J:J, ledger!B:B, _xlpm.party, ledger!E:E, "&lt;&gt;*RD*", ledger!D:D, "Slub", ledger!C:C, "&lt;&gt;Closing CF")
))+ _xlfn.IFNA(I132, 0)</f>
        <v>0</v>
      </c>
      <c r="AA31" s="70" cm="1">
        <f t="array" ref="AA31">_xlfn.BYROW(B83, _xlfn.LAMBDA(_xlpm.party,
   SUMIFS(ledger!J:J, ledger!B:B, _xlpm.party, ledger!E:E, "&lt;&gt;*RD*", ledger!D:D, "Satin", ledger!C:C, "&lt;&gt;Closing CF")
))+ _xlfn.IFNA(J132, 0)</f>
        <v>0</v>
      </c>
      <c r="AB31" s="70" cm="1">
        <f t="array" ref="AB31">_xlfn.BYROW(B83, _xlfn.LAMBDA(_xlpm.party,
   SUMIFS(ledger!J:J, ledger!B:B, _xlpm.party, ledger!E:E, "&lt;&gt;*RD*", ledger!D:D, "Black-Chamki", ledger!C:C, "&lt;&gt;Closing CF")
))+ _xlfn.IFNA(K132, 0)</f>
        <v>0</v>
      </c>
      <c r="AC31" s="70" cm="1">
        <f t="array" ref="AC31">_xlfn.BYROW(B83, _xlfn.LAMBDA(_xlpm.party,
   SUMIFS(ledger!J:J, ledger!B:B, _xlpm.party, ledger!E:E, "&lt;&gt;*RD*", ledger!D:D, "Kataan", ledger!C:C, "&lt;&gt;Closing CF")
))+ _xlfn.IFNA(L132, 0)</f>
        <v>0</v>
      </c>
      <c r="AD31" s="70" cm="1">
        <f t="array" ref="AD31">_xlfn.BYROW(B83, _xlfn.LAMBDA(_xlpm.party,
   SUMIFS(ledger!J:J, ledger!B:B, _xlpm.party, ledger!E:E, "&lt;&gt;*RD*", ledger!D:D, "Munaar", ledger!C:C, "&lt;&gt;Closing CF")
))+ _xlfn.IFNA(M132, 0)</f>
        <v>0</v>
      </c>
      <c r="AE31" s="70" cm="1">
        <f t="array" ref="AE31">_xlfn.BYROW(B83, _xlfn.LAMBDA(_xlpm.party,
   SUMIFS(ledger!J:J, ledger!B:B, _xlpm.party, ledger!E:E, "&lt;&gt;*RD*", ledger!D:D, "Custom", ledger!C:C, "&lt;&gt;Closing CF")
))+ _xlfn.IFNA(O132, 0)</f>
        <v>0</v>
      </c>
      <c r="AF31" s="39">
        <f t="shared" si="1"/>
        <v>3116070.7754206294</v>
      </c>
      <c r="AG31" s="22">
        <f>(SUMIF(Table14[Party],S31,Table14[Credit]))+_xlfn.IFNA(Q132,0)</f>
        <v>3116071</v>
      </c>
      <c r="AH31" s="33">
        <f t="shared" si="2"/>
        <v>-0.22457937058061361</v>
      </c>
      <c r="AI31" s="21">
        <v>10</v>
      </c>
      <c r="AJ31" s="21">
        <v>13</v>
      </c>
    </row>
    <row r="32" spans="2:36" x14ac:dyDescent="0.3">
      <c r="S32" t="str">
        <v>Rehman Ali</v>
      </c>
      <c r="T32" s="22" cm="1">
        <f t="array" ref="T32">_xlfn.BYROW(B84,_xlfn.LAMBDA(_xlpm.party,SUMIFS(ledger!G:G,ledger!B:B,_xlpm.party,ledger!E:E,"&lt;&gt;*RD*")))+_xlfn.IFNA(C133,0)</f>
        <v>50131</v>
      </c>
      <c r="U32" s="22" cm="1">
        <f t="array" ref="U32">_xlfn.BYROW(B84, _xlfn.LAMBDA(_xlpm.party, SUMIFS(ledger!G:G, ledger!B:B, _xlpm.party, ledger!E:E, "&lt;&gt;*RD*") / 1.0936 ))+_xlfn.IFNA(D133,0)</f>
        <v>45840.343818580841</v>
      </c>
      <c r="V32" s="22" cm="1">
        <f t="array" ref="V32">(_xlfn.BYROW(B84,_xlfn.LAMBDA(_xlpm.party,SUMIFS(ledger!G:G,ledger!B:B,_xlpm.party,ledger!E:E,"&lt;&gt;*RD*",ledger!D:D,"Chamki")+SUMIFS(ledger!G:G, ledger!B:B, _xlpm.party, ledger!E:E, "&lt;&gt;*RD*", ledger!D:D, "Crinkle")))/1.0936)+_xlfn.IFNA(E133,0)</f>
        <v>0</v>
      </c>
      <c r="W32" s="70" cm="1">
        <f t="array" ref="W32">(_xlfn.BYROW(B84,_xlfn.LAMBDA(_xlpm.party,SUMIFS(ledger!G:G,ledger!B:B,_xlpm.party,ledger!E:E,"&lt;&gt;*RD*",ledger!D:D,"Silky")))/1.0936)+_xlfn.IFNA(F133,0)</f>
        <v>45840.343818580841</v>
      </c>
      <c r="X32" s="22" cm="1">
        <f t="array" ref="X32">(_xlfn.BYROW(B84,_xlfn.LAMBDA(_xlpm.party,
(SUMIFS(ledger!J:J,ledger!B:B,_xlpm.party,ledger!E:E,"&lt;&gt;*RD*",ledger!D:D,"Chamki",ledger!C:C,"&lt;&gt;Closing CF")+
SUMIFS(ledger!J:J,ledger!B:B,_xlpm.party,ledger!E:E,"&lt;&gt;*RD*",ledger!D:D,"Crinkle",ledger!C:C,"&lt;&gt;Closing CF")
)+_xlfn.IFNA(G133,0))))</f>
        <v>0</v>
      </c>
      <c r="Y32" s="70" cm="1">
        <f t="array" ref="Y32">_xlfn.BYROW(B84, _xlfn.LAMBDA(_xlpm.party,
   SUMIFS(ledger!J:J, ledger!B:B, _xlpm.party, ledger!E:E, "&lt;&gt;*RD*", ledger!D:D, "Silky", ledger!C:C, "&lt;&gt;Closing CF")
)) + _xlfn.IFNA(H133, 0)</f>
        <v>595924.46964155091</v>
      </c>
      <c r="Z32" s="70" cm="1">
        <f t="array" ref="Z32">_xlfn.BYROW(B84, _xlfn.LAMBDA(_xlpm.party,
   SUMIFS(ledger!J:J, ledger!B:B, _xlpm.party, ledger!E:E, "&lt;&gt;*RD*", ledger!D:D, "Slub", ledger!C:C, "&lt;&gt;Closing CF")
))+ _xlfn.IFNA(I133, 0)</f>
        <v>0</v>
      </c>
      <c r="AA32" s="70" cm="1">
        <f t="array" ref="AA32">_xlfn.BYROW(B84, _xlfn.LAMBDA(_xlpm.party,
   SUMIFS(ledger!J:J, ledger!B:B, _xlpm.party, ledger!E:E, "&lt;&gt;*RD*", ledger!D:D, "Satin", ledger!C:C, "&lt;&gt;Closing CF")
))+ _xlfn.IFNA(J133, 0)</f>
        <v>0</v>
      </c>
      <c r="AB32" s="70" cm="1">
        <f t="array" ref="AB32">_xlfn.BYROW(B84, _xlfn.LAMBDA(_xlpm.party,
   SUMIFS(ledger!J:J, ledger!B:B, _xlpm.party, ledger!E:E, "&lt;&gt;*RD*", ledger!D:D, "Black-Chamki", ledger!C:C, "&lt;&gt;Closing CF")
))+ _xlfn.IFNA(K133, 0)</f>
        <v>0</v>
      </c>
      <c r="AC32" s="70" cm="1">
        <f t="array" ref="AC32">_xlfn.BYROW(B84, _xlfn.LAMBDA(_xlpm.party,
   SUMIFS(ledger!J:J, ledger!B:B, _xlpm.party, ledger!E:E, "&lt;&gt;*RD*", ledger!D:D, "Kataan", ledger!C:C, "&lt;&gt;Closing CF")
))+ _xlfn.IFNA(L133, 0)</f>
        <v>0</v>
      </c>
      <c r="AD32" s="70" cm="1">
        <f t="array" ref="AD32">_xlfn.BYROW(B84, _xlfn.LAMBDA(_xlpm.party,
   SUMIFS(ledger!J:J, ledger!B:B, _xlpm.party, ledger!E:E, "&lt;&gt;*RD*", ledger!D:D, "Munaar", ledger!C:C, "&lt;&gt;Closing CF")
))+ _xlfn.IFNA(M133, 0)</f>
        <v>0</v>
      </c>
      <c r="AE32" s="70" cm="1">
        <f t="array" ref="AE32">_xlfn.BYROW(B84, _xlfn.LAMBDA(_xlpm.party,
   SUMIFS(ledger!J:J, ledger!B:B, _xlpm.party, ledger!E:E, "&lt;&gt;*RD*", ledger!D:D, "Custom", ledger!C:C, "&lt;&gt;Closing CF")
))+ _xlfn.IFNA(O133, 0)</f>
        <v>0</v>
      </c>
      <c r="AF32" s="39">
        <f t="shared" si="1"/>
        <v>595924.46964155091</v>
      </c>
      <c r="AG32" s="22">
        <f>(SUMIF(Table14[Party],S32,Table14[Credit]))+_xlfn.IFNA(Q133,0)</f>
        <v>550000</v>
      </c>
      <c r="AH32" s="33">
        <f t="shared" si="2"/>
        <v>45924.46964155091</v>
      </c>
      <c r="AI32" s="21">
        <v>10</v>
      </c>
      <c r="AJ32" s="21">
        <v>13</v>
      </c>
    </row>
    <row r="33" spans="19:36" x14ac:dyDescent="0.3">
      <c r="S33" t="str">
        <v>Ahmad Shafique</v>
      </c>
      <c r="T33" s="22" cm="1">
        <f t="array" ref="T33">_xlfn.BYROW(B85,_xlfn.LAMBDA(_xlpm.party,SUMIFS(ledger!G:G,ledger!B:B,_xlpm.party,ledger!E:E,"&lt;&gt;*RD*")))+_xlfn.IFNA(C134,0)</f>
        <v>53541</v>
      </c>
      <c r="U33" s="22" cm="1">
        <f t="array" ref="U33">_xlfn.BYROW(B85, _xlfn.LAMBDA(_xlpm.party, SUMIFS(ledger!G:G, ledger!B:B, _xlpm.party, ledger!E:E, "&lt;&gt;*RD*") / 1.0936 ))+_xlfn.IFNA(D134,0)</f>
        <v>48958.485735186543</v>
      </c>
      <c r="V33" s="22" cm="1">
        <f t="array" ref="V33">(_xlfn.BYROW(B85,_xlfn.LAMBDA(_xlpm.party,SUMIFS(ledger!G:G,ledger!B:B,_xlpm.party,ledger!E:E,"&lt;&gt;*RD*",ledger!D:D,"Chamki")+SUMIFS(ledger!G:G, ledger!B:B, _xlpm.party, ledger!E:E, "&lt;&gt;*RD*", ledger!D:D, "Crinkle")))/1.0936)+_xlfn.IFNA(E134,0)</f>
        <v>0</v>
      </c>
      <c r="W33" s="70" cm="1">
        <f t="array" ref="W33">(_xlfn.BYROW(B85,_xlfn.LAMBDA(_xlpm.party,SUMIFS(ledger!G:G,ledger!B:B,_xlpm.party,ledger!E:E,"&lt;&gt;*RD*",ledger!D:D,"Silky")))/1.0936)+_xlfn.IFNA(F134,0)</f>
        <v>48958.485735186543</v>
      </c>
      <c r="X33" s="22" cm="1">
        <f t="array" ref="X33">(_xlfn.BYROW(B85,_xlfn.LAMBDA(_xlpm.party,
(SUMIFS(ledger!J:J,ledger!B:B,_xlpm.party,ledger!E:E,"&lt;&gt;*RD*",ledger!D:D,"Chamki",ledger!C:C,"&lt;&gt;Closing CF")+
SUMIFS(ledger!J:J,ledger!B:B,_xlpm.party,ledger!E:E,"&lt;&gt;*RD*",ledger!D:D,"Crinkle",ledger!C:C,"&lt;&gt;Closing CF")
)+_xlfn.IFNA(G134,0))))</f>
        <v>0</v>
      </c>
      <c r="Y33" s="70" cm="1">
        <f t="array" ref="Y33">_xlfn.BYROW(B85, _xlfn.LAMBDA(_xlpm.party,
   SUMIFS(ledger!J:J, ledger!B:B, _xlpm.party, ledger!E:E, "&lt;&gt;*RD*", ledger!D:D, "Silky", ledger!C:C, "&lt;&gt;Closing CF")
)) + _xlfn.IFNA(H134, 0)</f>
        <v>636460.3145574251</v>
      </c>
      <c r="Z33" s="70" cm="1">
        <f t="array" ref="Z33">_xlfn.BYROW(B85, _xlfn.LAMBDA(_xlpm.party,
   SUMIFS(ledger!J:J, ledger!B:B, _xlpm.party, ledger!E:E, "&lt;&gt;*RD*", ledger!D:D, "Slub", ledger!C:C, "&lt;&gt;Closing CF")
))+ _xlfn.IFNA(I134, 0)</f>
        <v>0</v>
      </c>
      <c r="AA33" s="70" cm="1">
        <f t="array" ref="AA33">_xlfn.BYROW(B85, _xlfn.LAMBDA(_xlpm.party,
   SUMIFS(ledger!J:J, ledger!B:B, _xlpm.party, ledger!E:E, "&lt;&gt;*RD*", ledger!D:D, "Satin", ledger!C:C, "&lt;&gt;Closing CF")
))+ _xlfn.IFNA(J134, 0)</f>
        <v>0</v>
      </c>
      <c r="AB33" s="70" cm="1">
        <f t="array" ref="AB33">_xlfn.BYROW(B85, _xlfn.LAMBDA(_xlpm.party,
   SUMIFS(ledger!J:J, ledger!B:B, _xlpm.party, ledger!E:E, "&lt;&gt;*RD*", ledger!D:D, "Black-Chamki", ledger!C:C, "&lt;&gt;Closing CF")
))+ _xlfn.IFNA(K134, 0)</f>
        <v>0</v>
      </c>
      <c r="AC33" s="70" cm="1">
        <f t="array" ref="AC33">_xlfn.BYROW(B85, _xlfn.LAMBDA(_xlpm.party,
   SUMIFS(ledger!J:J, ledger!B:B, _xlpm.party, ledger!E:E, "&lt;&gt;*RD*", ledger!D:D, "Kataan", ledger!C:C, "&lt;&gt;Closing CF")
))+ _xlfn.IFNA(L134, 0)</f>
        <v>0</v>
      </c>
      <c r="AD33" s="70" cm="1">
        <f t="array" ref="AD33">_xlfn.BYROW(B85, _xlfn.LAMBDA(_xlpm.party,
   SUMIFS(ledger!J:J, ledger!B:B, _xlpm.party, ledger!E:E, "&lt;&gt;*RD*", ledger!D:D, "Munaar", ledger!C:C, "&lt;&gt;Closing CF")
))+ _xlfn.IFNA(M134, 0)</f>
        <v>0</v>
      </c>
      <c r="AE33" s="70" cm="1">
        <f t="array" ref="AE33">_xlfn.BYROW(B85, _xlfn.LAMBDA(_xlpm.party,
   SUMIFS(ledger!J:J, ledger!B:B, _xlpm.party, ledger!E:E, "&lt;&gt;*RD*", ledger!D:D, "Custom", ledger!C:C, "&lt;&gt;Closing CF")
))+ _xlfn.IFNA(O134, 0)</f>
        <v>0</v>
      </c>
      <c r="AF33" s="39">
        <f t="shared" si="1"/>
        <v>636460.3145574251</v>
      </c>
      <c r="AG33" s="22">
        <f>(SUMIF(Table14[Party],S33,Table14[Credit]))+_xlfn.IFNA(Q134,0)</f>
        <v>636000</v>
      </c>
      <c r="AH33" s="33">
        <f t="shared" si="2"/>
        <v>460.3145574250957</v>
      </c>
      <c r="AI33" s="21">
        <v>10</v>
      </c>
      <c r="AJ33" s="21">
        <v>13</v>
      </c>
    </row>
    <row r="34" spans="19:36" x14ac:dyDescent="0.3">
      <c r="S34" t="str">
        <v>Hafiz Shawl</v>
      </c>
      <c r="T34" s="22" cm="1">
        <f t="array" ref="T34">_xlfn.BYROW(B86,_xlfn.LAMBDA(_xlpm.party,SUMIFS(ledger!G:G,ledger!B:B,_xlpm.party,ledger!E:E,"&lt;&gt;*RD*")))+_xlfn.IFNA(C135,0)</f>
        <v>33395</v>
      </c>
      <c r="U34" s="22" cm="1">
        <f t="array" ref="U34">_xlfn.BYROW(B86, _xlfn.LAMBDA(_xlpm.party, SUMIFS(ledger!G:G, ledger!B:B, _xlpm.party, ledger!E:E, "&lt;&gt;*RD*") / 1.0936 ))+_xlfn.IFNA(D135,0)</f>
        <v>30536.759326993419</v>
      </c>
      <c r="V34" s="22" cm="1">
        <f t="array" ref="V34">(_xlfn.BYROW(B86,_xlfn.LAMBDA(_xlpm.party,SUMIFS(ledger!G:G,ledger!B:B,_xlpm.party,ledger!E:E,"&lt;&gt;*RD*",ledger!D:D,"Chamki")+SUMIFS(ledger!G:G, ledger!B:B, _xlpm.party, ledger!E:E, "&lt;&gt;*RD*", ledger!D:D, "Crinkle")))/1.0936)+_xlfn.IFNA(E135,0)</f>
        <v>0</v>
      </c>
      <c r="W34" s="70" cm="1">
        <f t="array" ref="W34">(_xlfn.BYROW(B86,_xlfn.LAMBDA(_xlpm.party,SUMIFS(ledger!G:G,ledger!B:B,_xlpm.party,ledger!E:E,"&lt;&gt;*RD*",ledger!D:D,"Silky")))/1.0936)+_xlfn.IFNA(F135,0)</f>
        <v>1321.3240673006585</v>
      </c>
      <c r="X34" s="22" cm="1">
        <f t="array" ref="X34">(_xlfn.BYROW(B86,_xlfn.LAMBDA(_xlpm.party,
(SUMIFS(ledger!J:J,ledger!B:B,_xlpm.party,ledger!E:E,"&lt;&gt;*RD*",ledger!D:D,"Chamki",ledger!C:C,"&lt;&gt;Closing CF")+
SUMIFS(ledger!J:J,ledger!B:B,_xlpm.party,ledger!E:E,"&lt;&gt;*RD*",ledger!D:D,"Crinkle",ledger!C:C,"&lt;&gt;Closing CF")
)+_xlfn.IFNA(G135,0))))</f>
        <v>0</v>
      </c>
      <c r="Y34" s="70" cm="1">
        <f t="array" ref="Y34">_xlfn.BYROW(B86, _xlfn.LAMBDA(_xlpm.party,
   SUMIFS(ledger!J:J, ledger!B:B, _xlpm.party, ledger!E:E, "&lt;&gt;*RD*", ledger!D:D, "Silky", ledger!C:C, "&lt;&gt;Closing CF")
)) + _xlfn.IFNA(H135, 0)</f>
        <v>15855.888807607902</v>
      </c>
      <c r="Z34" s="70" cm="1">
        <f t="array" ref="Z34">_xlfn.BYROW(B86, _xlfn.LAMBDA(_xlpm.party,
   SUMIFS(ledger!J:J, ledger!B:B, _xlpm.party, ledger!E:E, "&lt;&gt;*RD*", ledger!D:D, "Slub", ledger!C:C, "&lt;&gt;Closing CF")
))+ _xlfn.IFNA(I135, 0)</f>
        <v>0</v>
      </c>
      <c r="AA34" s="70" cm="1">
        <f t="array" ref="AA34">_xlfn.BYROW(B86, _xlfn.LAMBDA(_xlpm.party,
   SUMIFS(ledger!J:J, ledger!B:B, _xlpm.party, ledger!E:E, "&lt;&gt;*RD*", ledger!D:D, "Satin", ledger!C:C, "&lt;&gt;Closing CF")
))+ _xlfn.IFNA(J135, 0)</f>
        <v>0</v>
      </c>
      <c r="AB34" s="70" cm="1">
        <f t="array" ref="AB34">_xlfn.BYROW(B86, _xlfn.LAMBDA(_xlpm.party,
   SUMIFS(ledger!J:J, ledger!B:B, _xlpm.party, ledger!E:E, "&lt;&gt;*RD*", ledger!D:D, "Black-Chamki", ledger!C:C, "&lt;&gt;Closing CF")
))+ _xlfn.IFNA(K135, 0)</f>
        <v>0</v>
      </c>
      <c r="AC34" s="70" cm="1">
        <f t="array" ref="AC34">_xlfn.BYROW(B86, _xlfn.LAMBDA(_xlpm.party,
   SUMIFS(ledger!J:J, ledger!B:B, _xlpm.party, ledger!E:E, "&lt;&gt;*RD*", ledger!D:D, "Kataan", ledger!C:C, "&lt;&gt;Closing CF")
))+ _xlfn.IFNA(L135, 0)</f>
        <v>0</v>
      </c>
      <c r="AD34" s="70" cm="1">
        <f t="array" ref="AD34">_xlfn.BYROW(B86, _xlfn.LAMBDA(_xlpm.party,
   SUMIFS(ledger!J:J, ledger!B:B, _xlpm.party, ledger!E:E, "&lt;&gt;*RD*", ledger!D:D, "Munaar", ledger!C:C, "&lt;&gt;Closing CF")
))+ _xlfn.IFNA(M135, 0)</f>
        <v>0</v>
      </c>
      <c r="AE34" s="70" cm="1">
        <f t="array" ref="AE34">_xlfn.BYROW(B86, _xlfn.LAMBDA(_xlpm.party,
   SUMIFS(ledger!J:J, ledger!B:B, _xlpm.party, ledger!E:E, "&lt;&gt;*RD*", ledger!D:D, "Custom", ledger!C:C, "&lt;&gt;Closing CF")
))+ _xlfn.IFNA(O135, 0)</f>
        <v>584043.52596927597</v>
      </c>
      <c r="AF34" s="39">
        <f t="shared" si="1"/>
        <v>599899.4147768839</v>
      </c>
      <c r="AG34" s="22">
        <f>(SUMIF(Table14[Party],S34,Table14[Credit]))+_xlfn.IFNA(Q135,0)</f>
        <v>55855</v>
      </c>
      <c r="AH34" s="33">
        <f t="shared" si="2"/>
        <v>544044.4147768839</v>
      </c>
      <c r="AI34" s="21">
        <v>10</v>
      </c>
      <c r="AJ34" s="21">
        <v>13</v>
      </c>
    </row>
    <row r="35" spans="19:36" x14ac:dyDescent="0.3">
      <c r="S35" t="str">
        <v>Zahid Ejaz</v>
      </c>
      <c r="T35" s="22" cm="1">
        <f t="array" ref="T35">_xlfn.BYROW(B87,_xlfn.LAMBDA(_xlpm.party,SUMIFS(ledger!G:G,ledger!B:B,_xlpm.party,ledger!E:E,"&lt;&gt;*RD*")))+_xlfn.IFNA(C136,0)</f>
        <v>16060</v>
      </c>
      <c r="U35" s="22" cm="1">
        <f t="array" ref="U35">_xlfn.BYROW(B87, _xlfn.LAMBDA(_xlpm.party, SUMIFS(ledger!G:G, ledger!B:B, _xlpm.party, ledger!E:E, "&lt;&gt;*RD*") / 1.0936 ))+_xlfn.IFNA(D136,0)</f>
        <v>14685.442574981713</v>
      </c>
      <c r="V35" s="22" cm="1">
        <f t="array" ref="V35">(_xlfn.BYROW(B87,_xlfn.LAMBDA(_xlpm.party,SUMIFS(ledger!G:G,ledger!B:B,_xlpm.party,ledger!E:E,"&lt;&gt;*RD*",ledger!D:D,"Chamki")+SUMIFS(ledger!G:G, ledger!B:B, _xlpm.party, ledger!E:E, "&lt;&gt;*RD*", ledger!D:D, "Crinkle")))/1.0936)+_xlfn.IFNA(E136,0)</f>
        <v>14685.442574981713</v>
      </c>
      <c r="W35" s="70" cm="1">
        <f t="array" ref="W35">(_xlfn.BYROW(B87,_xlfn.LAMBDA(_xlpm.party,SUMIFS(ledger!G:G,ledger!B:B,_xlpm.party,ledger!E:E,"&lt;&gt;*RD*",ledger!D:D,"Silky")))/1.0936)+_xlfn.IFNA(F136,0)</f>
        <v>0</v>
      </c>
      <c r="X35" s="22" cm="1">
        <f t="array" ref="X35">(_xlfn.BYROW(B87,_xlfn.LAMBDA(_xlpm.party,
(SUMIFS(ledger!J:J,ledger!B:B,_xlpm.party,ledger!E:E,"&lt;&gt;*RD*",ledger!D:D,"Chamki",ledger!C:C,"&lt;&gt;Closing CF")+
SUMIFS(ledger!J:J,ledger!B:B,_xlpm.party,ledger!E:E,"&lt;&gt;*RD*",ledger!D:D,"Crinkle",ledger!C:C,"&lt;&gt;Closing CF")
)+_xlfn.IFNA(G136,0))))</f>
        <v>161539.86832479882</v>
      </c>
      <c r="Y35" s="70" cm="1">
        <f t="array" ref="Y35">_xlfn.BYROW(B87, _xlfn.LAMBDA(_xlpm.party,
   SUMIFS(ledger!J:J, ledger!B:B, _xlpm.party, ledger!E:E, "&lt;&gt;*RD*", ledger!D:D, "Silky", ledger!C:C, "&lt;&gt;Closing CF")
)) + _xlfn.IFNA(H136, 0)</f>
        <v>0</v>
      </c>
      <c r="Z35" s="70" cm="1">
        <f t="array" ref="Z35">_xlfn.BYROW(B87, _xlfn.LAMBDA(_xlpm.party,
   SUMIFS(ledger!J:J, ledger!B:B, _xlpm.party, ledger!E:E, "&lt;&gt;*RD*", ledger!D:D, "Slub", ledger!C:C, "&lt;&gt;Closing CF")
))+ _xlfn.IFNA(I136, 0)</f>
        <v>0</v>
      </c>
      <c r="AA35" s="70" cm="1">
        <f t="array" ref="AA35">_xlfn.BYROW(B87, _xlfn.LAMBDA(_xlpm.party,
   SUMIFS(ledger!J:J, ledger!B:B, _xlpm.party, ledger!E:E, "&lt;&gt;*RD*", ledger!D:D, "Satin", ledger!C:C, "&lt;&gt;Closing CF")
))+ _xlfn.IFNA(J136, 0)</f>
        <v>0</v>
      </c>
      <c r="AB35" s="70" cm="1">
        <f t="array" ref="AB35">_xlfn.BYROW(B87, _xlfn.LAMBDA(_xlpm.party,
   SUMIFS(ledger!J:J, ledger!B:B, _xlpm.party, ledger!E:E, "&lt;&gt;*RD*", ledger!D:D, "Black-Chamki", ledger!C:C, "&lt;&gt;Closing CF")
))+ _xlfn.IFNA(K136, 0)</f>
        <v>0</v>
      </c>
      <c r="AC35" s="70" cm="1">
        <f t="array" ref="AC35">_xlfn.BYROW(B87, _xlfn.LAMBDA(_xlpm.party,
   SUMIFS(ledger!J:J, ledger!B:B, _xlpm.party, ledger!E:E, "&lt;&gt;*RD*", ledger!D:D, "Kataan", ledger!C:C, "&lt;&gt;Closing CF")
))+ _xlfn.IFNA(L136, 0)</f>
        <v>0</v>
      </c>
      <c r="AD35" s="70" cm="1">
        <f t="array" ref="AD35">_xlfn.BYROW(B87, _xlfn.LAMBDA(_xlpm.party,
   SUMIFS(ledger!J:J, ledger!B:B, _xlpm.party, ledger!E:E, "&lt;&gt;*RD*", ledger!D:D, "Munaar", ledger!C:C, "&lt;&gt;Closing CF")
))+ _xlfn.IFNA(M136, 0)</f>
        <v>0</v>
      </c>
      <c r="AE35" s="70" cm="1">
        <f t="array" ref="AE35">_xlfn.BYROW(B87, _xlfn.LAMBDA(_xlpm.party,
   SUMIFS(ledger!J:J, ledger!B:B, _xlpm.party, ledger!E:E, "&lt;&gt;*RD*", ledger!D:D, "Custom", ledger!C:C, "&lt;&gt;Closing CF")
))+ _xlfn.IFNA(O136, 0)</f>
        <v>0</v>
      </c>
      <c r="AF35" s="39">
        <f t="shared" si="1"/>
        <v>161539.86832479882</v>
      </c>
      <c r="AG35" s="22">
        <f>(SUMIF(Table14[Party],S35,Table14[Credit]))+_xlfn.IFNA(Q136,0)</f>
        <v>169278</v>
      </c>
      <c r="AH35" s="33">
        <f t="shared" si="2"/>
        <v>-7738.1316752011771</v>
      </c>
      <c r="AI35" s="21">
        <v>10</v>
      </c>
      <c r="AJ35" s="21">
        <v>13</v>
      </c>
    </row>
    <row r="36" spans="19:36" x14ac:dyDescent="0.3">
      <c r="S36" t="str">
        <v>Faizan Kamoki</v>
      </c>
      <c r="T36" s="22" cm="1">
        <f t="array" ref="T36">_xlfn.BYROW(B88,_xlfn.LAMBDA(_xlpm.party,SUMIFS(ledger!G:G,ledger!B:B,_xlpm.party,ledger!E:E,"&lt;&gt;*RD*")))+_xlfn.IFNA(C137,0)</f>
        <v>864081</v>
      </c>
      <c r="U36" s="22" cm="1">
        <f t="array" ref="U36">_xlfn.BYROW(B88, _xlfn.LAMBDA(_xlpm.party, SUMIFS(ledger!G:G, ledger!B:B, _xlpm.party, ledger!E:E, "&lt;&gt;*RD*") / 1.0936 ))+_xlfn.IFNA(D137,0)</f>
        <v>790125.27432333585</v>
      </c>
      <c r="V36" s="22" cm="1">
        <f t="array" ref="V36">(_xlfn.BYROW(B88,_xlfn.LAMBDA(_xlpm.party,SUMIFS(ledger!G:G,ledger!B:B,_xlpm.party,ledger!E:E,"&lt;&gt;*RD*",ledger!D:D,"Chamki")+SUMIFS(ledger!G:G, ledger!B:B, _xlpm.party, ledger!E:E, "&lt;&gt;*RD*", ledger!D:D, "Crinkle")))/1.0936)+_xlfn.IFNA(E137,0)</f>
        <v>0</v>
      </c>
      <c r="W36" s="70" cm="1">
        <f t="array" ref="W36">(_xlfn.BYROW(B88,_xlfn.LAMBDA(_xlpm.party,SUMIFS(ledger!G:G,ledger!B:B,_xlpm.party,ledger!E:E,"&lt;&gt;*RD*",ledger!D:D,"Silky")))/1.0936)+_xlfn.IFNA(F137,0)</f>
        <v>594271.2143379664</v>
      </c>
      <c r="X36" s="22" cm="1">
        <f t="array" ref="X36">(_xlfn.BYROW(B88,_xlfn.LAMBDA(_xlpm.party,
(SUMIFS(ledger!J:J,ledger!B:B,_xlpm.party,ledger!E:E,"&lt;&gt;*RD*",ledger!D:D,"Chamki",ledger!C:C,"&lt;&gt;Closing CF")+
SUMIFS(ledger!J:J,ledger!B:B,_xlpm.party,ledger!E:E,"&lt;&gt;*RD*",ledger!D:D,"Crinkle",ledger!C:C,"&lt;&gt;Closing CF")
)+_xlfn.IFNA(G137,0))))</f>
        <v>0</v>
      </c>
      <c r="Y36" s="70" cm="1">
        <f t="array" ref="Y36">_xlfn.BYROW(B88, _xlfn.LAMBDA(_xlpm.party,
   SUMIFS(ledger!J:J, ledger!B:B, _xlpm.party, ledger!E:E, "&lt;&gt;*RD*", ledger!D:D, "Silky", ledger!C:C, "&lt;&gt;Closing CF")
)) + _xlfn.IFNA(H137, 0)</f>
        <v>7725525.7863935623</v>
      </c>
      <c r="Z36" s="70" cm="1">
        <f t="array" ref="Z36">_xlfn.BYROW(B88, _xlfn.LAMBDA(_xlpm.party,
   SUMIFS(ledger!J:J, ledger!B:B, _xlpm.party, ledger!E:E, "&lt;&gt;*RD*", ledger!D:D, "Slub", ledger!C:C, "&lt;&gt;Closing CF")
))+ _xlfn.IFNA(I137, 0)</f>
        <v>0</v>
      </c>
      <c r="AA36" s="70" cm="1">
        <f t="array" ref="AA36">_xlfn.BYROW(B88, _xlfn.LAMBDA(_xlpm.party,
   SUMIFS(ledger!J:J, ledger!B:B, _xlpm.party, ledger!E:E, "&lt;&gt;*RD*", ledger!D:D, "Satin", ledger!C:C, "&lt;&gt;Closing CF")
))+ _xlfn.IFNA(J137, 0)</f>
        <v>0</v>
      </c>
      <c r="AB36" s="70" cm="1">
        <f t="array" ref="AB36">_xlfn.BYROW(B88, _xlfn.LAMBDA(_xlpm.party,
   SUMIFS(ledger!J:J, ledger!B:B, _xlpm.party, ledger!E:E, "&lt;&gt;*RD*", ledger!D:D, "Black-Chamki", ledger!C:C, "&lt;&gt;Closing CF")
))+ _xlfn.IFNA(K137, 0)</f>
        <v>0</v>
      </c>
      <c r="AC36" s="70" cm="1">
        <f t="array" ref="AC36">_xlfn.BYROW(B88, _xlfn.LAMBDA(_xlpm.party,
   SUMIFS(ledger!J:J, ledger!B:B, _xlpm.party, ledger!E:E, "&lt;&gt;*RD*", ledger!D:D, "Kataan", ledger!C:C, "&lt;&gt;Closing CF")
))+ _xlfn.IFNA(L137, 0)</f>
        <v>1894656.1814191663</v>
      </c>
      <c r="AD36" s="70" cm="1">
        <f t="array" ref="AD36">_xlfn.BYROW(B88, _xlfn.LAMBDA(_xlpm.party,
   SUMIFS(ledger!J:J, ledger!B:B, _xlpm.party, ledger!E:E, "&lt;&gt;*RD*", ledger!D:D, "Munaar", ledger!C:C, "&lt;&gt;Closing CF")
))+ _xlfn.IFNA(M137, 0)</f>
        <v>0</v>
      </c>
      <c r="AE36" s="70" cm="1">
        <f t="array" ref="AE36">_xlfn.BYROW(B88, _xlfn.LAMBDA(_xlpm.party,
   SUMIFS(ledger!J:J, ledger!B:B, _xlpm.party, ledger!E:E, "&lt;&gt;*RD*", ledger!D:D, "Custom", ledger!C:C, "&lt;&gt;Closing CF")
))+ _xlfn.IFNA(O137, 0)</f>
        <v>272523.77468910022</v>
      </c>
      <c r="AF36" s="39">
        <f t="shared" si="1"/>
        <v>9892705.7425018288</v>
      </c>
      <c r="AG36" s="22">
        <f>(SUMIF(Table14[Party],S36,Table14[Credit]))+_xlfn.IFNA(Q137,0)</f>
        <v>10129845.493050475</v>
      </c>
      <c r="AH36" s="33">
        <f t="shared" si="2"/>
        <v>-237139.75054864585</v>
      </c>
    </row>
    <row r="37" spans="19:36" x14ac:dyDescent="0.3">
      <c r="S37" t="str">
        <v>KK fabrics</v>
      </c>
      <c r="T37" s="22" cm="1">
        <f t="array" ref="T37">_xlfn.BYROW(B89,_xlfn.LAMBDA(_xlpm.party,SUMIFS(ledger!G:G,ledger!B:B,_xlpm.party,ledger!E:E,"&lt;&gt;*RD*")))+_xlfn.IFNA(C138,0)</f>
        <v>59639</v>
      </c>
      <c r="U37" s="22" cm="1">
        <f t="array" ref="U37">_xlfn.BYROW(B89, _xlfn.LAMBDA(_xlpm.party, SUMIFS(ledger!G:G, ledger!B:B, _xlpm.party, ledger!E:E, "&lt;&gt;*RD*") / 1.0936 ))+_xlfn.IFNA(D138,0)</f>
        <v>54534.564740307251</v>
      </c>
      <c r="V37" s="22" cm="1">
        <f t="array" ref="V37">(_xlfn.BYROW(B89,_xlfn.LAMBDA(_xlpm.party,SUMIFS(ledger!G:G,ledger!B:B,_xlpm.party,ledger!E:E,"&lt;&gt;*RD*",ledger!D:D,"Chamki")+SUMIFS(ledger!G:G, ledger!B:B, _xlpm.party, ledger!E:E, "&lt;&gt;*RD*", ledger!D:D, "Crinkle")))/1.0936)+_xlfn.IFNA(E138,0)</f>
        <v>54534.564740307251</v>
      </c>
      <c r="W37" s="70" cm="1">
        <f t="array" ref="W37">(_xlfn.BYROW(B89,_xlfn.LAMBDA(_xlpm.party,SUMIFS(ledger!G:G,ledger!B:B,_xlpm.party,ledger!E:E,"&lt;&gt;*RD*",ledger!D:D,"Silky")))/1.0936)+_xlfn.IFNA(F138,0)</f>
        <v>0</v>
      </c>
      <c r="X37" s="22" cm="1">
        <f t="array" ref="X37">(_xlfn.BYROW(B89,_xlfn.LAMBDA(_xlpm.party,
(SUMIFS(ledger!J:J,ledger!B:B,_xlpm.party,ledger!E:E,"&lt;&gt;*RD*",ledger!D:D,"Chamki",ledger!C:C,"&lt;&gt;Closing CF")+
SUMIFS(ledger!J:J,ledger!B:B,_xlpm.party,ledger!E:E,"&lt;&gt;*RD*",ledger!D:D,"Crinkle",ledger!C:C,"&lt;&gt;Closing CF")
)+_xlfn.IFNA(G138,0))))</f>
        <v>545345.64740307245</v>
      </c>
      <c r="Y37" s="70" cm="1">
        <f t="array" ref="Y37">_xlfn.BYROW(B89, _xlfn.LAMBDA(_xlpm.party,
   SUMIFS(ledger!J:J, ledger!B:B, _xlpm.party, ledger!E:E, "&lt;&gt;*RD*", ledger!D:D, "Silky", ledger!C:C, "&lt;&gt;Closing CF")
)) + _xlfn.IFNA(H138, 0)</f>
        <v>0</v>
      </c>
      <c r="Z37" s="70" cm="1">
        <f t="array" ref="Z37">_xlfn.BYROW(B89, _xlfn.LAMBDA(_xlpm.party,
   SUMIFS(ledger!J:J, ledger!B:B, _xlpm.party, ledger!E:E, "&lt;&gt;*RD*", ledger!D:D, "Slub", ledger!C:C, "&lt;&gt;Closing CF")
))+ _xlfn.IFNA(I138, 0)</f>
        <v>0</v>
      </c>
      <c r="AA37" s="70" cm="1">
        <f t="array" ref="AA37">_xlfn.BYROW(B89, _xlfn.LAMBDA(_xlpm.party,
   SUMIFS(ledger!J:J, ledger!B:B, _xlpm.party, ledger!E:E, "&lt;&gt;*RD*", ledger!D:D, "Satin", ledger!C:C, "&lt;&gt;Closing CF")
))+ _xlfn.IFNA(J138, 0)</f>
        <v>0</v>
      </c>
      <c r="AB37" s="70" cm="1">
        <f t="array" ref="AB37">_xlfn.BYROW(B89, _xlfn.LAMBDA(_xlpm.party,
   SUMIFS(ledger!J:J, ledger!B:B, _xlpm.party, ledger!E:E, "&lt;&gt;*RD*", ledger!D:D, "Black-Chamki", ledger!C:C, "&lt;&gt;Closing CF")
))+ _xlfn.IFNA(K138, 0)</f>
        <v>0</v>
      </c>
      <c r="AC37" s="70" cm="1">
        <f t="array" ref="AC37">_xlfn.BYROW(B89, _xlfn.LAMBDA(_xlpm.party,
   SUMIFS(ledger!J:J, ledger!B:B, _xlpm.party, ledger!E:E, "&lt;&gt;*RD*", ledger!D:D, "Kataan", ledger!C:C, "&lt;&gt;Closing CF")
))+ _xlfn.IFNA(L138, 0)</f>
        <v>0</v>
      </c>
      <c r="AD37" s="70" cm="1">
        <f t="array" ref="AD37">_xlfn.BYROW(B89, _xlfn.LAMBDA(_xlpm.party,
   SUMIFS(ledger!J:J, ledger!B:B, _xlpm.party, ledger!E:E, "&lt;&gt;*RD*", ledger!D:D, "Munaar", ledger!C:C, "&lt;&gt;Closing CF")
))+ _xlfn.IFNA(M138, 0)</f>
        <v>0</v>
      </c>
      <c r="AE37" s="70" cm="1">
        <f t="array" ref="AE37">_xlfn.BYROW(B89, _xlfn.LAMBDA(_xlpm.party,
   SUMIFS(ledger!J:J, ledger!B:B, _xlpm.party, ledger!E:E, "&lt;&gt;*RD*", ledger!D:D, "Custom", ledger!C:C, "&lt;&gt;Closing CF")
))+ _xlfn.IFNA(O138, 0)</f>
        <v>0</v>
      </c>
      <c r="AF37" s="39">
        <f t="shared" si="1"/>
        <v>545345.64740307245</v>
      </c>
      <c r="AG37" s="22">
        <f>(SUMIF(Table14[Party],S37,Table14[Credit]))+_xlfn.IFNA(Q138,0)</f>
        <v>544000</v>
      </c>
      <c r="AH37" s="33">
        <f t="shared" ref="AH37" si="3">AF37-AG37</f>
        <v>1345.6474030724494</v>
      </c>
    </row>
    <row r="38" spans="19:36" x14ac:dyDescent="0.3">
      <c r="S38" t="str">
        <v>Rauf Khan</v>
      </c>
      <c r="T38" s="22" cm="1">
        <f t="array" ref="T38">_xlfn.BYROW(B90,_xlfn.LAMBDA(_xlpm.party,SUMIFS(ledger!G:G,ledger!B:B,_xlpm.party,ledger!E:E,"&lt;&gt;*RD*")))+_xlfn.IFNA(C139,0)</f>
        <v>474322</v>
      </c>
      <c r="U38" s="22" cm="1">
        <f t="array" ref="U38">_xlfn.BYROW(B90, _xlfn.LAMBDA(_xlpm.party, SUMIFS(ledger!G:G, ledger!B:B, _xlpm.party, ledger!E:E, "&lt;&gt;*RD*") / 1.0936 ))+_xlfn.IFNA(D139,0)</f>
        <v>433725.3108997806</v>
      </c>
      <c r="V38" s="22" cm="1">
        <f t="array" ref="V38">(_xlfn.BYROW(B90,_xlfn.LAMBDA(_xlpm.party,SUMIFS(ledger!G:G,ledger!B:B,_xlpm.party,ledger!E:E,"&lt;&gt;*RD*",ledger!D:D,"Chamki")+SUMIFS(ledger!G:G, ledger!B:B, _xlpm.party, ledger!E:E, "&lt;&gt;*RD*", ledger!D:D, "Crinkle")))/1.0936)+_xlfn.IFNA(E139,0)</f>
        <v>86493.233357717632</v>
      </c>
      <c r="W38" s="70" cm="1">
        <f t="array" ref="W38">(_xlfn.BYROW(B90,_xlfn.LAMBDA(_xlpm.party,SUMIFS(ledger!G:G,ledger!B:B,_xlpm.party,ledger!E:E,"&lt;&gt;*RD*",ledger!D:D,"Silky")))/1.0936)+_xlfn.IFNA(F139,0)</f>
        <v>243062.36283833213</v>
      </c>
      <c r="X38" s="22" cm="1">
        <f t="array" ref="X38">(_xlfn.BYROW(B90,_xlfn.LAMBDA(_xlpm.party,
(SUMIFS(ledger!J:J,ledger!B:B,_xlpm.party,ledger!E:E,"&lt;&gt;*RD*",ledger!D:D,"Chamki",ledger!C:C,"&lt;&gt;Closing CF")+
SUMIFS(ledger!J:J,ledger!B:B,_xlpm.party,ledger!E:E,"&lt;&gt;*RD*",ledger!D:D,"Crinkle",ledger!C:C,"&lt;&gt;Closing CF")
)+_xlfn.IFNA(G139,0))))</f>
        <v>864932.33357717632</v>
      </c>
      <c r="Y38" s="70" cm="1">
        <f t="array" ref="Y38">_xlfn.BYROW(B90, _xlfn.LAMBDA(_xlpm.party,
   SUMIFS(ledger!J:J, ledger!B:B, _xlpm.party, ledger!E:E, "&lt;&gt;*RD*", ledger!D:D, "Silky", ledger!C:C, "&lt;&gt;Closing CF")
)) + _xlfn.IFNA(H139, 0)</f>
        <v>2916748.3540599858</v>
      </c>
      <c r="Z38" s="70" cm="1">
        <f t="array" ref="Z38">_xlfn.BYROW(B90, _xlfn.LAMBDA(_xlpm.party,
   SUMIFS(ledger!J:J, ledger!B:B, _xlpm.party, ledger!E:E, "&lt;&gt;*RD*", ledger!D:D, "Slub", ledger!C:C, "&lt;&gt;Closing CF")
))+ _xlfn.IFNA(I139, 0)</f>
        <v>0</v>
      </c>
      <c r="AA38" s="70" cm="1">
        <f t="array" ref="AA38">_xlfn.BYROW(B90, _xlfn.LAMBDA(_xlpm.party,
   SUMIFS(ledger!J:J, ledger!B:B, _xlpm.party, ledger!E:E, "&lt;&gt;*RD*", ledger!D:D, "Satin", ledger!C:C, "&lt;&gt;Closing CF")
))+ _xlfn.IFNA(J139, 0)</f>
        <v>1562545.7205559621</v>
      </c>
      <c r="AB38" s="70" cm="1">
        <f t="array" ref="AB38">_xlfn.BYROW(B90, _xlfn.LAMBDA(_xlpm.party,
   SUMIFS(ledger!J:J, ledger!B:B, _xlpm.party, ledger!E:E, "&lt;&gt;*RD*", ledger!D:D, "Black-Chamki", ledger!C:C, "&lt;&gt;Closing CF")
))+ _xlfn.IFNA(K139, 0)</f>
        <v>0</v>
      </c>
      <c r="AC38" s="70" cm="1">
        <f t="array" ref="AC38">_xlfn.BYROW(B90, _xlfn.LAMBDA(_xlpm.party,
   SUMIFS(ledger!J:J, ledger!B:B, _xlpm.party, ledger!E:E, "&lt;&gt;*RD*", ledger!D:D, "Kataan", ledger!C:C, "&lt;&gt;Closing CF")
))+ _xlfn.IFNA(L139, 0)</f>
        <v>0</v>
      </c>
      <c r="AD38" s="70" cm="1">
        <f t="array" ref="AD38">_xlfn.BYROW(B90, _xlfn.LAMBDA(_xlpm.party,
   SUMIFS(ledger!J:J, ledger!B:B, _xlpm.party, ledger!E:E, "&lt;&gt;*RD*", ledger!D:D, "Munaar", ledger!C:C, "&lt;&gt;Closing CF")
))+ _xlfn.IFNA(M139, 0)</f>
        <v>0</v>
      </c>
      <c r="AE38" s="70" cm="1">
        <f t="array" ref="AE38">_xlfn.BYROW(B90, _xlfn.LAMBDA(_xlpm.party,
   SUMIFS(ledger!J:J, ledger!B:B, _xlpm.party, ledger!E:E, "&lt;&gt;*RD*", ledger!D:D, "Custom", ledger!C:C, "&lt;&gt;Closing CF")
))+ _xlfn.IFNA(O139, 0)</f>
        <v>17000</v>
      </c>
      <c r="AF38" s="39">
        <f t="shared" si="1"/>
        <v>5361226.4081931245</v>
      </c>
      <c r="AG38" s="22">
        <f>(SUMIF(Table14[Party],S38,Table14[Credit]))+_xlfn.IFNA(Q139,0)</f>
        <v>5146879</v>
      </c>
      <c r="AH38" s="33">
        <f t="shared" ref="AH38" si="4">AF38-AG38</f>
        <v>214347.40819312446</v>
      </c>
    </row>
    <row r="39" spans="19:36" x14ac:dyDescent="0.3">
      <c r="S39" t="str">
        <v>Farhaan ali</v>
      </c>
      <c r="T39" s="22" cm="1">
        <f t="array" ref="T39">_xlfn.BYROW(B91,_xlfn.LAMBDA(_xlpm.party,SUMIFS(ledger!G:G,ledger!B:B,_xlpm.party,ledger!E:E,"&lt;&gt;*RD*")))+_xlfn.IFNA(C140,0)</f>
        <v>195693</v>
      </c>
      <c r="U39" s="22" cm="1">
        <f t="array" ref="U39">_xlfn.BYROW(B91, _xlfn.LAMBDA(_xlpm.party, SUMIFS(ledger!G:G, ledger!B:B, _xlpm.party, ledger!E:E, "&lt;&gt;*RD*") / 1.0936 ))+_xlfn.IFNA(D140,0)</f>
        <v>178943.85515727874</v>
      </c>
      <c r="V39" s="22" cm="1">
        <f t="array" ref="V39">(_xlfn.BYROW(B91,_xlfn.LAMBDA(_xlpm.party,SUMIFS(ledger!G:G,ledger!B:B,_xlpm.party,ledger!E:E,"&lt;&gt;*RD*",ledger!D:D,"Chamki")+SUMIFS(ledger!G:G, ledger!B:B, _xlpm.party, ledger!E:E, "&lt;&gt;*RD*", ledger!D:D, "Crinkle")))/1.0936)+_xlfn.IFNA(E140,0)</f>
        <v>0</v>
      </c>
      <c r="W39" s="70" cm="1">
        <f t="array" ref="W39">(_xlfn.BYROW(B91,_xlfn.LAMBDA(_xlpm.party,SUMIFS(ledger!G:G,ledger!B:B,_xlpm.party,ledger!E:E,"&lt;&gt;*RD*",ledger!D:D,"Silky")))/1.0936)+_xlfn.IFNA(F140,0)</f>
        <v>178943.85515727874</v>
      </c>
      <c r="X39" s="22" cm="1">
        <f t="array" ref="X39">(_xlfn.BYROW(B91,_xlfn.LAMBDA(_xlpm.party,
(SUMIFS(ledger!J:J,ledger!B:B,_xlpm.party,ledger!E:E,"&lt;&gt;*RD*",ledger!D:D,"Chamki",ledger!C:C,"&lt;&gt;Closing CF")+
SUMIFS(ledger!J:J,ledger!B:B,_xlpm.party,ledger!E:E,"&lt;&gt;*RD*",ledger!D:D,"Crinkle",ledger!C:C,"&lt;&gt;Closing CF")
)+_xlfn.IFNA(G140,0))))</f>
        <v>0</v>
      </c>
      <c r="Y39" s="70" cm="1">
        <f t="array" ref="Y39">_xlfn.BYROW(B91, _xlfn.LAMBDA(_xlpm.party,
   SUMIFS(ledger!J:J, ledger!B:B, _xlpm.party, ledger!E:E, "&lt;&gt;*RD*", ledger!D:D, "Silky", ledger!C:C, "&lt;&gt;Closing CF")
)) + _xlfn.IFNA(H140, 0)</f>
        <v>2147326.2618873445</v>
      </c>
      <c r="Z39" s="70" cm="1">
        <f t="array" ref="Z39">_xlfn.BYROW(B91, _xlfn.LAMBDA(_xlpm.party,
   SUMIFS(ledger!J:J, ledger!B:B, _xlpm.party, ledger!E:E, "&lt;&gt;*RD*", ledger!D:D, "Slub", ledger!C:C, "&lt;&gt;Closing CF")
))+ _xlfn.IFNA(I140, 0)</f>
        <v>0</v>
      </c>
      <c r="AA39" s="70" cm="1">
        <f t="array" ref="AA39">_xlfn.BYROW(B91, _xlfn.LAMBDA(_xlpm.party,
   SUMIFS(ledger!J:J, ledger!B:B, _xlpm.party, ledger!E:E, "&lt;&gt;*RD*", ledger!D:D, "Satin", ledger!C:C, "&lt;&gt;Closing CF")
))+ _xlfn.IFNA(J140, 0)</f>
        <v>0</v>
      </c>
      <c r="AB39" s="70" cm="1">
        <f t="array" ref="AB39">_xlfn.BYROW(B91, _xlfn.LAMBDA(_xlpm.party,
   SUMIFS(ledger!J:J, ledger!B:B, _xlpm.party, ledger!E:E, "&lt;&gt;*RD*", ledger!D:D, "Black-Chamki", ledger!C:C, "&lt;&gt;Closing CF")
))+ _xlfn.IFNA(K140, 0)</f>
        <v>0</v>
      </c>
      <c r="AC39" s="70" cm="1">
        <f t="array" ref="AC39">_xlfn.BYROW(B91, _xlfn.LAMBDA(_xlpm.party,
   SUMIFS(ledger!J:J, ledger!B:B, _xlpm.party, ledger!E:E, "&lt;&gt;*RD*", ledger!D:D, "Kataan", ledger!C:C, "&lt;&gt;Closing CF")
))+ _xlfn.IFNA(L140, 0)</f>
        <v>0</v>
      </c>
      <c r="AD39" s="70" cm="1">
        <f t="array" ref="AD39">_xlfn.BYROW(B91, _xlfn.LAMBDA(_xlpm.party,
   SUMIFS(ledger!J:J, ledger!B:B, _xlpm.party, ledger!E:E, "&lt;&gt;*RD*", ledger!D:D, "Munaar", ledger!C:C, "&lt;&gt;Closing CF")
))+ _xlfn.IFNA(M140, 0)</f>
        <v>0</v>
      </c>
      <c r="AE39" s="70" cm="1">
        <f t="array" ref="AE39">_xlfn.BYROW(B91, _xlfn.LAMBDA(_xlpm.party,
   SUMIFS(ledger!J:J, ledger!B:B, _xlpm.party, ledger!E:E, "&lt;&gt;*RD*", ledger!D:D, "Custom", ledger!C:C, "&lt;&gt;Closing CF")
))+ _xlfn.IFNA(O140, 0)</f>
        <v>0</v>
      </c>
      <c r="AF39" s="39">
        <f t="shared" ref="AF39:AF40" si="5">X39+Y39+Z39+AA39+AB39+AC39+AD39+AE39</f>
        <v>2147326.2618873445</v>
      </c>
      <c r="AG39" s="22">
        <f>(SUMIF(Table14[Party],S39,Table14[Credit]))+_xlfn.IFNA(Q140,0)</f>
        <v>2147000</v>
      </c>
      <c r="AH39" s="33">
        <f t="shared" ref="AH39:AH40" si="6">AF39-AG39</f>
        <v>326.26188734453171</v>
      </c>
    </row>
    <row r="40" spans="19:36" x14ac:dyDescent="0.3">
      <c r="S40" t="str">
        <v>ACM salman zaffar</v>
      </c>
      <c r="T40" s="22" cm="1">
        <f t="array" ref="T40">_xlfn.BYROW(B92,_xlfn.LAMBDA(_xlpm.party,SUMIFS(ledger!G:G,ledger!B:B,_xlpm.party,ledger!E:E,"&lt;&gt;*RD*")))+_xlfn.IFNA(C141,0)</f>
        <v>94735</v>
      </c>
      <c r="U40" s="22" cm="1">
        <f t="array" ref="U40">_xlfn.BYROW(B92, _xlfn.LAMBDA(_xlpm.party, SUMIFS(ledger!G:G, ledger!B:B, _xlpm.party, ledger!E:E, "&lt;&gt;*RD*") / 1.0936 ))+_xlfn.IFNA(D141,0)</f>
        <v>86626.737381126557</v>
      </c>
      <c r="V40" s="22" cm="1">
        <f t="array" ref="V40">(_xlfn.BYROW(B92,_xlfn.LAMBDA(_xlpm.party,SUMIFS(ledger!G:G,ledger!B:B,_xlpm.party,ledger!E:E,"&lt;&gt;*RD*",ledger!D:D,"Chamki")+SUMIFS(ledger!G:G, ledger!B:B, _xlpm.party, ledger!E:E, "&lt;&gt;*RD*", ledger!D:D, "Crinkle")))/1.0936)+_xlfn.IFNA(E141,0)</f>
        <v>84342.538405267012</v>
      </c>
      <c r="W40" s="70" cm="1">
        <f t="array" ref="W40">(_xlfn.BYROW(B92,_xlfn.LAMBDA(_xlpm.party,SUMIFS(ledger!G:G,ledger!B:B,_xlpm.party,ledger!E:E,"&lt;&gt;*RD*",ledger!D:D,"Silky")))/1.0936)+_xlfn.IFNA(F141,0)</f>
        <v>2284.1989758595469</v>
      </c>
      <c r="X40" s="22" cm="1">
        <f t="array" ref="X40">(_xlfn.BYROW(B92,_xlfn.LAMBDA(_xlpm.party,
(SUMIFS(ledger!J:J,ledger!B:B,_xlpm.party,ledger!E:E,"&lt;&gt;*RD*",ledger!D:D,"Chamki",ledger!C:C,"&lt;&gt;Closing CF")+
SUMIFS(ledger!J:J,ledger!B:B,_xlpm.party,ledger!E:E,"&lt;&gt;*RD*",ledger!D:D,"Crinkle",ledger!C:C,"&lt;&gt;Closing CF")
)+_xlfn.IFNA(G141,0))))</f>
        <v>843425.38405267021</v>
      </c>
      <c r="Y40" s="70" cm="1">
        <f t="array" ref="Y40">_xlfn.BYROW(B92, _xlfn.LAMBDA(_xlpm.party,
   SUMIFS(ledger!J:J, ledger!B:B, _xlpm.party, ledger!E:E, "&lt;&gt;*RD*", ledger!D:D, "Silky", ledger!C:C, "&lt;&gt;Closing CF")
)) + _xlfn.IFNA(H141, 0)</f>
        <v>29694.586686174109</v>
      </c>
      <c r="Z40" s="70" cm="1">
        <f t="array" ref="Z40">_xlfn.BYROW(B92, _xlfn.LAMBDA(_xlpm.party,
   SUMIFS(ledger!J:J, ledger!B:B, _xlpm.party, ledger!E:E, "&lt;&gt;*RD*", ledger!D:D, "Slub", ledger!C:C, "&lt;&gt;Closing CF")
))+ _xlfn.IFNA(I141, 0)</f>
        <v>0</v>
      </c>
      <c r="AA40" s="70" cm="1">
        <f t="array" ref="AA40">_xlfn.BYROW(B92, _xlfn.LAMBDA(_xlpm.party,
   SUMIFS(ledger!J:J, ledger!B:B, _xlpm.party, ledger!E:E, "&lt;&gt;*RD*", ledger!D:D, "Satin", ledger!C:C, "&lt;&gt;Closing CF")
))+ _xlfn.IFNA(J141, 0)</f>
        <v>0</v>
      </c>
      <c r="AB40" s="70" cm="1">
        <f t="array" ref="AB40">_xlfn.BYROW(B92, _xlfn.LAMBDA(_xlpm.party,
   SUMIFS(ledger!J:J, ledger!B:B, _xlpm.party, ledger!E:E, "&lt;&gt;*RD*", ledger!D:D, "Black-Chamki", ledger!C:C, "&lt;&gt;Closing CF")
))+ _xlfn.IFNA(K141, 0)</f>
        <v>0</v>
      </c>
      <c r="AC40" s="70" cm="1">
        <f t="array" ref="AC40">_xlfn.BYROW(B92, _xlfn.LAMBDA(_xlpm.party,
   SUMIFS(ledger!J:J, ledger!B:B, _xlpm.party, ledger!E:E, "&lt;&gt;*RD*", ledger!D:D, "Kataan", ledger!C:C, "&lt;&gt;Closing CF")
))+ _xlfn.IFNA(L141, 0)</f>
        <v>0</v>
      </c>
      <c r="AD40" s="70" cm="1">
        <f t="array" ref="AD40">_xlfn.BYROW(B92, _xlfn.LAMBDA(_xlpm.party,
   SUMIFS(ledger!J:J, ledger!B:B, _xlpm.party, ledger!E:E, "&lt;&gt;*RD*", ledger!D:D, "Munaar", ledger!C:C, "&lt;&gt;Closing CF")
))+ _xlfn.IFNA(M141, 0)</f>
        <v>0</v>
      </c>
      <c r="AE40" s="70" cm="1">
        <f t="array" ref="AE40">_xlfn.BYROW(B92, _xlfn.LAMBDA(_xlpm.party,
   SUMIFS(ledger!J:J, ledger!B:B, _xlpm.party, ledger!E:E, "&lt;&gt;*RD*", ledger!D:D, "Custom", ledger!C:C, "&lt;&gt;Closing CF")
))+ _xlfn.IFNA(O141, 0)</f>
        <v>0</v>
      </c>
      <c r="AF40" s="39">
        <f t="shared" si="5"/>
        <v>873119.97073884436</v>
      </c>
      <c r="AG40" s="22">
        <f>(SUMIF(Table14[Party],S40,Table14[Credit]))+_xlfn.IFNA(Q141,0)</f>
        <v>628000</v>
      </c>
      <c r="AH40" s="33">
        <f t="shared" si="6"/>
        <v>245119.97073884436</v>
      </c>
    </row>
    <row r="41" spans="19:36" x14ac:dyDescent="0.3">
      <c r="S41">
        <v>0</v>
      </c>
      <c r="T41" s="22" cm="1">
        <f t="array" ref="T41">_xlfn.BYROW(B93,_xlfn.LAMBDA(_xlpm.party,SUMIFS(ledger!G:G,ledger!B:B,_xlpm.party,ledger!E:E,"&lt;&gt;*RD*")))+_xlfn.IFNA(C142,0)</f>
        <v>0</v>
      </c>
      <c r="U41" s="22" cm="1">
        <f t="array" ref="U41">_xlfn.BYROW(B93, _xlfn.LAMBDA(_xlpm.party, SUMIFS(ledger!G:G, ledger!B:B, _xlpm.party, ledger!E:E, "&lt;&gt;*RD*") / 1.0936 ))+_xlfn.IFNA(D142,0)</f>
        <v>0</v>
      </c>
      <c r="V41" s="22" cm="1">
        <f t="array" ref="V41">(_xlfn.BYROW(B93,_xlfn.LAMBDA(_xlpm.party,SUMIFS(ledger!G:G,ledger!B:B,_xlpm.party,ledger!E:E,"&lt;&gt;*RD*",ledger!D:D,"Chamki")+SUMIFS(ledger!G:G, ledger!B:B, _xlpm.party, ledger!E:E, "&lt;&gt;*RD*", ledger!D:D, "Crinkle")))/1.0936)+_xlfn.IFNA(E142,0)</f>
        <v>0</v>
      </c>
      <c r="W41" s="70" cm="1">
        <f t="array" ref="W41">(_xlfn.BYROW(B93,_xlfn.LAMBDA(_xlpm.party,SUMIFS(ledger!G:G,ledger!B:B,_xlpm.party,ledger!E:E,"&lt;&gt;*RD*",ledger!D:D,"Silky")))/1.0936)+_xlfn.IFNA(F142,0)</f>
        <v>0</v>
      </c>
      <c r="X41" s="22" cm="1">
        <f t="array" ref="X41">(_xlfn.BYROW(B93,_xlfn.LAMBDA(_xlpm.party,
(SUMIFS(ledger!J:J,ledger!B:B,_xlpm.party,ledger!E:E,"&lt;&gt;*RD*",ledger!D:D,"Chamki",ledger!C:C,"&lt;&gt;Closing CF")+
SUMIFS(ledger!J:J,ledger!B:B,_xlpm.party,ledger!E:E,"&lt;&gt;*RD*",ledger!D:D,"Crinkle",ledger!C:C,"&lt;&gt;Closing CF")
)+_xlfn.IFNA(G142,0))))</f>
        <v>0</v>
      </c>
      <c r="Y41" s="70" cm="1">
        <f t="array" ref="Y41">_xlfn.BYROW(B93, _xlfn.LAMBDA(_xlpm.party,
   SUMIFS(ledger!J:J, ledger!B:B, _xlpm.party, ledger!E:E, "&lt;&gt;*RD*", ledger!D:D, "Silky", ledger!C:C, "&lt;&gt;Closing CF")
)) + _xlfn.IFNA(H142, 0)</f>
        <v>0</v>
      </c>
      <c r="Z41" s="70" cm="1">
        <f t="array" ref="Z41">_xlfn.BYROW(B93, _xlfn.LAMBDA(_xlpm.party,
   SUMIFS(ledger!J:J, ledger!B:B, _xlpm.party, ledger!E:E, "&lt;&gt;*RD*", ledger!D:D, "Slub", ledger!C:C, "&lt;&gt;Closing CF")
))+ _xlfn.IFNA(I142, 0)</f>
        <v>0</v>
      </c>
      <c r="AA41" s="70" cm="1">
        <f t="array" ref="AA41">_xlfn.BYROW(B93, _xlfn.LAMBDA(_xlpm.party,
   SUMIFS(ledger!J:J, ledger!B:B, _xlpm.party, ledger!E:E, "&lt;&gt;*RD*", ledger!D:D, "Satin", ledger!C:C, "&lt;&gt;Closing CF")
))+ _xlfn.IFNA(J142, 0)</f>
        <v>0</v>
      </c>
      <c r="AB41" s="70" cm="1">
        <f t="array" ref="AB41">_xlfn.BYROW(B93, _xlfn.LAMBDA(_xlpm.party,
   SUMIFS(ledger!J:J, ledger!B:B, _xlpm.party, ledger!E:E, "&lt;&gt;*RD*", ledger!D:D, "Black-Chamki", ledger!C:C, "&lt;&gt;Closing CF")
))+ _xlfn.IFNA(K142, 0)</f>
        <v>0</v>
      </c>
      <c r="AC41" s="70" cm="1">
        <f t="array" ref="AC41">_xlfn.BYROW(B93, _xlfn.LAMBDA(_xlpm.party,
   SUMIFS(ledger!J:J, ledger!B:B, _xlpm.party, ledger!E:E, "&lt;&gt;*RD*", ledger!D:D, "Kataan", ledger!C:C, "&lt;&gt;Closing CF")
))+ _xlfn.IFNA(L142, 0)</f>
        <v>0</v>
      </c>
      <c r="AD41" s="70" cm="1">
        <f t="array" ref="AD41">_xlfn.BYROW(B93, _xlfn.LAMBDA(_xlpm.party,
   SUMIFS(ledger!J:J, ledger!B:B, _xlpm.party, ledger!E:E, "&lt;&gt;*RD*", ledger!D:D, "Munaar", ledger!C:C, "&lt;&gt;Closing CF")
))+ _xlfn.IFNA(M142, 0)</f>
        <v>0</v>
      </c>
      <c r="AE41" s="70" cm="1">
        <f t="array" ref="AE41">_xlfn.BYROW(B93, _xlfn.LAMBDA(_xlpm.party,
   SUMIFS(ledger!J:J, ledger!B:B, _xlpm.party, ledger!E:E, "&lt;&gt;*RD*", ledger!D:D, "Custom", ledger!C:C, "&lt;&gt;Closing CF")
))+ _xlfn.IFNA(O142, 0)</f>
        <v>0</v>
      </c>
      <c r="AF41" s="39">
        <f t="shared" ref="AF41:AF44" si="7">X41+Y41+Z41+AA41+AB41+AC41+AD41+AE41</f>
        <v>0</v>
      </c>
      <c r="AG41" s="22">
        <f>(SUMIF(Table14[Party],S41,Table14[Credit]))+_xlfn.IFNA(Q142,0)</f>
        <v>0</v>
      </c>
      <c r="AH41" s="33">
        <f t="shared" ref="AH41:AH44" si="8">AF41-AG41</f>
        <v>0</v>
      </c>
    </row>
    <row r="42" spans="19:36" x14ac:dyDescent="0.3">
      <c r="S42" t="str">
        <v>Moeez badshah</v>
      </c>
      <c r="T42" s="22" cm="1">
        <f t="array" ref="T42">_xlfn.BYROW(B94,_xlfn.LAMBDA(_xlpm.party,SUMIFS(ledger!G:G,ledger!B:B,_xlpm.party,ledger!E:E,"&lt;&gt;*RD*")))+_xlfn.IFNA(C143,0)</f>
        <v>168047</v>
      </c>
      <c r="U42" s="22" cm="1">
        <f t="array" ref="U42">_xlfn.BYROW(B94, _xlfn.LAMBDA(_xlpm.party, SUMIFS(ledger!G:G, ledger!B:B, _xlpm.party, ledger!E:E, "&lt;&gt;*RD*") / 1.0936 ))+_xlfn.IFNA(D143,0)</f>
        <v>153664.04535479154</v>
      </c>
      <c r="V42" s="22" cm="1">
        <f t="array" ref="V42">(_xlfn.BYROW(B94,_xlfn.LAMBDA(_xlpm.party,SUMIFS(ledger!G:G,ledger!B:B,_xlpm.party,ledger!E:E,"&lt;&gt;*RD*",ledger!D:D,"Chamki")+SUMIFS(ledger!G:G, ledger!B:B, _xlpm.party, ledger!E:E, "&lt;&gt;*RD*", ledger!D:D, "Crinkle")))/1.0936)+_xlfn.IFNA(E143,0)</f>
        <v>57385.698610095104</v>
      </c>
      <c r="W42" s="70" cm="1">
        <f t="array" ref="W42">(_xlfn.BYROW(B94,_xlfn.LAMBDA(_xlpm.party,SUMIFS(ledger!G:G,ledger!B:B,_xlpm.party,ledger!E:E,"&lt;&gt;*RD*",ledger!D:D,"Silky")))/1.0936)+_xlfn.IFNA(F143,0)</f>
        <v>96278.346744696421</v>
      </c>
      <c r="X42" s="22" cm="1">
        <f t="array" ref="X42">(_xlfn.BYROW(B94,_xlfn.LAMBDA(_xlpm.party,
(SUMIFS(ledger!J:J,ledger!B:B,_xlpm.party,ledger!E:E,"&lt;&gt;*RD*",ledger!D:D,"Chamki",ledger!C:C,"&lt;&gt;Closing CF")+
SUMIFS(ledger!J:J,ledger!B:B,_xlpm.party,ledger!E:E,"&lt;&gt;*RD*",ledger!D:D,"Crinkle",ledger!C:C,"&lt;&gt;Closing CF")
)+_xlfn.IFNA(G143,0))))</f>
        <v>573856.98610095098</v>
      </c>
      <c r="Y42" s="70" cm="1">
        <f t="array" ref="Y42">_xlfn.BYROW(B94, _xlfn.LAMBDA(_xlpm.party,
   SUMIFS(ledger!J:J, ledger!B:B, _xlpm.party, ledger!E:E, "&lt;&gt;*RD*", ledger!D:D, "Silky", ledger!C:C, "&lt;&gt;Closing CF")
)) + _xlfn.IFNA(H143, 0)</f>
        <v>1155340.160936357</v>
      </c>
      <c r="Z42" s="70" cm="1">
        <f t="array" ref="Z42">_xlfn.BYROW(B94, _xlfn.LAMBDA(_xlpm.party,
   SUMIFS(ledger!J:J, ledger!B:B, _xlpm.party, ledger!E:E, "&lt;&gt;*RD*", ledger!D:D, "Slub", ledger!C:C, "&lt;&gt;Closing CF")
))+ _xlfn.IFNA(I143, 0)</f>
        <v>0</v>
      </c>
      <c r="AA42" s="70" cm="1">
        <f t="array" ref="AA42">_xlfn.BYROW(B94, _xlfn.LAMBDA(_xlpm.party,
   SUMIFS(ledger!J:J, ledger!B:B, _xlpm.party, ledger!E:E, "&lt;&gt;*RD*", ledger!D:D, "Satin", ledger!C:C, "&lt;&gt;Closing CF")
))+ _xlfn.IFNA(J143, 0)</f>
        <v>0</v>
      </c>
      <c r="AB42" s="70" cm="1">
        <f t="array" ref="AB42">_xlfn.BYROW(B94, _xlfn.LAMBDA(_xlpm.party,
   SUMIFS(ledger!J:J, ledger!B:B, _xlpm.party, ledger!E:E, "&lt;&gt;*RD*", ledger!D:D, "Black-Chamki", ledger!C:C, "&lt;&gt;Closing CF")
))+ _xlfn.IFNA(K143, 0)</f>
        <v>0</v>
      </c>
      <c r="AC42" s="70" cm="1">
        <f t="array" ref="AC42">_xlfn.BYROW(B94, _xlfn.LAMBDA(_xlpm.party,
   SUMIFS(ledger!J:J, ledger!B:B, _xlpm.party, ledger!E:E, "&lt;&gt;*RD*", ledger!D:D, "Kataan", ledger!C:C, "&lt;&gt;Closing CF")
))+ _xlfn.IFNA(L143, 0)</f>
        <v>0</v>
      </c>
      <c r="AD42" s="70" cm="1">
        <f t="array" ref="AD42">_xlfn.BYROW(B94, _xlfn.LAMBDA(_xlpm.party,
   SUMIFS(ledger!J:J, ledger!B:B, _xlpm.party, ledger!E:E, "&lt;&gt;*RD*", ledger!D:D, "Munaar", ledger!C:C, "&lt;&gt;Closing CF")
))+ _xlfn.IFNA(M143, 0)</f>
        <v>0</v>
      </c>
      <c r="AE42" s="70" cm="1">
        <f t="array" ref="AE42">_xlfn.BYROW(B94, _xlfn.LAMBDA(_xlpm.party,
   SUMIFS(ledger!J:J, ledger!B:B, _xlpm.party, ledger!E:E, "&lt;&gt;*RD*", ledger!D:D, "Custom", ledger!C:C, "&lt;&gt;Closing CF")
))+ _xlfn.IFNA(O143, 0)</f>
        <v>0</v>
      </c>
      <c r="AF42" s="39">
        <f t="shared" si="7"/>
        <v>1729197.147037308</v>
      </c>
      <c r="AG42" s="22">
        <f>(SUMIF(Table14[Party],S42,Table14[Credit]))+_xlfn.IFNA(Q143,0)</f>
        <v>1742500</v>
      </c>
      <c r="AH42" s="33">
        <f t="shared" si="8"/>
        <v>-13302.852962692035</v>
      </c>
    </row>
    <row r="43" spans="19:36" x14ac:dyDescent="0.3">
      <c r="S43" t="str">
        <v>Bablu</v>
      </c>
      <c r="X43" s="22" t="e" cm="1">
        <f t="array" ref="X43">(_xlfn.BYROW(B95,_xlfn.LAMBDA(_xlpm.party,
(SUMIFS(ledger!J:J,ledger!B:B,_xlpm.party,ledger!E:E,"&lt;&gt;*RD*",ledger!D:D,"Chamki",ledger!C:C,"&lt;&gt;Closing CF")+
SUMIFS(ledger!J:J,ledger!B:B,_xlpm.party,ledger!E:E,"&lt;&gt;*RD*",ledger!D:D,"Crinkle",ledger!C:C,"&lt;&gt;Closing CF")
)+_xlfn.IFNA(#REF!,0))))</f>
        <v>#REF!</v>
      </c>
      <c r="Y43" s="70" t="e" cm="1">
        <f t="array" ref="Y43">_xlfn.BYROW(B95, _xlfn.LAMBDA(_xlpm.party,
   SUMIFS(ledger!J:J, ledger!B:B, _xlpm.party, ledger!E:E, "&lt;&gt;*RD*", ledger!D:D, "Silky", ledger!C:C, "&lt;&gt;Closing CF")
)) + _xlfn.IFNA(#REF!, 0)</f>
        <v>#REF!</v>
      </c>
      <c r="Z43" s="70" t="e" cm="1">
        <f t="array" ref="Z43">_xlfn.BYROW(B95, _xlfn.LAMBDA(_xlpm.party,
   SUMIFS(ledger!J:J, ledger!B:B, _xlpm.party, ledger!E:E, "&lt;&gt;*RD*", ledger!D:D, "Slub", ledger!C:C, "&lt;&gt;Closing CF")
))+ _xlfn.IFNA(#REF!, 0)</f>
        <v>#REF!</v>
      </c>
      <c r="AA43" s="70" t="e" cm="1">
        <f t="array" ref="AA43">_xlfn.BYROW(B95, _xlfn.LAMBDA(_xlpm.party,
   SUMIFS(ledger!J:J, ledger!B:B, _xlpm.party, ledger!E:E, "&lt;&gt;*RD*", ledger!D:D, "Satin", ledger!C:C, "&lt;&gt;Closing CF")
))+ _xlfn.IFNA(#REF!, 0)</f>
        <v>#REF!</v>
      </c>
      <c r="AB43" s="70" t="e" cm="1">
        <f t="array" ref="AB43">_xlfn.BYROW(B95, _xlfn.LAMBDA(_xlpm.party,
   SUMIFS(ledger!J:J, ledger!B:B, _xlpm.party, ledger!E:E, "&lt;&gt;*RD*", ledger!D:D, "Black-Chamki", ledger!C:C, "&lt;&gt;Closing CF")
))+ _xlfn.IFNA(#REF!, 0)</f>
        <v>#REF!</v>
      </c>
      <c r="AC43" s="70" t="e" cm="1">
        <f t="array" ref="AC43">_xlfn.BYROW(B95, _xlfn.LAMBDA(_xlpm.party,
   SUMIFS(ledger!J:J, ledger!B:B, _xlpm.party, ledger!E:E, "&lt;&gt;*RD*", ledger!D:D, "Kataan", ledger!C:C, "&lt;&gt;Closing CF")
))+ _xlfn.IFNA(#REF!, 0)</f>
        <v>#REF!</v>
      </c>
      <c r="AD43" s="70" t="e" cm="1">
        <f t="array" ref="AD43">_xlfn.BYROW(B95, _xlfn.LAMBDA(_xlpm.party,
   SUMIFS(ledger!J:J, ledger!B:B, _xlpm.party, ledger!E:E, "&lt;&gt;*RD*", ledger!D:D, "Munaar", ledger!C:C, "&lt;&gt;Closing CF")
))+ _xlfn.IFNA(#REF!, 0)</f>
        <v>#REF!</v>
      </c>
      <c r="AE43" s="70" t="e" cm="1">
        <f t="array" ref="AE43">_xlfn.BYROW(B95, _xlfn.LAMBDA(_xlpm.party,
   SUMIFS(ledger!J:J, ledger!B:B, _xlpm.party, ledger!E:E, "&lt;&gt;*RD*", ledger!D:D, "Custom", ledger!C:C, "&lt;&gt;Closing CF")
))+ _xlfn.IFNA(#REF!, 0)</f>
        <v>#REF!</v>
      </c>
      <c r="AF43" s="39" t="e">
        <f t="shared" si="7"/>
        <v>#REF!</v>
      </c>
      <c r="AG43" s="22" t="e">
        <f>(SUMIF(Table14[Party],S43,Table14[Credit]))+_xlfn.IFNA(#REF!,0)</f>
        <v>#REF!</v>
      </c>
      <c r="AH43" s="33" t="e">
        <f t="shared" si="8"/>
        <v>#REF!</v>
      </c>
    </row>
    <row r="44" spans="19:36" x14ac:dyDescent="0.3">
      <c r="S44" t="str">
        <v>Sheikh Naveed</v>
      </c>
      <c r="X44" s="22" t="e" cm="1">
        <f t="array" ref="X44">(_xlfn.BYROW(B96,_xlfn.LAMBDA(_xlpm.party,
(SUMIFS(ledger!J:J,ledger!B:B,_xlpm.party,ledger!E:E,"&lt;&gt;*RD*",ledger!D:D,"Chamki",ledger!C:C,"&lt;&gt;Closing CF")+
SUMIFS(ledger!J:J,ledger!B:B,_xlpm.party,ledger!E:E,"&lt;&gt;*RD*",ledger!D:D,"Crinkle",ledger!C:C,"&lt;&gt;Closing CF")
)+_xlfn.IFNA(#REF!,0))))</f>
        <v>#REF!</v>
      </c>
      <c r="Y44" s="70" t="e" cm="1">
        <f t="array" ref="Y44">_xlfn.BYROW(B96, _xlfn.LAMBDA(_xlpm.party,
   SUMIFS(ledger!J:J, ledger!B:B, _xlpm.party, ledger!E:E, "&lt;&gt;*RD*", ledger!D:D, "Silky", ledger!C:C, "&lt;&gt;Closing CF")
)) + _xlfn.IFNA(#REF!, 0)</f>
        <v>#REF!</v>
      </c>
      <c r="Z44" s="70" t="e" cm="1">
        <f t="array" ref="Z44">_xlfn.BYROW(B96, _xlfn.LAMBDA(_xlpm.party,
   SUMIFS(ledger!J:J, ledger!B:B, _xlpm.party, ledger!E:E, "&lt;&gt;*RD*", ledger!D:D, "Slub", ledger!C:C, "&lt;&gt;Closing CF")
))+ _xlfn.IFNA(#REF!, 0)</f>
        <v>#REF!</v>
      </c>
      <c r="AA44" s="70" t="e" cm="1">
        <f t="array" ref="AA44">_xlfn.BYROW(B96, _xlfn.LAMBDA(_xlpm.party,
   SUMIFS(ledger!J:J, ledger!B:B, _xlpm.party, ledger!E:E, "&lt;&gt;*RD*", ledger!D:D, "Satin", ledger!C:C, "&lt;&gt;Closing CF")
))+ _xlfn.IFNA(#REF!, 0)</f>
        <v>#REF!</v>
      </c>
      <c r="AB44" s="70" t="e" cm="1">
        <f t="array" ref="AB44">_xlfn.BYROW(B96, _xlfn.LAMBDA(_xlpm.party,
   SUMIFS(ledger!J:J, ledger!B:B, _xlpm.party, ledger!E:E, "&lt;&gt;*RD*", ledger!D:D, "Black-Chamki", ledger!C:C, "&lt;&gt;Closing CF")
))+ _xlfn.IFNA(#REF!, 0)</f>
        <v>#REF!</v>
      </c>
      <c r="AC44" s="70" t="e" cm="1">
        <f t="array" ref="AC44">_xlfn.BYROW(B96, _xlfn.LAMBDA(_xlpm.party,
   SUMIFS(ledger!J:J, ledger!B:B, _xlpm.party, ledger!E:E, "&lt;&gt;*RD*", ledger!D:D, "Kataan", ledger!C:C, "&lt;&gt;Closing CF")
))+ _xlfn.IFNA(#REF!, 0)</f>
        <v>#REF!</v>
      </c>
      <c r="AD44" s="70" t="e" cm="1">
        <f t="array" ref="AD44">_xlfn.BYROW(B96, _xlfn.LAMBDA(_xlpm.party,
   SUMIFS(ledger!J:J, ledger!B:B, _xlpm.party, ledger!E:E, "&lt;&gt;*RD*", ledger!D:D, "Munaar", ledger!C:C, "&lt;&gt;Closing CF")
))+ _xlfn.IFNA(#REF!, 0)</f>
        <v>#REF!</v>
      </c>
      <c r="AE44" s="70" t="e" cm="1">
        <f t="array" ref="AE44">_xlfn.BYROW(B96, _xlfn.LAMBDA(_xlpm.party,
   SUMIFS(ledger!J:J, ledger!B:B, _xlpm.party, ledger!E:E, "&lt;&gt;*RD*", ledger!D:D, "Custom", ledger!C:C, "&lt;&gt;Closing CF")
))+ _xlfn.IFNA(#REF!, 0)</f>
        <v>#REF!</v>
      </c>
      <c r="AF44" s="39" t="e">
        <f t="shared" si="7"/>
        <v>#REF!</v>
      </c>
      <c r="AG44" s="22" t="e">
        <f>(SUMIF(Table14[Party],S44,Table14[Credit]))+_xlfn.IFNA(#REF!,0)</f>
        <v>#REF!</v>
      </c>
      <c r="AH44" s="33" t="e">
        <f t="shared" si="8"/>
        <v>#REF!</v>
      </c>
    </row>
    <row r="45" spans="19:36" x14ac:dyDescent="0.3">
      <c r="S45" t="str">
        <v>malik salman</v>
      </c>
      <c r="AG45" s="22" t="e">
        <f>(SUMIF(Table14[Party],S45,Table14[Credit]))+_xlfn.IFNA(#REF!,0)</f>
        <v>#REF!</v>
      </c>
    </row>
    <row r="46" spans="19:36" x14ac:dyDescent="0.3">
      <c r="S46" t="str">
        <v>Rehan Butt</v>
      </c>
    </row>
    <row r="47" spans="19:36" x14ac:dyDescent="0.3">
      <c r="S47" t="str">
        <v>Usama Nadeem</v>
      </c>
    </row>
    <row r="48" spans="19:36" x14ac:dyDescent="0.3">
      <c r="S48" t="str">
        <v>Abdul Wahid</v>
      </c>
    </row>
    <row r="49" spans="1:25" x14ac:dyDescent="0.3">
      <c r="S49" t="str">
        <v>mesum</v>
      </c>
    </row>
    <row r="50" spans="1:25" x14ac:dyDescent="0.3">
      <c r="S50" t="str">
        <v>Qasim Latif</v>
      </c>
    </row>
    <row r="51" spans="1:25" x14ac:dyDescent="0.3">
      <c r="S51" t="str">
        <v>G star</v>
      </c>
    </row>
    <row r="52" spans="1:25" x14ac:dyDescent="0.3">
      <c r="S52" t="str">
        <v>Raza Khan</v>
      </c>
    </row>
    <row r="55" spans="1:25" x14ac:dyDescent="0.3">
      <c r="B55" t="s">
        <v>154</v>
      </c>
    </row>
    <row r="56" spans="1:2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1312</v>
      </c>
      <c r="O56" s="23" t="s">
        <v>276</v>
      </c>
      <c r="P56" s="23" t="s">
        <v>16</v>
      </c>
      <c r="Q56" s="23" t="s">
        <v>17</v>
      </c>
      <c r="R56" s="23" t="s">
        <v>18</v>
      </c>
      <c r="S56" s="23" t="s">
        <v>19</v>
      </c>
      <c r="T56" s="23" t="s">
        <v>20</v>
      </c>
    </row>
    <row r="57" spans="1:25" x14ac:dyDescent="0.3">
      <c r="A57" t="s">
        <v>33</v>
      </c>
      <c r="B57" s="24" t="str" cm="1">
        <f t="array" ref="B57:B104">_xlfn.UNIQUE(Table1[Party Name])</f>
        <v>BSC</v>
      </c>
      <c r="C57" s="22" cm="1">
        <f t="array" ref="C57:C104">_xlfn.BYROW(_xlfn.ANCHORARRAY(B57),_xlfn.LAMBDA(_xlpm.party,SUMIFS(ledger!G:G,ledger!B:B,_xlpm.party,ledger!E:E,"&lt;&gt;*RD*")))</f>
        <v>1419366</v>
      </c>
      <c r="D57" s="22" cm="1">
        <f t="array" ref="D57:D104">_xlfn.BYROW(_xlfn.ANCHORARRAY(B57), _xlfn.LAMBDA(_xlpm.party, SUMIFS(ledger!G:G, ledger!B:B, _xlpm.party, ledger!E:E, "&lt;&gt;*RD*") / 1.0936 ))</f>
        <v>1297884.0526700807</v>
      </c>
      <c r="E57" s="63" cm="1">
        <f t="array" ref="E57:E104">(_xlfn.BYROW(_xlfn.ANCHORARRAY(B57),_xlfn.LAMBDA(_xlpm.party,SUMIFS(ledger!G:G,ledger!B:B,_xlpm.party,ledger!E:E,"&lt;&gt;*RD*",ledger!D:D,"Chamki")+SUMIFS(ledger!G:G, ledger!B:B, _xlpm.party, ledger!E:E, "&lt;&gt;*RD*", ledger!D:D, "Crinkle")))/1.0936)</f>
        <v>817189.10021945869</v>
      </c>
      <c r="F57" s="63" cm="1">
        <f t="array" ref="F57:F104">(_xlfn.BYROW(_xlfn.ANCHORARRAY(B57),_xlfn.LAMBDA(_xlpm.party,SUMIFS(ledger!G:G,ledger!B:B,_xlpm.party,ledger!E:E,"&lt;&gt;*RD*",ledger!D:D,"Silky")))/1.0936)</f>
        <v>479194.40380395029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5970489.2099487931</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18006.583760058522</v>
      </c>
      <c r="P57" s="39">
        <f t="shared" ref="P57:P103" si="9">SUM(G57:O57)</f>
        <v>14160386.795903442</v>
      </c>
      <c r="Q57" s="22">
        <f>(SUMIF(Table14[Party],B57,Table14[Credit]))</f>
        <v>0</v>
      </c>
      <c r="R57" s="37">
        <f t="shared" ref="R57:R88" si="10">P57-Q57</f>
        <v>14160386.795903442</v>
      </c>
      <c r="S57" s="21">
        <v>10</v>
      </c>
      <c r="T57" s="21">
        <v>12</v>
      </c>
      <c r="W57" s="3" t="s">
        <v>6</v>
      </c>
      <c r="X57" t="s">
        <v>7</v>
      </c>
      <c r="Y57" t="s">
        <v>8</v>
      </c>
    </row>
    <row r="58" spans="1:2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 t="shared" si="9"/>
        <v>643830.46817849309</v>
      </c>
      <c r="Q58" s="22">
        <f>(SUMIF(Table14[Party],B58,Table14[Credit]))</f>
        <v>160635</v>
      </c>
      <c r="R58" s="37">
        <f t="shared" si="10"/>
        <v>483195.46817849309</v>
      </c>
      <c r="S58" s="21">
        <v>10</v>
      </c>
      <c r="T58" s="21">
        <v>12</v>
      </c>
      <c r="W58" s="4" t="s">
        <v>21</v>
      </c>
      <c r="X58" s="5">
        <v>1297884.0526700807</v>
      </c>
      <c r="Y58" s="18">
        <v>12319873.811265547</v>
      </c>
    </row>
    <row r="59" spans="1:25" x14ac:dyDescent="0.3">
      <c r="B59" s="24" t="str">
        <v>Arshad</v>
      </c>
      <c r="C59" s="22">
        <v>76199</v>
      </c>
      <c r="D59" s="22">
        <v>69677.212874908568</v>
      </c>
      <c r="E59" s="63">
        <v>69677.212874908568</v>
      </c>
      <c r="F59" s="63">
        <v>0</v>
      </c>
      <c r="G59" s="22" cm="1">
        <f t="array" ref="G59">(_xlfn.BYROW(B59,_xlfn.LAMBDA(_xlpm.party,
(SUMIFS(ledger!J:J,ledger!B:B,_xlpm.party,ledger!E:E,"&lt;&gt;*RD*",ledger!D:D,"Chamki",ledger!C:C,"&lt;&gt;Closing CF")+
SUMIFS(ledger!J:J,ledger!B:B,_xlpm.party,ledger!E:E,"&lt;&gt;*RD*",ledger!D:D,"Crinkle",ledger!C:C,"&lt;&gt;Closing CF")
))))</f>
        <v>696772.12874908559</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 t="shared" si="9"/>
        <v>696772.12874908559</v>
      </c>
      <c r="Q59" s="22">
        <f>(SUMIF(Table14[Party],B59,Table14[Credit]))</f>
        <v>635085</v>
      </c>
      <c r="R59" s="37">
        <f t="shared" si="10"/>
        <v>61687.12874908559</v>
      </c>
      <c r="S59" s="21">
        <v>10</v>
      </c>
      <c r="T59" s="21">
        <v>12</v>
      </c>
      <c r="W59" s="4" t="s">
        <v>22</v>
      </c>
      <c r="X59" s="5">
        <v>49525.420629114851</v>
      </c>
      <c r="Y59" s="18">
        <v>594305.04754937824</v>
      </c>
    </row>
    <row r="60" spans="1:2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 t="shared" si="9"/>
        <v>0</v>
      </c>
      <c r="Q60" s="22">
        <f>(SUMIF(Table14[Party],B60,Table14[Credit]))</f>
        <v>0</v>
      </c>
      <c r="R60" s="37">
        <f t="shared" si="10"/>
        <v>0</v>
      </c>
      <c r="S60" s="21">
        <v>10.5</v>
      </c>
      <c r="T60" s="21">
        <v>13</v>
      </c>
      <c r="W60" s="4" t="s">
        <v>9</v>
      </c>
      <c r="X60" s="5">
        <v>69677.212874908568</v>
      </c>
      <c r="Y60" s="18">
        <v>696772.12874908571</v>
      </c>
    </row>
    <row r="61" spans="1:2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914347.11046086333</v>
      </c>
      <c r="O61" s="70"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10"/>
        <v>1312757.8639356256</v>
      </c>
      <c r="S61" s="21">
        <v>10</v>
      </c>
      <c r="T61" s="21">
        <v>12</v>
      </c>
      <c r="W61" s="4" t="s">
        <v>23</v>
      </c>
      <c r="X61" s="5">
        <v>0</v>
      </c>
      <c r="Y61" s="18">
        <v>0</v>
      </c>
    </row>
    <row r="62" spans="1:2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 t="shared" si="9"/>
        <v>0</v>
      </c>
      <c r="Q62" s="22">
        <f>(SUMIF(Table14[Party],B62,Table14[Credit]))</f>
        <v>164000</v>
      </c>
      <c r="R62" s="37">
        <f t="shared" si="10"/>
        <v>-164000</v>
      </c>
      <c r="S62" s="21">
        <v>10</v>
      </c>
      <c r="T62" s="21">
        <v>12</v>
      </c>
      <c r="W62" s="4" t="s">
        <v>24</v>
      </c>
      <c r="X62" s="5">
        <v>160811.99707388444</v>
      </c>
      <c r="Y62" s="18">
        <v>1198266.2765179225</v>
      </c>
    </row>
    <row r="63" spans="1:2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10"/>
        <v>285104.2428675933</v>
      </c>
      <c r="S63" s="21">
        <v>10</v>
      </c>
      <c r="T63" s="21">
        <v>12</v>
      </c>
      <c r="W63" s="4" t="s">
        <v>25</v>
      </c>
      <c r="X63" s="5">
        <v>0</v>
      </c>
      <c r="Y63" s="18">
        <v>0</v>
      </c>
    </row>
    <row r="64" spans="1:2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 t="shared" si="9"/>
        <v>0</v>
      </c>
      <c r="Q64" s="22">
        <f>(SUMIF(Table14[Party],B64,Table14[Credit]))</f>
        <v>0</v>
      </c>
      <c r="R64" s="37">
        <f t="shared" si="10"/>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10"/>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 t="shared" si="9"/>
        <v>0</v>
      </c>
      <c r="Q66" s="22">
        <f>(SUMIF(Table14[Party],B66,Table14[Credit]))</f>
        <v>0</v>
      </c>
      <c r="R66" s="37">
        <f t="shared" si="10"/>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 t="shared" si="9"/>
        <v>1790001.8288222384</v>
      </c>
      <c r="Q67" s="22">
        <f>(SUMIF(Table14[Party],B67,Table14[Credit]))</f>
        <v>1156594</v>
      </c>
      <c r="R67" s="37">
        <f t="shared" si="10"/>
        <v>633407.82882223837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 t="shared" si="9"/>
        <v>0</v>
      </c>
      <c r="Q68" s="22">
        <f>(SUMIF(Table14[Party],B68,Table14[Credit]))</f>
        <v>0</v>
      </c>
      <c r="R68" s="37">
        <f t="shared" si="10"/>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 t="shared" si="9"/>
        <v>0</v>
      </c>
      <c r="Q69" s="22">
        <f>(SUMIF(Table14[Party],B69,Table14[Credit]))</f>
        <v>0</v>
      </c>
      <c r="R69" s="37">
        <f t="shared" si="10"/>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 t="shared" si="9"/>
        <v>0</v>
      </c>
      <c r="Q70" s="22">
        <f>(SUMIF(Table14[Party],B70,Table14[Credit]))</f>
        <v>0</v>
      </c>
      <c r="R70" s="37">
        <f t="shared" si="10"/>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 t="shared" si="9"/>
        <v>0</v>
      </c>
      <c r="Q71" s="22">
        <f>(SUMIF(Table14[Party],B71,Table14[Credit]))</f>
        <v>0</v>
      </c>
      <c r="R71" s="37">
        <f t="shared" si="10"/>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 t="shared" si="9"/>
        <v>0</v>
      </c>
      <c r="Q72" s="22">
        <f>(SUMIF(Table14[Party],B72,Table14[Credit]))</f>
        <v>0</v>
      </c>
      <c r="R72" s="37">
        <f t="shared" si="10"/>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 t="shared" si="9"/>
        <v>0</v>
      </c>
      <c r="Q73" s="22">
        <f>(SUMIF(Table14[Party],B73,Table14[Credit]))</f>
        <v>0</v>
      </c>
      <c r="R73" s="37">
        <f t="shared" si="10"/>
        <v>0</v>
      </c>
      <c r="S73" s="21">
        <v>10</v>
      </c>
      <c r="T73" s="21">
        <v>13</v>
      </c>
      <c r="W73" s="4" t="s">
        <v>172</v>
      </c>
      <c r="X73" s="5">
        <v>0</v>
      </c>
      <c r="Y73" s="18">
        <v>0</v>
      </c>
    </row>
    <row r="74" spans="2:25" x14ac:dyDescent="0.3">
      <c r="B74" s="80" t="str">
        <v>Shafique Ansari</v>
      </c>
      <c r="C74" s="22">
        <v>413140</v>
      </c>
      <c r="D74" s="22">
        <v>377779.80980248726</v>
      </c>
      <c r="E74" s="63">
        <v>68248.902706656925</v>
      </c>
      <c r="F74" s="63">
        <v>28540.599853694224</v>
      </c>
      <c r="G74" s="22" cm="1">
        <f t="array" ref="G74">(_xlfn.BYROW(B74,_xlfn.LAMBDA(_xlpm.party,
(SUMIFS(ledger!J:J,ledger!B:B,_xlpm.party,ledger!E:E,"&lt;&gt;*RD*",ledger!D:D,"Chamki",ledger!C:C,"&lt;&gt;Closing CF")+
SUMIFS(ledger!J:J,ledger!B:B,_xlpm.party,ledger!E:E,"&lt;&gt;*RD*",ledger!D:D,"Crinkle",ledger!C:C,"&lt;&gt;Closing CF")
))))</f>
        <v>708788.40526700811</v>
      </c>
      <c r="H74" s="22" cm="1">
        <f t="array" ref="H74">_xlfn.BYROW(B74, _xlfn.LAMBDA(_xlpm.party,
   SUMIFS(ledger!J:J, ledger!B:B, _xlpm.party, ledger!E:E, "&lt;&gt;*RD*", ledger!D:D, "Silky", ledger!C:C, "&lt;&gt;Closing CF")
))</f>
        <v>349177.94440380402</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2406969.6415508417</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 t="shared" si="9"/>
        <v>4541640.4535479154</v>
      </c>
      <c r="Q74" s="22">
        <f>(SUMIF(Table14[Party],B74,Table14[Credit]))</f>
        <v>2965357</v>
      </c>
      <c r="R74" s="37">
        <f t="shared" si="10"/>
        <v>1576283.4535479154</v>
      </c>
      <c r="S74" s="21">
        <v>10</v>
      </c>
      <c r="T74" s="21">
        <v>12</v>
      </c>
      <c r="W74" s="4" t="s">
        <v>174</v>
      </c>
      <c r="X74" s="5">
        <v>0</v>
      </c>
      <c r="Y74" s="18">
        <v>0</v>
      </c>
    </row>
    <row r="75" spans="2:25" x14ac:dyDescent="0.3">
      <c r="B75" s="80" t="str">
        <v>Amjad sohail</v>
      </c>
      <c r="C75" s="22">
        <v>16399</v>
      </c>
      <c r="D75" s="22">
        <v>14995.427944403806</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195235.91806876374</v>
      </c>
      <c r="O75" s="70" cm="1">
        <f t="array" ref="O75">_xlfn.BYROW(B75, _xlfn.LAMBDA(_xlpm.party,
   SUMIFS(ledger!J:J, ledger!B:B, _xlpm.party, ledger!E:E, "&lt;&gt;*RD*", ledger!D:D, "Custom", ledger!C:C, "&lt;&gt;Closing CF")
))</f>
        <v>0</v>
      </c>
      <c r="P75" s="39">
        <f t="shared" si="9"/>
        <v>218992.31894659842</v>
      </c>
      <c r="Q75" s="22">
        <f>(SUMIF(Table14[Party],B75,Table14[Credit]))</f>
        <v>100000</v>
      </c>
      <c r="R75" s="37">
        <f t="shared" si="10"/>
        <v>118992.31894659842</v>
      </c>
      <c r="S75" s="21">
        <v>10</v>
      </c>
      <c r="T75" s="21">
        <v>12</v>
      </c>
      <c r="W75" s="4" t="s">
        <v>28</v>
      </c>
      <c r="X75" s="14">
        <v>1957766.0936356988</v>
      </c>
      <c r="Y75" s="14">
        <v>18547187.271397222</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 t="shared" si="9"/>
        <v>0</v>
      </c>
      <c r="Q76" s="22">
        <f>(SUMIF(Table14[Party],B76,Table14[Credit]))</f>
        <v>0</v>
      </c>
      <c r="R76" s="37">
        <f t="shared" si="10"/>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10"/>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 t="shared" si="9"/>
        <v>0</v>
      </c>
      <c r="Q78" s="22">
        <f>(SUMIF(Table14[Party],B78,Table14[Credit]))</f>
        <v>0</v>
      </c>
      <c r="R78" s="37">
        <f t="shared" si="10"/>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10"/>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 t="shared" si="9"/>
        <v>0</v>
      </c>
      <c r="Q80" s="22">
        <f>(SUMIF(Table14[Party],B80,Table14[Credit]))</f>
        <v>0</v>
      </c>
      <c r="R80" s="37">
        <f t="shared" si="10"/>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 t="shared" si="9"/>
        <v>0</v>
      </c>
      <c r="Q81" s="22">
        <f>(SUMIF(Table14[Party],B81,Table14[Credit]))</f>
        <v>0</v>
      </c>
      <c r="R81" s="37">
        <f t="shared" si="10"/>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 t="shared" si="9"/>
        <v>0</v>
      </c>
      <c r="Q82" s="22">
        <f>(SUMIF(Table14[Party],B82,Table14[Credit]))</f>
        <v>0</v>
      </c>
      <c r="R82" s="37">
        <f t="shared" si="10"/>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 t="shared" si="9"/>
        <v>0</v>
      </c>
      <c r="Q83" s="22">
        <f>(SUMIF(Table14[Party],B83,Table14[Credit]))</f>
        <v>676071</v>
      </c>
      <c r="R83" s="37">
        <f t="shared" si="10"/>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 t="shared" si="9"/>
        <v>0</v>
      </c>
      <c r="Q84" s="22">
        <f>SUMIF(Table14[Party], B84, Table14[Credit])</f>
        <v>0</v>
      </c>
      <c r="R84" s="37">
        <f t="shared" si="10"/>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 t="shared" si="9"/>
        <v>0</v>
      </c>
      <c r="Q85" s="22">
        <f>SUMIF(Table14[Party], B85, Table14[Credit])</f>
        <v>0</v>
      </c>
      <c r="R85" s="37">
        <f t="shared" si="10"/>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 t="shared" si="9"/>
        <v>532406.73006583774</v>
      </c>
      <c r="Q86" s="22">
        <f>SUMIF(Table14[Party], B86, Table14[Credit])</f>
        <v>0</v>
      </c>
      <c r="R86" s="37">
        <f t="shared" si="10"/>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 t="shared" si="9"/>
        <v>0</v>
      </c>
      <c r="Q87" s="22">
        <f>SUMIF(Table14[Party], B87, Table14[Credit])</f>
        <v>0</v>
      </c>
      <c r="R87" s="37">
        <f t="shared" si="10"/>
        <v>0</v>
      </c>
    </row>
    <row r="88" spans="1:18" x14ac:dyDescent="0.3">
      <c r="B88" s="80" t="str">
        <v>Faizan Kamoki</v>
      </c>
      <c r="C88">
        <v>626339</v>
      </c>
      <c r="D88">
        <v>572731.34601316752</v>
      </c>
      <c r="E88">
        <v>0</v>
      </c>
      <c r="F88">
        <v>436838.88076079008</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5678905.4498902699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 t="shared" si="9"/>
        <v>7319543.7088514995</v>
      </c>
      <c r="Q88" s="22">
        <f>SUMIF(Table14[Party], B88, Table14[Credit])</f>
        <v>7603054</v>
      </c>
      <c r="R88" s="37">
        <f t="shared" si="10"/>
        <v>-283510.29114850052</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1">P89-Q89</f>
        <v>792.61155815655366</v>
      </c>
    </row>
    <row r="90" spans="1:18" x14ac:dyDescent="0.3">
      <c r="A90" t="s">
        <v>153</v>
      </c>
      <c r="B90" s="80"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2">P90-Q90</f>
        <v>214347.40819312446</v>
      </c>
    </row>
    <row r="91" spans="1:18" x14ac:dyDescent="0.3">
      <c r="B91" s="80"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2"/>
        <v>326.26188734453171</v>
      </c>
    </row>
    <row r="92" spans="1:18" x14ac:dyDescent="0.3">
      <c r="B92" s="80"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3">P92-Q92</f>
        <v>245119.97073884436</v>
      </c>
    </row>
    <row r="93" spans="1:18" x14ac:dyDescent="0.3">
      <c r="B93" s="80">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 t="shared" si="9"/>
        <v>0</v>
      </c>
      <c r="Q93" s="22">
        <f>SUMIF(Table14[Party], B93, Table14[Credit])</f>
        <v>0</v>
      </c>
      <c r="R93" s="37">
        <f t="shared" si="13"/>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3"/>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3"/>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4">P96-Q96</f>
        <v>6539.2831016825221</v>
      </c>
    </row>
    <row r="97" spans="2:20"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4"/>
        <v>687.27139722020365</v>
      </c>
    </row>
    <row r="98" spans="2:20"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5">P98-Q98</f>
        <v>43.013899049023166</v>
      </c>
    </row>
    <row r="99" spans="2:20"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5"/>
        <v>191468.54425749823</v>
      </c>
    </row>
    <row r="100" spans="2:20"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5"/>
        <v>0.76664228236768395</v>
      </c>
    </row>
    <row r="101" spans="2:20"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 t="shared" si="9"/>
        <v>291375.27432333585</v>
      </c>
      <c r="Q101" s="22">
        <f>SUMIF(Table14[Party], B101, Table14[Credit])</f>
        <v>315656</v>
      </c>
      <c r="R101" s="37">
        <f t="shared" si="15"/>
        <v>-24280.725676664151</v>
      </c>
    </row>
    <row r="102" spans="2:20"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5"/>
        <v>77</v>
      </c>
    </row>
    <row r="103" spans="2:20" x14ac:dyDescent="0.3">
      <c r="B103" t="str">
        <v>G star</v>
      </c>
      <c r="C103">
        <v>102315</v>
      </c>
      <c r="D103">
        <v>93557.973664959776</v>
      </c>
      <c r="E103">
        <v>93557.973664959776</v>
      </c>
      <c r="F103">
        <v>0</v>
      </c>
      <c r="G103" s="22" cm="1">
        <f t="array" ref="G103">(_xlfn.BYROW(B103,_xlfn.LAMBDA(_xlpm.party,
(SUMIFS(ledger!J:J,ledger!B:B,_xlpm.party,ledger!E:E,"&lt;&gt;*RD*",ledger!D:D,"Chamki",ledger!C:C,"&lt;&gt;Closing CF")+
SUMIFS(ledger!J:J,ledger!B:B,_xlpm.party,ledger!E:E,"&lt;&gt;*RD*",ledger!D:D,"Crinkle",ledger!C:C,"&lt;&gt;Closing CF")
))))</f>
        <v>935579.73664959765</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 t="shared" si="9"/>
        <v>935579.73664959765</v>
      </c>
      <c r="Q103" s="22">
        <f>SUMIF(Table14[Party], B103, Table14[Credit])</f>
        <v>0</v>
      </c>
      <c r="R103" s="37">
        <f t="shared" si="15"/>
        <v>935579.73664959765</v>
      </c>
    </row>
    <row r="104" spans="2:20" x14ac:dyDescent="0.3">
      <c r="B104" t="str">
        <v>Raza Khan</v>
      </c>
      <c r="C104">
        <v>28033</v>
      </c>
      <c r="D104">
        <v>25633.686905632774</v>
      </c>
      <c r="E104">
        <v>0</v>
      </c>
      <c r="F104">
        <v>25633.686905632774</v>
      </c>
    </row>
    <row r="105" spans="2:20" x14ac:dyDescent="0.3">
      <c r="B105" t="s">
        <v>33</v>
      </c>
      <c r="C105" s="23" t="s">
        <v>10</v>
      </c>
      <c r="D105" s="23" t="s">
        <v>11</v>
      </c>
      <c r="E105" s="23" t="s">
        <v>12</v>
      </c>
      <c r="F105" s="23" t="s">
        <v>13</v>
      </c>
      <c r="G105" s="23" t="s">
        <v>14</v>
      </c>
      <c r="H105" s="23" t="s">
        <v>15</v>
      </c>
      <c r="I105" s="23" t="s">
        <v>207</v>
      </c>
      <c r="J105" s="23" t="s">
        <v>179</v>
      </c>
      <c r="K105" s="110" t="s">
        <v>208</v>
      </c>
      <c r="L105" s="110" t="s">
        <v>209</v>
      </c>
      <c r="M105" s="110" t="s">
        <v>205</v>
      </c>
      <c r="N105" s="110"/>
      <c r="O105" s="110" t="s">
        <v>276</v>
      </c>
      <c r="P105" s="23" t="s">
        <v>16</v>
      </c>
      <c r="Q105" s="23" t="s">
        <v>17</v>
      </c>
      <c r="R105" s="23" t="s">
        <v>18</v>
      </c>
      <c r="S105" s="23" t="s">
        <v>19</v>
      </c>
      <c r="T105" s="23" t="s">
        <v>20</v>
      </c>
    </row>
    <row r="106" spans="2:20" x14ac:dyDescent="0.3">
      <c r="B106" s="24" t="str" cm="1">
        <f t="array" ref="B106:B153">_xlfn.UNIQUE(Table1[Party Name])</f>
        <v>BSC</v>
      </c>
      <c r="C106" s="22">
        <f>_xlfn.XLOOKUP($B57,[1]Billing!$R$5:$R$40,[1]Billing!$S$5:$S$40)</f>
        <v>4346513.8824000005</v>
      </c>
      <c r="D106" s="22">
        <f>_xlfn.XLOOKUP($B57,[1]Billing!$R$5:$R$40,[1]Billing!$T$5:$T$40)</f>
        <v>3974500.6239941483</v>
      </c>
      <c r="E106" s="22">
        <f>_xlfn.XLOOKUP($B57,[1]Billing!$R$5:$R$40,[1]Billing!$U$5:$U$40)</f>
        <v>3126686.9809802491</v>
      </c>
      <c r="F106" s="22">
        <f>_xlfn.XLOOKUP($B57,[1]Billing!$R$5:$R$40,[1]Billing!$V$5:$V$40)</f>
        <v>654441.2948061449</v>
      </c>
      <c r="G106" s="22">
        <f>_xlfn.XLOOKUP($B57,[1]Billing!$R$5:$R$40,[1]Billing!$W$5:$W$40)</f>
        <v>31266869.809802495</v>
      </c>
      <c r="H106" s="22">
        <f>_xlfn.XLOOKUP($B57,[1]Billing!$R$5:$R$40,[1]Billing!$X$5:$X$40)</f>
        <v>8419380.9436722752</v>
      </c>
      <c r="I106" s="22">
        <f>_xlfn.XLOOKUP($B57,[1]Billing!$R$5:$R$40,[1]Billing!$Y$5:$Y$40)</f>
        <v>0</v>
      </c>
      <c r="J106" s="22">
        <f>_xlfn.XLOOKUP($B57,[1]Billing!$R$5:$R$40,[1]Billing!$Z$5:$Z$40)</f>
        <v>0</v>
      </c>
      <c r="K106" s="22">
        <f>_xlfn.XLOOKUP($B57,[1]Billing!$R$5:$R$40,[1]Billing!$AA$5:$AA$40)</f>
        <v>0</v>
      </c>
      <c r="L106" s="22">
        <f>_xlfn.XLOOKUP($B57,[1]Billing!$R$5:$R$40,[1]Billing!$AB$5:$AB$40)</f>
        <v>2127095.8302852963</v>
      </c>
      <c r="M106" s="22">
        <f>_xlfn.XLOOKUP($B57,[1]Billing!$R$5:$R$40,[1]Billing!$AC$5:$AC$40)</f>
        <v>0</v>
      </c>
      <c r="N106" s="22"/>
      <c r="O106" s="22">
        <f>_xlfn.XLOOKUP($B57,[1]Billing!$R$5:$R$40,[1]Billing!$AD$5:$AD$40)</f>
        <v>0</v>
      </c>
      <c r="P106" s="39">
        <f t="shared" ref="P106:P143" si="16">G106+H106+I106+J106+K106+L106+M106+O106</f>
        <v>41813346.583760068</v>
      </c>
      <c r="Q106" s="22">
        <f>_xlfn.XLOOKUP($B57,[1]Billing!$R$5:$R$40,[1]Billing!$AF$5:$AF$40)</f>
        <v>19750734</v>
      </c>
      <c r="R106" s="37">
        <f>P106-Q106</f>
        <v>22062612.583760068</v>
      </c>
      <c r="S106" s="21">
        <v>10</v>
      </c>
      <c r="T106" s="21">
        <v>13</v>
      </c>
    </row>
    <row r="107" spans="2:20" x14ac:dyDescent="0.3">
      <c r="B107" s="24" t="str">
        <v>Ejaz Sahab</v>
      </c>
      <c r="C107" s="22">
        <f>_xlfn.XLOOKUP($B58,[1]Billing!$R$5:$R$40,[1]Billing!$S$5:$S$40)</f>
        <v>649279</v>
      </c>
      <c r="D107" s="22">
        <f>_xlfn.XLOOKUP($B58,[1]Billing!$R$5:$R$40,[1]Billing!$T$5:$T$40)</f>
        <v>593707.93708851503</v>
      </c>
      <c r="E107" s="22">
        <f>_xlfn.XLOOKUP($B58,[1]Billing!$R$5:$R$40,[1]Billing!$U$5:$U$40)</f>
        <v>148145.57425018289</v>
      </c>
      <c r="F107" s="22">
        <f>_xlfn.XLOOKUP($B58,[1]Billing!$R$5:$R$40,[1]Billing!$V$5:$V$40)</f>
        <v>445562.36283833213</v>
      </c>
      <c r="G107" s="22">
        <f>_xlfn.XLOOKUP($B58,[1]Billing!$R$5:$R$40,[1]Billing!$W$5:$W$40)</f>
        <v>1481455.7425018288</v>
      </c>
      <c r="H107" s="22">
        <f>_xlfn.XLOOKUP($B58,[1]Billing!$R$5:$R$40,[1]Billing!$X$5:$X$40)</f>
        <v>5733166.6057059262</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c r="O107" s="22">
        <f>_xlfn.XLOOKUP($B58,[1]Billing!$R$5:$R$40,[1]Billing!$AD$5:$AD$40)</f>
        <v>0</v>
      </c>
      <c r="P107" s="39">
        <f t="shared" si="16"/>
        <v>7214622.348207755</v>
      </c>
      <c r="Q107" s="22">
        <f>_xlfn.XLOOKUP($B58,[1]Billing!$R$5:$R$40,[1]Billing!$AF$5:$AF$40)</f>
        <v>7053987</v>
      </c>
      <c r="R107" s="37">
        <f t="shared" ref="R107:R136" si="17">P107-Q107</f>
        <v>160635.34820775501</v>
      </c>
      <c r="S107" s="21">
        <v>10</v>
      </c>
      <c r="T107" s="21">
        <v>13</v>
      </c>
    </row>
    <row r="108" spans="2:20" x14ac:dyDescent="0.3">
      <c r="B108" s="24" t="str">
        <v>Arshad</v>
      </c>
      <c r="C108" s="22">
        <f>_xlfn.XLOOKUP($B59,[1]Billing!$R$5:$R$40,[1]Billing!$S$5:$S$40)</f>
        <v>967227</v>
      </c>
      <c r="D108" s="22">
        <f>_xlfn.XLOOKUP($B59,[1]Billing!$R$5:$R$40,[1]Billing!$T$5:$T$40)</f>
        <v>884443.1236283835</v>
      </c>
      <c r="E108" s="22">
        <f>_xlfn.XLOOKUP($B59,[1]Billing!$R$5:$R$40,[1]Billing!$U$5:$U$40)</f>
        <v>718917.33723482082</v>
      </c>
      <c r="F108" s="22">
        <f>_xlfn.XLOOKUP($B59,[1]Billing!$R$5:$R$40,[1]Billing!$V$5:$V$40)</f>
        <v>165525.78639356254</v>
      </c>
      <c r="G108" s="22">
        <f>_xlfn.XLOOKUP($B59,[1]Billing!$R$5:$R$40,[1]Billing!$W$5:$W$40)</f>
        <v>7189173.372348208</v>
      </c>
      <c r="H108" s="22">
        <f>_xlfn.XLOOKUP($B59,[1]Billing!$R$5:$R$40,[1]Billing!$X$5:$X$40)</f>
        <v>2137040.9656181419</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c r="O108" s="22">
        <f>_xlfn.XLOOKUP($B59,[1]Billing!$R$5:$R$40,[1]Billing!$AD$5:$AD$40)</f>
        <v>0</v>
      </c>
      <c r="P108" s="39">
        <f t="shared" si="16"/>
        <v>9326214.337966349</v>
      </c>
      <c r="Q108" s="22">
        <f>_xlfn.XLOOKUP($B59,[1]Billing!$R$5:$R$40,[1]Billing!$AF$5:$AF$40)</f>
        <v>9177501</v>
      </c>
      <c r="R108" s="37">
        <f t="shared" si="17"/>
        <v>148713.33796634898</v>
      </c>
      <c r="S108" s="21">
        <v>10</v>
      </c>
      <c r="T108" s="21">
        <v>13</v>
      </c>
    </row>
    <row r="109" spans="2:20" x14ac:dyDescent="0.3">
      <c r="B109" s="24" t="str">
        <v>Shehzad Kamoki</v>
      </c>
      <c r="C109" s="22">
        <f>_xlfn.XLOOKUP($B60,[1]Billing!$R$5:$R$40,[1]Billing!$S$5:$S$40)</f>
        <v>143457</v>
      </c>
      <c r="D109" s="22">
        <f>_xlfn.XLOOKUP($B60,[1]Billing!$R$5:$R$40,[1]Billing!$T$5:$T$40)</f>
        <v>131178.67593269935</v>
      </c>
      <c r="E109" s="22">
        <f>_xlfn.XLOOKUP($B60,[1]Billing!$R$5:$R$40,[1]Billing!$U$5:$U$40)</f>
        <v>131178.67593269935</v>
      </c>
      <c r="F109" s="22">
        <f>_xlfn.XLOOKUP($B60,[1]Billing!$R$5:$R$40,[1]Billing!$V$5:$V$40)</f>
        <v>0</v>
      </c>
      <c r="G109" s="22">
        <f>_xlfn.XLOOKUP($B60,[1]Billing!$R$5:$R$40,[1]Billing!$W$5:$W$40)</f>
        <v>1354241.9972933433</v>
      </c>
      <c r="H109" s="22">
        <f>_xlfn.XLOOKUP($B60,[1]Billing!$R$5:$R$40,[1]Billing!$X$5:$X$40)</f>
        <v>0</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c r="O109" s="22">
        <f>_xlfn.XLOOKUP($B60,[1]Billing!$R$5:$R$40,[1]Billing!$AD$5:$AD$40)</f>
        <v>0</v>
      </c>
      <c r="P109" s="39">
        <f t="shared" si="16"/>
        <v>1354241.9972933433</v>
      </c>
      <c r="Q109" s="22">
        <f>_xlfn.XLOOKUP($B60,[1]Billing!$R$5:$R$40,[1]Billing!$AF$5:$AF$40)</f>
        <v>1353710</v>
      </c>
      <c r="R109" s="37">
        <f t="shared" si="17"/>
        <v>531.99729334330186</v>
      </c>
      <c r="S109" s="21">
        <v>10.5</v>
      </c>
      <c r="T109" s="21">
        <v>13</v>
      </c>
    </row>
    <row r="110" spans="2:20" x14ac:dyDescent="0.3">
      <c r="B110" s="24" t="str">
        <v>Sufi Nawaz Sahab</v>
      </c>
      <c r="C110" s="22">
        <f>_xlfn.XLOOKUP($B61,[1]Billing!$R$5:$R$40,[1]Billing!$S$5:$S$40)</f>
        <v>1212967</v>
      </c>
      <c r="D110" s="22">
        <f>_xlfn.XLOOKUP($B61,[1]Billing!$R$5:$R$40,[1]Billing!$T$5:$T$40)</f>
        <v>1109150.5120702267</v>
      </c>
      <c r="E110" s="22">
        <f>_xlfn.XLOOKUP($B61,[1]Billing!$R$5:$R$40,[1]Billing!$U$5:$U$40)</f>
        <v>599330.65106071695</v>
      </c>
      <c r="F110" s="22">
        <f>_xlfn.XLOOKUP($B61,[1]Billing!$R$5:$R$40,[1]Billing!$V$5:$V$40)</f>
        <v>485823.88441843458</v>
      </c>
      <c r="G110" s="22">
        <f>_xlfn.XLOOKUP($B61,[1]Billing!$R$5:$R$40,[1]Billing!$W$5:$W$40)</f>
        <v>5408917.8595464528</v>
      </c>
      <c r="H110" s="22">
        <f>_xlfn.XLOOKUP($B61,[1]Billing!$R$5:$R$40,[1]Billing!$X$5:$X$40)</f>
        <v>5829886.6130212145</v>
      </c>
      <c r="I110" s="22">
        <f>_xlfn.XLOOKUP($B61,[1]Billing!$R$5:$R$40,[1]Billing!$Y$5:$Y$40)</f>
        <v>0</v>
      </c>
      <c r="J110" s="22">
        <f>_xlfn.XLOOKUP($B61,[1]Billing!$R$5:$R$40,[1]Billing!$Z$5:$Z$40)</f>
        <v>239959.76591075349</v>
      </c>
      <c r="K110" s="22">
        <f>_xlfn.XLOOKUP($B61,[1]Billing!$R$5:$R$40,[1]Billing!$AA$5:$AA$40)</f>
        <v>0</v>
      </c>
      <c r="L110" s="22">
        <f>_xlfn.XLOOKUP($B61,[1]Billing!$R$5:$R$40,[1]Billing!$AB$5:$AB$40)</f>
        <v>0</v>
      </c>
      <c r="M110" s="22">
        <f>_xlfn.XLOOKUP($B61,[1]Billing!$R$5:$R$40,[1]Billing!$AC$5:$AC$40)</f>
        <v>0</v>
      </c>
      <c r="N110" s="22"/>
      <c r="O110" s="22">
        <f>_xlfn.XLOOKUP($B61,[1]Billing!$R$5:$R$40,[1]Billing!$AD$5:$AD$40)</f>
        <v>0</v>
      </c>
      <c r="P110" s="39">
        <f t="shared" si="16"/>
        <v>11478764.23847842</v>
      </c>
      <c r="Q110" s="22">
        <f>_xlfn.XLOOKUP($B61,[1]Billing!$R$5:$R$40,[1]Billing!$AF$5:$AF$40)</f>
        <v>11478764</v>
      </c>
      <c r="R110" s="37">
        <f t="shared" si="17"/>
        <v>0.23847842030227184</v>
      </c>
      <c r="S110" s="21">
        <v>10</v>
      </c>
      <c r="T110" s="21">
        <v>13</v>
      </c>
    </row>
    <row r="111" spans="2:20" x14ac:dyDescent="0.3">
      <c r="B111" s="24" t="str">
        <v>Sajad Khan</v>
      </c>
      <c r="C111" s="22">
        <f>_xlfn.XLOOKUP($B62,[1]Billing!$R$5:$R$40,[1]Billing!$S$5:$S$40)</f>
        <v>1135029</v>
      </c>
      <c r="D111" s="22">
        <f>_xlfn.XLOOKUP($B62,[1]Billing!$R$5:$R$40,[1]Billing!$T$5:$T$40)</f>
        <v>1037883.1382589615</v>
      </c>
      <c r="E111" s="22">
        <f>_xlfn.XLOOKUP($B62,[1]Billing!$R$5:$R$40,[1]Billing!$U$5:$U$40)</f>
        <v>1005535.8449158743</v>
      </c>
      <c r="F111" s="22">
        <f>_xlfn.XLOOKUP($B62,[1]Billing!$R$5:$R$40,[1]Billing!$V$5:$V$40)</f>
        <v>0</v>
      </c>
      <c r="G111" s="22">
        <f>_xlfn.XLOOKUP($B62,[1]Billing!$R$5:$R$40,[1]Billing!$W$5:$W$40)</f>
        <v>10055358.449158743</v>
      </c>
      <c r="H111" s="22">
        <f>_xlfn.XLOOKUP($B62,[1]Billing!$R$5:$R$40,[1]Billing!$X$5:$X$40)</f>
        <v>0</v>
      </c>
      <c r="I111" s="22">
        <f>_xlfn.XLOOKUP($B62,[1]Billing!$R$5:$R$40,[1]Billing!$Y$5:$Y$40)</f>
        <v>71359.729334308722</v>
      </c>
      <c r="J111" s="22">
        <f>_xlfn.XLOOKUP($B62,[1]Billing!$R$5:$R$40,[1]Billing!$Z$5:$Z$40)</f>
        <v>0</v>
      </c>
      <c r="K111" s="22">
        <f>_xlfn.XLOOKUP($B62,[1]Billing!$R$5:$R$40,[1]Billing!$AA$5:$AA$40)</f>
        <v>322297.00073152891</v>
      </c>
      <c r="L111" s="22">
        <f>_xlfn.XLOOKUP($B62,[1]Billing!$R$5:$R$40,[1]Billing!$AB$5:$AB$40)</f>
        <v>0</v>
      </c>
      <c r="M111" s="22">
        <f>_xlfn.XLOOKUP($B62,[1]Billing!$R$5:$R$40,[1]Billing!$AC$5:$AC$40)</f>
        <v>0</v>
      </c>
      <c r="N111" s="22"/>
      <c r="O111" s="22">
        <f>_xlfn.XLOOKUP($B62,[1]Billing!$R$5:$R$40,[1]Billing!$AD$5:$AD$40)</f>
        <v>0</v>
      </c>
      <c r="P111" s="39">
        <f t="shared" si="16"/>
        <v>10449015.179224581</v>
      </c>
      <c r="Q111" s="22">
        <f>_xlfn.XLOOKUP($B62,[1]Billing!$R$5:$R$40,[1]Billing!$AF$5:$AF$40)</f>
        <v>10284871</v>
      </c>
      <c r="R111" s="37">
        <f t="shared" si="17"/>
        <v>164144.17922458053</v>
      </c>
      <c r="S111" s="21">
        <v>10</v>
      </c>
      <c r="T111" s="21">
        <v>13</v>
      </c>
    </row>
    <row r="112" spans="2:20" x14ac:dyDescent="0.3">
      <c r="B112" s="24" t="str">
        <v>Raaz Fabrics</v>
      </c>
      <c r="C112" s="22">
        <f>_xlfn.XLOOKUP($B63,[1]Billing!$R$5:$R$40,[1]Billing!$S$5:$S$40)</f>
        <v>203303</v>
      </c>
      <c r="D112" s="22">
        <f>_xlfn.XLOOKUP($B63,[1]Billing!$R$5:$R$40,[1]Billing!$T$5:$T$40)</f>
        <v>185902.52377468912</v>
      </c>
      <c r="E112" s="22">
        <f>_xlfn.XLOOKUP($B63,[1]Billing!$R$5:$R$40,[1]Billing!$U$5:$U$40)</f>
        <v>185902.52377468912</v>
      </c>
      <c r="F112" s="22">
        <f>_xlfn.XLOOKUP($B63,[1]Billing!$R$5:$R$40,[1]Billing!$V$5:$V$40)</f>
        <v>0</v>
      </c>
      <c r="G112" s="22">
        <f>_xlfn.XLOOKUP($B63,[1]Billing!$R$5:$R$40,[1]Billing!$W$5:$W$40)</f>
        <v>1859025.2377468913</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c r="O112" s="22">
        <f>_xlfn.XLOOKUP($B63,[1]Billing!$R$5:$R$40,[1]Billing!$AD$5:$AD$40)</f>
        <v>0</v>
      </c>
      <c r="P112" s="39">
        <f t="shared" si="16"/>
        <v>1859025.2377468913</v>
      </c>
      <c r="Q112" s="22">
        <f>_xlfn.XLOOKUP($B63,[1]Billing!$R$5:$R$40,[1]Billing!$AF$5:$AF$40)</f>
        <v>1726321</v>
      </c>
      <c r="R112" s="37">
        <f t="shared" si="17"/>
        <v>132704.23774689133</v>
      </c>
      <c r="S112" s="21">
        <v>10</v>
      </c>
      <c r="T112" s="21">
        <v>13</v>
      </c>
    </row>
    <row r="113" spans="2:20" x14ac:dyDescent="0.3">
      <c r="B113" s="24" t="str">
        <v>Azam</v>
      </c>
      <c r="C113" s="22">
        <f>_xlfn.XLOOKUP($B64,[1]Billing!$R$5:$R$40,[1]Billing!$S$5:$S$40)</f>
        <v>749236</v>
      </c>
      <c r="D113" s="22">
        <f>_xlfn.XLOOKUP($B64,[1]Billing!$R$5:$R$40,[1]Billing!$T$5:$T$40)</f>
        <v>685109.72933430877</v>
      </c>
      <c r="E113" s="22">
        <f>_xlfn.XLOOKUP($B64,[1]Billing!$R$5:$R$40,[1]Billing!$U$5:$U$40)</f>
        <v>501118.32479882962</v>
      </c>
      <c r="F113" s="22">
        <f>_xlfn.XLOOKUP($B64,[1]Billing!$R$5:$R$40,[1]Billing!$V$5:$V$40)</f>
        <v>183991.40453547917</v>
      </c>
      <c r="G113" s="22">
        <f>_xlfn.XLOOKUP($B64,[1]Billing!$R$5:$R$40,[1]Billing!$W$5:$W$40)</f>
        <v>5011183.2479882967</v>
      </c>
      <c r="H113" s="22">
        <f>_xlfn.XLOOKUP($B64,[1]Billing!$R$5:$R$40,[1]Billing!$X$5:$X$40)</f>
        <v>2391888.2589612291</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c r="O113" s="22">
        <f>_xlfn.XLOOKUP($B64,[1]Billing!$R$5:$R$40,[1]Billing!$AD$5:$AD$40)</f>
        <v>0</v>
      </c>
      <c r="P113" s="39">
        <f t="shared" si="16"/>
        <v>7403071.5069495253</v>
      </c>
      <c r="Q113" s="22">
        <f>_xlfn.XLOOKUP($B64,[1]Billing!$R$5:$R$40,[1]Billing!$AF$5:$AF$40)</f>
        <v>7402540</v>
      </c>
      <c r="R113" s="37">
        <f t="shared" si="17"/>
        <v>531.50694952532649</v>
      </c>
      <c r="S113" s="21">
        <v>10</v>
      </c>
      <c r="T113" s="21">
        <v>13</v>
      </c>
    </row>
    <row r="114" spans="2:20" x14ac:dyDescent="0.3">
      <c r="B114" s="24" t="str">
        <v>Ubaidullah</v>
      </c>
      <c r="C114" s="22">
        <f>_xlfn.XLOOKUP($B65,[1]Billing!$R$5:$R$40,[1]Billing!$S$5:$S$40)</f>
        <v>173534</v>
      </c>
      <c r="D114" s="22">
        <f>_xlfn.XLOOKUP($B65,[1]Billing!$R$5:$R$40,[1]Billing!$T$5:$T$40)</f>
        <v>158681.41916605708</v>
      </c>
      <c r="E114" s="22">
        <f>_xlfn.XLOOKUP($B65,[1]Billing!$R$5:$R$40,[1]Billing!$U$5:$U$40)</f>
        <v>46132.955376737387</v>
      </c>
      <c r="F114" s="22">
        <f>_xlfn.XLOOKUP($B65,[1]Billing!$R$5:$R$40,[1]Billing!$V$5:$V$40)</f>
        <v>112548.46378931969</v>
      </c>
      <c r="G114" s="22">
        <f>_xlfn.XLOOKUP($B65,[1]Billing!$R$5:$R$40,[1]Billing!$W$5:$W$40)</f>
        <v>461329.5537673739</v>
      </c>
      <c r="H114" s="22">
        <f>_xlfn.XLOOKUP($B65,[1]Billing!$R$5:$R$40,[1]Billing!$X$5:$X$40)</f>
        <v>1448134.6013167519</v>
      </c>
      <c r="I114" s="22">
        <f>_xlfn.XLOOKUP($B65,[1]Billing!$R$5:$R$40,[1]Billing!$Y$5:$Y$40)</f>
        <v>0</v>
      </c>
      <c r="J114" s="22">
        <f>_xlfn.XLOOKUP($B65,[1]Billing!$R$5:$R$40,[1]Billing!$Z$5:$Z$40)</f>
        <v>0</v>
      </c>
      <c r="K114" s="22">
        <f>_xlfn.XLOOKUP($B65,[1]Billing!$R$5:$R$40,[1]Billing!$AA$5:$AA$40)</f>
        <v>0</v>
      </c>
      <c r="L114" s="22">
        <f>_xlfn.XLOOKUP($B65,[1]Billing!$R$5:$R$40,[1]Billing!$AB$5:$AB$40)</f>
        <v>0</v>
      </c>
      <c r="M114" s="22">
        <f>_xlfn.XLOOKUP($B65,[1]Billing!$R$5:$R$40,[1]Billing!$AC$5:$AC$40)</f>
        <v>0</v>
      </c>
      <c r="N114" s="22"/>
      <c r="O114" s="22">
        <f>_xlfn.XLOOKUP($B65,[1]Billing!$R$5:$R$40,[1]Billing!$AD$5:$AD$40)</f>
        <v>0</v>
      </c>
      <c r="P114" s="39">
        <f t="shared" si="16"/>
        <v>1909464.1550841257</v>
      </c>
      <c r="Q114" s="22">
        <f>_xlfn.XLOOKUP($B65,[1]Billing!$R$5:$R$40,[1]Billing!$AF$5:$AF$40)</f>
        <v>1908190</v>
      </c>
      <c r="R114" s="37">
        <f t="shared" si="17"/>
        <v>1274.1550841256976</v>
      </c>
      <c r="S114" s="21">
        <v>10</v>
      </c>
      <c r="T114" s="21">
        <v>13</v>
      </c>
    </row>
    <row r="115" spans="2:20" x14ac:dyDescent="0.3">
      <c r="B115" s="24" t="str">
        <v>Ashraf Zia</v>
      </c>
      <c r="C115" s="22">
        <f>_xlfn.XLOOKUP($B66,[1]Billing!$R$5:$R$40,[1]Billing!$S$5:$S$40)</f>
        <v>23305</v>
      </c>
      <c r="D115" s="22">
        <f>_xlfn.XLOOKUP($B66,[1]Billing!$R$5:$R$40,[1]Billing!$T$5:$T$40)</f>
        <v>21310.35113386979</v>
      </c>
      <c r="E115" s="22">
        <f>_xlfn.XLOOKUP($B66,[1]Billing!$R$5:$R$40,[1]Billing!$U$5:$U$40)</f>
        <v>21310.35113386979</v>
      </c>
      <c r="F115" s="22">
        <f>_xlfn.XLOOKUP($B66,[1]Billing!$R$5:$R$40,[1]Billing!$V$5:$V$40)</f>
        <v>0</v>
      </c>
      <c r="G115" s="22">
        <f>_xlfn.XLOOKUP($B66,[1]Billing!$R$5:$R$40,[1]Billing!$W$5:$W$40)</f>
        <v>255724.21360643749</v>
      </c>
      <c r="H115" s="22">
        <f>_xlfn.XLOOKUP($B66,[1]Billing!$R$5:$R$40,[1]Billing!$X$5:$X$40)</f>
        <v>0</v>
      </c>
      <c r="I115" s="22">
        <f>_xlfn.XLOOKUP($B66,[1]Billing!$R$5:$R$40,[1]Billing!$Y$5:$Y$40)</f>
        <v>0</v>
      </c>
      <c r="J115" s="22">
        <f>_xlfn.XLOOKUP($B66,[1]Billing!$R$5:$R$40,[1]Billing!$Z$5:$Z$40)</f>
        <v>0</v>
      </c>
      <c r="K115" s="22">
        <f>_xlfn.XLOOKUP($B66,[1]Billing!$R$5:$R$40,[1]Billing!$AA$5:$AA$40)</f>
        <v>0</v>
      </c>
      <c r="L115" s="22">
        <f>_xlfn.XLOOKUP($B66,[1]Billing!$R$5:$R$40,[1]Billing!$AB$5:$AB$40)</f>
        <v>0</v>
      </c>
      <c r="M115" s="22">
        <f>_xlfn.XLOOKUP($B66,[1]Billing!$R$5:$R$40,[1]Billing!$AC$5:$AC$40)</f>
        <v>0</v>
      </c>
      <c r="N115" s="22"/>
      <c r="O115" s="22">
        <f>_xlfn.XLOOKUP($B66,[1]Billing!$R$5:$R$40,[1]Billing!$AD$5:$AD$40)</f>
        <v>0</v>
      </c>
      <c r="P115" s="39">
        <f t="shared" si="16"/>
        <v>255724.21360643749</v>
      </c>
      <c r="Q115" s="22">
        <f>_xlfn.XLOOKUP($B66,[1]Billing!$R$5:$R$40,[1]Billing!$AF$5:$AF$40)</f>
        <v>130000</v>
      </c>
      <c r="R115" s="37">
        <f t="shared" si="17"/>
        <v>125724.21360643749</v>
      </c>
      <c r="S115" s="21">
        <v>12</v>
      </c>
      <c r="T115" s="21">
        <v>13</v>
      </c>
    </row>
    <row r="116" spans="2:20" x14ac:dyDescent="0.3">
      <c r="B116" s="24" t="str">
        <v>Hafiz Qureshi</v>
      </c>
      <c r="C116" s="22">
        <f>_xlfn.XLOOKUP($B67,[1]Billing!$R$5:$R$40,[1]Billing!$S$5:$S$40)</f>
        <v>637981</v>
      </c>
      <c r="D116" s="22">
        <f>_xlfn.XLOOKUP($B67,[1]Billing!$R$5:$R$40,[1]Billing!$T$5:$T$40)</f>
        <v>583376.92026335048</v>
      </c>
      <c r="E116" s="22">
        <f>_xlfn.XLOOKUP($B67,[1]Billing!$R$5:$R$40,[1]Billing!$U$5:$U$40)</f>
        <v>583376.92026335048</v>
      </c>
      <c r="F116" s="22">
        <f>_xlfn.XLOOKUP($B67,[1]Billing!$R$5:$R$40,[1]Billing!$V$5:$V$40)</f>
        <v>0</v>
      </c>
      <c r="G116" s="22">
        <f>_xlfn.XLOOKUP($B67,[1]Billing!$R$5:$R$40,[1]Billing!$W$5:$W$40)</f>
        <v>5833769.2026335048</v>
      </c>
      <c r="H116" s="22">
        <f>_xlfn.XLOOKUP($B67,[1]Billing!$R$5:$R$40,[1]Billing!$X$5:$X$40)</f>
        <v>0</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c r="O116" s="22">
        <f>_xlfn.XLOOKUP($B67,[1]Billing!$R$5:$R$40,[1]Billing!$AD$5:$AD$40)</f>
        <v>0</v>
      </c>
      <c r="P116" s="39">
        <f t="shared" si="16"/>
        <v>5833769.2026335048</v>
      </c>
      <c r="Q116" s="22">
        <f>_xlfn.XLOOKUP($B67,[1]Billing!$R$5:$R$40,[1]Billing!$AF$5:$AF$40)</f>
        <v>5539259</v>
      </c>
      <c r="R116" s="37">
        <f t="shared" si="17"/>
        <v>294510.20263350476</v>
      </c>
      <c r="S116" s="21">
        <v>10</v>
      </c>
      <c r="T116" s="21">
        <v>13</v>
      </c>
    </row>
    <row r="117" spans="2:20" x14ac:dyDescent="0.3">
      <c r="B117" s="24" t="str">
        <v>Badshah Fabrics</v>
      </c>
      <c r="C117" s="22">
        <f>_xlfn.XLOOKUP($B68,[1]Billing!$R$5:$R$40,[1]Billing!$S$5:$S$40)</f>
        <v>681314</v>
      </c>
      <c r="D117" s="22">
        <f>_xlfn.XLOOKUP($B68,[1]Billing!$R$5:$R$40,[1]Billing!$T$5:$T$40)</f>
        <v>623001.09729334316</v>
      </c>
      <c r="E117" s="22">
        <f>_xlfn.XLOOKUP($B68,[1]Billing!$R$5:$R$40,[1]Billing!$U$5:$U$40)</f>
        <v>481526.15215801029</v>
      </c>
      <c r="F117" s="22">
        <f>_xlfn.XLOOKUP($B68,[1]Billing!$R$5:$R$40,[1]Billing!$V$5:$V$40)</f>
        <v>141474.94513533285</v>
      </c>
      <c r="G117" s="22">
        <f>_xlfn.XLOOKUP($B68,[1]Billing!$R$5:$R$40,[1]Billing!$W$5:$W$40)</f>
        <v>4861679.7732260432</v>
      </c>
      <c r="H117" s="22">
        <f>_xlfn.XLOOKUP($B68,[1]Billing!$R$5:$R$40,[1]Billing!$X$5:$X$40)</f>
        <v>1776019.5683979518</v>
      </c>
      <c r="I117" s="22">
        <f>_xlfn.XLOOKUP($B68,[1]Billing!$R$5:$R$40,[1]Billing!$Y$5:$Y$40)</f>
        <v>0</v>
      </c>
      <c r="J117" s="22">
        <f>_xlfn.XLOOKUP($B68,[1]Billing!$R$5:$R$40,[1]Billing!$Z$5:$Z$40)</f>
        <v>0</v>
      </c>
      <c r="K117" s="22">
        <f>_xlfn.XLOOKUP($B68,[1]Billing!$R$5:$R$40,[1]Billing!$AA$5:$AA$40)</f>
        <v>0</v>
      </c>
      <c r="L117" s="22">
        <f>_xlfn.XLOOKUP($B68,[1]Billing!$R$5:$R$40,[1]Billing!$AB$5:$AB$40)</f>
        <v>0</v>
      </c>
      <c r="M117" s="22">
        <f>_xlfn.XLOOKUP($B68,[1]Billing!$R$5:$R$40,[1]Billing!$AC$5:$AC$40)</f>
        <v>0</v>
      </c>
      <c r="N117" s="22"/>
      <c r="O117" s="22">
        <f>_xlfn.XLOOKUP($B68,[1]Billing!$R$5:$R$40,[1]Billing!$AD$5:$AD$40)</f>
        <v>0</v>
      </c>
      <c r="P117" s="39">
        <f t="shared" si="16"/>
        <v>6637699.3416239955</v>
      </c>
      <c r="Q117" s="22">
        <f>_xlfn.XLOOKUP($B68,[1]Billing!$R$5:$R$40,[1]Billing!$AF$5:$AF$40)</f>
        <v>6545761</v>
      </c>
      <c r="R117" s="37">
        <f t="shared" si="17"/>
        <v>91938.341623995453</v>
      </c>
      <c r="S117" s="21">
        <v>10</v>
      </c>
      <c r="T117" s="21">
        <v>13</v>
      </c>
    </row>
    <row r="118" spans="2:20" x14ac:dyDescent="0.3">
      <c r="B118" s="24" t="str">
        <v>Gauhar Kashif</v>
      </c>
      <c r="C118" s="22">
        <f>_xlfn.XLOOKUP($B69,[1]Billing!$R$5:$R$40,[1]Billing!$S$5:$S$40)</f>
        <v>132768</v>
      </c>
      <c r="D118" s="22">
        <f>_xlfn.XLOOKUP($B69,[1]Billing!$R$5:$R$40,[1]Billing!$T$5:$T$40)</f>
        <v>121404.53547915144</v>
      </c>
      <c r="E118" s="22">
        <f>_xlfn.XLOOKUP($B69,[1]Billing!$R$5:$R$40,[1]Billing!$U$5:$U$40)</f>
        <v>121404.53547915144</v>
      </c>
      <c r="F118" s="22">
        <f>_xlfn.XLOOKUP($B69,[1]Billing!$R$5:$R$40,[1]Billing!$V$5:$V$40)</f>
        <v>0</v>
      </c>
      <c r="G118" s="22">
        <f>_xlfn.XLOOKUP($B69,[1]Billing!$R$5:$R$40,[1]Billing!$W$5:$W$40)</f>
        <v>1214045.3547915143</v>
      </c>
      <c r="H118" s="22">
        <f>_xlfn.XLOOKUP($B69,[1]Billing!$R$5:$R$40,[1]Billing!$X$5:$X$40)</f>
        <v>0</v>
      </c>
      <c r="I118" s="22">
        <f>_xlfn.XLOOKUP($B69,[1]Billing!$R$5:$R$40,[1]Billing!$Y$5:$Y$40)</f>
        <v>0</v>
      </c>
      <c r="J118" s="22">
        <f>_xlfn.XLOOKUP($B69,[1]Billing!$R$5:$R$40,[1]Billing!$Z$5:$Z$40)</f>
        <v>0</v>
      </c>
      <c r="K118" s="22">
        <f>_xlfn.XLOOKUP($B69,[1]Billing!$R$5:$R$40,[1]Billing!$AA$5:$AA$40)</f>
        <v>0</v>
      </c>
      <c r="L118" s="22">
        <f>_xlfn.XLOOKUP($B69,[1]Billing!$R$5:$R$40,[1]Billing!$AB$5:$AB$40)</f>
        <v>0</v>
      </c>
      <c r="M118" s="22">
        <f>_xlfn.XLOOKUP($B69,[1]Billing!$R$5:$R$40,[1]Billing!$AC$5:$AC$40)</f>
        <v>0</v>
      </c>
      <c r="N118" s="22"/>
      <c r="O118" s="22">
        <f>_xlfn.XLOOKUP($B69,[1]Billing!$R$5:$R$40,[1]Billing!$AD$5:$AD$40)</f>
        <v>0</v>
      </c>
      <c r="P118" s="39">
        <f t="shared" si="16"/>
        <v>1214045.3547915143</v>
      </c>
      <c r="Q118" s="22">
        <f>_xlfn.XLOOKUP($B69,[1]Billing!$R$5:$R$40,[1]Billing!$AF$5:$AF$40)</f>
        <v>1214045</v>
      </c>
      <c r="R118" s="37">
        <f t="shared" si="17"/>
        <v>0.35479151434265077</v>
      </c>
      <c r="S118" s="21">
        <v>10</v>
      </c>
      <c r="T118" s="21">
        <v>13</v>
      </c>
    </row>
    <row r="119" spans="2:20" x14ac:dyDescent="0.3">
      <c r="B119" s="24" t="str">
        <v>Amjad 7up</v>
      </c>
      <c r="C119" s="22">
        <f>_xlfn.XLOOKUP($B70,[1]Billing!$R$5:$R$40,[1]Billing!$S$5:$S$40)</f>
        <v>52914</v>
      </c>
      <c r="D119" s="22">
        <f>_xlfn.XLOOKUP($B70,[1]Billing!$R$5:$R$40,[1]Billing!$T$5:$T$40)</f>
        <v>48385.149963423559</v>
      </c>
      <c r="E119" s="22">
        <f>_xlfn.XLOOKUP($B70,[1]Billing!$R$5:$R$40,[1]Billing!$U$5:$U$40)</f>
        <v>48385.149963423559</v>
      </c>
      <c r="F119" s="22">
        <f>_xlfn.XLOOKUP($B70,[1]Billing!$R$5:$R$40,[1]Billing!$V$5:$V$40)</f>
        <v>0</v>
      </c>
      <c r="G119" s="22">
        <f>_xlfn.XLOOKUP($B70,[1]Billing!$R$5:$R$40,[1]Billing!$W$5:$W$40)</f>
        <v>483851.49963423557</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c r="O119" s="22">
        <f>_xlfn.XLOOKUP($B70,[1]Billing!$R$5:$R$40,[1]Billing!$AD$5:$AD$40)</f>
        <v>0</v>
      </c>
      <c r="P119" s="39">
        <f t="shared" si="16"/>
        <v>483851.49963423557</v>
      </c>
      <c r="Q119" s="22">
        <f>_xlfn.XLOOKUP($B70,[1]Billing!$R$5:$R$40,[1]Billing!$AF$5:$AF$40)</f>
        <v>480000</v>
      </c>
      <c r="R119" s="37">
        <f t="shared" si="17"/>
        <v>3851.4996342355735</v>
      </c>
      <c r="S119" s="21">
        <v>10</v>
      </c>
      <c r="T119" s="21">
        <v>13</v>
      </c>
    </row>
    <row r="120" spans="2:20" x14ac:dyDescent="0.3">
      <c r="B120" s="24" t="str">
        <v>Hazrat Khan</v>
      </c>
      <c r="C120" s="22">
        <f>_xlfn.XLOOKUP($B71,[1]Billing!$R$5:$R$40,[1]Billing!$S$5:$S$40)</f>
        <v>9750</v>
      </c>
      <c r="D120" s="22">
        <f>_xlfn.XLOOKUP($B71,[1]Billing!$R$5:$R$40,[1]Billing!$T$5:$T$40)</f>
        <v>8915.5084125822978</v>
      </c>
      <c r="E120" s="22">
        <f>_xlfn.XLOOKUP($B71,[1]Billing!$R$5:$R$40,[1]Billing!$U$5:$U$40)</f>
        <v>8915.5084125822978</v>
      </c>
      <c r="F120" s="22">
        <f>_xlfn.XLOOKUP($B71,[1]Billing!$R$5:$R$40,[1]Billing!$V$5:$V$40)</f>
        <v>0</v>
      </c>
      <c r="G120" s="22">
        <f>_xlfn.XLOOKUP($B71,[1]Billing!$R$5:$R$40,[1]Billing!$W$5:$W$40)</f>
        <v>89155.084125822978</v>
      </c>
      <c r="H120" s="22">
        <f>_xlfn.XLOOKUP($B71,[1]Billing!$R$5:$R$40,[1]Billing!$X$5:$X$40)</f>
        <v>0</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c r="O120" s="22">
        <f>_xlfn.XLOOKUP($B71,[1]Billing!$R$5:$R$40,[1]Billing!$AD$5:$AD$40)</f>
        <v>0</v>
      </c>
      <c r="P120" s="39">
        <f t="shared" si="16"/>
        <v>89155.084125822978</v>
      </c>
      <c r="Q120" s="22">
        <f>_xlfn.XLOOKUP($B71,[1]Billing!$R$5:$R$40,[1]Billing!$AF$5:$AF$40)</f>
        <v>95000</v>
      </c>
      <c r="R120" s="37">
        <f t="shared" si="17"/>
        <v>-5844.9158741770225</v>
      </c>
      <c r="S120" s="21">
        <v>10</v>
      </c>
      <c r="T120" s="21">
        <v>13</v>
      </c>
    </row>
    <row r="121" spans="2:20" x14ac:dyDescent="0.3">
      <c r="B121" s="24" t="str">
        <v>Haseeb Shamsi</v>
      </c>
      <c r="C121" s="22">
        <f>_xlfn.XLOOKUP($B72,[1]Billing!$R$5:$R$40,[1]Billing!$S$5:$S$40)</f>
        <v>61975</v>
      </c>
      <c r="D121" s="22">
        <f>_xlfn.XLOOKUP($B72,[1]Billing!$R$5:$R$40,[1]Billing!$T$5:$T$40)</f>
        <v>56670.629114850046</v>
      </c>
      <c r="E121" s="22">
        <f>_xlfn.XLOOKUP($B72,[1]Billing!$R$5:$R$40,[1]Billing!$U$5:$U$40)</f>
        <v>47437.820043891741</v>
      </c>
      <c r="F121" s="22">
        <f>_xlfn.XLOOKUP($B72,[1]Billing!$R$5:$R$40,[1]Billing!$V$5:$V$40)</f>
        <v>9232.809070958303</v>
      </c>
      <c r="G121" s="22">
        <f>_xlfn.XLOOKUP($B72,[1]Billing!$R$5:$R$40,[1]Billing!$W$5:$W$40)</f>
        <v>474378.20043891744</v>
      </c>
      <c r="H121" s="22">
        <f>_xlfn.XLOOKUP($B72,[1]Billing!$R$5:$R$40,[1]Billing!$X$5:$X$40)</f>
        <v>120026.51792245793</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c r="O121" s="22">
        <f>_xlfn.XLOOKUP($B72,[1]Billing!$R$5:$R$40,[1]Billing!$AD$5:$AD$40)</f>
        <v>0</v>
      </c>
      <c r="P121" s="39">
        <f t="shared" si="16"/>
        <v>594404.71836137539</v>
      </c>
      <c r="Q121" s="22">
        <f>_xlfn.XLOOKUP($B72,[1]Billing!$R$5:$R$40,[1]Billing!$AF$5:$AF$40)</f>
        <v>594405</v>
      </c>
      <c r="R121" s="37">
        <f t="shared" si="17"/>
        <v>-0.28163862461224198</v>
      </c>
      <c r="S121" s="21">
        <v>10</v>
      </c>
      <c r="T121" s="21">
        <v>13</v>
      </c>
    </row>
    <row r="122" spans="2:20" x14ac:dyDescent="0.3">
      <c r="B122" s="80" t="str">
        <v>Faizan</v>
      </c>
      <c r="C122" s="22">
        <f>_xlfn.XLOOKUP($B73,[1]Billing!$R$5:$R$40,[1]Billing!$S$5:$S$40)</f>
        <v>565150</v>
      </c>
      <c r="D122" s="22">
        <f>_xlfn.XLOOKUP($B73,[1]Billing!$R$5:$R$40,[1]Billing!$T$5:$T$40)</f>
        <v>516779.44403803954</v>
      </c>
      <c r="E122" s="22">
        <f>_xlfn.XLOOKUP($B73,[1]Billing!$R$5:$R$40,[1]Billing!$U$5:$U$40)</f>
        <v>0</v>
      </c>
      <c r="F122" s="22">
        <f>_xlfn.XLOOKUP($B73,[1]Billing!$R$5:$R$40,[1]Billing!$V$5:$V$40)</f>
        <v>513809.43672275054</v>
      </c>
      <c r="G122" s="22">
        <f>_xlfn.XLOOKUP($B73,[1]Billing!$R$5:$R$40,[1]Billing!$W$5:$W$40)</f>
        <v>30000</v>
      </c>
      <c r="H122" s="22">
        <f>_xlfn.XLOOKUP($B73,[1]Billing!$R$5:$R$40,[1]Billing!$X$5:$X$40)</f>
        <v>6679522.6773957582</v>
      </c>
      <c r="I122" s="22">
        <f>_xlfn.XLOOKUP($B73,[1]Billing!$R$5:$R$40,[1]Billing!$Y$5:$Y$40)</f>
        <v>44550.109729334312</v>
      </c>
      <c r="J122" s="22">
        <f>_xlfn.XLOOKUP($B73,[1]Billing!$R$5:$R$40,[1]Billing!$Z$5:$Z$40)</f>
        <v>0</v>
      </c>
      <c r="K122" s="22">
        <f>_xlfn.XLOOKUP($B73,[1]Billing!$R$5:$R$40,[1]Billing!$AA$5:$AA$40)</f>
        <v>0</v>
      </c>
      <c r="L122" s="22">
        <f>_xlfn.XLOOKUP($B73,[1]Billing!$R$5:$R$40,[1]Billing!$AB$5:$AB$40)</f>
        <v>0</v>
      </c>
      <c r="M122" s="22">
        <f>_xlfn.XLOOKUP($B73,[1]Billing!$R$5:$R$40,[1]Billing!$AC$5:$AC$40)</f>
        <v>0</v>
      </c>
      <c r="N122" s="22"/>
      <c r="O122" s="22">
        <f>_xlfn.XLOOKUP($B73,[1]Billing!$R$5:$R$40,[1]Billing!$AD$5:$AD$40)</f>
        <v>0</v>
      </c>
      <c r="P122" s="39">
        <f t="shared" si="16"/>
        <v>6754072.7871250929</v>
      </c>
      <c r="Q122" s="22">
        <f>_xlfn.XLOOKUP($B73,[1]Billing!$R$5:$R$40,[1]Billing!$AF$5:$AF$40)</f>
        <v>6728187</v>
      </c>
      <c r="R122" s="37">
        <f t="shared" si="17"/>
        <v>25885.787125092931</v>
      </c>
      <c r="S122" s="21">
        <v>10</v>
      </c>
      <c r="T122" s="21">
        <v>13</v>
      </c>
    </row>
    <row r="123" spans="2:20" x14ac:dyDescent="0.3">
      <c r="B123" s="80" t="str">
        <v>Shafique Ansari</v>
      </c>
      <c r="C123" s="22">
        <f>_xlfn.XLOOKUP($B74,[1]Billing!$R$5:$R$40,[1]Billing!$S$5:$S$40)</f>
        <v>82290</v>
      </c>
      <c r="D123" s="22">
        <f>_xlfn.XLOOKUP($B74,[1]Billing!$R$5:$R$40,[1]Billing!$T$5:$T$40)</f>
        <v>75246.891002194592</v>
      </c>
      <c r="E123" s="22">
        <f>_xlfn.XLOOKUP($B74,[1]Billing!$R$5:$R$40,[1]Billing!$U$5:$U$40)</f>
        <v>64300.475493782011</v>
      </c>
      <c r="F123" s="22">
        <f>_xlfn.XLOOKUP($B74,[1]Billing!$R$5:$R$40,[1]Billing!$V$5:$V$40)</f>
        <v>7565.8376005852242</v>
      </c>
      <c r="G123" s="22">
        <f>_xlfn.XLOOKUP($B74,[1]Billing!$R$5:$R$40,[1]Billing!$W$5:$W$40)</f>
        <v>643004.75493782014</v>
      </c>
      <c r="H123" s="22">
        <f>_xlfn.XLOOKUP($B74,[1]Billing!$R$5:$R$40,[1]Billing!$X$5:$X$40)</f>
        <v>98355.888807607917</v>
      </c>
      <c r="I123" s="22">
        <f>_xlfn.XLOOKUP($B74,[1]Billing!$R$5:$R$40,[1]Billing!$Y$5:$Y$40)</f>
        <v>0</v>
      </c>
      <c r="J123" s="22">
        <f>_xlfn.XLOOKUP($B74,[1]Billing!$R$5:$R$40,[1]Billing!$Z$5:$Z$40)</f>
        <v>94656.181419166067</v>
      </c>
      <c r="K123" s="22">
        <f>_xlfn.XLOOKUP($B74,[1]Billing!$R$5:$R$40,[1]Billing!$AA$5:$AA$40)</f>
        <v>0</v>
      </c>
      <c r="L123" s="22">
        <f>_xlfn.XLOOKUP($B74,[1]Billing!$R$5:$R$40,[1]Billing!$AB$5:$AB$40)</f>
        <v>0</v>
      </c>
      <c r="M123" s="22">
        <f>_xlfn.XLOOKUP($B74,[1]Billing!$R$5:$R$40,[1]Billing!$AC$5:$AC$40)</f>
        <v>0</v>
      </c>
      <c r="N123" s="22"/>
      <c r="O123" s="22">
        <f>_xlfn.XLOOKUP($B74,[1]Billing!$R$5:$R$40,[1]Billing!$AD$5:$AD$40)</f>
        <v>0</v>
      </c>
      <c r="P123" s="39">
        <f t="shared" si="16"/>
        <v>836016.82516459411</v>
      </c>
      <c r="Q123" s="22">
        <f>_xlfn.XLOOKUP($B74,[1]Billing!$R$5:$R$40,[1]Billing!$AF$5:$AF$40)</f>
        <v>835660</v>
      </c>
      <c r="R123" s="37">
        <f t="shared" si="17"/>
        <v>356.82516459410544</v>
      </c>
      <c r="S123" s="21">
        <v>10</v>
      </c>
      <c r="T123" s="21">
        <v>13</v>
      </c>
    </row>
    <row r="124" spans="2:20" x14ac:dyDescent="0.3">
      <c r="B124" s="80" t="str">
        <v>Amjad sohail</v>
      </c>
      <c r="C124" s="22">
        <f>_xlfn.XLOOKUP($B75,[1]Billing!$R$5:$R$40,[1]Billing!$S$5:$S$40)</f>
        <v>501155</v>
      </c>
      <c r="D124" s="22">
        <f>_xlfn.XLOOKUP($B75,[1]Billing!$R$5:$R$40,[1]Billing!$T$5:$T$40)</f>
        <v>458261.70446232625</v>
      </c>
      <c r="E124" s="22">
        <f>_xlfn.XLOOKUP($B75,[1]Billing!$R$5:$R$40,[1]Billing!$U$5:$U$40)</f>
        <v>362820.04389173369</v>
      </c>
      <c r="F124" s="22">
        <f>_xlfn.XLOOKUP($B75,[1]Billing!$R$5:$R$40,[1]Billing!$V$5:$V$40)</f>
        <v>95441.660570592547</v>
      </c>
      <c r="G124" s="22">
        <f>_xlfn.XLOOKUP($B75,[1]Billing!$R$5:$R$40,[1]Billing!$W$5:$W$40)</f>
        <v>3628200.4389173379</v>
      </c>
      <c r="H124" s="22">
        <f>_xlfn.XLOOKUP($B75,[1]Billing!$R$5:$R$40,[1]Billing!$X$5:$X$40)</f>
        <v>1240741.5874177031</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c r="O124" s="22">
        <f>_xlfn.XLOOKUP($B75,[1]Billing!$R$5:$R$40,[1]Billing!$AD$5:$AD$40)</f>
        <v>0</v>
      </c>
      <c r="P124" s="39">
        <f t="shared" si="16"/>
        <v>4868942.026335041</v>
      </c>
      <c r="Q124" s="22">
        <f>_xlfn.XLOOKUP($B75,[1]Billing!$R$5:$R$40,[1]Billing!$AF$5:$AF$40)</f>
        <v>4417830</v>
      </c>
      <c r="R124" s="37">
        <f t="shared" si="17"/>
        <v>451112.02633504104</v>
      </c>
      <c r="S124" s="21">
        <v>10</v>
      </c>
      <c r="T124" s="21">
        <v>13</v>
      </c>
    </row>
    <row r="125" spans="2:20" x14ac:dyDescent="0.3">
      <c r="B125" s="80" t="str">
        <v>Salman Zaffar</v>
      </c>
      <c r="C125" s="22">
        <f>_xlfn.XLOOKUP($B76,[1]Billing!$R$5:$R$40,[1]Billing!$S$5:$S$40)</f>
        <v>344332</v>
      </c>
      <c r="D125" s="22">
        <f>_xlfn.XLOOKUP($B76,[1]Billing!$R$5:$R$40,[1]Billing!$T$5:$T$40)</f>
        <v>314861.00950987567</v>
      </c>
      <c r="E125" s="22">
        <f>_xlfn.XLOOKUP($B76,[1]Billing!$R$5:$R$40,[1]Billing!$U$5:$U$40)</f>
        <v>72939.831748354074</v>
      </c>
      <c r="F125" s="22">
        <f>_xlfn.XLOOKUP($B76,[1]Billing!$R$5:$R$40,[1]Billing!$V$5:$V$40)</f>
        <v>31409.107534747625</v>
      </c>
      <c r="G125" s="22">
        <f>_xlfn.XLOOKUP($B76,[1]Billing!$R$5:$R$40,[1]Billing!$W$5:$W$40)</f>
        <v>729398.31748354062</v>
      </c>
      <c r="H125" s="22">
        <f>_xlfn.XLOOKUP($B76,[1]Billing!$R$5:$R$40,[1]Billing!$X$5:$X$40)</f>
        <v>408318.39795171918</v>
      </c>
      <c r="I125" s="22">
        <f>_xlfn.XLOOKUP($B76,[1]Billing!$R$5:$R$40,[1]Billing!$Y$5:$Y$40)</f>
        <v>0</v>
      </c>
      <c r="J125" s="22">
        <f>_xlfn.XLOOKUP($B76,[1]Billing!$R$5:$R$40,[1]Billing!$Z$5:$Z$40)</f>
        <v>0</v>
      </c>
      <c r="K125" s="22">
        <f>_xlfn.XLOOKUP($B76,[1]Billing!$R$5:$R$40,[1]Billing!$AA$5:$AA$40)</f>
        <v>161653.2553035845</v>
      </c>
      <c r="L125" s="22">
        <f>_xlfn.XLOOKUP($B76,[1]Billing!$R$5:$R$40,[1]Billing!$AB$5:$AB$40)</f>
        <v>1970409.6561814193</v>
      </c>
      <c r="M125" s="22">
        <f>_xlfn.XLOOKUP($B76,[1]Billing!$R$5:$R$40,[1]Billing!$AC$5:$AC$40)</f>
        <v>0</v>
      </c>
      <c r="N125" s="22"/>
      <c r="O125" s="22">
        <f>_xlfn.XLOOKUP($B76,[1]Billing!$R$5:$R$40,[1]Billing!$AD$5:$AD$40)</f>
        <v>0</v>
      </c>
      <c r="P125" s="39">
        <f t="shared" si="16"/>
        <v>3269779.6269202633</v>
      </c>
      <c r="Q125" s="22">
        <f>_xlfn.XLOOKUP($B76,[1]Billing!$R$5:$R$40,[1]Billing!$AF$5:$AF$40)</f>
        <v>3296025</v>
      </c>
      <c r="R125" s="37">
        <f t="shared" si="17"/>
        <v>-26245.373079736717</v>
      </c>
      <c r="S125" s="21">
        <v>10</v>
      </c>
      <c r="T125" s="21">
        <v>13</v>
      </c>
    </row>
    <row r="126" spans="2:20" x14ac:dyDescent="0.3">
      <c r="B126" s="80" t="str">
        <v>Shahid Qasayi</v>
      </c>
      <c r="C126" s="22">
        <f>_xlfn.XLOOKUP($B77,[1]Billing!$R$5:$R$40,[1]Billing!$S$5:$S$40)</f>
        <v>394284</v>
      </c>
      <c r="D126" s="22">
        <f>_xlfn.XLOOKUP($B77,[1]Billing!$R$5:$R$40,[1]Billing!$T$5:$T$40)</f>
        <v>360537.67373811267</v>
      </c>
      <c r="E126" s="22">
        <f>_xlfn.XLOOKUP($B77,[1]Billing!$R$5:$R$40,[1]Billing!$U$5:$U$40)</f>
        <v>310998.53694220923</v>
      </c>
      <c r="F126" s="22">
        <f>_xlfn.XLOOKUP($B77,[1]Billing!$R$5:$R$40,[1]Billing!$V$5:$V$40)</f>
        <v>0</v>
      </c>
      <c r="G126" s="22">
        <f>_xlfn.XLOOKUP($B77,[1]Billing!$R$5:$R$40,[1]Billing!$W$5:$W$40)</f>
        <v>3109985.3694220926</v>
      </c>
      <c r="H126" s="22">
        <f>_xlfn.XLOOKUP($B77,[1]Billing!$R$5:$R$40,[1]Billing!$X$5:$X$40)</f>
        <v>0</v>
      </c>
      <c r="I126" s="22">
        <f>_xlfn.XLOOKUP($B77,[1]Billing!$R$5:$R$40,[1]Billing!$Y$5:$Y$40)</f>
        <v>0</v>
      </c>
      <c r="J126" s="22">
        <f>_xlfn.XLOOKUP($B77,[1]Billing!$R$5:$R$40,[1]Billing!$Z$5:$Z$40)</f>
        <v>0</v>
      </c>
      <c r="K126" s="22">
        <f>_xlfn.XLOOKUP($B77,[1]Billing!$R$5:$R$40,[1]Billing!$AA$5:$AA$40)</f>
        <v>23767.373811265548</v>
      </c>
      <c r="L126" s="22">
        <f>_xlfn.XLOOKUP($B77,[1]Billing!$R$5:$R$40,[1]Billing!$AB$5:$AB$40)</f>
        <v>523143.74542794435</v>
      </c>
      <c r="M126" s="22">
        <f>_xlfn.XLOOKUP($B77,[1]Billing!$R$5:$R$40,[1]Billing!$AC$5:$AC$40)</f>
        <v>0</v>
      </c>
      <c r="N126" s="22"/>
      <c r="O126" s="22">
        <f>_xlfn.XLOOKUP($B77,[1]Billing!$R$5:$R$40,[1]Billing!$AD$5:$AD$40)</f>
        <v>0</v>
      </c>
      <c r="P126" s="39">
        <f t="shared" si="16"/>
        <v>3656896.4886613023</v>
      </c>
      <c r="Q126" s="22">
        <f>_xlfn.XLOOKUP($B77,[1]Billing!$R$5:$R$40,[1]Billing!$AF$5:$AF$40)</f>
        <v>3645477</v>
      </c>
      <c r="R126" s="37">
        <f t="shared" si="17"/>
        <v>11419.488661302254</v>
      </c>
    </row>
    <row r="127" spans="2:20" x14ac:dyDescent="0.3">
      <c r="B127" s="80" t="str">
        <v>Hameed corporation</v>
      </c>
      <c r="C127" s="22">
        <f>_xlfn.XLOOKUP($B78,[1]Billing!$R$5:$R$40,[1]Billing!$S$5:$S$40)</f>
        <v>46404</v>
      </c>
      <c r="D127" s="22">
        <f>_xlfn.XLOOKUP($B78,[1]Billing!$R$5:$R$40,[1]Billing!$T$5:$T$40)</f>
        <v>42432.333577176301</v>
      </c>
      <c r="E127" s="22">
        <f>_xlfn.XLOOKUP($B78,[1]Billing!$R$5:$R$40,[1]Billing!$U$5:$U$40)</f>
        <v>42432.333577176301</v>
      </c>
      <c r="F127" s="22">
        <f>_xlfn.XLOOKUP($B78,[1]Billing!$R$5:$R$40,[1]Billing!$V$5:$V$40)</f>
        <v>0</v>
      </c>
      <c r="G127" s="22">
        <f>_xlfn.XLOOKUP($B78,[1]Billing!$R$5:$R$40,[1]Billing!$W$5:$W$40)</f>
        <v>424323.335771763</v>
      </c>
      <c r="H127" s="22">
        <f>_xlfn.XLOOKUP($B78,[1]Billing!$R$5:$R$40,[1]Billing!$X$5:$X$40)</f>
        <v>0</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c r="O127" s="22">
        <f>_xlfn.XLOOKUP($B78,[1]Billing!$R$5:$R$40,[1]Billing!$AD$5:$AD$40)</f>
        <v>0</v>
      </c>
      <c r="P127" s="39">
        <f t="shared" si="16"/>
        <v>424323.335771763</v>
      </c>
      <c r="Q127" s="22">
        <f>_xlfn.XLOOKUP($B78,[1]Billing!$R$5:$R$40,[1]Billing!$AF$5:$AF$40)</f>
        <v>424323</v>
      </c>
      <c r="R127" s="37">
        <f t="shared" si="17"/>
        <v>0.33577176299877465</v>
      </c>
    </row>
    <row r="128" spans="2:20" x14ac:dyDescent="0.3">
      <c r="B128" s="80" t="str">
        <v>ibraheem behraam</v>
      </c>
      <c r="C128" s="22">
        <f>_xlfn.XLOOKUP($B79,[1]Billing!$R$5:$R$40,[1]Billing!$S$5:$S$40)</f>
        <v>136857</v>
      </c>
      <c r="D128" s="22">
        <f>_xlfn.XLOOKUP($B79,[1]Billing!$R$5:$R$40,[1]Billing!$T$5:$T$40)</f>
        <v>125143.56254572056</v>
      </c>
      <c r="E128" s="22">
        <f>_xlfn.XLOOKUP($B79,[1]Billing!$R$5:$R$40,[1]Billing!$U$5:$U$40)</f>
        <v>0</v>
      </c>
      <c r="F128" s="22">
        <f>_xlfn.XLOOKUP($B79,[1]Billing!$R$5:$R$40,[1]Billing!$V$5:$V$40)</f>
        <v>125143.56254572056</v>
      </c>
      <c r="G128" s="22">
        <f>_xlfn.XLOOKUP($B79,[1]Billing!$R$5:$R$40,[1]Billing!$W$5:$W$40)</f>
        <v>0</v>
      </c>
      <c r="H128" s="22">
        <f>_xlfn.XLOOKUP($B79,[1]Billing!$R$5:$R$40,[1]Billing!$X$5:$X$40)</f>
        <v>1626866.3130943675</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c r="O128" s="22">
        <f>_xlfn.XLOOKUP($B79,[1]Billing!$R$5:$R$40,[1]Billing!$AD$5:$AD$40)</f>
        <v>0</v>
      </c>
      <c r="P128" s="39">
        <f t="shared" si="16"/>
        <v>1626866.3130943675</v>
      </c>
      <c r="Q128" s="22">
        <f>_xlfn.XLOOKUP($B79,[1]Billing!$R$5:$R$40,[1]Billing!$AF$5:$AF$40)</f>
        <v>1595500</v>
      </c>
      <c r="R128" s="37">
        <f t="shared" si="17"/>
        <v>31366.313094367506</v>
      </c>
    </row>
    <row r="129" spans="2:18" x14ac:dyDescent="0.3">
      <c r="B129" s="80" t="str">
        <v>Zia-ullah karachi</v>
      </c>
      <c r="C129" s="22">
        <f>_xlfn.XLOOKUP($B80,[1]Billing!$R$5:$R$40,[1]Billing!$S$5:$S$40)</f>
        <v>13622</v>
      </c>
      <c r="D129" s="22">
        <f>_xlfn.XLOOKUP($B80,[1]Billing!$R$5:$R$40,[1]Billing!$T$5:$T$40)</f>
        <v>12456.108266276518</v>
      </c>
      <c r="E129" s="22">
        <f>_xlfn.XLOOKUP($B80,[1]Billing!$R$5:$R$40,[1]Billing!$U$5:$U$40)</f>
        <v>12456.108266276518</v>
      </c>
      <c r="F129" s="22">
        <f>_xlfn.XLOOKUP($B80,[1]Billing!$R$5:$R$40,[1]Billing!$V$5:$V$40)</f>
        <v>0</v>
      </c>
      <c r="G129" s="22">
        <f>_xlfn.XLOOKUP($B80,[1]Billing!$R$5:$R$40,[1]Billing!$W$5:$W$40)</f>
        <v>124561.08266276518</v>
      </c>
      <c r="H129" s="22">
        <f>_xlfn.XLOOKUP($B80,[1]Billing!$R$5:$R$40,[1]Billing!$X$5:$X$40)</f>
        <v>0</v>
      </c>
      <c r="I129" s="22">
        <f>_xlfn.XLOOKUP($B80,[1]Billing!$R$5:$R$40,[1]Billing!$Y$5:$Y$40)</f>
        <v>0</v>
      </c>
      <c r="J129" s="22">
        <f>_xlfn.XLOOKUP($B80,[1]Billing!$R$5:$R$40,[1]Billing!$Z$5:$Z$40)</f>
        <v>0</v>
      </c>
      <c r="K129" s="22">
        <f>_xlfn.XLOOKUP($B80,[1]Billing!$R$5:$R$40,[1]Billing!$AA$5:$AA$40)</f>
        <v>0</v>
      </c>
      <c r="L129" s="22">
        <f>_xlfn.XLOOKUP($B80,[1]Billing!$R$5:$R$40,[1]Billing!$AB$5:$AB$40)</f>
        <v>0</v>
      </c>
      <c r="M129" s="22">
        <f>_xlfn.XLOOKUP($B80,[1]Billing!$R$5:$R$40,[1]Billing!$AC$5:$AC$40)</f>
        <v>0</v>
      </c>
      <c r="N129" s="22"/>
      <c r="O129" s="22">
        <f>_xlfn.XLOOKUP($B80,[1]Billing!$R$5:$R$40,[1]Billing!$AD$5:$AD$40)</f>
        <v>0</v>
      </c>
      <c r="P129" s="39">
        <f t="shared" si="16"/>
        <v>124561.08266276518</v>
      </c>
      <c r="Q129" s="22">
        <f>_xlfn.XLOOKUP($B80,[1]Billing!$R$5:$R$40,[1]Billing!$AF$5:$AF$40)</f>
        <v>124560</v>
      </c>
      <c r="R129" s="37">
        <f t="shared" si="17"/>
        <v>1.0826627651840681</v>
      </c>
    </row>
    <row r="130" spans="2:18" x14ac:dyDescent="0.3">
      <c r="B130" s="80" t="str">
        <v>ZA</v>
      </c>
      <c r="C130" s="22">
        <f>_xlfn.XLOOKUP($B81,[1]Billing!$R$5:$R$40,[1]Billing!$S$5:$S$40)</f>
        <v>32399</v>
      </c>
      <c r="D130" s="22">
        <f>_xlfn.XLOOKUP($B81,[1]Billing!$R$5:$R$40,[1]Billing!$T$5:$T$40)</f>
        <v>29626.005852231167</v>
      </c>
      <c r="E130" s="22">
        <f>_xlfn.XLOOKUP($B81,[1]Billing!$R$5:$R$40,[1]Billing!$U$5:$U$40)</f>
        <v>0</v>
      </c>
      <c r="F130" s="22">
        <f>_xlfn.XLOOKUP($B81,[1]Billing!$R$5:$R$40,[1]Billing!$V$5:$V$40)</f>
        <v>29626.005852231167</v>
      </c>
      <c r="G130" s="22">
        <f>_xlfn.XLOOKUP($B81,[1]Billing!$R$5:$R$40,[1]Billing!$W$5:$W$40)</f>
        <v>0</v>
      </c>
      <c r="H130" s="22">
        <f>_xlfn.XLOOKUP($B81,[1]Billing!$R$5:$R$40,[1]Billing!$X$5:$X$40)</f>
        <v>385138.07607900514</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c r="O130" s="22">
        <f>_xlfn.XLOOKUP($B81,[1]Billing!$R$5:$R$40,[1]Billing!$AD$5:$AD$40)</f>
        <v>0</v>
      </c>
      <c r="P130" s="39">
        <f t="shared" si="16"/>
        <v>385138.07607900514</v>
      </c>
      <c r="Q130" s="22">
        <f>_xlfn.XLOOKUP($B81,[1]Billing!$R$5:$R$40,[1]Billing!$AF$5:$AF$40)</f>
        <v>385000</v>
      </c>
      <c r="R130" s="37">
        <f t="shared" si="17"/>
        <v>138.07607900514267</v>
      </c>
    </row>
    <row r="131" spans="2:18" x14ac:dyDescent="0.3">
      <c r="B131" s="80" t="str">
        <v>Ahmad Javaid</v>
      </c>
      <c r="C131" s="22">
        <f>_xlfn.XLOOKUP($B82,[1]Billing!$R$5:$R$40,[1]Billing!$S$5:$S$40)</f>
        <v>12745</v>
      </c>
      <c r="D131" s="22">
        <f>_xlfn.XLOOKUP($B82,[1]Billing!$R$5:$R$40,[1]Billing!$T$5:$T$40)</f>
        <v>11654.16971470373</v>
      </c>
      <c r="E131" s="22">
        <f>_xlfn.XLOOKUP($B82,[1]Billing!$R$5:$R$40,[1]Billing!$U$5:$U$40)</f>
        <v>0</v>
      </c>
      <c r="F131" s="22">
        <f>_xlfn.XLOOKUP($B82,[1]Billing!$R$5:$R$40,[1]Billing!$V$5:$V$40)</f>
        <v>0</v>
      </c>
      <c r="G131" s="22">
        <f>_xlfn.XLOOKUP($B82,[1]Billing!$R$5:$R$40,[1]Billing!$W$5:$W$40)</f>
        <v>0</v>
      </c>
      <c r="H131" s="22">
        <f>_xlfn.XLOOKUP($B82,[1]Billing!$R$5:$R$40,[1]Billing!$X$5:$X$40)</f>
        <v>0</v>
      </c>
      <c r="I131" s="22">
        <f>_xlfn.XLOOKUP($B82,[1]Billing!$R$5:$R$40,[1]Billing!$Y$5:$Y$40)</f>
        <v>0</v>
      </c>
      <c r="J131" s="22">
        <f>_xlfn.XLOOKUP($B82,[1]Billing!$R$5:$R$40,[1]Billing!$Z$5:$Z$40)</f>
        <v>0</v>
      </c>
      <c r="K131" s="22">
        <f>_xlfn.XLOOKUP($B82,[1]Billing!$R$5:$R$40,[1]Billing!$AA$5:$AA$40)</f>
        <v>0</v>
      </c>
      <c r="L131" s="22">
        <f>_xlfn.XLOOKUP($B82,[1]Billing!$R$5:$R$40,[1]Billing!$AB$5:$AB$40)</f>
        <v>0</v>
      </c>
      <c r="M131" s="22">
        <f>_xlfn.XLOOKUP($B82,[1]Billing!$R$5:$R$40,[1]Billing!$AC$5:$AC$40)</f>
        <v>151504.2062911485</v>
      </c>
      <c r="N131" s="22"/>
      <c r="O131" s="22">
        <f>_xlfn.XLOOKUP($B82,[1]Billing!$R$5:$R$40,[1]Billing!$AD$5:$AD$40)</f>
        <v>0</v>
      </c>
      <c r="P131" s="39">
        <f t="shared" si="16"/>
        <v>151504.2062911485</v>
      </c>
      <c r="Q131" s="22">
        <f>_xlfn.XLOOKUP($B82,[1]Billing!$R$5:$R$40,[1]Billing!$AF$5:$AF$40)</f>
        <v>130000</v>
      </c>
      <c r="R131" s="37">
        <f t="shared" si="17"/>
        <v>21504.206291148497</v>
      </c>
    </row>
    <row r="132" spans="2:18" x14ac:dyDescent="0.3">
      <c r="B132" s="80" t="str">
        <v>Shani Badshah</v>
      </c>
      <c r="C132" s="22">
        <f>_xlfn.XLOOKUP($B83,[1]Billing!$R$5:$R$40,[1]Billing!$S$5:$S$40)</f>
        <v>312320</v>
      </c>
      <c r="D132" s="22">
        <f>_xlfn.XLOOKUP($B83,[1]Billing!$R$5:$R$40,[1]Billing!$T$5:$T$40)</f>
        <v>285588.88076079008</v>
      </c>
      <c r="E132" s="22">
        <f>_xlfn.XLOOKUP($B83,[1]Billing!$R$5:$R$40,[1]Billing!$U$5:$U$40)</f>
        <v>198861.55815654719</v>
      </c>
      <c r="F132" s="22">
        <f>_xlfn.XLOOKUP($B83,[1]Billing!$R$5:$R$40,[1]Billing!$V$5:$V$40)</f>
        <v>86727.322604242872</v>
      </c>
      <c r="G132" s="22">
        <f>_xlfn.XLOOKUP($B83,[1]Billing!$R$5:$R$40,[1]Billing!$W$5:$W$40)</f>
        <v>1988615.5815654721</v>
      </c>
      <c r="H132" s="22">
        <f>_xlfn.XLOOKUP($B83,[1]Billing!$R$5:$R$40,[1]Billing!$X$5:$X$40)</f>
        <v>1127455.1938551574</v>
      </c>
      <c r="I132" s="22">
        <f>_xlfn.XLOOKUP($B83,[1]Billing!$R$5:$R$40,[1]Billing!$Y$5:$Y$40)</f>
        <v>0</v>
      </c>
      <c r="J132" s="22">
        <f>_xlfn.XLOOKUP($B83,[1]Billing!$R$5:$R$40,[1]Billing!$Z$5:$Z$40)</f>
        <v>0</v>
      </c>
      <c r="K132" s="22">
        <f>_xlfn.XLOOKUP($B83,[1]Billing!$R$5:$R$40,[1]Billing!$AA$5:$AA$40)</f>
        <v>0</v>
      </c>
      <c r="L132" s="22">
        <f>_xlfn.XLOOKUP($B83,[1]Billing!$R$5:$R$40,[1]Billing!$AB$5:$AB$40)</f>
        <v>0</v>
      </c>
      <c r="M132" s="22">
        <f>_xlfn.XLOOKUP($B83,[1]Billing!$R$5:$R$40,[1]Billing!$AC$5:$AC$40)</f>
        <v>0</v>
      </c>
      <c r="N132" s="22"/>
      <c r="O132" s="22">
        <f>_xlfn.XLOOKUP($B83,[1]Billing!$R$5:$R$40,[1]Billing!$AD$5:$AD$40)</f>
        <v>0</v>
      </c>
      <c r="P132" s="39">
        <f t="shared" si="16"/>
        <v>3116070.7754206294</v>
      </c>
      <c r="Q132" s="22">
        <f>_xlfn.XLOOKUP($B83,[1]Billing!$R$5:$R$40,[1]Billing!$AF$5:$AF$40)</f>
        <v>2440000</v>
      </c>
      <c r="R132" s="37">
        <f t="shared" si="17"/>
        <v>676070.77542062942</v>
      </c>
    </row>
    <row r="133" spans="2:18" x14ac:dyDescent="0.3">
      <c r="B133" t="str">
        <v>Rehman Ali</v>
      </c>
      <c r="C133" s="22">
        <f>_xlfn.XLOOKUP($B84,[1]Billing!$R$5:$R$40,[1]Billing!$S$5:$S$40)</f>
        <v>50131</v>
      </c>
      <c r="D133" s="22">
        <f>_xlfn.XLOOKUP($B84,[1]Billing!$R$5:$R$40,[1]Billing!$T$5:$T$40)</f>
        <v>45840.343818580841</v>
      </c>
      <c r="E133" s="22">
        <f>_xlfn.XLOOKUP($B84,[1]Billing!$R$5:$R$40,[1]Billing!$U$5:$U$40)</f>
        <v>0</v>
      </c>
      <c r="F133" s="22">
        <f>_xlfn.XLOOKUP($B84,[1]Billing!$R$5:$R$40,[1]Billing!$V$5:$V$40)</f>
        <v>45840.343818580841</v>
      </c>
      <c r="G133" s="22">
        <f>_xlfn.XLOOKUP($B84,[1]Billing!$R$5:$R$40,[1]Billing!$W$5:$W$40)</f>
        <v>0</v>
      </c>
      <c r="H133" s="22">
        <f>_xlfn.XLOOKUP($B84,[1]Billing!$R$5:$R$40,[1]Billing!$X$5:$X$40)</f>
        <v>595924.46964155091</v>
      </c>
      <c r="I133" s="22">
        <f>_xlfn.XLOOKUP($B84,[1]Billing!$R$5:$R$40,[1]Billing!$Y$5:$Y$40)</f>
        <v>0</v>
      </c>
      <c r="J133" s="22">
        <f>_xlfn.XLOOKUP($B84,[1]Billing!$R$5:$R$40,[1]Billing!$Z$5:$Z$40)</f>
        <v>0</v>
      </c>
      <c r="K133" s="22">
        <f>_xlfn.XLOOKUP($B84,[1]Billing!$R$5:$R$40,[1]Billing!$AA$5:$AA$40)</f>
        <v>0</v>
      </c>
      <c r="L133" s="22">
        <f>_xlfn.XLOOKUP($B84,[1]Billing!$R$5:$R$40,[1]Billing!$AB$5:$AB$40)</f>
        <v>0</v>
      </c>
      <c r="M133" s="22">
        <f>_xlfn.XLOOKUP($B84,[1]Billing!$R$5:$R$40,[1]Billing!$AC$5:$AC$40)</f>
        <v>0</v>
      </c>
      <c r="N133" s="22"/>
      <c r="O133" s="22">
        <f>_xlfn.XLOOKUP($B84,[1]Billing!$R$5:$R$40,[1]Billing!$AD$5:$AD$40)</f>
        <v>0</v>
      </c>
      <c r="P133" s="39">
        <f t="shared" si="16"/>
        <v>595924.46964155091</v>
      </c>
      <c r="Q133" s="22">
        <f>_xlfn.XLOOKUP($B84,[1]Billing!$R$5:$R$40,[1]Billing!$AF$5:$AF$40)</f>
        <v>550000</v>
      </c>
      <c r="R133" s="37">
        <f t="shared" si="17"/>
        <v>45924.46964155091</v>
      </c>
    </row>
    <row r="134" spans="2:18" x14ac:dyDescent="0.3">
      <c r="B134" t="str">
        <v>Ahmad Shafique</v>
      </c>
      <c r="C134" s="22">
        <f>_xlfn.XLOOKUP($B85,[1]Billing!$R$5:$R$40,[1]Billing!$S$5:$S$40)</f>
        <v>53541</v>
      </c>
      <c r="D134" s="22">
        <f>_xlfn.XLOOKUP($B85,[1]Billing!$R$5:$R$40,[1]Billing!$T$5:$T$40)</f>
        <v>48958.485735186543</v>
      </c>
      <c r="E134" s="22">
        <f>_xlfn.XLOOKUP($B85,[1]Billing!$R$5:$R$40,[1]Billing!$U$5:$U$40)</f>
        <v>0</v>
      </c>
      <c r="F134" s="22">
        <f>_xlfn.XLOOKUP($B85,[1]Billing!$R$5:$R$40,[1]Billing!$V$5:$V$40)</f>
        <v>48958.485735186543</v>
      </c>
      <c r="G134" s="22">
        <f>_xlfn.XLOOKUP($B85,[1]Billing!$R$5:$R$40,[1]Billing!$W$5:$W$40)</f>
        <v>0</v>
      </c>
      <c r="H134" s="22">
        <f>_xlfn.XLOOKUP($B85,[1]Billing!$R$5:$R$40,[1]Billing!$X$5:$X$40)</f>
        <v>636460.3145574251</v>
      </c>
      <c r="I134" s="22">
        <f>_xlfn.XLOOKUP($B85,[1]Billing!$R$5:$R$40,[1]Billing!$Y$5:$Y$40)</f>
        <v>0</v>
      </c>
      <c r="J134" s="22">
        <f>_xlfn.XLOOKUP($B85,[1]Billing!$R$5:$R$40,[1]Billing!$Z$5:$Z$40)</f>
        <v>0</v>
      </c>
      <c r="K134" s="22">
        <f>_xlfn.XLOOKUP($B85,[1]Billing!$R$5:$R$40,[1]Billing!$AA$5:$AA$40)</f>
        <v>0</v>
      </c>
      <c r="L134" s="22">
        <f>_xlfn.XLOOKUP($B85,[1]Billing!$R$5:$R$40,[1]Billing!$AB$5:$AB$40)</f>
        <v>0</v>
      </c>
      <c r="M134" s="22">
        <f>_xlfn.XLOOKUP($B85,[1]Billing!$R$5:$R$40,[1]Billing!$AC$5:$AC$40)</f>
        <v>0</v>
      </c>
      <c r="N134" s="22"/>
      <c r="O134" s="22">
        <f>_xlfn.XLOOKUP($B85,[1]Billing!$R$5:$R$40,[1]Billing!$AD$5:$AD$40)</f>
        <v>0</v>
      </c>
      <c r="P134" s="39">
        <f t="shared" si="16"/>
        <v>636460.3145574251</v>
      </c>
      <c r="Q134" s="22">
        <f>_xlfn.XLOOKUP($B85,[1]Billing!$R$5:$R$40,[1]Billing!$AF$5:$AF$40)</f>
        <v>636000</v>
      </c>
      <c r="R134" s="37">
        <f t="shared" si="17"/>
        <v>460.3145574250957</v>
      </c>
    </row>
    <row r="135" spans="2:18" x14ac:dyDescent="0.3">
      <c r="B135" t="str">
        <v>Hafiz Shawl</v>
      </c>
      <c r="C135" s="22">
        <f>_xlfn.XLOOKUP($B86,[1]Billing!$R$5:$R$40,[1]Billing!$S$5:$S$40)</f>
        <v>4283</v>
      </c>
      <c r="D135" s="22">
        <f>_xlfn.XLOOKUP($B86,[1]Billing!$R$5:$R$40,[1]Billing!$T$5:$T$40)</f>
        <v>3916.4228237015363</v>
      </c>
      <c r="E135" s="22">
        <f>_xlfn.XLOOKUP($B86,[1]Billing!$R$5:$R$40,[1]Billing!$U$5:$U$40)</f>
        <v>0</v>
      </c>
      <c r="F135" s="22">
        <f>_xlfn.XLOOKUP($B86,[1]Billing!$R$5:$R$40,[1]Billing!$V$5:$V$40)</f>
        <v>1321.3240673006585</v>
      </c>
      <c r="G135" s="22">
        <f>_xlfn.XLOOKUP($B86,[1]Billing!$R$5:$R$40,[1]Billing!$W$5:$W$40)</f>
        <v>0</v>
      </c>
      <c r="H135" s="22">
        <f>_xlfn.XLOOKUP($B86,[1]Billing!$R$5:$R$40,[1]Billing!$X$5:$X$40)</f>
        <v>15855.888807607902</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c r="O135" s="22">
        <f>_xlfn.XLOOKUP($B86,[1]Billing!$R$5:$R$40,[1]Billing!$AD$5:$AD$40)</f>
        <v>51636.795903438193</v>
      </c>
      <c r="P135" s="39">
        <f t="shared" si="16"/>
        <v>67492.684711046095</v>
      </c>
      <c r="Q135" s="22">
        <f>_xlfn.XLOOKUP($B86,[1]Billing!$R$5:$R$40,[1]Billing!$AF$5:$AF$40)</f>
        <v>55855</v>
      </c>
      <c r="R135" s="37">
        <f t="shared" si="17"/>
        <v>11637.684711046095</v>
      </c>
    </row>
    <row r="136" spans="2:18" x14ac:dyDescent="0.3">
      <c r="B136" t="str">
        <v>Zahid Ejaz</v>
      </c>
      <c r="C136" s="22">
        <f>_xlfn.XLOOKUP($B87,[1]Billing!$R$5:$R$40,[1]Billing!$S$5:$S$40)</f>
        <v>16060</v>
      </c>
      <c r="D136" s="22">
        <f>_xlfn.XLOOKUP($B87,[1]Billing!$R$5:$R$40,[1]Billing!$T$5:$T$40)</f>
        <v>14685.442574981713</v>
      </c>
      <c r="E136" s="22">
        <f>_xlfn.XLOOKUP($B87,[1]Billing!$R$5:$R$40,[1]Billing!$U$5:$U$40)</f>
        <v>14685.442574981713</v>
      </c>
      <c r="F136" s="22">
        <f>_xlfn.XLOOKUP($B87,[1]Billing!$R$5:$R$40,[1]Billing!$V$5:$V$40)</f>
        <v>0</v>
      </c>
      <c r="G136" s="22">
        <f>_xlfn.XLOOKUP($B87,[1]Billing!$R$5:$R$40,[1]Billing!$W$5:$W$40)</f>
        <v>161539.86832479882</v>
      </c>
      <c r="H136" s="22">
        <f>_xlfn.XLOOKUP($B87,[1]Billing!$R$5:$R$40,[1]Billing!$X$5:$X$40)</f>
        <v>0</v>
      </c>
      <c r="I136" s="22">
        <f>_xlfn.XLOOKUP($B87,[1]Billing!$R$5:$R$40,[1]Billing!$Y$5:$Y$40)</f>
        <v>0</v>
      </c>
      <c r="J136" s="22">
        <f>_xlfn.XLOOKUP($B87,[1]Billing!$R$5:$R$40,[1]Billing!$Z$5:$Z$40)</f>
        <v>0</v>
      </c>
      <c r="K136" s="22">
        <f>_xlfn.XLOOKUP($B87,[1]Billing!$R$5:$R$40,[1]Billing!$AA$5:$AA$40)</f>
        <v>0</v>
      </c>
      <c r="L136" s="22">
        <f>_xlfn.XLOOKUP($B87,[1]Billing!$R$5:$R$40,[1]Billing!$AB$5:$AB$40)</f>
        <v>0</v>
      </c>
      <c r="M136" s="22">
        <f>_xlfn.XLOOKUP($B87,[1]Billing!$R$5:$R$40,[1]Billing!$AC$5:$AC$40)</f>
        <v>0</v>
      </c>
      <c r="N136" s="22"/>
      <c r="O136" s="22">
        <f>_xlfn.XLOOKUP($B87,[1]Billing!$R$5:$R$40,[1]Billing!$AD$5:$AD$40)</f>
        <v>0</v>
      </c>
      <c r="P136" s="39">
        <f t="shared" si="16"/>
        <v>161539.86832479882</v>
      </c>
      <c r="Q136" s="22">
        <f>_xlfn.XLOOKUP($B87,[1]Billing!$R$5:$R$40,[1]Billing!$AF$5:$AF$40)</f>
        <v>169278</v>
      </c>
      <c r="R136" s="37">
        <f t="shared" si="17"/>
        <v>-7738.1316752011771</v>
      </c>
    </row>
    <row r="137" spans="2:18" x14ac:dyDescent="0.3">
      <c r="B137" t="str">
        <v>Faizan Kamoki</v>
      </c>
      <c r="C137" s="22">
        <f>_xlfn.XLOOKUP($B88,[1]Billing!$R$5:$R$40,[1]Billing!$S$5:$S$40)</f>
        <v>237742</v>
      </c>
      <c r="D137" s="22">
        <f>_xlfn.XLOOKUP($B88,[1]Billing!$R$5:$R$40,[1]Billing!$T$5:$T$40)</f>
        <v>217393.92831016827</v>
      </c>
      <c r="E137" s="22">
        <f>_xlfn.XLOOKUP($B88,[1]Billing!$R$5:$R$40,[1]Billing!$U$5:$U$40)</f>
        <v>0</v>
      </c>
      <c r="F137" s="22">
        <f>_xlfn.XLOOKUP($B88,[1]Billing!$R$5:$R$40,[1]Billing!$V$5:$V$40)</f>
        <v>157432.33357717632</v>
      </c>
      <c r="G137" s="22">
        <f>_xlfn.XLOOKUP($B88,[1]Billing!$R$5:$R$40,[1]Billing!$W$5:$W$40)</f>
        <v>0</v>
      </c>
      <c r="H137" s="22">
        <f>_xlfn.XLOOKUP($B88,[1]Billing!$R$5:$R$40,[1]Billing!$X$5:$X$40)</f>
        <v>2046620.336503292</v>
      </c>
      <c r="I137" s="22">
        <f>_xlfn.XLOOKUP($B88,[1]Billing!$R$5:$R$40,[1]Billing!$Y$5:$Y$40)</f>
        <v>0</v>
      </c>
      <c r="J137" s="22">
        <f>_xlfn.XLOOKUP($B88,[1]Billing!$R$5:$R$40,[1]Billing!$Z$5:$Z$40)</f>
        <v>0</v>
      </c>
      <c r="K137" s="22">
        <f>_xlfn.XLOOKUP($B88,[1]Billing!$R$5:$R$40,[1]Billing!$AA$5:$AA$40)</f>
        <v>0</v>
      </c>
      <c r="L137" s="22">
        <f>_xlfn.XLOOKUP($B88,[1]Billing!$R$5:$R$40,[1]Billing!$AB$5:$AB$40)</f>
        <v>659577.54206291155</v>
      </c>
      <c r="M137" s="22">
        <f>_xlfn.XLOOKUP($B88,[1]Billing!$R$5:$R$40,[1]Billing!$AC$5:$AC$40)</f>
        <v>0</v>
      </c>
      <c r="N137" s="22"/>
      <c r="O137" s="22">
        <f>_xlfn.XLOOKUP($B88,[1]Billing!$R$5:$R$40,[1]Billing!$AD$5:$AD$40)</f>
        <v>0</v>
      </c>
      <c r="P137" s="39">
        <f t="shared" si="16"/>
        <v>2706197.8785662036</v>
      </c>
      <c r="Q137" s="22">
        <f>_xlfn.XLOOKUP($B88,[1]Billing!$R$5:$R$40,[1]Billing!$AF$5:$AF$40)</f>
        <v>2526791.4930504756</v>
      </c>
      <c r="R137" s="37">
        <f t="shared" ref="R137:R140" si="18">P137-Q137</f>
        <v>179406.38551572803</v>
      </c>
    </row>
    <row r="138" spans="2:18" x14ac:dyDescent="0.3">
      <c r="B138" t="str">
        <v>KK fabrics</v>
      </c>
      <c r="C138" s="22">
        <f>_xlfn.XLOOKUP($B89,[1]Billing!$R$5:$R$40,[1]Billing!$S$5:$S$40)</f>
        <v>28166</v>
      </c>
      <c r="D138" s="22">
        <f>_xlfn.XLOOKUP($B89,[1]Billing!$R$5:$R$40,[1]Billing!$T$5:$T$40)</f>
        <v>25755.30358449159</v>
      </c>
      <c r="E138" s="22">
        <f>_xlfn.XLOOKUP($B89,[1]Billing!$R$5:$R$40,[1]Billing!$U$5:$U$40)</f>
        <v>25755.30358449159</v>
      </c>
      <c r="F138" s="22">
        <f>_xlfn.XLOOKUP($B89,[1]Billing!$R$5:$R$40,[1]Billing!$V$5:$V$40)</f>
        <v>0</v>
      </c>
      <c r="G138" s="22">
        <f>_xlfn.XLOOKUP($B89,[1]Billing!$R$5:$R$40,[1]Billing!$W$5:$W$40)</f>
        <v>257553.0358449159</v>
      </c>
      <c r="H138" s="22">
        <f>_xlfn.XLOOKUP($B89,[1]Billing!$R$5:$R$40,[1]Billing!$X$5:$X$40)</f>
        <v>0</v>
      </c>
      <c r="I138" s="22">
        <f>_xlfn.XLOOKUP($B89,[1]Billing!$R$5:$R$40,[1]Billing!$Y$5:$Y$40)</f>
        <v>0</v>
      </c>
      <c r="J138" s="22">
        <f>_xlfn.XLOOKUP($B89,[1]Billing!$R$5:$R$40,[1]Billing!$Z$5:$Z$40)</f>
        <v>0</v>
      </c>
      <c r="K138" s="22">
        <f>_xlfn.XLOOKUP($B89,[1]Billing!$R$5:$R$40,[1]Billing!$AA$5:$AA$40)</f>
        <v>0</v>
      </c>
      <c r="L138" s="22">
        <f>_xlfn.XLOOKUP($B89,[1]Billing!$R$5:$R$40,[1]Billing!$AB$5:$AB$40)</f>
        <v>0</v>
      </c>
      <c r="M138" s="22">
        <f>_xlfn.XLOOKUP($B89,[1]Billing!$R$5:$R$40,[1]Billing!$AC$5:$AC$40)</f>
        <v>0</v>
      </c>
      <c r="N138" s="22"/>
      <c r="O138" s="22">
        <f>_xlfn.XLOOKUP($B89,[1]Billing!$R$5:$R$40,[1]Billing!$AD$5:$AD$40)</f>
        <v>0</v>
      </c>
      <c r="P138" s="39">
        <f t="shared" si="16"/>
        <v>257553.0358449159</v>
      </c>
      <c r="Q138" s="22">
        <f>_xlfn.XLOOKUP($B89,[1]Billing!$R$5:$R$40,[1]Billing!$AF$5:$AF$40)</f>
        <v>257000</v>
      </c>
      <c r="R138" s="37">
        <f t="shared" si="18"/>
        <v>553.03584491589572</v>
      </c>
    </row>
    <row r="139" spans="2:18" x14ac:dyDescent="0.3">
      <c r="B139" t="str">
        <v>Rauf Khan</v>
      </c>
      <c r="C139" s="22" t="e">
        <f>_xlfn.XLOOKUP($B90,[1]Billing!$R$5:$R$40,[1]Billing!$S$5:$S$40)</f>
        <v>#N/A</v>
      </c>
      <c r="D139" s="22" t="e">
        <f>_xlfn.XLOOKUP($B90,[1]Billing!$R$5:$R$40,[1]Billing!$T$5:$T$40)</f>
        <v>#N/A</v>
      </c>
      <c r="E139" s="22" t="e">
        <f>_xlfn.XLOOKUP($B90,[1]Billing!$R$5:$R$40,[1]Billing!$U$5:$U$40)</f>
        <v>#N/A</v>
      </c>
      <c r="F139" s="22" t="e">
        <f>_xlfn.XLOOKUP($B90,[1]Billing!$R$5:$R$40,[1]Billing!$V$5:$V$40)</f>
        <v>#N/A</v>
      </c>
      <c r="G139" s="22" t="e">
        <f>_xlfn.XLOOKUP($B90,[1]Billing!$R$5:$R$40,[1]Billing!$W$5:$W$40)</f>
        <v>#N/A</v>
      </c>
      <c r="H139" s="22" t="e">
        <f>_xlfn.XLOOKUP($B90,[1]Billing!$R$5:$R$40,[1]Billing!$X$5:$X$40)</f>
        <v>#N/A</v>
      </c>
      <c r="I139" s="22" t="e">
        <f>_xlfn.XLOOKUP($B90,[1]Billing!$R$5:$R$40,[1]Billing!$Y$5:$Y$40)</f>
        <v>#N/A</v>
      </c>
      <c r="J139" s="22" t="e">
        <f>_xlfn.XLOOKUP($B90,[1]Billing!$R$5:$R$40,[1]Billing!$Z$5:$Z$40)</f>
        <v>#N/A</v>
      </c>
      <c r="K139" s="22" t="e">
        <f>_xlfn.XLOOKUP($B90,[1]Billing!$R$5:$R$40,[1]Billing!$AA$5:$AA$40)</f>
        <v>#N/A</v>
      </c>
      <c r="L139" s="22" t="e">
        <f>_xlfn.XLOOKUP($B90,[1]Billing!$R$5:$R$40,[1]Billing!$AB$5:$AB$40)</f>
        <v>#N/A</v>
      </c>
      <c r="M139" s="22" t="e">
        <f>_xlfn.XLOOKUP($B90,[1]Billing!$R$5:$R$40,[1]Billing!$AC$5:$AC$40)</f>
        <v>#N/A</v>
      </c>
      <c r="N139" s="22"/>
      <c r="O139" s="22" t="e">
        <f>_xlfn.XLOOKUP($B90,[1]Billing!$R$5:$R$40,[1]Billing!$AD$5:$AD$40)</f>
        <v>#N/A</v>
      </c>
      <c r="P139" s="39" t="e">
        <f t="shared" si="16"/>
        <v>#N/A</v>
      </c>
      <c r="Q139" s="22" t="e">
        <f>_xlfn.XLOOKUP($B90,[1]Billing!$R$5:$R$40,[1]Billing!$AF$5:$AF$40)</f>
        <v>#N/A</v>
      </c>
      <c r="R139" s="37" t="e">
        <f t="shared" si="18"/>
        <v>#N/A</v>
      </c>
    </row>
    <row r="140" spans="2:18" x14ac:dyDescent="0.3">
      <c r="B140" t="str">
        <v>Farhaan ali</v>
      </c>
      <c r="C140" s="22" t="e">
        <f>_xlfn.XLOOKUP($B91,[1]Billing!$R$5:$R$40,[1]Billing!$S$5:$S$40)</f>
        <v>#N/A</v>
      </c>
      <c r="D140" s="22" t="e">
        <f>_xlfn.XLOOKUP($B91,[1]Billing!$R$5:$R$40,[1]Billing!$T$5:$T$40)</f>
        <v>#N/A</v>
      </c>
      <c r="E140" s="22" t="e">
        <f>_xlfn.XLOOKUP($B91,[1]Billing!$R$5:$R$40,[1]Billing!$U$5:$U$40)</f>
        <v>#N/A</v>
      </c>
      <c r="F140" s="22" t="e">
        <f>_xlfn.XLOOKUP($B91,[1]Billing!$R$5:$R$40,[1]Billing!$V$5:$V$40)</f>
        <v>#N/A</v>
      </c>
      <c r="G140" s="22" t="e">
        <f>_xlfn.XLOOKUP($B91,[1]Billing!$R$5:$R$40,[1]Billing!$W$5:$W$40)</f>
        <v>#N/A</v>
      </c>
      <c r="H140" s="22" t="e">
        <f>_xlfn.XLOOKUP($B91,[1]Billing!$R$5:$R$40,[1]Billing!$X$5:$X$40)</f>
        <v>#N/A</v>
      </c>
      <c r="I140" s="22" t="e">
        <f>_xlfn.XLOOKUP($B91,[1]Billing!$R$5:$R$40,[1]Billing!$Y$5:$Y$40)</f>
        <v>#N/A</v>
      </c>
      <c r="J140" s="22" t="e">
        <f>_xlfn.XLOOKUP($B91,[1]Billing!$R$5:$R$40,[1]Billing!$Z$5:$Z$40)</f>
        <v>#N/A</v>
      </c>
      <c r="K140" s="22" t="e">
        <f>_xlfn.XLOOKUP($B91,[1]Billing!$R$5:$R$40,[1]Billing!$AA$5:$AA$40)</f>
        <v>#N/A</v>
      </c>
      <c r="L140" s="22" t="e">
        <f>_xlfn.XLOOKUP($B91,[1]Billing!$R$5:$R$40,[1]Billing!$AB$5:$AB$40)</f>
        <v>#N/A</v>
      </c>
      <c r="M140" s="22" t="e">
        <f>_xlfn.XLOOKUP($B91,[1]Billing!$R$5:$R$40,[1]Billing!$AC$5:$AC$40)</f>
        <v>#N/A</v>
      </c>
      <c r="N140" s="22"/>
      <c r="O140" s="22" t="e">
        <f>_xlfn.XLOOKUP($B91,[1]Billing!$R$5:$R$40,[1]Billing!$AD$5:$AD$40)</f>
        <v>#N/A</v>
      </c>
      <c r="P140" s="39" t="e">
        <f t="shared" si="16"/>
        <v>#N/A</v>
      </c>
      <c r="Q140" s="22" t="e">
        <f>_xlfn.XLOOKUP($B91,[1]Billing!$R$5:$R$40,[1]Billing!$AF$5:$AF$40)</f>
        <v>#N/A</v>
      </c>
      <c r="R140" s="37" t="e">
        <f t="shared" si="18"/>
        <v>#N/A</v>
      </c>
    </row>
    <row r="141" spans="2:18" x14ac:dyDescent="0.3">
      <c r="B141" t="str">
        <v>ACM salman zaffar</v>
      </c>
      <c r="C141" s="22" t="e">
        <f>_xlfn.XLOOKUP($B92,[1]Billing!$R$5:$R$40,[1]Billing!$S$5:$S$40)</f>
        <v>#N/A</v>
      </c>
      <c r="D141" s="22" t="e">
        <f>_xlfn.XLOOKUP($B92,[1]Billing!$R$5:$R$40,[1]Billing!$T$5:$T$40)</f>
        <v>#N/A</v>
      </c>
      <c r="E141" s="22" t="e">
        <f>_xlfn.XLOOKUP($B92,[1]Billing!$R$5:$R$40,[1]Billing!$U$5:$U$40)</f>
        <v>#N/A</v>
      </c>
      <c r="F141" s="22" t="e">
        <f>_xlfn.XLOOKUP($B92,[1]Billing!$R$5:$R$40,[1]Billing!$V$5:$V$40)</f>
        <v>#N/A</v>
      </c>
      <c r="G141" s="22" t="e">
        <f>_xlfn.XLOOKUP($B92,[1]Billing!$R$5:$R$40,[1]Billing!$W$5:$W$40)</f>
        <v>#N/A</v>
      </c>
      <c r="H141" s="22" t="e">
        <f>_xlfn.XLOOKUP($B92,[1]Billing!$R$5:$R$40,[1]Billing!$X$5:$X$40)</f>
        <v>#N/A</v>
      </c>
      <c r="I141" s="22" t="e">
        <f>_xlfn.XLOOKUP($B92,[1]Billing!$R$5:$R$40,[1]Billing!$Y$5:$Y$40)</f>
        <v>#N/A</v>
      </c>
      <c r="J141" s="22" t="e">
        <f>_xlfn.XLOOKUP($B92,[1]Billing!$R$5:$R$40,[1]Billing!$Z$5:$Z$40)</f>
        <v>#N/A</v>
      </c>
      <c r="K141" s="22" t="e">
        <f>_xlfn.XLOOKUP($B92,[1]Billing!$R$5:$R$40,[1]Billing!$AA$5:$AA$40)</f>
        <v>#N/A</v>
      </c>
      <c r="L141" s="22" t="e">
        <f>_xlfn.XLOOKUP($B92,[1]Billing!$R$5:$R$40,[1]Billing!$AB$5:$AB$40)</f>
        <v>#N/A</v>
      </c>
      <c r="M141" s="22" t="e">
        <f>_xlfn.XLOOKUP($B92,[1]Billing!$R$5:$R$40,[1]Billing!$AC$5:$AC$40)</f>
        <v>#N/A</v>
      </c>
      <c r="N141" s="22"/>
      <c r="O141" s="22" t="e">
        <f>_xlfn.XLOOKUP($B92,[1]Billing!$R$5:$R$40,[1]Billing!$AD$5:$AD$40)</f>
        <v>#N/A</v>
      </c>
      <c r="P141" s="39" t="e">
        <f t="shared" si="16"/>
        <v>#N/A</v>
      </c>
      <c r="Q141" s="22" t="e">
        <f>_xlfn.XLOOKUP($B92,[1]Billing!$R$5:$R$40,[1]Billing!$AF$5:$AF$40)</f>
        <v>#N/A</v>
      </c>
    </row>
    <row r="142" spans="2:18" x14ac:dyDescent="0.3">
      <c r="B142">
        <v>0</v>
      </c>
      <c r="C142" s="22" t="e">
        <f>_xlfn.XLOOKUP($B93,[1]Billing!$R$5:$R$40,[1]Billing!$S$5:$S$40)</f>
        <v>#N/A</v>
      </c>
      <c r="D142" s="22" t="e">
        <f>_xlfn.XLOOKUP($B93,[1]Billing!$R$5:$R$40,[1]Billing!$T$5:$T$40)</f>
        <v>#N/A</v>
      </c>
      <c r="E142" s="22" t="e">
        <f>_xlfn.XLOOKUP($B93,[1]Billing!$R$5:$R$40,[1]Billing!$U$5:$U$40)</f>
        <v>#N/A</v>
      </c>
      <c r="F142" s="22" t="e">
        <f>_xlfn.XLOOKUP($B93,[1]Billing!$R$5:$R$40,[1]Billing!$V$5:$V$40)</f>
        <v>#N/A</v>
      </c>
      <c r="G142" s="22" t="e">
        <f>_xlfn.XLOOKUP($B93,[1]Billing!$R$5:$R$40,[1]Billing!$W$5:$W$40)</f>
        <v>#N/A</v>
      </c>
      <c r="H142" s="22" t="e">
        <f>_xlfn.XLOOKUP($B93,[1]Billing!$R$5:$R$40,[1]Billing!$X$5:$X$40)</f>
        <v>#N/A</v>
      </c>
      <c r="I142" s="22" t="e">
        <f>_xlfn.XLOOKUP($B93,[1]Billing!$R$5:$R$40,[1]Billing!$Y$5:$Y$40)</f>
        <v>#N/A</v>
      </c>
      <c r="J142" s="22" t="e">
        <f>_xlfn.XLOOKUP($B93,[1]Billing!$R$5:$R$40,[1]Billing!$Z$5:$Z$40)</f>
        <v>#N/A</v>
      </c>
      <c r="K142" s="22" t="e">
        <f>_xlfn.XLOOKUP($B93,[1]Billing!$R$5:$R$40,[1]Billing!$AA$5:$AA$40)</f>
        <v>#N/A</v>
      </c>
      <c r="L142" s="22" t="e">
        <f>_xlfn.XLOOKUP($B93,[1]Billing!$R$5:$R$40,[1]Billing!$AB$5:$AB$40)</f>
        <v>#N/A</v>
      </c>
      <c r="M142" s="22" t="e">
        <f>_xlfn.XLOOKUP($B93,[1]Billing!$R$5:$R$40,[1]Billing!$AC$5:$AC$40)</f>
        <v>#N/A</v>
      </c>
      <c r="N142" s="22"/>
      <c r="O142" s="22" t="e">
        <f>_xlfn.XLOOKUP($B93,[1]Billing!$R$5:$R$40,[1]Billing!$AD$5:$AD$40)</f>
        <v>#N/A</v>
      </c>
      <c r="P142" s="39" t="e">
        <f t="shared" si="16"/>
        <v>#N/A</v>
      </c>
      <c r="Q142" s="22" t="e">
        <f>_xlfn.XLOOKUP($B93,[1]Billing!$R$5:$R$40,[1]Billing!$AF$5:$AF$40)</f>
        <v>#N/A</v>
      </c>
    </row>
    <row r="143" spans="2:18" x14ac:dyDescent="0.3">
      <c r="B143" t="str">
        <v>Moeez badshah</v>
      </c>
      <c r="C143" s="22" t="e">
        <f>_xlfn.XLOOKUP($B94,[1]Billing!$R$5:$R$40,[1]Billing!$S$5:$S$40)</f>
        <v>#N/A</v>
      </c>
      <c r="D143" s="22" t="e">
        <f>_xlfn.XLOOKUP($B94,[1]Billing!$R$5:$R$40,[1]Billing!$T$5:$T$40)</f>
        <v>#N/A</v>
      </c>
      <c r="E143" s="22" t="e">
        <f>_xlfn.XLOOKUP($B94,[1]Billing!$R$5:$R$40,[1]Billing!$U$5:$U$40)</f>
        <v>#N/A</v>
      </c>
      <c r="F143" s="22" t="e">
        <f>_xlfn.XLOOKUP($B94,[1]Billing!$R$5:$R$40,[1]Billing!$V$5:$V$40)</f>
        <v>#N/A</v>
      </c>
      <c r="G143" s="22" t="e">
        <f>_xlfn.XLOOKUP($B94,[1]Billing!$R$5:$R$40,[1]Billing!$W$5:$W$40)</f>
        <v>#N/A</v>
      </c>
      <c r="H143" s="22" t="e">
        <f>_xlfn.XLOOKUP($B94,[1]Billing!$R$5:$R$40,[1]Billing!$X$5:$X$40)</f>
        <v>#N/A</v>
      </c>
      <c r="I143" s="22" t="e">
        <f>_xlfn.XLOOKUP($B94,[1]Billing!$R$5:$R$40,[1]Billing!$Y$5:$Y$40)</f>
        <v>#N/A</v>
      </c>
      <c r="J143" s="22" t="e">
        <f>_xlfn.XLOOKUP($B94,[1]Billing!$R$5:$R$40,[1]Billing!$Z$5:$Z$40)</f>
        <v>#N/A</v>
      </c>
      <c r="K143" s="22" t="e">
        <f>_xlfn.XLOOKUP($B94,[1]Billing!$R$5:$R$40,[1]Billing!$AA$5:$AA$40)</f>
        <v>#N/A</v>
      </c>
      <c r="L143" s="22" t="e">
        <f>_xlfn.XLOOKUP($B94,[1]Billing!$R$5:$R$40,[1]Billing!$AB$5:$AB$40)</f>
        <v>#N/A</v>
      </c>
      <c r="M143" s="22" t="e">
        <f>_xlfn.XLOOKUP($B94,[1]Billing!$R$5:$R$40,[1]Billing!$AC$5:$AC$40)</f>
        <v>#N/A</v>
      </c>
      <c r="N143" s="22"/>
      <c r="O143" s="22" t="e">
        <f>_xlfn.XLOOKUP($B94,[1]Billing!$R$5:$R$40,[1]Billing!$AD$5:$AD$40)</f>
        <v>#N/A</v>
      </c>
      <c r="P143" s="39" t="e">
        <f t="shared" si="16"/>
        <v>#N/A</v>
      </c>
      <c r="Q143" s="22" t="e">
        <f>_xlfn.XLOOKUP($B94,[1]Billing!$R$5:$R$40,[1]Billing!$AF$5:$AF$40)</f>
        <v>#N/A</v>
      </c>
    </row>
    <row r="144" spans="2:18" x14ac:dyDescent="0.3">
      <c r="B144" t="str">
        <v>Bablu</v>
      </c>
    </row>
    <row r="145" spans="2:2" x14ac:dyDescent="0.3">
      <c r="B145" t="str">
        <v>Sheikh Naveed</v>
      </c>
    </row>
    <row r="146" spans="2:2" x14ac:dyDescent="0.3">
      <c r="B146" t="str">
        <v>malik salman</v>
      </c>
    </row>
    <row r="147" spans="2:2" x14ac:dyDescent="0.3">
      <c r="B147" t="str">
        <v>Rehan Butt</v>
      </c>
    </row>
    <row r="148" spans="2:2" x14ac:dyDescent="0.3">
      <c r="B148" t="str">
        <v>Usama Nadeem</v>
      </c>
    </row>
    <row r="149" spans="2:2" x14ac:dyDescent="0.3">
      <c r="B149" t="str">
        <v>Abdul Wahid</v>
      </c>
    </row>
    <row r="150" spans="2:2" x14ac:dyDescent="0.3">
      <c r="B150" t="str">
        <v>mesum</v>
      </c>
    </row>
    <row r="151" spans="2:2" x14ac:dyDescent="0.3">
      <c r="B151" t="str">
        <v>Qasim Latif</v>
      </c>
    </row>
    <row r="152" spans="2:2" x14ac:dyDescent="0.3">
      <c r="B152" t="str">
        <v>G star</v>
      </c>
    </row>
    <row r="153" spans="2:2" x14ac:dyDescent="0.3">
      <c r="B153" t="str">
        <v>Raza Khan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1"/>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1">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OFFSET(Billing!AG5, 0, 0, ROWS(_xlfn.ANCHORARRAY(Billing!S5))), "Not Found")</f>
        <v>5146879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OFFSET(Billing!AH5, 0, 0, ROWS(_xlfn.ANCHORARRAY(Billing!S5))), "Not Found")</f>
        <v>214347.40819312446</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20690405</v>
      </c>
      <c r="D4" t="s">
        <v>188</v>
      </c>
      <c r="E4" s="43">
        <f ca="1">Table12[[#This Row],[Amount]]/Table1[[#Totals],[tiyar/meters]]</f>
        <v>493.22144275874092</v>
      </c>
    </row>
    <row r="5" spans="1:5" x14ac:dyDescent="0.3">
      <c r="B5" t="s">
        <v>48</v>
      </c>
      <c r="C5" s="11">
        <f>SUM(Table8[Price])</f>
        <v>4104255</v>
      </c>
      <c r="E5" s="43">
        <f ca="1">Table12[[#This Row],[Amount]]/Table1[[#Totals],[tiyar/meters]]</f>
        <v>97.837938529950293</v>
      </c>
    </row>
    <row r="6" spans="1:5" x14ac:dyDescent="0.3">
      <c r="B6" t="s">
        <v>49</v>
      </c>
      <c r="C6" s="11">
        <f>SUM(Table2[Price])</f>
        <v>1347150</v>
      </c>
      <c r="D6" t="s">
        <v>187</v>
      </c>
      <c r="E6" s="43">
        <f ca="1">Table12[[#This Row],[Amount]]/Table1[[#Totals],[tiyar/meters]]</f>
        <v>32.113594036097304</v>
      </c>
    </row>
    <row r="7" spans="1:5" x14ac:dyDescent="0.3">
      <c r="B7" t="s">
        <v>50</v>
      </c>
      <c r="C7" s="11">
        <f>SUMIFS(Table14[Debit], Table14[Party],Table12[[#This Row],[Type]])</f>
        <v>289109</v>
      </c>
      <c r="E7" s="43">
        <f ca="1">Table12[[#This Row],[Amount]]/Table1[[#Totals],[tiyar/meters]]</f>
        <v>6.8918302031563341</v>
      </c>
    </row>
    <row r="8" spans="1:5" x14ac:dyDescent="0.3">
      <c r="B8" t="s">
        <v>51</v>
      </c>
      <c r="C8" s="11">
        <f>Electricity!E6</f>
        <v>3973945</v>
      </c>
      <c r="E8" s="43">
        <f ca="1">Table12[[#This Row],[Amount]]/Table1[[#Totals],[tiyar/meters]]</f>
        <v>94.731586276048475</v>
      </c>
    </row>
    <row r="9" spans="1:5" x14ac:dyDescent="0.3">
      <c r="B9" t="s">
        <v>52</v>
      </c>
      <c r="C9" s="11">
        <f>SUMIFS(Table14[Debit], Table14[Party],Table12[[#This Row],[Type]])+SUMIFS(Table14[Debit], Table14[Party],"Advance Salary")</f>
        <v>12161001</v>
      </c>
      <c r="E9" s="43">
        <f ca="1">Table12[[#This Row],[Amount]]/Table1[[#Totals],[tiyar/meters]]</f>
        <v>289.89603918388701</v>
      </c>
    </row>
    <row r="10" spans="1:5" x14ac:dyDescent="0.3">
      <c r="B10" t="s">
        <v>53</v>
      </c>
      <c r="C10" s="11">
        <f>Table5[[#Totals],[Amount]]</f>
        <v>581950</v>
      </c>
      <c r="E10" s="43">
        <f ca="1">Table12[[#This Row],[Amount]]/Table1[[#Totals],[tiyar/meters]]</f>
        <v>13.872624465951695</v>
      </c>
    </row>
    <row r="11" spans="1:5" x14ac:dyDescent="0.3">
      <c r="B11" t="s">
        <v>54</v>
      </c>
      <c r="C11" s="11">
        <f>Table13[[#Totals],[Debit]]</f>
        <v>408060.4</v>
      </c>
      <c r="E11" s="43">
        <f ca="1">Table12[[#This Row],[Amount]]/Table1[[#Totals],[tiyar/meters]]</f>
        <v>9.7274141912982834</v>
      </c>
    </row>
    <row r="12" spans="1:5" x14ac:dyDescent="0.3">
      <c r="B12" t="s">
        <v>55</v>
      </c>
      <c r="C12" s="11">
        <f>Table15[[#Totals],[Amount]]</f>
        <v>4130738</v>
      </c>
      <c r="E12" s="43">
        <f ca="1">Table12[[#This Row],[Amount]]/Table1[[#Totals],[tiyar/meters]]</f>
        <v>98.469244851338388</v>
      </c>
    </row>
    <row r="13" spans="1:5" x14ac:dyDescent="0.3">
      <c r="C13" s="11"/>
      <c r="E13" s="43">
        <f ca="1">Table12[[#This Row],[Amount]]/Table1[[#Totals],[tiyar/meters]]</f>
        <v>0</v>
      </c>
    </row>
    <row r="14" spans="1:5" x14ac:dyDescent="0.3">
      <c r="C14" s="14">
        <f>SUM(Table12[Amount])</f>
        <v>47686613.399999999</v>
      </c>
      <c r="E14" s="43">
        <f ca="1">SUM(Table12[cost per meter])</f>
        <v>1136.7617144964686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49394200.1163131</v>
      </c>
    </row>
    <row r="4" spans="1:3" x14ac:dyDescent="0.3">
      <c r="B4" s="11" t="s">
        <v>44</v>
      </c>
      <c r="C4" s="11">
        <f>Table12[[#Totals],[Amount]]</f>
        <v>47686613.399999999</v>
      </c>
    </row>
    <row r="5" spans="1:3" x14ac:dyDescent="0.3">
      <c r="A5" s="6"/>
      <c r="B5" s="15" t="s">
        <v>68</v>
      </c>
      <c r="C5" s="15">
        <f>C3-C4</f>
        <v>1707586.7163131014</v>
      </c>
    </row>
    <row r="10" spans="1:3" ht="15" thickBot="1" x14ac:dyDescent="0.35">
      <c r="B10" t="s">
        <v>66</v>
      </c>
      <c r="C10" s="14" t="s">
        <v>67</v>
      </c>
    </row>
    <row r="11" spans="1:3" x14ac:dyDescent="0.3">
      <c r="B11" s="56" t="s">
        <v>0</v>
      </c>
      <c r="C11" s="57">
        <f>C3</f>
        <v>49394200.1163131</v>
      </c>
    </row>
    <row r="12" spans="1:3" x14ac:dyDescent="0.3">
      <c r="B12" s="58" t="s">
        <v>69</v>
      </c>
      <c r="C12" s="59">
        <f>SUM(Table14[Credit])</f>
        <v>68655345.229517192</v>
      </c>
    </row>
    <row r="13" spans="1:3" ht="15" thickBot="1" x14ac:dyDescent="0.35">
      <c r="B13" s="74" t="s">
        <v>93</v>
      </c>
      <c r="C13" s="73">
        <f>(C11-C12)</f>
        <v>-19261145.113204092</v>
      </c>
    </row>
    <row r="14" spans="1:3" ht="15" thickBot="1" x14ac:dyDescent="0.35">
      <c r="B14" s="58"/>
      <c r="C14" s="59"/>
    </row>
    <row r="15" spans="1:3" x14ac:dyDescent="0.3">
      <c r="B15" s="56" t="s">
        <v>44</v>
      </c>
      <c r="C15" s="57">
        <f>C4</f>
        <v>47686613.399999999</v>
      </c>
    </row>
    <row r="16" spans="1:3" x14ac:dyDescent="0.3">
      <c r="B16" s="58" t="s">
        <v>70</v>
      </c>
      <c r="C16" s="59">
        <f>SUM(Table14[Debit])</f>
        <v>68635685.680000007</v>
      </c>
    </row>
    <row r="17" spans="2:6" ht="15" thickBot="1" x14ac:dyDescent="0.35">
      <c r="B17" s="74" t="s">
        <v>71</v>
      </c>
      <c r="C17" s="73">
        <f>C15-C16</f>
        <v>-20949072.280000009</v>
      </c>
    </row>
    <row r="18" spans="2:6" ht="15" thickBot="1" x14ac:dyDescent="0.35">
      <c r="B18" s="58"/>
      <c r="C18" s="59"/>
    </row>
    <row r="19" spans="2:6" ht="15" thickBot="1" x14ac:dyDescent="0.35">
      <c r="B19" s="75" t="s">
        <v>72</v>
      </c>
      <c r="C19" s="76">
        <f>Table18[[#Totals],[amount]]</f>
        <v>1604392.5495171919</v>
      </c>
    </row>
    <row r="20" spans="2:6" ht="15" thickBot="1" x14ac:dyDescent="0.35">
      <c r="B20" s="71"/>
      <c r="C20" s="72"/>
    </row>
    <row r="21" spans="2:6" ht="15" thickBot="1" x14ac:dyDescent="0.35">
      <c r="B21" s="60" t="s">
        <v>73</v>
      </c>
      <c r="C21" s="61">
        <f>(C13-C17)+C19</f>
        <v>3292319.7163131088</v>
      </c>
      <c r="E21" s="79" t="s">
        <v>74</v>
      </c>
      <c r="F21" s="121">
        <f>C5*0.05</f>
        <v>85379.335815655068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74"/>
  <sheetViews>
    <sheetView zoomScale="126" zoomScaleNormal="107" workbookViewId="0">
      <selection activeCell="D380" sqref="D38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hidden="1" x14ac:dyDescent="0.3">
      <c r="A2" s="142">
        <v>46111</v>
      </c>
      <c r="B2" s="80" t="s">
        <v>21</v>
      </c>
      <c r="C2" s="184" t="s">
        <v>210</v>
      </c>
      <c r="D2" s="119" t="s">
        <v>85</v>
      </c>
      <c r="E2" s="149"/>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9">_xlfn.UNIQUE(Table1[Party Name])</f>
        <v>BSC</v>
      </c>
    </row>
    <row r="3" spans="1:28" hidden="1" x14ac:dyDescent="0.3">
      <c r="A3" s="142">
        <v>46111</v>
      </c>
      <c r="B3" s="80" t="s">
        <v>22</v>
      </c>
      <c r="C3" s="184" t="s">
        <v>210</v>
      </c>
      <c r="D3" s="119" t="s">
        <v>85</v>
      </c>
      <c r="E3" s="149"/>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hidden="1" x14ac:dyDescent="0.3">
      <c r="A4" s="142">
        <v>46111</v>
      </c>
      <c r="B4" s="80" t="s">
        <v>9</v>
      </c>
      <c r="C4" s="184" t="s">
        <v>210</v>
      </c>
      <c r="D4" s="119" t="s">
        <v>85</v>
      </c>
      <c r="E4" s="149"/>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hidden="1" x14ac:dyDescent="0.3">
      <c r="A5" s="142">
        <v>46111</v>
      </c>
      <c r="B5" s="80" t="s">
        <v>23</v>
      </c>
      <c r="C5" s="184" t="s">
        <v>210</v>
      </c>
      <c r="D5" s="119" t="s">
        <v>85</v>
      </c>
      <c r="E5" s="149"/>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hidden="1" x14ac:dyDescent="0.3">
      <c r="A6" s="142">
        <v>46111</v>
      </c>
      <c r="B6" s="80" t="s">
        <v>24</v>
      </c>
      <c r="C6" s="184" t="s">
        <v>210</v>
      </c>
      <c r="D6" s="119" t="s">
        <v>85</v>
      </c>
      <c r="E6" s="149"/>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hidden="1" x14ac:dyDescent="0.3">
      <c r="A7" s="142">
        <v>46111</v>
      </c>
      <c r="B7" s="80" t="s">
        <v>25</v>
      </c>
      <c r="C7" s="184" t="s">
        <v>210</v>
      </c>
      <c r="D7" s="119" t="s">
        <v>85</v>
      </c>
      <c r="E7" s="149"/>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hidden="1" x14ac:dyDescent="0.3">
      <c r="A8" s="142">
        <v>46111</v>
      </c>
      <c r="B8" s="80" t="s">
        <v>26</v>
      </c>
      <c r="C8" s="184" t="s">
        <v>210</v>
      </c>
      <c r="D8" s="119" t="s">
        <v>85</v>
      </c>
      <c r="E8" s="149"/>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hidden="1" x14ac:dyDescent="0.3">
      <c r="A9" s="142">
        <v>46111</v>
      </c>
      <c r="B9" s="80" t="s">
        <v>151</v>
      </c>
      <c r="C9" s="184" t="s">
        <v>210</v>
      </c>
      <c r="D9" s="119" t="s">
        <v>85</v>
      </c>
      <c r="E9" s="149"/>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hidden="1" x14ac:dyDescent="0.3">
      <c r="A10" s="142">
        <v>46111</v>
      </c>
      <c r="B10" s="80" t="s">
        <v>35</v>
      </c>
      <c r="C10" s="184" t="s">
        <v>210</v>
      </c>
      <c r="D10" s="119" t="s">
        <v>85</v>
      </c>
      <c r="E10" s="149"/>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hidden="1" x14ac:dyDescent="0.3">
      <c r="A11" s="142">
        <v>46111</v>
      </c>
      <c r="B11" s="80" t="s">
        <v>147</v>
      </c>
      <c r="C11" s="184" t="s">
        <v>210</v>
      </c>
      <c r="D11" s="119" t="s">
        <v>85</v>
      </c>
      <c r="E11" s="149"/>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hidden="1" x14ac:dyDescent="0.3">
      <c r="A12" s="142">
        <v>46111</v>
      </c>
      <c r="B12" s="80" t="s">
        <v>27</v>
      </c>
      <c r="C12" s="184" t="s">
        <v>210</v>
      </c>
      <c r="D12" s="119" t="s">
        <v>85</v>
      </c>
      <c r="E12" s="149"/>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hidden="1" x14ac:dyDescent="0.3">
      <c r="A13" s="142">
        <v>46111</v>
      </c>
      <c r="B13" s="80" t="s">
        <v>165</v>
      </c>
      <c r="C13" s="184"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hidden="1" x14ac:dyDescent="0.3">
      <c r="A14" s="142">
        <v>46111</v>
      </c>
      <c r="B14" s="80" t="s">
        <v>218</v>
      </c>
      <c r="C14" s="184"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hidden="1" x14ac:dyDescent="0.3">
      <c r="A15" s="142">
        <v>46111</v>
      </c>
      <c r="B15" s="80" t="s">
        <v>169</v>
      </c>
      <c r="C15" s="184"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hidden="1" x14ac:dyDescent="0.3">
      <c r="A16" s="142">
        <v>46111</v>
      </c>
      <c r="B16" s="80" t="s">
        <v>170</v>
      </c>
      <c r="C16" s="184"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hidden="1" x14ac:dyDescent="0.3">
      <c r="A17" s="142">
        <v>46111</v>
      </c>
      <c r="B17" s="80" t="s">
        <v>172</v>
      </c>
      <c r="C17" s="184"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hidden="1" x14ac:dyDescent="0.3">
      <c r="A18" s="142">
        <v>46111</v>
      </c>
      <c r="B18" s="80" t="s">
        <v>174</v>
      </c>
      <c r="C18" s="184"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2">
        <v>46111</v>
      </c>
      <c r="B19" s="80" t="s">
        <v>176</v>
      </c>
      <c r="C19" s="184"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hidden="1" x14ac:dyDescent="0.3">
      <c r="A20" s="142">
        <v>46111</v>
      </c>
      <c r="B20" s="80" t="s">
        <v>177</v>
      </c>
      <c r="C20" s="184"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hidden="1" x14ac:dyDescent="0.3">
      <c r="A21" s="142">
        <v>46111</v>
      </c>
      <c r="B21" s="80" t="s">
        <v>182</v>
      </c>
      <c r="C21" s="184"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hidden="1" x14ac:dyDescent="0.3">
      <c r="A22" s="142">
        <v>46111</v>
      </c>
      <c r="B22" s="80" t="s">
        <v>189</v>
      </c>
      <c r="C22" s="184"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hidden="1" x14ac:dyDescent="0.3">
      <c r="A23" s="142">
        <v>46111</v>
      </c>
      <c r="B23" s="80" t="s">
        <v>192</v>
      </c>
      <c r="C23" s="184"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hidden="1" x14ac:dyDescent="0.3">
      <c r="A24" s="142">
        <v>46111</v>
      </c>
      <c r="B24" s="80" t="s">
        <v>191</v>
      </c>
      <c r="C24" s="184"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hidden="1" x14ac:dyDescent="0.3">
      <c r="A25" s="142">
        <v>46111</v>
      </c>
      <c r="B25" s="80" t="s">
        <v>196</v>
      </c>
      <c r="C25" s="184"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hidden="1" x14ac:dyDescent="0.3">
      <c r="A26" s="142">
        <v>46111</v>
      </c>
      <c r="B26" s="80" t="s">
        <v>201</v>
      </c>
      <c r="C26" s="184"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hidden="1" x14ac:dyDescent="0.3">
      <c r="A27" s="142">
        <v>46111</v>
      </c>
      <c r="B27" s="80" t="s">
        <v>203</v>
      </c>
      <c r="C27" s="184"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hidden="1" x14ac:dyDescent="0.3">
      <c r="A28" s="142">
        <v>46111</v>
      </c>
      <c r="B28" s="116" t="s">
        <v>226</v>
      </c>
      <c r="C28" s="184"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hidden="1" x14ac:dyDescent="0.3">
      <c r="A29" s="142">
        <v>46111</v>
      </c>
      <c r="B29" s="134" t="s">
        <v>225</v>
      </c>
      <c r="C29" s="184"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hidden="1" x14ac:dyDescent="0.3">
      <c r="A30" s="142">
        <v>46111</v>
      </c>
      <c r="B30" s="134" t="s">
        <v>242</v>
      </c>
      <c r="C30" s="184"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hidden="1" x14ac:dyDescent="0.3">
      <c r="A31" s="142">
        <v>46111</v>
      </c>
      <c r="B31" s="134" t="s">
        <v>245</v>
      </c>
      <c r="C31" s="184"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hidden="1" x14ac:dyDescent="0.3">
      <c r="A32" s="142">
        <v>46111</v>
      </c>
      <c r="B32" s="134" t="s">
        <v>230</v>
      </c>
      <c r="C32" s="184"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hidden="1" x14ac:dyDescent="0.3">
      <c r="A33" s="142">
        <v>46111</v>
      </c>
      <c r="B33" s="134" t="s">
        <v>258</v>
      </c>
      <c r="C33" s="184"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hidden="1" x14ac:dyDescent="0.3">
      <c r="A34" s="142">
        <v>46111</v>
      </c>
      <c r="B34" s="134" t="s">
        <v>273</v>
      </c>
      <c r="C34" s="184"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hidden="1" x14ac:dyDescent="0.3">
      <c r="A35" s="142">
        <v>46111</v>
      </c>
      <c r="B35" s="80" t="s">
        <v>25</v>
      </c>
      <c r="C35" s="184" t="s">
        <v>210</v>
      </c>
      <c r="D35" s="119" t="s">
        <v>183</v>
      </c>
      <c r="E35" s="83"/>
      <c r="F35" s="83"/>
      <c r="G35" s="83"/>
      <c r="H35" s="120" t="e">
        <f>_xlfn.XLOOKUP(Table1[[#This Row],[Shipment Number]], 'pivot '!A:A,'pivot '!G:G, "NF")</f>
        <v>#DIV/0!</v>
      </c>
      <c r="I35" s="120"/>
      <c r="J35" s="120">
        <f>_xlfn.XLOOKUP(Table1[[#This Row],[Party Name]],
[1]Billing!$R$5:$R$40,
[1]Billing!$Y$5:$Y$40)</f>
        <v>71359.729334308722</v>
      </c>
      <c r="K35" s="119"/>
      <c r="M35" s="10" t="str">
        <v>Rauf Khan</v>
      </c>
      <c r="P35"/>
      <c r="Q35"/>
      <c r="R35"/>
      <c r="S35"/>
      <c r="T35"/>
      <c r="U35"/>
      <c r="V35"/>
      <c r="W35"/>
      <c r="X35"/>
      <c r="Y35"/>
    </row>
    <row r="36" spans="1:25" hidden="1" x14ac:dyDescent="0.3">
      <c r="A36" s="142">
        <v>46111</v>
      </c>
      <c r="B36" s="80" t="s">
        <v>174</v>
      </c>
      <c r="C36" s="184" t="s">
        <v>210</v>
      </c>
      <c r="D36" s="119" t="s">
        <v>183</v>
      </c>
      <c r="E36" s="83"/>
      <c r="F36" s="83"/>
      <c r="G36" s="83"/>
      <c r="H36" s="120" t="e">
        <f>_xlfn.XLOOKUP(Table1[[#This Row],[Shipment Number]], 'pivot '!A:A,'pivot '!G:G, "NF")</f>
        <v>#DIV/0!</v>
      </c>
      <c r="I36" s="120"/>
      <c r="J36" s="120">
        <f>_xlfn.XLOOKUP(Table1[[#This Row],[Party Name]],
[1]Billing!$R$5:$R$40,
[1]Billing!$Y$5:$Y$40)</f>
        <v>44550.109729334312</v>
      </c>
      <c r="K36" s="119"/>
      <c r="M36" s="10" t="str">
        <v>Farhaan ali</v>
      </c>
      <c r="P36"/>
      <c r="Q36"/>
      <c r="R36"/>
      <c r="S36"/>
      <c r="T36"/>
      <c r="U36"/>
      <c r="V36"/>
      <c r="W36"/>
      <c r="X36"/>
      <c r="Y36"/>
    </row>
    <row r="37" spans="1:25" hidden="1" x14ac:dyDescent="0.3">
      <c r="A37" s="142">
        <v>46111</v>
      </c>
      <c r="B37" s="80" t="s">
        <v>176</v>
      </c>
      <c r="C37" s="184" t="s">
        <v>210</v>
      </c>
      <c r="D37" s="119" t="s">
        <v>184</v>
      </c>
      <c r="E37" s="83"/>
      <c r="F37" s="83"/>
      <c r="G37" s="83"/>
      <c r="H37" s="120" t="e">
        <f>_xlfn.XLOOKUP(Table1[[#This Row],[Shipment Number]], 'pivot '!A:A,'pivot '!G:G, "NF")</f>
        <v>#DIV/0!</v>
      </c>
      <c r="I37" s="120"/>
      <c r="J37" s="120">
        <f>_xlfn.XLOOKUP(Table1[[#This Row],[Party Name]],
[1]Billing!$R$5:$R$40,
[1]Billing!$Z$5:$Z$40)</f>
        <v>94656.181419166067</v>
      </c>
      <c r="K37" s="119"/>
      <c r="M37" s="10" t="str">
        <v>ACM salman zaffar</v>
      </c>
      <c r="P37"/>
      <c r="Q37"/>
      <c r="R37"/>
      <c r="S37"/>
      <c r="T37"/>
      <c r="U37"/>
      <c r="V37"/>
      <c r="W37"/>
      <c r="X37"/>
      <c r="Y37"/>
    </row>
    <row r="38" spans="1:25" hidden="1" x14ac:dyDescent="0.3">
      <c r="A38" s="142">
        <v>46111</v>
      </c>
      <c r="B38" s="119" t="s">
        <v>24</v>
      </c>
      <c r="C38" s="184" t="s">
        <v>210</v>
      </c>
      <c r="D38" s="119" t="s">
        <v>184</v>
      </c>
      <c r="E38" s="83"/>
      <c r="F38" s="83"/>
      <c r="G38" s="83"/>
      <c r="H38" s="120" t="e">
        <f>_xlfn.XLOOKUP(Table1[[#This Row],[Shipment Number]], 'pivot '!A:A,'pivot '!G:G, "NF")</f>
        <v>#DIV/0!</v>
      </c>
      <c r="I38" s="120"/>
      <c r="J38" s="120">
        <f>_xlfn.XLOOKUP(Table1[[#This Row],[Party Name]],
[1]Billing!$R$5:$R$40,
[1]Billing!$Z$5:$Z$40)</f>
        <v>239959.76591075349</v>
      </c>
      <c r="K38" s="119"/>
      <c r="M38" s="10">
        <v>0</v>
      </c>
      <c r="P38"/>
      <c r="Q38"/>
      <c r="R38"/>
      <c r="S38"/>
      <c r="T38"/>
      <c r="U38"/>
      <c r="V38"/>
      <c r="W38"/>
      <c r="X38"/>
      <c r="Y38"/>
    </row>
    <row r="39" spans="1:25" hidden="1" x14ac:dyDescent="0.3">
      <c r="A39" s="142">
        <v>46111</v>
      </c>
      <c r="B39" s="80" t="s">
        <v>182</v>
      </c>
      <c r="C39" s="184" t="s">
        <v>210</v>
      </c>
      <c r="D39" s="119" t="s">
        <v>198</v>
      </c>
      <c r="E39" s="83"/>
      <c r="F39" s="83"/>
      <c r="G39" s="83"/>
      <c r="H39" s="120" t="e">
        <f>_xlfn.XLOOKUP(Table1[[#This Row],[Shipment Number]], 'pivot '!A:A,'pivot '!G:G, "NF")</f>
        <v>#DIV/0!</v>
      </c>
      <c r="I39" s="120"/>
      <c r="J39" s="120">
        <f>_xlfn.XLOOKUP(Table1[[#This Row],[Party Name]],
[1]Billing!$R$5:$R$40,
[1]Billing!$AA$5:$AA$40)</f>
        <v>161653.2553035845</v>
      </c>
      <c r="K39" s="119"/>
      <c r="M39" s="10" t="str">
        <v>Moeez badshah</v>
      </c>
      <c r="P39"/>
      <c r="Q39"/>
      <c r="R39"/>
      <c r="S39"/>
      <c r="T39"/>
      <c r="U39"/>
      <c r="V39"/>
      <c r="W39"/>
      <c r="X39"/>
      <c r="Y39"/>
    </row>
    <row r="40" spans="1:25" hidden="1" x14ac:dyDescent="0.3">
      <c r="A40" s="142">
        <v>46111</v>
      </c>
      <c r="B40" s="119" t="s">
        <v>189</v>
      </c>
      <c r="C40" s="184" t="s">
        <v>210</v>
      </c>
      <c r="D40" s="119" t="s">
        <v>198</v>
      </c>
      <c r="E40" s="83"/>
      <c r="F40" s="83"/>
      <c r="G40" s="83"/>
      <c r="H40" s="120" t="e">
        <f>_xlfn.XLOOKUP(Table1[[#This Row],[Shipment Number]], 'pivot '!A:A,'pivot '!G:G, "NF")</f>
        <v>#DIV/0!</v>
      </c>
      <c r="I40" s="120"/>
      <c r="J40" s="120">
        <f>_xlfn.XLOOKUP(Table1[[#This Row],[Party Name]],
[1]Billing!$R$5:$R$40,
[1]Billing!$AA$5:$AA$40)</f>
        <v>23767.373811265548</v>
      </c>
      <c r="K40" s="119"/>
      <c r="M40" s="10" t="str">
        <v>Bablu</v>
      </c>
      <c r="P40"/>
      <c r="Q40"/>
      <c r="R40"/>
      <c r="S40"/>
      <c r="T40"/>
      <c r="U40"/>
      <c r="V40"/>
      <c r="W40"/>
      <c r="X40"/>
      <c r="Y40"/>
    </row>
    <row r="41" spans="1:25" hidden="1" x14ac:dyDescent="0.3">
      <c r="A41" s="142">
        <v>46111</v>
      </c>
      <c r="B41" s="119" t="s">
        <v>25</v>
      </c>
      <c r="C41" s="184" t="s">
        <v>210</v>
      </c>
      <c r="D41" s="119" t="s">
        <v>198</v>
      </c>
      <c r="E41" s="83"/>
      <c r="F41" s="83"/>
      <c r="G41" s="83"/>
      <c r="H41" s="120" t="e">
        <f>_xlfn.XLOOKUP(Table1[[#This Row],[Shipment Number]], 'pivot '!A:A,'pivot '!G:G, "NF")</f>
        <v>#DIV/0!</v>
      </c>
      <c r="I41" s="120"/>
      <c r="J41" s="120">
        <f>_xlfn.XLOOKUP(Table1[[#This Row],[Party Name]],
[1]Billing!$R$5:$R$40,
[1]Billing!$AA$5:$AA$40)</f>
        <v>322297.00073152891</v>
      </c>
      <c r="K41" s="119"/>
      <c r="M41" s="10" t="str">
        <v>Sheikh Naveed</v>
      </c>
      <c r="P41"/>
      <c r="Q41"/>
      <c r="R41"/>
      <c r="S41"/>
      <c r="T41"/>
      <c r="U41"/>
      <c r="V41"/>
      <c r="W41"/>
      <c r="X41"/>
      <c r="Y41"/>
    </row>
    <row r="42" spans="1:25" hidden="1" x14ac:dyDescent="0.3">
      <c r="A42" s="142">
        <v>46111</v>
      </c>
      <c r="B42" s="119" t="s">
        <v>182</v>
      </c>
      <c r="C42" s="184" t="s">
        <v>210</v>
      </c>
      <c r="D42" s="119" t="s">
        <v>206</v>
      </c>
      <c r="E42" s="83"/>
      <c r="F42" s="83"/>
      <c r="G42" s="83"/>
      <c r="H42" s="120" t="e">
        <f>_xlfn.XLOOKUP(Table1[[#This Row],[Shipment Number]], 'pivot '!A:A,'pivot '!G:G, "NF")</f>
        <v>#DIV/0!</v>
      </c>
      <c r="I42" s="120"/>
      <c r="J42" s="120">
        <f>_xlfn.XLOOKUP(Table1[[#This Row],[Party Name]],
[1]Billing!$R$5:$R$40,
[1]Billing!$AB$5:$AB$40)</f>
        <v>1970409.6561814193</v>
      </c>
      <c r="K42" s="119"/>
      <c r="M42" s="10" t="str">
        <v>malik salman</v>
      </c>
      <c r="P42"/>
      <c r="Q42"/>
      <c r="R42"/>
      <c r="S42"/>
      <c r="T42"/>
      <c r="U42"/>
      <c r="V42"/>
      <c r="W42"/>
      <c r="X42"/>
      <c r="Y42"/>
    </row>
    <row r="43" spans="1:25" hidden="1" x14ac:dyDescent="0.3">
      <c r="A43" s="142">
        <v>46111</v>
      </c>
      <c r="B43" s="80" t="s">
        <v>189</v>
      </c>
      <c r="C43" s="184" t="s">
        <v>210</v>
      </c>
      <c r="D43" s="119" t="s">
        <v>206</v>
      </c>
      <c r="E43" s="83"/>
      <c r="F43" s="83"/>
      <c r="G43" s="83"/>
      <c r="H43" s="120" t="e">
        <f>_xlfn.XLOOKUP(Table1[[#This Row],[Shipment Number]], 'pivot '!A:A,'pivot '!G:G, "NF")</f>
        <v>#DIV/0!</v>
      </c>
      <c r="I43" s="120"/>
      <c r="J43" s="120">
        <f>_xlfn.XLOOKUP(Table1[[#This Row],[Party Name]],
[1]Billing!$R$5:$R$40,
[1]Billing!$AB$5:$AB$40)</f>
        <v>523143.74542794435</v>
      </c>
      <c r="K43" s="119"/>
      <c r="M43" s="10" t="str">
        <v>Rehan Butt</v>
      </c>
      <c r="P43"/>
      <c r="Q43"/>
      <c r="R43"/>
      <c r="S43"/>
      <c r="T43"/>
      <c r="U43"/>
      <c r="V43"/>
      <c r="W43"/>
      <c r="X43"/>
      <c r="Y43"/>
    </row>
    <row r="44" spans="1:25" hidden="1" x14ac:dyDescent="0.3">
      <c r="A44" s="142">
        <v>46111</v>
      </c>
      <c r="B44" s="119" t="s">
        <v>258</v>
      </c>
      <c r="C44" s="184" t="s">
        <v>210</v>
      </c>
      <c r="D44" s="148" t="s">
        <v>206</v>
      </c>
      <c r="E44" s="83"/>
      <c r="F44" s="83"/>
      <c r="G44" s="83"/>
      <c r="H44" s="120" t="e">
        <f>_xlfn.XLOOKUP(Table1[[#This Row],[Shipment Number]], 'pivot '!A:A,'pivot '!G:G, "NF")</f>
        <v>#DIV/0!</v>
      </c>
      <c r="I44" s="120"/>
      <c r="J44" s="120">
        <f>_xlfn.XLOOKUP(Table1[[#This Row],[Party Name]],
[1]Billing!$R$5:$R$40,
[1]Billing!$AB$5:$AB$40)</f>
        <v>659577.54206291155</v>
      </c>
      <c r="K44" s="119"/>
      <c r="M44" s="10" t="str">
        <v>Usama Nadeem</v>
      </c>
      <c r="P44"/>
      <c r="Q44"/>
      <c r="R44"/>
      <c r="S44"/>
      <c r="T44"/>
      <c r="U44"/>
      <c r="V44"/>
      <c r="W44"/>
      <c r="X44"/>
      <c r="Y44"/>
    </row>
    <row r="45" spans="1:25" hidden="1" x14ac:dyDescent="0.3">
      <c r="A45" s="142">
        <v>46111</v>
      </c>
      <c r="B45" s="119" t="s">
        <v>21</v>
      </c>
      <c r="C45" s="184" t="s">
        <v>210</v>
      </c>
      <c r="D45" s="119" t="s">
        <v>206</v>
      </c>
      <c r="E45" s="95"/>
      <c r="F45" s="95"/>
      <c r="G45" s="95"/>
      <c r="H45" s="120" t="e">
        <f>_xlfn.XLOOKUP(Table1[[#This Row],[Shipment Number]], 'pivot '!A:A,'pivot '!G:G, "NF")</f>
        <v>#DIV/0!</v>
      </c>
      <c r="I45" s="156"/>
      <c r="J45" s="120">
        <f>_xlfn.XLOOKUP(Table1[[#This Row],[Party Name]],
[1]Billing!$R$5:$R$40,
[1]Billing!$AB$5:$AB$40)</f>
        <v>2127095.8302852963</v>
      </c>
      <c r="K45" s="155"/>
      <c r="M45" s="10" t="str">
        <v>Abdul Wahid</v>
      </c>
      <c r="P45"/>
      <c r="Q45"/>
      <c r="R45"/>
      <c r="S45"/>
      <c r="T45"/>
      <c r="U45"/>
      <c r="V45"/>
      <c r="W45"/>
      <c r="X45"/>
      <c r="Y45"/>
    </row>
    <row r="46" spans="1:25" hidden="1" x14ac:dyDescent="0.3">
      <c r="A46" s="142">
        <v>46111</v>
      </c>
      <c r="B46" s="80" t="s">
        <v>203</v>
      </c>
      <c r="C46" s="184" t="s">
        <v>210</v>
      </c>
      <c r="D46" s="119" t="s">
        <v>204</v>
      </c>
      <c r="E46" s="83"/>
      <c r="F46" s="83"/>
      <c r="G46" s="83"/>
      <c r="H46" s="120" t="e">
        <f>_xlfn.XLOOKUP(Table1[[#This Row],[Shipment Number]], 'pivot '!A:A,'pivot '!G:G, "NF")</f>
        <v>#DIV/0!</v>
      </c>
      <c r="I46" s="120"/>
      <c r="J46" s="120">
        <f>_xlfn.XLOOKUP(Table1[[#This Row],[Party Name]],
[1]Billing!$R$5:$R$40,
[1]Billing!$AC$5:$AC$40)</f>
        <v>151504.2062911485</v>
      </c>
      <c r="K46" s="119"/>
      <c r="M46" s="10" t="str">
        <v>mesum</v>
      </c>
      <c r="P46"/>
      <c r="Q46"/>
      <c r="R46"/>
      <c r="S46"/>
      <c r="T46"/>
      <c r="U46"/>
      <c r="V46"/>
      <c r="W46"/>
      <c r="X46"/>
      <c r="Y46"/>
    </row>
    <row r="47" spans="1:25" hidden="1" x14ac:dyDescent="0.3">
      <c r="A47" s="142">
        <v>46111</v>
      </c>
      <c r="B47" s="119" t="s">
        <v>245</v>
      </c>
      <c r="C47" s="184" t="s">
        <v>210</v>
      </c>
      <c r="D47" s="119" t="s">
        <v>625</v>
      </c>
      <c r="E47" s="95"/>
      <c r="F47" s="95"/>
      <c r="G47" s="95"/>
      <c r="H47" s="120"/>
      <c r="I47" s="156"/>
      <c r="J47" s="120">
        <f>_xlfn.XLOOKUP(Table1[[#This Row],[Party Name]],
[1]Billing!$R$5:$R$40,
[1]Billing!$AD$5:$AD$40)</f>
        <v>51636.795903438193</v>
      </c>
      <c r="K47" s="155"/>
      <c r="M47" s="10" t="str">
        <v>Qasim Latif</v>
      </c>
      <c r="P47"/>
      <c r="Q47"/>
      <c r="R47"/>
      <c r="S47"/>
      <c r="T47"/>
      <c r="U47"/>
      <c r="V47"/>
      <c r="W47"/>
      <c r="X47"/>
      <c r="Y47"/>
    </row>
    <row r="48" spans="1:25" hidden="1" x14ac:dyDescent="0.3">
      <c r="A48" s="142">
        <v>46111</v>
      </c>
      <c r="B48" s="80" t="s">
        <v>21</v>
      </c>
      <c r="C48" s="184" t="s">
        <v>210</v>
      </c>
      <c r="D48" s="119" t="s">
        <v>86</v>
      </c>
      <c r="E48" s="83"/>
      <c r="F48" s="83"/>
      <c r="G48" s="83"/>
      <c r="H48" s="120" t="e">
        <f>_xlfn.XLOOKUP(Table1[[#This Row],[Shipment Number]], 'pivot '!A:A,'pivot '!G:G, "NF")</f>
        <v>#DIV/0!</v>
      </c>
      <c r="I48" s="120">
        <f>_xlfn.XLOOKUP(Table1[[#This Row],[Party Name]],
[1]Billing!$R$5:$R$40,
[1]Billing!$V$5:$V$40)</f>
        <v>654441.2948061449</v>
      </c>
      <c r="J48" s="120">
        <f>_xlfn.XLOOKUP(Table1[[#This Row],[Party Name]],
[1]Billing!$R$5:$R$40,
[1]Billing!$X$5:$X$40)</f>
        <v>8419380.9436722752</v>
      </c>
      <c r="K48" s="119"/>
      <c r="M48" s="10" t="str">
        <v>G star</v>
      </c>
      <c r="P48"/>
      <c r="Q48"/>
      <c r="R48"/>
      <c r="S48"/>
      <c r="T48"/>
      <c r="U48"/>
      <c r="V48"/>
      <c r="W48"/>
      <c r="X48"/>
      <c r="Y48"/>
    </row>
    <row r="49" spans="1:25" hidden="1" x14ac:dyDescent="0.3">
      <c r="A49" s="142">
        <v>46111</v>
      </c>
      <c r="B49" s="80" t="s">
        <v>22</v>
      </c>
      <c r="C49" s="184" t="s">
        <v>210</v>
      </c>
      <c r="D49" s="119" t="s">
        <v>86</v>
      </c>
      <c r="E49" s="83"/>
      <c r="F49" s="83"/>
      <c r="G49" s="83"/>
      <c r="H49" s="120" t="e">
        <f>_xlfn.XLOOKUP(Table1[[#This Row],[Shipment Number]], 'pivot '!A:A,'pivot '!G:G, "NF")</f>
        <v>#DIV/0!</v>
      </c>
      <c r="I49" s="120">
        <f>_xlfn.XLOOKUP(Table1[[#This Row],[Party Name]],
[1]Billing!$R$5:$R$40,
[1]Billing!$V$5:$V$40)</f>
        <v>445562.36283833213</v>
      </c>
      <c r="J49" s="120">
        <f>_xlfn.XLOOKUP(Table1[[#This Row],[Party Name]],
[1]Billing!$R$5:$R$40,
[1]Billing!$X$5:$X$40)</f>
        <v>5733166.6057059262</v>
      </c>
      <c r="K49" s="119"/>
      <c r="M49" s="10" t="str">
        <v>Raza Khan</v>
      </c>
      <c r="P49"/>
      <c r="Q49"/>
      <c r="R49"/>
      <c r="S49"/>
      <c r="T49"/>
      <c r="U49"/>
      <c r="V49"/>
      <c r="W49"/>
      <c r="X49"/>
      <c r="Y49"/>
    </row>
    <row r="50" spans="1:25" hidden="1" x14ac:dyDescent="0.3">
      <c r="A50" s="142">
        <v>46111</v>
      </c>
      <c r="B50" s="80" t="s">
        <v>9</v>
      </c>
      <c r="C50" s="184" t="s">
        <v>210</v>
      </c>
      <c r="D50" s="119" t="s">
        <v>86</v>
      </c>
      <c r="E50" s="83"/>
      <c r="F50" s="83"/>
      <c r="G50" s="83"/>
      <c r="H50" s="120" t="e">
        <f>_xlfn.XLOOKUP(Table1[[#This Row],[Shipment Number]], 'pivot '!A:A,'pivot '!G:G, "NF")</f>
        <v>#DIV/0!</v>
      </c>
      <c r="I50" s="120">
        <f>_xlfn.XLOOKUP(Table1[[#This Row],[Party Name]],
[1]Billing!$R$5:$R$40,
[1]Billing!$V$5:$V$40)</f>
        <v>165525.78639356254</v>
      </c>
      <c r="J50" s="120">
        <f>_xlfn.XLOOKUP(Table1[[#This Row],[Party Name]],
[1]Billing!$R$5:$R$40,
[1]Billing!$X$5:$X$40)</f>
        <v>2137040.9656181419</v>
      </c>
      <c r="K50" s="119"/>
      <c r="P50"/>
      <c r="Q50"/>
      <c r="R50"/>
      <c r="S50"/>
      <c r="T50"/>
      <c r="U50"/>
      <c r="V50"/>
      <c r="W50"/>
      <c r="X50"/>
      <c r="Y50"/>
    </row>
    <row r="51" spans="1:25" hidden="1" x14ac:dyDescent="0.3">
      <c r="A51" s="142">
        <v>46111</v>
      </c>
      <c r="B51" s="80" t="s">
        <v>23</v>
      </c>
      <c r="C51" s="184" t="s">
        <v>210</v>
      </c>
      <c r="D51" s="119" t="s">
        <v>86</v>
      </c>
      <c r="E51" s="83"/>
      <c r="F51" s="83"/>
      <c r="G51" s="83"/>
      <c r="H51" s="120" t="e">
        <f>_xlfn.XLOOKUP(Table1[[#This Row],[Shipment Number]], 'pivot '!A:A,'pivot '!G:G, "NF")</f>
        <v>#DIV/0!</v>
      </c>
      <c r="I51" s="120">
        <f>_xlfn.XLOOKUP(Table1[[#This Row],[Party Name]],
[1]Billing!$R$5:$R$40,
[1]Billing!$V$5:$V$40)</f>
        <v>0</v>
      </c>
      <c r="J51" s="120">
        <f>_xlfn.XLOOKUP(Table1[[#This Row],[Party Name]],
[1]Billing!$R$5:$R$40,
[1]Billing!$X$5:$X$40)</f>
        <v>0</v>
      </c>
      <c r="K51" s="119"/>
      <c r="P51"/>
      <c r="Q51"/>
      <c r="R51"/>
      <c r="S51"/>
      <c r="T51"/>
      <c r="U51"/>
      <c r="V51"/>
      <c r="W51"/>
      <c r="X51"/>
      <c r="Y51"/>
    </row>
    <row r="52" spans="1:25" hidden="1" x14ac:dyDescent="0.3">
      <c r="A52" s="142">
        <v>46111</v>
      </c>
      <c r="B52" s="80" t="s">
        <v>24</v>
      </c>
      <c r="C52" s="184" t="s">
        <v>210</v>
      </c>
      <c r="D52" s="119" t="s">
        <v>86</v>
      </c>
      <c r="E52" s="83"/>
      <c r="F52" s="83"/>
      <c r="G52" s="83"/>
      <c r="H52" s="120" t="e">
        <f>_xlfn.XLOOKUP(Table1[[#This Row],[Shipment Number]], 'pivot '!A:A,'pivot '!G:G, "NF")</f>
        <v>#DIV/0!</v>
      </c>
      <c r="I52" s="120">
        <f>_xlfn.XLOOKUP(Table1[[#This Row],[Party Name]],
[1]Billing!$R$5:$R$40,
[1]Billing!$V$5:$V$40)</f>
        <v>485823.88441843458</v>
      </c>
      <c r="J52" s="120">
        <f>_xlfn.XLOOKUP(Table1[[#This Row],[Party Name]],
[1]Billing!$R$5:$R$40,
[1]Billing!$X$5:$X$40)</f>
        <v>5829886.6130212145</v>
      </c>
      <c r="K52" s="119"/>
      <c r="P52"/>
      <c r="Q52"/>
      <c r="R52"/>
      <c r="S52"/>
      <c r="T52"/>
      <c r="U52"/>
      <c r="V52"/>
      <c r="W52"/>
      <c r="X52"/>
      <c r="Y52"/>
    </row>
    <row r="53" spans="1:25" hidden="1" x14ac:dyDescent="0.3">
      <c r="A53" s="142">
        <v>46111</v>
      </c>
      <c r="B53" s="80" t="s">
        <v>25</v>
      </c>
      <c r="C53" s="184" t="s">
        <v>210</v>
      </c>
      <c r="D53" s="119" t="s">
        <v>86</v>
      </c>
      <c r="E53" s="83"/>
      <c r="F53" s="83"/>
      <c r="G53" s="83"/>
      <c r="H53" s="120" t="e">
        <f>_xlfn.XLOOKUP(Table1[[#This Row],[Shipment Number]], 'pivot '!A:A,'pivot '!G:G, "NF")</f>
        <v>#DIV/0!</v>
      </c>
      <c r="I53" s="120">
        <f>_xlfn.XLOOKUP(Table1[[#This Row],[Party Name]],
[1]Billing!$R$5:$R$40,
[1]Billing!$V$5:$V$40)</f>
        <v>0</v>
      </c>
      <c r="J53" s="120">
        <f>_xlfn.XLOOKUP(Table1[[#This Row],[Party Name]],
[1]Billing!$R$5:$R$40,
[1]Billing!$X$5:$X$40)</f>
        <v>0</v>
      </c>
      <c r="K53" s="119"/>
      <c r="P53"/>
      <c r="Q53"/>
      <c r="R53"/>
      <c r="S53"/>
      <c r="T53"/>
      <c r="U53"/>
      <c r="V53"/>
      <c r="W53"/>
      <c r="X53"/>
      <c r="Y53"/>
    </row>
    <row r="54" spans="1:25" hidden="1" x14ac:dyDescent="0.3">
      <c r="A54" s="142">
        <v>46111</v>
      </c>
      <c r="B54" s="80" t="s">
        <v>26</v>
      </c>
      <c r="C54" s="184" t="s">
        <v>210</v>
      </c>
      <c r="D54" s="119" t="s">
        <v>86</v>
      </c>
      <c r="E54" s="83"/>
      <c r="F54" s="83"/>
      <c r="G54" s="83"/>
      <c r="H54" s="120" t="e">
        <f>_xlfn.XLOOKUP(Table1[[#This Row],[Shipment Number]], 'pivot '!A:A,'pivot '!G:G, "NF")</f>
        <v>#DIV/0!</v>
      </c>
      <c r="I54" s="120">
        <f>_xlfn.XLOOKUP(Table1[[#This Row],[Party Name]],
[1]Billing!$R$5:$R$40,
[1]Billing!$V$5:$V$40)</f>
        <v>0</v>
      </c>
      <c r="J54" s="120">
        <f>_xlfn.XLOOKUP(Table1[[#This Row],[Party Name]],
[1]Billing!$R$5:$R$40,
[1]Billing!$X$5:$X$40)</f>
        <v>0</v>
      </c>
      <c r="K54" s="119"/>
      <c r="P54"/>
      <c r="Q54"/>
      <c r="R54"/>
      <c r="S54"/>
      <c r="T54"/>
      <c r="U54"/>
      <c r="V54"/>
      <c r="W54"/>
      <c r="X54"/>
      <c r="Y54"/>
    </row>
    <row r="55" spans="1:25" hidden="1" x14ac:dyDescent="0.3">
      <c r="A55" s="142">
        <v>46111</v>
      </c>
      <c r="B55" s="80" t="s">
        <v>151</v>
      </c>
      <c r="C55" s="184" t="s">
        <v>210</v>
      </c>
      <c r="D55" s="119" t="s">
        <v>86</v>
      </c>
      <c r="E55" s="83"/>
      <c r="F55" s="83"/>
      <c r="G55" s="83"/>
      <c r="H55" s="120" t="e">
        <f>_xlfn.XLOOKUP(Table1[[#This Row],[Shipment Number]], 'pivot '!A:A,'pivot '!G:G, "NF")</f>
        <v>#DIV/0!</v>
      </c>
      <c r="I55" s="120">
        <f>_xlfn.XLOOKUP(Table1[[#This Row],[Party Name]],
[1]Billing!$R$5:$R$40,
[1]Billing!$V$5:$V$40)</f>
        <v>183991.40453547917</v>
      </c>
      <c r="J55" s="120">
        <f>_xlfn.XLOOKUP(Table1[[#This Row],[Party Name]],
[1]Billing!$R$5:$R$40,
[1]Billing!$X$5:$X$40)</f>
        <v>2391888.2589612291</v>
      </c>
      <c r="K55" s="119"/>
      <c r="P55"/>
      <c r="Q55"/>
      <c r="R55"/>
      <c r="S55"/>
      <c r="T55"/>
      <c r="U55"/>
      <c r="V55"/>
      <c r="W55"/>
      <c r="X55"/>
      <c r="Y55"/>
    </row>
    <row r="56" spans="1:25" hidden="1" x14ac:dyDescent="0.3">
      <c r="A56" s="142">
        <v>46111</v>
      </c>
      <c r="B56" s="80" t="s">
        <v>35</v>
      </c>
      <c r="C56" s="184" t="s">
        <v>210</v>
      </c>
      <c r="D56" s="119" t="s">
        <v>86</v>
      </c>
      <c r="E56" s="83"/>
      <c r="F56" s="83"/>
      <c r="G56" s="83"/>
      <c r="H56" s="120" t="e">
        <f>_xlfn.XLOOKUP(Table1[[#This Row],[Shipment Number]], 'pivot '!A:A,'pivot '!G:G, "NF")</f>
        <v>#DIV/0!</v>
      </c>
      <c r="I56" s="120">
        <f>_xlfn.XLOOKUP(Table1[[#This Row],[Party Name]],
[1]Billing!$R$5:$R$40,
[1]Billing!$V$5:$V$40)</f>
        <v>112548.46378931969</v>
      </c>
      <c r="J56" s="120">
        <f>_xlfn.XLOOKUP(Table1[[#This Row],[Party Name]],
[1]Billing!$R$5:$R$40,
[1]Billing!$X$5:$X$40)</f>
        <v>1448134.6013167519</v>
      </c>
      <c r="K56" s="119"/>
      <c r="P56"/>
      <c r="Q56"/>
      <c r="R56"/>
      <c r="S56"/>
      <c r="T56"/>
      <c r="U56"/>
      <c r="V56"/>
      <c r="W56"/>
      <c r="X56"/>
      <c r="Y56"/>
    </row>
    <row r="57" spans="1:25" hidden="1" x14ac:dyDescent="0.3">
      <c r="A57" s="142">
        <v>46111</v>
      </c>
      <c r="B57" s="80" t="s">
        <v>147</v>
      </c>
      <c r="C57" s="184" t="s">
        <v>210</v>
      </c>
      <c r="D57" s="119" t="s">
        <v>86</v>
      </c>
      <c r="E57" s="83"/>
      <c r="F57" s="83"/>
      <c r="G57" s="83"/>
      <c r="H57" s="120" t="e">
        <f>_xlfn.XLOOKUP(Table1[[#This Row],[Shipment Number]], 'pivot '!A:A,'pivot '!G:G, "NF")</f>
        <v>#DIV/0!</v>
      </c>
      <c r="I57" s="120">
        <f>_xlfn.XLOOKUP(Table1[[#This Row],[Party Name]],
[1]Billing!$R$5:$R$40,
[1]Billing!$V$5:$V$40)</f>
        <v>0</v>
      </c>
      <c r="J57" s="120">
        <f>_xlfn.XLOOKUP(Table1[[#This Row],[Party Name]],
[1]Billing!$R$5:$R$40,
[1]Billing!$X$5:$X$40)</f>
        <v>0</v>
      </c>
      <c r="K57" s="119"/>
      <c r="P57"/>
      <c r="Q57"/>
      <c r="R57"/>
      <c r="S57"/>
      <c r="T57"/>
      <c r="U57"/>
      <c r="V57"/>
      <c r="W57"/>
      <c r="X57"/>
      <c r="Y57"/>
    </row>
    <row r="58" spans="1:25" hidden="1" x14ac:dyDescent="0.3">
      <c r="A58" s="142">
        <v>46111</v>
      </c>
      <c r="B58" s="80" t="s">
        <v>27</v>
      </c>
      <c r="C58" s="184"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hidden="1" x14ac:dyDescent="0.3">
      <c r="A59" s="142">
        <v>46111</v>
      </c>
      <c r="B59" s="80" t="s">
        <v>165</v>
      </c>
      <c r="C59" s="184" t="s">
        <v>210</v>
      </c>
      <c r="D59" s="119" t="s">
        <v>86</v>
      </c>
      <c r="E59" s="83"/>
      <c r="F59" s="83"/>
      <c r="G59" s="83"/>
      <c r="H59" s="120" t="e">
        <f>_xlfn.XLOOKUP(Table1[[#This Row],[Shipment Number]], 'pivot '!A:A,'pivot '!G:G, "NF")</f>
        <v>#DIV/0!</v>
      </c>
      <c r="I59" s="120">
        <f>_xlfn.XLOOKUP(Table1[[#This Row],[Party Name]],
[1]Billing!$R$5:$R$40,
[1]Billing!$V$5:$V$40)</f>
        <v>141474.94513533285</v>
      </c>
      <c r="J59" s="120">
        <f>_xlfn.XLOOKUP(Table1[[#This Row],[Party Name]],
[1]Billing!$R$5:$R$40,
[1]Billing!$X$5:$X$40)</f>
        <v>1776019.5683979518</v>
      </c>
      <c r="K59" s="119"/>
      <c r="P59"/>
      <c r="Q59"/>
      <c r="R59"/>
      <c r="S59"/>
      <c r="T59"/>
      <c r="U59"/>
    </row>
    <row r="60" spans="1:25" hidden="1" x14ac:dyDescent="0.3">
      <c r="A60" s="142">
        <v>46111</v>
      </c>
      <c r="B60" s="80" t="s">
        <v>218</v>
      </c>
      <c r="C60" s="184"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hidden="1" x14ac:dyDescent="0.3">
      <c r="A61" s="142">
        <v>46111</v>
      </c>
      <c r="B61" s="80" t="s">
        <v>169</v>
      </c>
      <c r="C61" s="184" t="s">
        <v>210</v>
      </c>
      <c r="D61" s="119" t="s">
        <v>86</v>
      </c>
      <c r="E61" s="83"/>
      <c r="F61" s="83"/>
      <c r="G61" s="83"/>
      <c r="H61" s="120" t="e">
        <f>_xlfn.XLOOKUP(Table1[[#This Row],[Shipment Number]], 'pivot '!A:A,'pivot '!G:G, "NF")</f>
        <v>#DIV/0!</v>
      </c>
      <c r="I61" s="120">
        <f>_xlfn.XLOOKUP(Table1[[#This Row],[Party Name]],
[1]Billing!$R$5:$R$40,
[1]Billing!$V$5:$V$40)</f>
        <v>0</v>
      </c>
      <c r="J61" s="120">
        <f>_xlfn.XLOOKUP(Table1[[#This Row],[Party Name]],
[1]Billing!$R$5:$R$40,
[1]Billing!$X$5:$X$40)</f>
        <v>0</v>
      </c>
      <c r="K61" s="119"/>
      <c r="M61"/>
      <c r="P61"/>
      <c r="Q61"/>
      <c r="R61"/>
      <c r="S61"/>
    </row>
    <row r="62" spans="1:25" hidden="1" x14ac:dyDescent="0.3">
      <c r="A62" s="142">
        <v>46111</v>
      </c>
      <c r="B62" s="80" t="s">
        <v>170</v>
      </c>
      <c r="C62" s="184" t="s">
        <v>210</v>
      </c>
      <c r="D62" s="119" t="s">
        <v>86</v>
      </c>
      <c r="E62" s="83"/>
      <c r="F62" s="83"/>
      <c r="G62" s="83"/>
      <c r="H62" s="120" t="e">
        <f>_xlfn.XLOOKUP(Table1[[#This Row],[Shipment Number]], 'pivot '!A:A,'pivot '!G:G, "NF")</f>
        <v>#DIV/0!</v>
      </c>
      <c r="I62" s="120">
        <f>_xlfn.XLOOKUP(Table1[[#This Row],[Party Name]],
[1]Billing!$R$5:$R$40,
[1]Billing!$V$5:$V$40)</f>
        <v>0</v>
      </c>
      <c r="J62" s="120">
        <f>_xlfn.XLOOKUP(Table1[[#This Row],[Party Name]],
[1]Billing!$R$5:$R$40,
[1]Billing!$X$5:$X$40)</f>
        <v>0</v>
      </c>
      <c r="K62" s="119"/>
      <c r="M62"/>
      <c r="P62"/>
      <c r="Q62"/>
      <c r="R62"/>
      <c r="S62"/>
    </row>
    <row r="63" spans="1:25" hidden="1" x14ac:dyDescent="0.3">
      <c r="A63" s="142">
        <v>46111</v>
      </c>
      <c r="B63" s="80" t="s">
        <v>172</v>
      </c>
      <c r="C63" s="184" t="s">
        <v>210</v>
      </c>
      <c r="D63" s="119" t="s">
        <v>86</v>
      </c>
      <c r="E63" s="83"/>
      <c r="F63" s="83"/>
      <c r="G63" s="83"/>
      <c r="H63" s="120" t="e">
        <f>_xlfn.XLOOKUP(Table1[[#This Row],[Shipment Number]], 'pivot '!A:A,'pivot '!G:G, "NF")</f>
        <v>#DIV/0!</v>
      </c>
      <c r="I63" s="120">
        <f>_xlfn.XLOOKUP(Table1[[#This Row],[Party Name]],
[1]Billing!$R$5:$R$40,
[1]Billing!$V$5:$V$40)</f>
        <v>9232.809070958303</v>
      </c>
      <c r="J63" s="120">
        <f>_xlfn.XLOOKUP(Table1[[#This Row],[Party Name]],
[1]Billing!$R$5:$R$40,
[1]Billing!$X$5:$X$40)</f>
        <v>120026.51792245793</v>
      </c>
      <c r="K63" s="119"/>
      <c r="S63"/>
    </row>
    <row r="64" spans="1:25" hidden="1" x14ac:dyDescent="0.3">
      <c r="A64" s="142">
        <v>46111</v>
      </c>
      <c r="B64" s="80" t="s">
        <v>174</v>
      </c>
      <c r="C64" s="184" t="s">
        <v>210</v>
      </c>
      <c r="D64" s="119" t="s">
        <v>86</v>
      </c>
      <c r="E64" s="83"/>
      <c r="F64" s="83"/>
      <c r="G64" s="83"/>
      <c r="H64" s="120" t="e">
        <f>_xlfn.XLOOKUP(Table1[[#This Row],[Shipment Number]], 'pivot '!A:A,'pivot '!G:G, "NF")</f>
        <v>#DIV/0!</v>
      </c>
      <c r="I64" s="120">
        <f>_xlfn.XLOOKUP(Table1[[#This Row],[Party Name]],
[1]Billing!$R$5:$R$40,
[1]Billing!$V$5:$V$40)</f>
        <v>513809.43672275054</v>
      </c>
      <c r="J64" s="120">
        <f>_xlfn.XLOOKUP(Table1[[#This Row],[Party Name]],
[1]Billing!$R$5:$R$40,
[1]Billing!$X$5:$X$40)</f>
        <v>6679522.6773957582</v>
      </c>
      <c r="K64" s="119"/>
      <c r="S64"/>
    </row>
    <row r="65" spans="1:19" hidden="1" x14ac:dyDescent="0.3">
      <c r="A65" s="142">
        <v>46111</v>
      </c>
      <c r="B65" s="80" t="s">
        <v>176</v>
      </c>
      <c r="C65" s="184" t="s">
        <v>210</v>
      </c>
      <c r="D65" s="119" t="s">
        <v>86</v>
      </c>
      <c r="E65" s="83"/>
      <c r="F65" s="83"/>
      <c r="G65" s="83"/>
      <c r="H65" s="120" t="e">
        <f>_xlfn.XLOOKUP(Table1[[#This Row],[Shipment Number]], 'pivot '!A:A,'pivot '!G:G, "NF")</f>
        <v>#DIV/0!</v>
      </c>
      <c r="I65" s="120">
        <f>_xlfn.XLOOKUP(Table1[[#This Row],[Party Name]],
[1]Billing!$R$5:$R$40,
[1]Billing!$V$5:$V$40)</f>
        <v>7565.8376005852242</v>
      </c>
      <c r="J65" s="120">
        <f>_xlfn.XLOOKUP(Table1[[#This Row],[Party Name]],
[1]Billing!$R$5:$R$40,
[1]Billing!$X$5:$X$40)</f>
        <v>98355.888807607917</v>
      </c>
      <c r="K65" s="119"/>
      <c r="S65"/>
    </row>
    <row r="66" spans="1:19" hidden="1" x14ac:dyDescent="0.3">
      <c r="A66" s="142">
        <v>46111</v>
      </c>
      <c r="B66" s="80" t="s">
        <v>177</v>
      </c>
      <c r="C66" s="184" t="s">
        <v>210</v>
      </c>
      <c r="D66" s="119" t="s">
        <v>86</v>
      </c>
      <c r="E66" s="83"/>
      <c r="F66" s="83"/>
      <c r="G66" s="83"/>
      <c r="H66" s="120" t="e">
        <f>_xlfn.XLOOKUP(Table1[[#This Row],[Shipment Number]], 'pivot '!A:A,'pivot '!G:G, "NF")</f>
        <v>#DIV/0!</v>
      </c>
      <c r="I66" s="120">
        <f>_xlfn.XLOOKUP(Table1[[#This Row],[Party Name]],
[1]Billing!$R$5:$R$40,
[1]Billing!$V$5:$V$40)</f>
        <v>95441.660570592547</v>
      </c>
      <c r="J66" s="120">
        <f>_xlfn.XLOOKUP(Table1[[#This Row],[Party Name]],
[1]Billing!$R$5:$R$40,
[1]Billing!$X$5:$X$40)</f>
        <v>1240741.5874177031</v>
      </c>
      <c r="K66" s="119"/>
      <c r="S66"/>
    </row>
    <row r="67" spans="1:19" hidden="1" x14ac:dyDescent="0.3">
      <c r="A67" s="142">
        <v>46111</v>
      </c>
      <c r="B67" s="80" t="s">
        <v>182</v>
      </c>
      <c r="C67" s="184" t="s">
        <v>210</v>
      </c>
      <c r="D67" s="119" t="s">
        <v>86</v>
      </c>
      <c r="E67" s="83"/>
      <c r="F67" s="83"/>
      <c r="G67" s="83"/>
      <c r="H67" s="120" t="e">
        <f>_xlfn.XLOOKUP(Table1[[#This Row],[Shipment Number]], 'pivot '!A:A,'pivot '!G:G, "NF")</f>
        <v>#DIV/0!</v>
      </c>
      <c r="I67" s="120">
        <f>_xlfn.XLOOKUP(Table1[[#This Row],[Party Name]],
[1]Billing!$R$5:$R$40,
[1]Billing!$V$5:$V$40)</f>
        <v>31409.107534747625</v>
      </c>
      <c r="J67" s="120">
        <f>_xlfn.XLOOKUP(Table1[[#This Row],[Party Name]],
[1]Billing!$R$5:$R$40,
[1]Billing!$X$5:$X$40)</f>
        <v>408318.39795171918</v>
      </c>
      <c r="K67" s="119"/>
      <c r="S67"/>
    </row>
    <row r="68" spans="1:19" hidden="1" x14ac:dyDescent="0.3">
      <c r="A68" s="142">
        <v>46111</v>
      </c>
      <c r="B68" s="80" t="s">
        <v>189</v>
      </c>
      <c r="C68" s="184" t="s">
        <v>210</v>
      </c>
      <c r="D68" s="119" t="s">
        <v>86</v>
      </c>
      <c r="E68" s="83"/>
      <c r="F68" s="83"/>
      <c r="G68" s="83"/>
      <c r="H68" s="120" t="e">
        <f>_xlfn.XLOOKUP(Table1[[#This Row],[Shipment Number]], 'pivot '!A:A,'pivot '!G:G, "NF")</f>
        <v>#DIV/0!</v>
      </c>
      <c r="I68" s="120">
        <f>_xlfn.XLOOKUP(Table1[[#This Row],[Party Name]],
[1]Billing!$R$5:$R$40,
[1]Billing!$V$5:$V$40)</f>
        <v>0</v>
      </c>
      <c r="J68" s="120">
        <f>_xlfn.XLOOKUP(Table1[[#This Row],[Party Name]],
[1]Billing!$R$5:$R$40,
[1]Billing!$X$5:$X$40)</f>
        <v>0</v>
      </c>
      <c r="K68" s="119"/>
      <c r="S68"/>
    </row>
    <row r="69" spans="1:19" hidden="1" x14ac:dyDescent="0.3">
      <c r="A69" s="142">
        <v>46111</v>
      </c>
      <c r="B69" s="80" t="s">
        <v>192</v>
      </c>
      <c r="C69" s="184" t="s">
        <v>210</v>
      </c>
      <c r="D69" s="119" t="s">
        <v>86</v>
      </c>
      <c r="E69" s="83"/>
      <c r="F69" s="83"/>
      <c r="G69" s="83"/>
      <c r="H69" s="120" t="e">
        <f>_xlfn.XLOOKUP(Table1[[#This Row],[Shipment Number]], 'pivot '!A:A,'pivot '!G:G, "NF")</f>
        <v>#DIV/0!</v>
      </c>
      <c r="I69" s="120">
        <f>_xlfn.XLOOKUP(Table1[[#This Row],[Party Name]],
[1]Billing!$R$5:$R$40,
[1]Billing!$V$5:$V$40)</f>
        <v>0</v>
      </c>
      <c r="J69" s="120">
        <f>_xlfn.XLOOKUP(Table1[[#This Row],[Party Name]],
[1]Billing!$R$5:$R$40,
[1]Billing!$X$5:$X$40)</f>
        <v>0</v>
      </c>
      <c r="K69" s="119"/>
      <c r="S69"/>
    </row>
    <row r="70" spans="1:19" hidden="1" x14ac:dyDescent="0.3">
      <c r="A70" s="142">
        <v>46111</v>
      </c>
      <c r="B70" s="80" t="s">
        <v>191</v>
      </c>
      <c r="C70" s="184" t="s">
        <v>210</v>
      </c>
      <c r="D70" s="119" t="s">
        <v>86</v>
      </c>
      <c r="E70" s="83"/>
      <c r="F70" s="83"/>
      <c r="G70" s="83"/>
      <c r="H70" s="120" t="e">
        <f>_xlfn.XLOOKUP(Table1[[#This Row],[Shipment Number]], 'pivot '!A:A,'pivot '!G:G, "NF")</f>
        <v>#DIV/0!</v>
      </c>
      <c r="I70" s="120">
        <f>_xlfn.XLOOKUP(Table1[[#This Row],[Party Name]],
[1]Billing!$R$5:$R$40,
[1]Billing!$V$5:$V$40)</f>
        <v>125143.56254572056</v>
      </c>
      <c r="J70" s="120">
        <f>_xlfn.XLOOKUP(Table1[[#This Row],[Party Name]],
[1]Billing!$R$5:$R$40,
[1]Billing!$X$5:$X$40)</f>
        <v>1626866.3130943675</v>
      </c>
      <c r="K70" s="119"/>
      <c r="S70"/>
    </row>
    <row r="71" spans="1:19" hidden="1" x14ac:dyDescent="0.3">
      <c r="A71" s="142">
        <v>46111</v>
      </c>
      <c r="B71" s="80" t="s">
        <v>196</v>
      </c>
      <c r="C71" s="184" t="s">
        <v>210</v>
      </c>
      <c r="D71" s="119" t="s">
        <v>86</v>
      </c>
      <c r="E71" s="83"/>
      <c r="F71" s="83"/>
      <c r="G71" s="83"/>
      <c r="H71" s="120" t="e">
        <f>_xlfn.XLOOKUP(Table1[[#This Row],[Shipment Number]], 'pivot '!A:A,'pivot '!G:G, "NF")</f>
        <v>#DIV/0!</v>
      </c>
      <c r="I71" s="120">
        <f>_xlfn.XLOOKUP(Table1[[#This Row],[Party Name]],
[1]Billing!$R$5:$R$40,
[1]Billing!$V$5:$V$40)</f>
        <v>0</v>
      </c>
      <c r="J71" s="120">
        <f>_xlfn.XLOOKUP(Table1[[#This Row],[Party Name]],
[1]Billing!$R$5:$R$40,
[1]Billing!$X$5:$X$40)</f>
        <v>0</v>
      </c>
      <c r="K71" s="119"/>
      <c r="S71"/>
    </row>
    <row r="72" spans="1:19" hidden="1" x14ac:dyDescent="0.3">
      <c r="A72" s="142">
        <v>46111</v>
      </c>
      <c r="B72" s="80" t="s">
        <v>201</v>
      </c>
      <c r="C72" s="184" t="s">
        <v>210</v>
      </c>
      <c r="D72" s="119" t="s">
        <v>86</v>
      </c>
      <c r="E72" s="83"/>
      <c r="F72" s="83"/>
      <c r="G72" s="83"/>
      <c r="H72" s="120" t="e">
        <f>_xlfn.XLOOKUP(Table1[[#This Row],[Shipment Number]], 'pivot '!A:A,'pivot '!G:G, "NF")</f>
        <v>#DIV/0!</v>
      </c>
      <c r="I72" s="120">
        <f>_xlfn.XLOOKUP(Table1[[#This Row],[Party Name]],
[1]Billing!$R$5:$R$40,
[1]Billing!$V$5:$V$40)</f>
        <v>29626.005852231167</v>
      </c>
      <c r="J72" s="120">
        <f>_xlfn.XLOOKUP(Table1[[#This Row],[Party Name]],
[1]Billing!$R$5:$R$40,
[1]Billing!$X$5:$X$40)</f>
        <v>385138.07607900514</v>
      </c>
      <c r="K72" s="119"/>
      <c r="S72"/>
    </row>
    <row r="73" spans="1:19" hidden="1" x14ac:dyDescent="0.3">
      <c r="A73" s="142">
        <v>46111</v>
      </c>
      <c r="B73" s="80" t="s">
        <v>203</v>
      </c>
      <c r="C73" s="184" t="s">
        <v>210</v>
      </c>
      <c r="D73" s="119" t="s">
        <v>86</v>
      </c>
      <c r="E73" s="83"/>
      <c r="F73" s="83"/>
      <c r="G73" s="83"/>
      <c r="H73" s="120" t="e">
        <f>_xlfn.XLOOKUP(Table1[[#This Row],[Shipment Number]], 'pivot '!A:A,'pivot '!G:G, "NF")</f>
        <v>#DIV/0!</v>
      </c>
      <c r="I73" s="120">
        <f>_xlfn.XLOOKUP(Table1[[#This Row],[Party Name]],
[1]Billing!$R$5:$R$40,
[1]Billing!$V$5:$V$40)</f>
        <v>0</v>
      </c>
      <c r="J73" s="120">
        <f>_xlfn.XLOOKUP(Table1[[#This Row],[Party Name]],
[1]Billing!$R$5:$R$40,
[1]Billing!$X$5:$X$40)</f>
        <v>0</v>
      </c>
      <c r="K73" s="119"/>
    </row>
    <row r="74" spans="1:19" hidden="1" x14ac:dyDescent="0.3">
      <c r="A74" s="142">
        <v>46111</v>
      </c>
      <c r="B74" s="119" t="s">
        <v>226</v>
      </c>
      <c r="C74" s="184" t="s">
        <v>210</v>
      </c>
      <c r="D74" s="119" t="s">
        <v>86</v>
      </c>
      <c r="E74" s="83"/>
      <c r="F74" s="83"/>
      <c r="G74" s="83"/>
      <c r="H74" s="120" t="e">
        <f>_xlfn.XLOOKUP(Table1[[#This Row],[Shipment Number]], 'pivot '!A:A,'pivot '!G:G, "NF")</f>
        <v>#DIV/0!</v>
      </c>
      <c r="I74" s="120">
        <f>_xlfn.XLOOKUP(Table1[[#This Row],[Party Name]],
[1]Billing!$R$5:$R$40,
[1]Billing!$V$5:$V$40)</f>
        <v>86727.322604242872</v>
      </c>
      <c r="J74" s="120">
        <f>_xlfn.XLOOKUP(Table1[[#This Row],[Party Name]],
[1]Billing!$R$5:$R$40,
[1]Billing!$X$5:$X$40)</f>
        <v>1127455.1938551574</v>
      </c>
      <c r="K74" s="119"/>
    </row>
    <row r="75" spans="1:19" hidden="1" x14ac:dyDescent="0.3">
      <c r="A75" s="142">
        <v>46111</v>
      </c>
      <c r="B75" s="134" t="s">
        <v>225</v>
      </c>
      <c r="C75" s="184" t="s">
        <v>210</v>
      </c>
      <c r="D75" s="119" t="s">
        <v>86</v>
      </c>
      <c r="E75" s="83"/>
      <c r="F75" s="83"/>
      <c r="G75" s="83"/>
      <c r="H75" s="120" t="e">
        <f>_xlfn.XLOOKUP(Table1[[#This Row],[Shipment Number]], 'pivot '!A:A,'pivot '!G:G, "NF")</f>
        <v>#DIV/0!</v>
      </c>
      <c r="I75" s="120">
        <f>_xlfn.XLOOKUP(Table1[[#This Row],[Party Name]],
[1]Billing!$R$5:$R$40,
[1]Billing!$V$5:$V$40)</f>
        <v>45840.343818580841</v>
      </c>
      <c r="J75" s="120">
        <f>_xlfn.XLOOKUP(Table1[[#This Row],[Party Name]],
[1]Billing!$R$5:$R$40,
[1]Billing!$X$5:$X$40)</f>
        <v>595924.46964155091</v>
      </c>
      <c r="K75" s="119"/>
    </row>
    <row r="76" spans="1:19" hidden="1" x14ac:dyDescent="0.3">
      <c r="A76" s="142">
        <v>46111</v>
      </c>
      <c r="B76" s="134" t="s">
        <v>242</v>
      </c>
      <c r="C76" s="184" t="s">
        <v>210</v>
      </c>
      <c r="D76" s="119" t="s">
        <v>86</v>
      </c>
      <c r="E76" s="83"/>
      <c r="F76" s="83"/>
      <c r="G76" s="83"/>
      <c r="H76" s="120" t="e">
        <f>_xlfn.XLOOKUP(Table1[[#This Row],[Shipment Number]], 'pivot '!A:A,'pivot '!G:G, "NF")</f>
        <v>#DIV/0!</v>
      </c>
      <c r="I76" s="120">
        <f>_xlfn.XLOOKUP(Table1[[#This Row],[Party Name]],
[1]Billing!$R$5:$R$40,
[1]Billing!$V$5:$V$40)</f>
        <v>48958.485735186543</v>
      </c>
      <c r="J76" s="120">
        <f>_xlfn.XLOOKUP(Table1[[#This Row],[Party Name]],
[1]Billing!$R$5:$R$40,
[1]Billing!$X$5:$X$40)</f>
        <v>636460.3145574251</v>
      </c>
      <c r="K76" s="119"/>
    </row>
    <row r="77" spans="1:19" hidden="1" x14ac:dyDescent="0.3">
      <c r="A77" s="142">
        <v>46111</v>
      </c>
      <c r="B77" s="134" t="s">
        <v>245</v>
      </c>
      <c r="C77" s="184" t="s">
        <v>210</v>
      </c>
      <c r="D77" s="119" t="s">
        <v>86</v>
      </c>
      <c r="E77" s="83"/>
      <c r="F77" s="83"/>
      <c r="G77" s="83"/>
      <c r="H77" s="120" t="e">
        <f>_xlfn.XLOOKUP(Table1[[#This Row],[Shipment Number]], 'pivot '!A:A,'pivot '!G:G, "NF")</f>
        <v>#DIV/0!</v>
      </c>
      <c r="I77" s="120">
        <f>_xlfn.XLOOKUP(Table1[[#This Row],[Party Name]],
[1]Billing!$R$5:$R$40,
[1]Billing!$V$5:$V$40)</f>
        <v>1321.3240673006585</v>
      </c>
      <c r="J77" s="120">
        <f>_xlfn.XLOOKUP(Table1[[#This Row],[Party Name]],
[1]Billing!$R$5:$R$40,
[1]Billing!$X$5:$X$40)</f>
        <v>15855.888807607902</v>
      </c>
      <c r="K77" s="119"/>
    </row>
    <row r="78" spans="1:19" hidden="1" x14ac:dyDescent="0.3">
      <c r="A78" s="142">
        <v>46111</v>
      </c>
      <c r="B78" s="134" t="s">
        <v>230</v>
      </c>
      <c r="C78" s="184" t="s">
        <v>210</v>
      </c>
      <c r="D78" s="119" t="s">
        <v>86</v>
      </c>
      <c r="E78" s="83"/>
      <c r="F78" s="83"/>
      <c r="G78" s="83"/>
      <c r="H78" s="120" t="e">
        <f>_xlfn.XLOOKUP(Table1[[#This Row],[Shipment Number]], 'pivot '!A:A,'pivot '!G:G, "NF")</f>
        <v>#DIV/0!</v>
      </c>
      <c r="I78" s="120">
        <f>_xlfn.XLOOKUP(Table1[[#This Row],[Party Name]],
[1]Billing!$R$5:$R$40,
[1]Billing!$V$5:$V$40)</f>
        <v>0</v>
      </c>
      <c r="J78" s="120">
        <f>_xlfn.XLOOKUP(Table1[[#This Row],[Party Name]],
[1]Billing!$R$5:$R$40,
[1]Billing!$X$5:$X$40)</f>
        <v>0</v>
      </c>
      <c r="K78" s="119"/>
    </row>
    <row r="79" spans="1:19" hidden="1" x14ac:dyDescent="0.3">
      <c r="A79" s="142">
        <v>46111</v>
      </c>
      <c r="B79" s="134" t="s">
        <v>258</v>
      </c>
      <c r="C79" s="184" t="s">
        <v>210</v>
      </c>
      <c r="D79" s="119" t="s">
        <v>86</v>
      </c>
      <c r="E79" s="83"/>
      <c r="F79" s="83"/>
      <c r="G79" s="83"/>
      <c r="H79" s="120" t="e">
        <f>_xlfn.XLOOKUP(Table1[[#This Row],[Shipment Number]], 'pivot '!A:A,'pivot '!G:G, "NF")</f>
        <v>#DIV/0!</v>
      </c>
      <c r="I79" s="120">
        <f>_xlfn.XLOOKUP(Table1[[#This Row],[Party Name]],
[1]Billing!$R$5:$R$40,
[1]Billing!$V$5:$V$40)</f>
        <v>157432.33357717632</v>
      </c>
      <c r="J79" s="120">
        <f>_xlfn.XLOOKUP(Table1[[#This Row],[Party Name]],
[1]Billing!$R$5:$R$40,
[1]Billing!$X$5:$X$40)</f>
        <v>2046620.336503292</v>
      </c>
      <c r="K79" s="119"/>
    </row>
    <row r="80" spans="1:19" hidden="1" x14ac:dyDescent="0.3">
      <c r="A80" s="142">
        <v>46111</v>
      </c>
      <c r="B80" s="134" t="s">
        <v>273</v>
      </c>
      <c r="C80" s="184" t="s">
        <v>210</v>
      </c>
      <c r="D80" s="119" t="s">
        <v>86</v>
      </c>
      <c r="E80" s="83"/>
      <c r="F80" s="83"/>
      <c r="G80" s="83"/>
      <c r="H80" s="120" t="e">
        <f>_xlfn.XLOOKUP(Table1[[#This Row],[Shipment Number]], 'pivot '!A:A,'pivot '!G:G, "NF")</f>
        <v>#DIV/0!</v>
      </c>
      <c r="I80" s="120">
        <f>_xlfn.XLOOKUP(Table1[[#This Row],[Party Name]],
[1]Billing!$R$5:$R$40,
[1]Billing!$V$5:$V$40)</f>
        <v>0</v>
      </c>
      <c r="J80" s="120">
        <f>_xlfn.XLOOKUP(Table1[[#This Row],[Party Name]],
[1]Billing!$R$5:$R$40,
[1]Billing!$X$5:$X$40)</f>
        <v>0</v>
      </c>
      <c r="K80" s="119"/>
    </row>
    <row r="81" spans="1:17" hidden="1" x14ac:dyDescent="0.3">
      <c r="A81" s="118">
        <v>46154</v>
      </c>
      <c r="B81" s="116" t="s">
        <v>441</v>
      </c>
      <c r="C81" s="200" t="s">
        <v>587</v>
      </c>
      <c r="D81" s="113" t="s">
        <v>274</v>
      </c>
      <c r="E81" s="11"/>
      <c r="F81" s="11"/>
      <c r="G81" s="11"/>
      <c r="H81" s="114" t="e">
        <f>_xlfn.XLOOKUP(Table1[[#This Row],[Shipment Number]], 'pivot '!A:A,'pivot '!G:G, "NF")</f>
        <v>#DIV/0!</v>
      </c>
      <c r="I81" s="115"/>
      <c r="J81" s="115">
        <v>17000</v>
      </c>
      <c r="K81" s="119" t="e">
        <f>Table1[[#This Row],[billing]]/Table1[[#This Row],[tiyar/meters]]</f>
        <v>#DIV/0!</v>
      </c>
    </row>
    <row r="82" spans="1:17" hidden="1" x14ac:dyDescent="0.3">
      <c r="A82" s="171">
        <v>46123</v>
      </c>
      <c r="B82" s="116" t="s">
        <v>35</v>
      </c>
      <c r="C82" s="155">
        <v>1613</v>
      </c>
      <c r="D82" s="155" t="s">
        <v>86</v>
      </c>
      <c r="E82" s="95" t="s">
        <v>354</v>
      </c>
      <c r="F82" s="95">
        <v>78365</v>
      </c>
      <c r="G82" s="95">
        <v>28736</v>
      </c>
      <c r="H82" s="120">
        <f>_xlfn.XLOOKUP(Table1[[#This Row],[Shipment Number]], 'pivot '!A:A,'pivot '!G:G, "NF")</f>
        <v>1.7584184749482432</v>
      </c>
      <c r="I82" s="156">
        <f>Table1[[#This Row],[Tiyaar/gaz]]/1.0936</f>
        <v>26276.517922457941</v>
      </c>
      <c r="J82" s="156"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9">
        <f>Table1[[#This Row],[billing]]/Table1[[#This Row],[tiyar/meters]]</f>
        <v>11.999999999999998</v>
      </c>
    </row>
    <row r="83" spans="1:17" hidden="1" x14ac:dyDescent="0.3">
      <c r="A83" s="171">
        <v>46123</v>
      </c>
      <c r="B83" s="116" t="s">
        <v>35</v>
      </c>
      <c r="C83" s="155">
        <v>1614</v>
      </c>
      <c r="D83" s="155" t="s">
        <v>86</v>
      </c>
      <c r="E83" s="95" t="s">
        <v>354</v>
      </c>
      <c r="F83" s="95">
        <v>78365</v>
      </c>
      <c r="G83" s="95">
        <v>19637</v>
      </c>
      <c r="H83" s="120">
        <f>_xlfn.XLOOKUP(Table1[[#This Row],[Shipment Number]], 'pivot '!A:A,'pivot '!G:G, "NF")</f>
        <v>1.7584184749482432</v>
      </c>
      <c r="I83" s="156">
        <f>Table1[[#This Row],[Tiyaar/gaz]]/1.0936</f>
        <v>17956.291148500368</v>
      </c>
      <c r="J83" s="156"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9">
        <f>Table1[[#This Row],[billing]]/Table1[[#This Row],[tiyar/meters]]</f>
        <v>12</v>
      </c>
    </row>
    <row r="84" spans="1:17" hidden="1" x14ac:dyDescent="0.3">
      <c r="A84" s="171">
        <v>46123</v>
      </c>
      <c r="B84" s="116" t="s">
        <v>277</v>
      </c>
      <c r="C84" s="155">
        <v>1615</v>
      </c>
      <c r="D84" s="155" t="s">
        <v>86</v>
      </c>
      <c r="E84" s="95">
        <v>2151</v>
      </c>
      <c r="F84" s="95">
        <v>61027</v>
      </c>
      <c r="G84" s="95">
        <v>20336</v>
      </c>
      <c r="H84" s="120">
        <f>_xlfn.XLOOKUP(Table1[[#This Row],[Shipment Number]], 'pivot '!A:A,'pivot '!G:G, "NF")</f>
        <v>5.0916566376672563</v>
      </c>
      <c r="I84" s="156">
        <f>Table1[[#This Row],[Tiyaar/gaz]]/1.0936</f>
        <v>18595.464520848574</v>
      </c>
      <c r="J84" s="156"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9">
        <f>Table1[[#This Row],[billing]]/Table1[[#This Row],[tiyar/meters]]</f>
        <v>13</v>
      </c>
    </row>
    <row r="85" spans="1:17" hidden="1" x14ac:dyDescent="0.3">
      <c r="A85" s="171">
        <v>46123</v>
      </c>
      <c r="B85" s="116" t="s">
        <v>21</v>
      </c>
      <c r="C85" s="155">
        <v>1616</v>
      </c>
      <c r="D85" s="155" t="s">
        <v>86</v>
      </c>
      <c r="E85" s="95">
        <v>2153</v>
      </c>
      <c r="F85" s="95">
        <v>20212</v>
      </c>
      <c r="G85" s="95">
        <v>21525</v>
      </c>
      <c r="H85" s="120">
        <f>_xlfn.XLOOKUP(Table1[[#This Row],[Shipment Number]], 'pivot '!A:A,'pivot '!G:G, "NF")</f>
        <v>2.6187445991292577</v>
      </c>
      <c r="I85" s="156">
        <f>Table1[[#This Row],[Tiyaar/gaz]]/1.0936</f>
        <v>19682.699341623997</v>
      </c>
      <c r="J85" s="156"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9">
        <f>Table1[[#This Row],[billing]]/Table1[[#This Row],[tiyar/meters]]</f>
        <v>13</v>
      </c>
    </row>
    <row r="86" spans="1:17" hidden="1" x14ac:dyDescent="0.3">
      <c r="A86" s="171">
        <v>46123</v>
      </c>
      <c r="B86" s="116" t="s">
        <v>21</v>
      </c>
      <c r="C86" s="155">
        <v>1617</v>
      </c>
      <c r="D86" s="155" t="s">
        <v>85</v>
      </c>
      <c r="E86" s="95">
        <v>2148</v>
      </c>
      <c r="F86" s="95">
        <v>28859</v>
      </c>
      <c r="G86" s="95">
        <v>2172</v>
      </c>
      <c r="H86" s="120">
        <f>_xlfn.XLOOKUP(Table1[[#This Row],[Shipment Number]], 'pivot '!A:A,'pivot '!G:G, "NF")</f>
        <v>2.1108939402745932</v>
      </c>
      <c r="I86" s="156">
        <f>Table1[[#This Row],[Tiyaar/gaz]]/1.0936</f>
        <v>1986.1009509875641</v>
      </c>
      <c r="J86" s="156"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9">
        <f>Table1[[#This Row],[billing]]/Table1[[#This Row],[tiyar/meters]]</f>
        <v>10</v>
      </c>
    </row>
    <row r="87" spans="1:17" hidden="1" x14ac:dyDescent="0.3">
      <c r="A87" s="171">
        <v>46123</v>
      </c>
      <c r="B87" s="116" t="s">
        <v>9</v>
      </c>
      <c r="C87" s="155">
        <v>1618</v>
      </c>
      <c r="D87" s="155" t="s">
        <v>85</v>
      </c>
      <c r="E87" s="95">
        <v>2136</v>
      </c>
      <c r="F87" s="95">
        <v>24072</v>
      </c>
      <c r="G87" s="95">
        <v>6820</v>
      </c>
      <c r="H87" s="120">
        <f>_xlfn.XLOOKUP(Table1[[#This Row],[Shipment Number]], 'pivot '!A:A,'pivot '!G:G, "NF")</f>
        <v>2.1581621874196912</v>
      </c>
      <c r="I87" s="156">
        <f>Table1[[#This Row],[Tiyaar/gaz]]/1.0936</f>
        <v>6236.2838332114125</v>
      </c>
      <c r="J87" s="156"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9">
        <f>Table1[[#This Row],[billing]]/Table1[[#This Row],[tiyar/meters]]</f>
        <v>10</v>
      </c>
    </row>
    <row r="88" spans="1:17" hidden="1" x14ac:dyDescent="0.3">
      <c r="A88" s="171">
        <v>46123</v>
      </c>
      <c r="B88" s="116" t="s">
        <v>35</v>
      </c>
      <c r="C88" s="155">
        <v>1619</v>
      </c>
      <c r="D88" s="155" t="s">
        <v>86</v>
      </c>
      <c r="E88" s="95" t="s">
        <v>354</v>
      </c>
      <c r="F88" s="95">
        <v>78365</v>
      </c>
      <c r="G88" s="95">
        <v>35820</v>
      </c>
      <c r="H88" s="120">
        <f>_xlfn.XLOOKUP(Table1[[#This Row],[Shipment Number]], 'pivot '!A:A,'pivot '!G:G, "NF")</f>
        <v>1.7584184749482432</v>
      </c>
      <c r="I88" s="156">
        <f>Table1[[#This Row],[Tiyaar/gaz]]/1.0936</f>
        <v>32754.206291148505</v>
      </c>
      <c r="J88" s="156"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9">
        <f>Table1[[#This Row],[billing]]/Table1[[#This Row],[tiyar/meters]]</f>
        <v>12</v>
      </c>
    </row>
    <row r="89" spans="1:17" hidden="1" x14ac:dyDescent="0.3">
      <c r="A89" s="171">
        <v>46123</v>
      </c>
      <c r="B89" s="116" t="s">
        <v>9</v>
      </c>
      <c r="C89" s="155">
        <v>1620</v>
      </c>
      <c r="D89" s="155" t="s">
        <v>85</v>
      </c>
      <c r="E89" s="95">
        <v>2136</v>
      </c>
      <c r="F89" s="95">
        <v>24072</v>
      </c>
      <c r="G89" s="95">
        <v>18937</v>
      </c>
      <c r="H89" s="120">
        <f>_xlfn.XLOOKUP(Table1[[#This Row],[Shipment Number]], 'pivot '!A:A,'pivot '!G:G, "NF")</f>
        <v>2.1581621874196912</v>
      </c>
      <c r="I89" s="156">
        <f>Table1[[#This Row],[Tiyaar/gaz]]/1.0936</f>
        <v>17316.203365032921</v>
      </c>
      <c r="J89" s="156"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9">
        <f>Table1[[#This Row],[billing]]/Table1[[#This Row],[tiyar/meters]]</f>
        <v>10</v>
      </c>
    </row>
    <row r="90" spans="1:17" hidden="1" x14ac:dyDescent="0.3">
      <c r="A90" s="171">
        <v>46123</v>
      </c>
      <c r="B90" s="116" t="s">
        <v>258</v>
      </c>
      <c r="C90" s="155">
        <v>1621</v>
      </c>
      <c r="D90" s="155" t="s">
        <v>86</v>
      </c>
      <c r="E90" s="95">
        <v>2134</v>
      </c>
      <c r="F90" s="95">
        <v>45364</v>
      </c>
      <c r="G90" s="95">
        <v>48061</v>
      </c>
      <c r="H90" s="120">
        <f>_xlfn.XLOOKUP(Table1[[#This Row],[Shipment Number]], 'pivot '!A:A,'pivot '!G:G, "NF")</f>
        <v>3.1224918398825707</v>
      </c>
      <c r="I90" s="156">
        <f>Table1[[#This Row],[Tiyaar/gaz]]/1.0936</f>
        <v>43947.512801755671</v>
      </c>
      <c r="J90" s="156"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9">
        <f>Table1[[#This Row],[billing]]/Table1[[#This Row],[tiyar/meters]]</f>
        <v>12.999999999999998</v>
      </c>
    </row>
    <row r="91" spans="1:17" hidden="1" x14ac:dyDescent="0.3">
      <c r="A91" s="171">
        <v>46123</v>
      </c>
      <c r="B91" s="116" t="s">
        <v>258</v>
      </c>
      <c r="C91" s="155">
        <v>1622</v>
      </c>
      <c r="D91" s="155" t="s">
        <v>86</v>
      </c>
      <c r="E91" s="95">
        <v>2117</v>
      </c>
      <c r="F91" s="95">
        <v>16284</v>
      </c>
      <c r="G91" s="95">
        <v>17178</v>
      </c>
      <c r="H91" s="120">
        <f>_xlfn.XLOOKUP(Table1[[#This Row],[Shipment Number]], 'pivot '!A:A,'pivot '!G:G, "NF")</f>
        <v>3.5387238621275401</v>
      </c>
      <c r="I91" s="156">
        <f>Table1[[#This Row],[Tiyaar/gaz]]/1.0936</f>
        <v>15707.754206291151</v>
      </c>
      <c r="J91" s="156"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9">
        <f>Table1[[#This Row],[billing]]/Table1[[#This Row],[tiyar/meters]]</f>
        <v>13</v>
      </c>
    </row>
    <row r="92" spans="1:17" hidden="1" x14ac:dyDescent="0.3">
      <c r="A92" s="171">
        <v>46125</v>
      </c>
      <c r="B92" s="116" t="s">
        <v>21</v>
      </c>
      <c r="C92" s="155">
        <v>1623</v>
      </c>
      <c r="D92" s="155" t="s">
        <v>86</v>
      </c>
      <c r="E92" s="95">
        <v>2151</v>
      </c>
      <c r="F92" s="95">
        <v>61027</v>
      </c>
      <c r="G92" s="95">
        <v>36335</v>
      </c>
      <c r="H92" s="120">
        <f>_xlfn.XLOOKUP(Table1[[#This Row],[Shipment Number]], 'pivot '!A:A,'pivot '!G:G, "NF")</f>
        <v>5.0916566376672563</v>
      </c>
      <c r="I92" s="156">
        <f>Table1[[#This Row],[Tiyaar/gaz]]/1.0936</f>
        <v>33225.128017556694</v>
      </c>
      <c r="J92" s="156"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9">
        <f>Table1[[#This Row],[billing]]/Table1[[#This Row],[tiyar/meters]]</f>
        <v>13</v>
      </c>
    </row>
    <row r="93" spans="1:17" hidden="1" x14ac:dyDescent="0.3">
      <c r="A93" s="141">
        <v>46124</v>
      </c>
      <c r="B93" s="116" t="s">
        <v>21</v>
      </c>
      <c r="C93" s="145">
        <v>1624</v>
      </c>
      <c r="D93" s="145" t="s">
        <v>86</v>
      </c>
      <c r="E93" s="22">
        <v>2151</v>
      </c>
      <c r="F93" s="22">
        <v>61027</v>
      </c>
      <c r="G93" s="22">
        <v>6670</v>
      </c>
      <c r="H93" s="107">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9">
        <f>Table1[[#This Row],[billing]]/Table1[[#This Row],[tiyar/meters]]</f>
        <v>13</v>
      </c>
    </row>
    <row r="94" spans="1:17" hidden="1" x14ac:dyDescent="0.3">
      <c r="A94" s="141">
        <v>46124</v>
      </c>
      <c r="B94" s="116" t="s">
        <v>21</v>
      </c>
      <c r="C94" s="145">
        <v>1625</v>
      </c>
      <c r="D94" s="145" t="s">
        <v>85</v>
      </c>
      <c r="E94" s="22">
        <v>2148</v>
      </c>
      <c r="F94" s="22">
        <v>28857</v>
      </c>
      <c r="G94" s="22">
        <v>21620</v>
      </c>
      <c r="H94" s="107">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9">
        <f>Table1[[#This Row],[billing]]/Table1[[#This Row],[tiyar/meters]]</f>
        <v>10</v>
      </c>
    </row>
    <row r="95" spans="1:17" hidden="1" x14ac:dyDescent="0.3">
      <c r="A95" s="141">
        <v>46125</v>
      </c>
      <c r="B95" s="116" t="s">
        <v>9</v>
      </c>
      <c r="C95" s="145">
        <v>1626</v>
      </c>
      <c r="D95" s="145" t="s">
        <v>85</v>
      </c>
      <c r="E95" s="22">
        <v>2131</v>
      </c>
      <c r="F95" s="22">
        <v>25617</v>
      </c>
      <c r="G95" s="22">
        <v>27435</v>
      </c>
      <c r="H95" s="107">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9">
        <f>Table1[[#This Row],[billing]]/Table1[[#This Row],[tiyar/meters]]</f>
        <v>10</v>
      </c>
    </row>
    <row r="96" spans="1:17" hidden="1" x14ac:dyDescent="0.3">
      <c r="A96" s="141">
        <v>46125</v>
      </c>
      <c r="B96" s="116" t="s">
        <v>22</v>
      </c>
      <c r="C96" s="145">
        <v>1627</v>
      </c>
      <c r="D96" s="145" t="s">
        <v>86</v>
      </c>
      <c r="E96" s="22">
        <v>2146</v>
      </c>
      <c r="F96" s="22">
        <v>20038</v>
      </c>
      <c r="G96" s="22">
        <v>4919</v>
      </c>
      <c r="H96" s="107">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9">
        <f>Table1[[#This Row],[billing]]/Table1[[#This Row],[tiyar/meters]]</f>
        <v>13</v>
      </c>
      <c r="O96"/>
      <c r="P96"/>
      <c r="Q96"/>
    </row>
    <row r="97" spans="1:18" hidden="1" x14ac:dyDescent="0.3">
      <c r="A97" s="141">
        <v>46130</v>
      </c>
      <c r="B97" s="116" t="s">
        <v>21</v>
      </c>
      <c r="C97" s="145">
        <v>1628</v>
      </c>
      <c r="D97" s="145" t="s">
        <v>86</v>
      </c>
      <c r="E97" s="22">
        <v>2152</v>
      </c>
      <c r="F97" s="22">
        <v>22707</v>
      </c>
      <c r="G97" s="22">
        <v>23910</v>
      </c>
      <c r="H97" s="107">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9">
        <f>Table1[[#This Row],[billing]]/Table1[[#This Row],[tiyar/meters]]</f>
        <v>12.999999999999998</v>
      </c>
      <c r="O97"/>
      <c r="P97"/>
      <c r="Q97"/>
    </row>
    <row r="98" spans="1:18" hidden="1" x14ac:dyDescent="0.3">
      <c r="A98" s="141">
        <v>46130</v>
      </c>
      <c r="B98" s="116" t="s">
        <v>22</v>
      </c>
      <c r="C98" s="145">
        <v>1629</v>
      </c>
      <c r="D98" s="145" t="s">
        <v>86</v>
      </c>
      <c r="E98" s="22">
        <v>2146</v>
      </c>
      <c r="F98" s="22">
        <v>20038</v>
      </c>
      <c r="G98" s="22">
        <v>16303</v>
      </c>
      <c r="H98" s="107">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9">
        <f>Table1[[#This Row],[billing]]/Table1[[#This Row],[tiyar/meters]]</f>
        <v>13</v>
      </c>
      <c r="L98"/>
      <c r="M98"/>
      <c r="O98"/>
      <c r="P98"/>
      <c r="Q98"/>
    </row>
    <row r="99" spans="1:18" hidden="1" x14ac:dyDescent="0.3">
      <c r="A99" s="141">
        <v>46130</v>
      </c>
      <c r="B99" s="116" t="s">
        <v>21</v>
      </c>
      <c r="C99" s="145">
        <v>1630</v>
      </c>
      <c r="D99" s="145" t="s">
        <v>86</v>
      </c>
      <c r="E99" s="22">
        <v>2162</v>
      </c>
      <c r="F99" s="22">
        <v>3017</v>
      </c>
      <c r="G99" s="22">
        <v>3252</v>
      </c>
      <c r="H99" s="107">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9">
        <f>Table1[[#This Row],[billing]]/Table1[[#This Row],[tiyar/meters]]</f>
        <v>13.000000000000002</v>
      </c>
      <c r="M99"/>
      <c r="P99"/>
      <c r="Q99"/>
      <c r="R99"/>
    </row>
    <row r="100" spans="1:18" hidden="1" x14ac:dyDescent="0.3">
      <c r="A100" s="141">
        <v>46130</v>
      </c>
      <c r="B100" s="116" t="s">
        <v>21</v>
      </c>
      <c r="C100" s="145">
        <v>1631</v>
      </c>
      <c r="D100" s="145" t="s">
        <v>85</v>
      </c>
      <c r="E100" s="22">
        <v>2148</v>
      </c>
      <c r="F100" s="22">
        <v>28857</v>
      </c>
      <c r="G100" s="22">
        <v>7102</v>
      </c>
      <c r="H100" s="107">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9">
        <f>Table1[[#This Row],[billing]]/Table1[[#This Row],[tiyar/meters]]</f>
        <v>10</v>
      </c>
      <c r="M100"/>
      <c r="P100"/>
      <c r="Q100"/>
      <c r="R100"/>
    </row>
    <row r="101" spans="1:18" hidden="1" x14ac:dyDescent="0.3">
      <c r="A101" s="141">
        <v>46130</v>
      </c>
      <c r="B101" s="116" t="s">
        <v>21</v>
      </c>
      <c r="C101" s="145">
        <v>1632</v>
      </c>
      <c r="D101" s="145" t="s">
        <v>85</v>
      </c>
      <c r="E101" s="22">
        <v>2135</v>
      </c>
      <c r="F101" s="22">
        <v>14433</v>
      </c>
      <c r="G101" s="22">
        <v>10979</v>
      </c>
      <c r="H101" s="107">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9">
        <f>Table1[[#This Row],[billing]]/Table1[[#This Row],[tiyar/meters]]</f>
        <v>10</v>
      </c>
      <c r="M101"/>
      <c r="P101"/>
      <c r="Q101"/>
      <c r="R101"/>
    </row>
    <row r="102" spans="1:18" hidden="1" x14ac:dyDescent="0.3">
      <c r="A102" s="141">
        <v>46130</v>
      </c>
      <c r="B102" s="116" t="s">
        <v>21</v>
      </c>
      <c r="C102" s="145">
        <v>1633</v>
      </c>
      <c r="D102" s="145" t="s">
        <v>85</v>
      </c>
      <c r="E102" s="22">
        <v>2154</v>
      </c>
      <c r="F102" s="22">
        <v>10364</v>
      </c>
      <c r="G102" s="22">
        <v>11077</v>
      </c>
      <c r="H102" s="107">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9">
        <f>Table1[[#This Row],[billing]]/Table1[[#This Row],[tiyar/meters]]</f>
        <v>10</v>
      </c>
      <c r="M102"/>
      <c r="P102"/>
      <c r="Q102"/>
      <c r="R102"/>
    </row>
    <row r="103" spans="1:18" hidden="1" x14ac:dyDescent="0.3">
      <c r="A103" s="143">
        <v>46130</v>
      </c>
      <c r="B103" s="130" t="s">
        <v>273</v>
      </c>
      <c r="C103" s="146">
        <v>1634</v>
      </c>
      <c r="D103" s="146" t="s">
        <v>85</v>
      </c>
      <c r="E103" s="150">
        <v>2158</v>
      </c>
      <c r="F103" s="150">
        <v>29532</v>
      </c>
      <c r="G103" s="150">
        <v>31473</v>
      </c>
      <c r="H103" s="152">
        <f>_xlfn.XLOOKUP(Table1[[#This Row],[Shipment Number]], 'pivot '!A:A,'pivot '!G:G, "NF")</f>
        <v>2.5488921989175992</v>
      </c>
      <c r="I103" s="154">
        <f>Table1[[#This Row],[Tiyaar/gaz]]/1.0936</f>
        <v>28779.261155815657</v>
      </c>
      <c r="J103" s="154"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9">
        <f>Table1[[#This Row],[billing]]/Table1[[#This Row],[tiyar/meters]]</f>
        <v>10</v>
      </c>
      <c r="M103"/>
      <c r="P103"/>
      <c r="Q103"/>
      <c r="R103"/>
    </row>
    <row r="104" spans="1:18" hidden="1" x14ac:dyDescent="0.3">
      <c r="A104" s="141">
        <v>46132</v>
      </c>
      <c r="B104" s="116" t="s">
        <v>258</v>
      </c>
      <c r="C104" s="145">
        <v>1635</v>
      </c>
      <c r="D104" s="145" t="s">
        <v>206</v>
      </c>
      <c r="E104" s="22">
        <v>2155</v>
      </c>
      <c r="F104" s="22">
        <v>44910</v>
      </c>
      <c r="G104" s="22">
        <v>33115</v>
      </c>
      <c r="H104" s="107">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9">
        <f>Table1[[#This Row],[billing]]/Table1[[#This Row],[tiyar/meters]]</f>
        <v>12</v>
      </c>
      <c r="M104"/>
      <c r="P104"/>
      <c r="Q104"/>
      <c r="R104"/>
    </row>
    <row r="105" spans="1:18" hidden="1" x14ac:dyDescent="0.3">
      <c r="A105" s="141">
        <v>46132</v>
      </c>
      <c r="B105" s="116" t="s">
        <v>258</v>
      </c>
      <c r="C105" s="145">
        <v>1636</v>
      </c>
      <c r="D105" s="145" t="s">
        <v>206</v>
      </c>
      <c r="E105" s="22">
        <v>2155</v>
      </c>
      <c r="F105" s="22">
        <v>44910</v>
      </c>
      <c r="G105" s="22">
        <v>13104</v>
      </c>
      <c r="H105" s="107">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9">
        <f>Table1[[#This Row],[billing]]/Table1[[#This Row],[tiyar/meters]]</f>
        <v>12</v>
      </c>
      <c r="M105"/>
      <c r="P105"/>
      <c r="Q105"/>
      <c r="R105"/>
    </row>
    <row r="106" spans="1:18" hidden="1" x14ac:dyDescent="0.3">
      <c r="A106" s="141">
        <v>46132</v>
      </c>
      <c r="B106" s="116" t="s">
        <v>27</v>
      </c>
      <c r="C106" s="145">
        <v>1637</v>
      </c>
      <c r="D106" s="145" t="s">
        <v>85</v>
      </c>
      <c r="E106" s="22">
        <v>2128</v>
      </c>
      <c r="F106" s="22">
        <v>50106</v>
      </c>
      <c r="G106" s="22">
        <v>600</v>
      </c>
      <c r="H106" s="107">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9">
        <f>Table1[[#This Row],[billing]]/Table1[[#This Row],[tiyar/meters]]</f>
        <v>10</v>
      </c>
      <c r="P106"/>
      <c r="Q106"/>
      <c r="R106"/>
    </row>
    <row r="107" spans="1:18" hidden="1" x14ac:dyDescent="0.3">
      <c r="A107" s="141">
        <v>46133</v>
      </c>
      <c r="B107" s="119" t="s">
        <v>441</v>
      </c>
      <c r="C107" s="145">
        <v>1638</v>
      </c>
      <c r="D107" s="145" t="s">
        <v>447</v>
      </c>
      <c r="E107" s="22">
        <v>2166</v>
      </c>
      <c r="F107" s="22">
        <v>16758</v>
      </c>
      <c r="G107" s="22">
        <v>16705</v>
      </c>
      <c r="H107" s="107">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9">
        <f>Table1[[#This Row],[billing]]/Table1[[#This Row],[tiyar/meters]]</f>
        <v>15</v>
      </c>
      <c r="L107"/>
      <c r="P107"/>
      <c r="Q107"/>
      <c r="R107"/>
    </row>
    <row r="108" spans="1:18" hidden="1" x14ac:dyDescent="0.3">
      <c r="A108" s="141">
        <v>46133</v>
      </c>
      <c r="B108" s="116" t="s">
        <v>441</v>
      </c>
      <c r="C108" s="145">
        <v>1639</v>
      </c>
      <c r="D108" s="145" t="s">
        <v>447</v>
      </c>
      <c r="E108" s="22">
        <v>2165</v>
      </c>
      <c r="F108" s="22">
        <v>5601</v>
      </c>
      <c r="G108" s="22">
        <v>5649</v>
      </c>
      <c r="H108" s="107">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9">
        <f>Table1[[#This Row],[billing]]/Table1[[#This Row],[tiyar/meters]]</f>
        <v>14.999999999999998</v>
      </c>
      <c r="L108"/>
      <c r="P108"/>
      <c r="Q108"/>
      <c r="R108"/>
    </row>
    <row r="109" spans="1:18" hidden="1" x14ac:dyDescent="0.3">
      <c r="A109" s="141">
        <v>46133</v>
      </c>
      <c r="B109" s="116" t="s">
        <v>21</v>
      </c>
      <c r="C109" s="145">
        <v>1640</v>
      </c>
      <c r="D109" s="145" t="s">
        <v>85</v>
      </c>
      <c r="E109" s="22" t="s">
        <v>442</v>
      </c>
      <c r="F109" s="22">
        <v>23377</v>
      </c>
      <c r="G109" s="22">
        <v>12483</v>
      </c>
      <c r="H109" s="107">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9">
        <f>Table1[[#This Row],[billing]]/Table1[[#This Row],[tiyar/meters]]</f>
        <v>10</v>
      </c>
      <c r="L109"/>
      <c r="O109"/>
      <c r="P109"/>
      <c r="Q109"/>
    </row>
    <row r="110" spans="1:18" hidden="1" x14ac:dyDescent="0.3">
      <c r="A110" s="141">
        <v>46133</v>
      </c>
      <c r="B110" s="116" t="s">
        <v>21</v>
      </c>
      <c r="C110" s="145">
        <v>1641</v>
      </c>
      <c r="D110" s="145" t="s">
        <v>85</v>
      </c>
      <c r="E110" s="22">
        <v>2147</v>
      </c>
      <c r="F110" s="22">
        <v>37086</v>
      </c>
      <c r="G110" s="22">
        <v>4157</v>
      </c>
      <c r="H110" s="107">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9">
        <f>Table1[[#This Row],[billing]]/Table1[[#This Row],[tiyar/meters]]</f>
        <v>10</v>
      </c>
      <c r="L110"/>
      <c r="O110"/>
      <c r="P110"/>
      <c r="Q110"/>
    </row>
    <row r="111" spans="1:18" hidden="1" x14ac:dyDescent="0.3">
      <c r="A111" s="141">
        <v>46134</v>
      </c>
      <c r="B111" s="116" t="s">
        <v>245</v>
      </c>
      <c r="C111" s="145">
        <v>1642</v>
      </c>
      <c r="D111" s="145" t="s">
        <v>274</v>
      </c>
      <c r="E111" s="22">
        <v>2144</v>
      </c>
      <c r="F111" s="22">
        <v>2940</v>
      </c>
      <c r="G111" s="22">
        <v>3292</v>
      </c>
      <c r="H111" s="107">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9">
        <f>Table1[[#This Row],[billing]]/Table1[[#This Row],[tiyar/meters]]</f>
        <v>20</v>
      </c>
      <c r="L111"/>
      <c r="O111"/>
      <c r="P111"/>
      <c r="Q111"/>
    </row>
    <row r="112" spans="1:18" hidden="1" x14ac:dyDescent="0.3">
      <c r="A112" s="141">
        <v>46134</v>
      </c>
      <c r="B112" s="116" t="s">
        <v>245</v>
      </c>
      <c r="C112" s="145">
        <v>1643</v>
      </c>
      <c r="D112" s="145" t="s">
        <v>274</v>
      </c>
      <c r="E112" s="22" t="s">
        <v>443</v>
      </c>
      <c r="F112" s="22">
        <v>3710</v>
      </c>
      <c r="G112" s="22">
        <v>3636</v>
      </c>
      <c r="H112" s="107">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9">
        <f>Table1[[#This Row],[billing]]/Table1[[#This Row],[tiyar/meters]]</f>
        <v>20</v>
      </c>
      <c r="L112"/>
      <c r="O112"/>
      <c r="P112"/>
      <c r="Q112"/>
    </row>
    <row r="113" spans="1:17" hidden="1" x14ac:dyDescent="0.3">
      <c r="A113" s="141">
        <v>46134</v>
      </c>
      <c r="B113" s="116" t="s">
        <v>245</v>
      </c>
      <c r="C113" s="145">
        <v>1644</v>
      </c>
      <c r="D113" s="145" t="s">
        <v>274</v>
      </c>
      <c r="E113" s="22">
        <v>2143</v>
      </c>
      <c r="F113" s="22">
        <v>5180</v>
      </c>
      <c r="G113" s="22">
        <v>5214</v>
      </c>
      <c r="H113" s="107">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9">
        <f>Table1[[#This Row],[billing]]/Table1[[#This Row],[tiyar/meters]]</f>
        <v>20</v>
      </c>
      <c r="O113"/>
      <c r="P113"/>
      <c r="Q113"/>
    </row>
    <row r="114" spans="1:17" hidden="1" x14ac:dyDescent="0.3">
      <c r="A114" s="141">
        <v>46134</v>
      </c>
      <c r="B114" s="116" t="s">
        <v>245</v>
      </c>
      <c r="C114" s="145">
        <v>1645</v>
      </c>
      <c r="D114" s="145" t="s">
        <v>274</v>
      </c>
      <c r="E114" s="22">
        <v>2142</v>
      </c>
      <c r="F114" s="22">
        <v>4200</v>
      </c>
      <c r="G114" s="22">
        <v>4467</v>
      </c>
      <c r="H114" s="107">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9">
        <f>Table1[[#This Row],[billing]]/Table1[[#This Row],[tiyar/meters]]</f>
        <v>20</v>
      </c>
      <c r="O114"/>
      <c r="P114"/>
      <c r="Q114"/>
    </row>
    <row r="115" spans="1:17" hidden="1" x14ac:dyDescent="0.3">
      <c r="A115" s="141">
        <v>46134</v>
      </c>
      <c r="B115" s="116" t="s">
        <v>245</v>
      </c>
      <c r="C115" s="145">
        <v>1646</v>
      </c>
      <c r="D115" s="145" t="s">
        <v>274</v>
      </c>
      <c r="E115" s="22">
        <v>2140</v>
      </c>
      <c r="F115" s="22">
        <v>4200</v>
      </c>
      <c r="G115" s="22">
        <v>4253</v>
      </c>
      <c r="H115" s="107">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9">
        <f>Table1[[#This Row],[billing]]/Table1[[#This Row],[tiyar/meters]]</f>
        <v>20</v>
      </c>
      <c r="O115"/>
      <c r="P115"/>
      <c r="Q115"/>
    </row>
    <row r="116" spans="1:17" hidden="1" x14ac:dyDescent="0.3">
      <c r="A116" s="141">
        <v>46134</v>
      </c>
      <c r="B116" s="116" t="s">
        <v>245</v>
      </c>
      <c r="C116" s="145">
        <v>1647</v>
      </c>
      <c r="D116" s="145" t="s">
        <v>274</v>
      </c>
      <c r="E116" s="22">
        <v>2141</v>
      </c>
      <c r="F116" s="22">
        <v>2968</v>
      </c>
      <c r="G116" s="22">
        <v>3096</v>
      </c>
      <c r="H116" s="107">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9">
        <f>Table1[[#This Row],[billing]]/Table1[[#This Row],[tiyar/meters]]</f>
        <v>20</v>
      </c>
      <c r="O116"/>
      <c r="P116"/>
      <c r="Q116"/>
    </row>
    <row r="117" spans="1:17" hidden="1" x14ac:dyDescent="0.3">
      <c r="A117" s="141">
        <v>46134</v>
      </c>
      <c r="B117" s="116" t="s">
        <v>245</v>
      </c>
      <c r="C117" s="145">
        <v>1648</v>
      </c>
      <c r="D117" s="145" t="s">
        <v>274</v>
      </c>
      <c r="E117" s="22" t="s">
        <v>444</v>
      </c>
      <c r="F117" s="22">
        <v>5362</v>
      </c>
      <c r="G117" s="22">
        <v>5154</v>
      </c>
      <c r="H117" s="107">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9">
        <f>Table1[[#This Row],[billing]]/Table1[[#This Row],[tiyar/meters]]</f>
        <v>20</v>
      </c>
      <c r="O117"/>
      <c r="P117"/>
      <c r="Q117"/>
    </row>
    <row r="118" spans="1:17" hidden="1" x14ac:dyDescent="0.3">
      <c r="A118" s="141">
        <v>46135</v>
      </c>
      <c r="B118" s="144" t="s">
        <v>258</v>
      </c>
      <c r="C118" s="145">
        <v>1649</v>
      </c>
      <c r="D118" s="145" t="s">
        <v>86</v>
      </c>
      <c r="E118" s="22">
        <v>2167</v>
      </c>
      <c r="F118" s="22">
        <v>47687</v>
      </c>
      <c r="G118" s="22">
        <v>35027</v>
      </c>
      <c r="H118" s="107">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9">
        <f>Table1[[#This Row],[billing]]/Table1[[#This Row],[tiyar/meters]]</f>
        <v>13</v>
      </c>
      <c r="O118"/>
      <c r="P118"/>
      <c r="Q118"/>
    </row>
    <row r="119" spans="1:17" hidden="1" x14ac:dyDescent="0.3">
      <c r="A119" s="141">
        <v>46135</v>
      </c>
      <c r="B119" s="119" t="s">
        <v>258</v>
      </c>
      <c r="C119" s="145">
        <v>1650</v>
      </c>
      <c r="D119" s="145" t="s">
        <v>86</v>
      </c>
      <c r="E119" s="95">
        <v>2167</v>
      </c>
      <c r="F119" s="95">
        <v>47687</v>
      </c>
      <c r="G119" s="95">
        <v>13248</v>
      </c>
      <c r="H119" s="120">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9">
        <f>Table1[[#This Row],[billing]]/Table1[[#This Row],[tiyar/meters]]</f>
        <v>13</v>
      </c>
      <c r="O119"/>
      <c r="P119"/>
      <c r="Q119"/>
    </row>
    <row r="120" spans="1:17" hidden="1" x14ac:dyDescent="0.3">
      <c r="A120" s="141">
        <v>46135</v>
      </c>
      <c r="B120" s="116" t="s">
        <v>22</v>
      </c>
      <c r="C120" s="145">
        <v>1651</v>
      </c>
      <c r="D120" s="145" t="s">
        <v>86</v>
      </c>
      <c r="E120" s="95">
        <v>2171</v>
      </c>
      <c r="F120" s="95">
        <v>15000</v>
      </c>
      <c r="G120" s="95">
        <v>1535</v>
      </c>
      <c r="H120" s="120">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9">
        <f>Table1[[#This Row],[billing]]/Table1[[#This Row],[tiyar/meters]]</f>
        <v>13.000000000000002</v>
      </c>
      <c r="P120"/>
      <c r="Q120"/>
    </row>
    <row r="121" spans="1:17" hidden="1" x14ac:dyDescent="0.3">
      <c r="A121" s="141">
        <v>46136</v>
      </c>
      <c r="B121" s="116" t="s">
        <v>21</v>
      </c>
      <c r="C121" s="145">
        <v>1652</v>
      </c>
      <c r="D121" s="145" t="s">
        <v>85</v>
      </c>
      <c r="E121" s="95">
        <v>2178</v>
      </c>
      <c r="F121" s="95">
        <v>15645</v>
      </c>
      <c r="G121" s="95">
        <v>10649</v>
      </c>
      <c r="H121" s="120">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9">
        <f>Table1[[#This Row],[billing]]/Table1[[#This Row],[tiyar/meters]]</f>
        <v>10</v>
      </c>
      <c r="P121"/>
      <c r="Q121"/>
    </row>
    <row r="122" spans="1:17" hidden="1" x14ac:dyDescent="0.3">
      <c r="A122" s="141">
        <v>46136</v>
      </c>
      <c r="B122" s="116" t="s">
        <v>21</v>
      </c>
      <c r="C122" s="145">
        <v>1653</v>
      </c>
      <c r="D122" s="145" t="s">
        <v>85</v>
      </c>
      <c r="E122" s="95">
        <v>2150</v>
      </c>
      <c r="F122" s="95">
        <v>14993</v>
      </c>
      <c r="G122" s="95">
        <v>6728</v>
      </c>
      <c r="H122" s="120">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9">
        <f>Table1[[#This Row],[billing]]/Table1[[#This Row],[tiyar/meters]]</f>
        <v>10</v>
      </c>
      <c r="P122"/>
      <c r="Q122"/>
    </row>
    <row r="123" spans="1:17" hidden="1" x14ac:dyDescent="0.3">
      <c r="A123" s="141">
        <v>46136</v>
      </c>
      <c r="B123" s="116" t="s">
        <v>189</v>
      </c>
      <c r="C123" s="145">
        <v>1654</v>
      </c>
      <c r="D123" s="145" t="s">
        <v>85</v>
      </c>
      <c r="E123" s="95">
        <v>2172</v>
      </c>
      <c r="F123" s="95">
        <v>78432</v>
      </c>
      <c r="G123" s="95">
        <v>4817</v>
      </c>
      <c r="H123" s="120">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9">
        <f>Table1[[#This Row],[billing]]/Table1[[#This Row],[tiyar/meters]]</f>
        <v>10</v>
      </c>
      <c r="P123"/>
      <c r="Q123"/>
    </row>
    <row r="124" spans="1:17" hidden="1" x14ac:dyDescent="0.3">
      <c r="A124" s="141">
        <v>46136</v>
      </c>
      <c r="B124" s="116" t="s">
        <v>441</v>
      </c>
      <c r="C124" s="145">
        <v>1655</v>
      </c>
      <c r="D124" s="145" t="s">
        <v>85</v>
      </c>
      <c r="E124" s="95">
        <v>2170</v>
      </c>
      <c r="F124" s="95">
        <v>83592</v>
      </c>
      <c r="G124" s="95">
        <v>49176</v>
      </c>
      <c r="H124" s="120">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9">
        <f>Table1[[#This Row],[billing]]/Table1[[#This Row],[tiyar/meters]]</f>
        <v>10</v>
      </c>
      <c r="P124"/>
      <c r="Q124"/>
    </row>
    <row r="125" spans="1:17" hidden="1" x14ac:dyDescent="0.3">
      <c r="A125" s="141">
        <v>46137</v>
      </c>
      <c r="B125" s="116" t="s">
        <v>441</v>
      </c>
      <c r="C125" s="145">
        <v>1656</v>
      </c>
      <c r="D125" s="145" t="s">
        <v>85</v>
      </c>
      <c r="E125" s="95">
        <v>2170</v>
      </c>
      <c r="F125" s="95">
        <v>83592</v>
      </c>
      <c r="G125" s="95">
        <v>39455</v>
      </c>
      <c r="H125" s="120">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9">
        <f>Table1[[#This Row],[billing]]/Table1[[#This Row],[tiyar/meters]]</f>
        <v>10</v>
      </c>
      <c r="P125"/>
      <c r="Q125"/>
    </row>
    <row r="126" spans="1:17" hidden="1" x14ac:dyDescent="0.3">
      <c r="A126" s="141">
        <v>46139</v>
      </c>
      <c r="B126" s="116" t="s">
        <v>27</v>
      </c>
      <c r="C126" s="145">
        <v>1657</v>
      </c>
      <c r="D126" s="147" t="s">
        <v>206</v>
      </c>
      <c r="E126" s="95">
        <v>2157</v>
      </c>
      <c r="F126" s="95">
        <v>50133</v>
      </c>
      <c r="G126" s="95">
        <v>51781</v>
      </c>
      <c r="H126" s="120">
        <f>_xlfn.XLOOKUP(Table1[[#This Row],[Shipment Number]], 'pivot '!A:A,'pivot '!G:G, "NF")</f>
        <v>5.5529847299672213</v>
      </c>
      <c r="I126" s="153">
        <f>Table1[[#This Row],[Tiyaar/gaz]]/1.0936</f>
        <v>47349.122165325534</v>
      </c>
      <c r="J126" s="153"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9">
        <f>Table1[[#This Row],[billing]]/Table1[[#This Row],[tiyar/meters]]</f>
        <v>11</v>
      </c>
      <c r="P126"/>
      <c r="Q126"/>
    </row>
    <row r="127" spans="1:17" hidden="1" x14ac:dyDescent="0.3">
      <c r="A127" s="141">
        <v>46139</v>
      </c>
      <c r="B127" s="116" t="s">
        <v>258</v>
      </c>
      <c r="C127" s="145">
        <v>1658</v>
      </c>
      <c r="D127" s="147" t="s">
        <v>206</v>
      </c>
      <c r="E127" s="151">
        <v>2177</v>
      </c>
      <c r="F127" s="151">
        <v>7882</v>
      </c>
      <c r="G127" s="151">
        <v>8164</v>
      </c>
      <c r="H127" s="109">
        <f>_xlfn.XLOOKUP(Table1[[#This Row],[Shipment Number]], 'pivot '!A:A,'pivot '!G:G, "NF")</f>
        <v>5.2873334500265088</v>
      </c>
      <c r="I127" s="153">
        <f>Table1[[#This Row],[Tiyaar/gaz]]/1.0936</f>
        <v>7465.2523774689107</v>
      </c>
      <c r="J127" s="153"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9">
        <f>Table1[[#This Row],[billing]]/Table1[[#This Row],[tiyar/meters]]</f>
        <v>12</v>
      </c>
      <c r="P127"/>
      <c r="Q127"/>
    </row>
    <row r="128" spans="1:17" hidden="1" x14ac:dyDescent="0.3">
      <c r="A128" s="141">
        <v>46139</v>
      </c>
      <c r="B128" s="116" t="s">
        <v>258</v>
      </c>
      <c r="C128" s="145">
        <v>1659</v>
      </c>
      <c r="D128" s="145" t="s">
        <v>206</v>
      </c>
      <c r="E128" s="22">
        <v>2180</v>
      </c>
      <c r="F128" s="22">
        <v>34252</v>
      </c>
      <c r="G128" s="22">
        <v>34786</v>
      </c>
      <c r="H128" s="107">
        <f>_xlfn.XLOOKUP(Table1[[#This Row],[Shipment Number]], 'pivot '!A:A,'pivot '!G:G, "NF")</f>
        <v>7.1332909206610964</v>
      </c>
      <c r="I128" s="153">
        <f>Table1[[#This Row],[Tiyaar/gaz]]/1.0936</f>
        <v>31808.705193855159</v>
      </c>
      <c r="J128" s="153"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9">
        <f>Table1[[#This Row],[billing]]/Table1[[#This Row],[tiyar/meters]]</f>
        <v>12</v>
      </c>
      <c r="P128"/>
      <c r="Q128"/>
    </row>
    <row r="129" spans="1:17" hidden="1" x14ac:dyDescent="0.3">
      <c r="A129" s="141">
        <v>46140</v>
      </c>
      <c r="B129" s="116" t="s">
        <v>35</v>
      </c>
      <c r="C129" s="145">
        <v>1660</v>
      </c>
      <c r="D129" s="147" t="s">
        <v>86</v>
      </c>
      <c r="E129" s="22">
        <v>2156</v>
      </c>
      <c r="F129" s="22">
        <v>23596</v>
      </c>
      <c r="G129" s="22">
        <v>25362</v>
      </c>
      <c r="H129" s="107">
        <f>_xlfn.XLOOKUP(Table1[[#This Row],[Shipment Number]], 'pivot '!A:A,'pivot '!G:G, "NF")</f>
        <v>1.7151432185758466</v>
      </c>
      <c r="I129" s="153">
        <f>Table1[[#This Row],[Tiyaar/gaz]]/1.0936</f>
        <v>23191.294806144844</v>
      </c>
      <c r="J129" s="153"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9">
        <f>Table1[[#This Row],[billing]]/Table1[[#This Row],[tiyar/meters]]</f>
        <v>12</v>
      </c>
      <c r="P129"/>
      <c r="Q129"/>
    </row>
    <row r="130" spans="1:17" hidden="1" x14ac:dyDescent="0.3">
      <c r="A130" s="141">
        <v>46140</v>
      </c>
      <c r="B130" s="116" t="s">
        <v>191</v>
      </c>
      <c r="C130" s="145">
        <v>1661</v>
      </c>
      <c r="D130" s="145" t="s">
        <v>86</v>
      </c>
      <c r="E130" s="22">
        <v>2168</v>
      </c>
      <c r="F130" s="22">
        <v>22019</v>
      </c>
      <c r="G130" s="22">
        <v>23463</v>
      </c>
      <c r="H130" s="107">
        <f>_xlfn.XLOOKUP(Table1[[#This Row],[Shipment Number]], 'pivot '!A:A,'pivot '!G:G, "NF")</f>
        <v>2.562204956130671</v>
      </c>
      <c r="I130" s="153">
        <f>Table1[[#This Row],[Tiyaar/gaz]]/1.0936</f>
        <v>21454.828090709583</v>
      </c>
      <c r="J130" s="153"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9">
        <f>Table1[[#This Row],[billing]]/Table1[[#This Row],[tiyar/meters]]</f>
        <v>13.000000000000002</v>
      </c>
      <c r="P130"/>
      <c r="Q130"/>
    </row>
    <row r="131" spans="1:17" hidden="1" x14ac:dyDescent="0.3">
      <c r="A131" s="141">
        <v>46141</v>
      </c>
      <c r="B131" s="116" t="s">
        <v>189</v>
      </c>
      <c r="C131" s="145">
        <v>1662</v>
      </c>
      <c r="D131" s="147" t="s">
        <v>85</v>
      </c>
      <c r="E131" s="22">
        <v>2172</v>
      </c>
      <c r="F131" s="22">
        <v>78482</v>
      </c>
      <c r="G131" s="22">
        <v>34684</v>
      </c>
      <c r="H131" s="107">
        <f>_xlfn.XLOOKUP(Table1[[#This Row],[Shipment Number]], 'pivot '!A:A,'pivot '!G:G, "NF")</f>
        <v>2.5084090589677857</v>
      </c>
      <c r="I131" s="153">
        <f>Table1[[#This Row],[Tiyaar/gaz]]/1.0936</f>
        <v>31715.43525969276</v>
      </c>
      <c r="J131" s="153"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9">
        <f>Table1[[#This Row],[billing]]/Table1[[#This Row],[tiyar/meters]]</f>
        <v>10</v>
      </c>
      <c r="O131"/>
      <c r="P131"/>
      <c r="Q131"/>
    </row>
    <row r="132" spans="1:17" hidden="1" x14ac:dyDescent="0.3">
      <c r="A132" s="141">
        <v>46141</v>
      </c>
      <c r="B132" s="116" t="s">
        <v>21</v>
      </c>
      <c r="C132" s="145">
        <v>1663</v>
      </c>
      <c r="D132" s="145" t="s">
        <v>85</v>
      </c>
      <c r="E132" s="22">
        <v>2149</v>
      </c>
      <c r="F132" s="22">
        <v>16408</v>
      </c>
      <c r="G132" s="22">
        <v>10093</v>
      </c>
      <c r="H132" s="107">
        <f>_xlfn.XLOOKUP(Table1[[#This Row],[Shipment Number]], 'pivot '!A:A,'pivot '!G:G, "NF")</f>
        <v>43.752124411985939</v>
      </c>
      <c r="I132" s="153">
        <f>Table1[[#This Row],[Tiyaar/gaz]]/1.0936</f>
        <v>9229.1514264813468</v>
      </c>
      <c r="J132" s="153"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9">
        <f>Table1[[#This Row],[billing]]/Table1[[#This Row],[tiyar/meters]]</f>
        <v>10</v>
      </c>
      <c r="M132"/>
      <c r="N132"/>
    </row>
    <row r="133" spans="1:17" hidden="1" x14ac:dyDescent="0.3">
      <c r="A133" s="141">
        <v>46142</v>
      </c>
      <c r="B133" s="116" t="s">
        <v>189</v>
      </c>
      <c r="C133" s="145">
        <v>1664</v>
      </c>
      <c r="D133" s="147" t="s">
        <v>85</v>
      </c>
      <c r="E133" s="22">
        <v>2172</v>
      </c>
      <c r="F133" s="22">
        <v>78482</v>
      </c>
      <c r="G133" s="22">
        <v>44174</v>
      </c>
      <c r="H133" s="107">
        <f>_xlfn.XLOOKUP(Table1[[#This Row],[Shipment Number]], 'pivot '!A:A,'pivot '!G:G, "NF")</f>
        <v>2.5084090589677857</v>
      </c>
      <c r="I133" s="153">
        <f>Table1[[#This Row],[Tiyaar/gaz]]/1.0936</f>
        <v>40393.196781272862</v>
      </c>
      <c r="J133" s="153"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9">
        <f>Table1[[#This Row],[billing]]/Table1[[#This Row],[tiyar/meters]]</f>
        <v>10</v>
      </c>
    </row>
    <row r="134" spans="1:17" hidden="1" x14ac:dyDescent="0.3">
      <c r="A134" s="141">
        <v>46143</v>
      </c>
      <c r="B134" s="116" t="s">
        <v>21</v>
      </c>
      <c r="C134" s="145">
        <v>1665</v>
      </c>
      <c r="D134" s="145" t="s">
        <v>85</v>
      </c>
      <c r="E134" s="22">
        <v>2150</v>
      </c>
      <c r="F134" s="22">
        <v>14993</v>
      </c>
      <c r="G134" s="22">
        <v>5614</v>
      </c>
      <c r="H134" s="107">
        <f>_xlfn.XLOOKUP(Table1[[#This Row],[Shipment Number]], 'pivot '!A:A,'pivot '!G:G, "NF")</f>
        <v>0.97183123399551619</v>
      </c>
      <c r="I134" s="153">
        <f>Table1[[#This Row],[Tiyaar/gaz]]/1.0936</f>
        <v>5133.5040234089247</v>
      </c>
      <c r="J134" s="153"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9">
        <f>Table1[[#This Row],[billing]]/Table1[[#This Row],[tiyar/meters]]</f>
        <v>10</v>
      </c>
    </row>
    <row r="135" spans="1:17" hidden="1" x14ac:dyDescent="0.3">
      <c r="A135" s="141">
        <v>46144</v>
      </c>
      <c r="B135" s="116" t="s">
        <v>258</v>
      </c>
      <c r="C135" s="145">
        <v>1666</v>
      </c>
      <c r="D135" s="147" t="s">
        <v>86</v>
      </c>
      <c r="E135" s="22">
        <v>2164</v>
      </c>
      <c r="F135" s="22">
        <v>45908</v>
      </c>
      <c r="G135" s="22">
        <v>33781</v>
      </c>
      <c r="H135" s="107">
        <f>_xlfn.XLOOKUP(Table1[[#This Row],[Shipment Number]], 'pivot '!A:A,'pivot '!G:G, "NF")</f>
        <v>3.8043804921633608</v>
      </c>
      <c r="I135" s="153">
        <f>Table1[[#This Row],[Tiyaar/gaz]]/1.0936</f>
        <v>30889.722019019755</v>
      </c>
      <c r="J135" s="153"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9">
        <f>Table1[[#This Row],[billing]]/Table1[[#This Row],[tiyar/meters]]</f>
        <v>13</v>
      </c>
    </row>
    <row r="136" spans="1:17" hidden="1" x14ac:dyDescent="0.3">
      <c r="A136" s="141">
        <v>46144</v>
      </c>
      <c r="B136" s="116" t="s">
        <v>258</v>
      </c>
      <c r="C136" s="145">
        <v>1667</v>
      </c>
      <c r="D136" s="145" t="s">
        <v>86</v>
      </c>
      <c r="E136" s="22">
        <v>2164</v>
      </c>
      <c r="F136" s="22">
        <v>45908</v>
      </c>
      <c r="G136" s="22">
        <v>14514</v>
      </c>
      <c r="H136" s="107">
        <f>_xlfn.XLOOKUP(Table1[[#This Row],[Shipment Number]], 'pivot '!A:A,'pivot '!G:G, "NF")</f>
        <v>3.8043804921633608</v>
      </c>
      <c r="I136" s="153">
        <f>Table1[[#This Row],[Tiyaar/gaz]]/1.0936</f>
        <v>13271.762984637895</v>
      </c>
      <c r="J136" s="153"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9">
        <f>Table1[[#This Row],[billing]]/Table1[[#This Row],[tiyar/meters]]</f>
        <v>13</v>
      </c>
    </row>
    <row r="137" spans="1:17" hidden="1" x14ac:dyDescent="0.3">
      <c r="A137" s="175">
        <v>46144</v>
      </c>
      <c r="B137" s="124" t="s">
        <v>258</v>
      </c>
      <c r="C137" s="177">
        <v>1668</v>
      </c>
      <c r="D137" s="201" t="s">
        <v>86</v>
      </c>
      <c r="E137" s="179">
        <v>2167</v>
      </c>
      <c r="F137" s="179">
        <v>47687</v>
      </c>
      <c r="G137" s="179">
        <v>1496</v>
      </c>
      <c r="H137" s="181">
        <f>_xlfn.XLOOKUP(Table1[[#This Row],[Shipment Number]], 'pivot '!A:A,'pivot '!G:G, "NF")</f>
        <v>4.562761726141872</v>
      </c>
      <c r="I137" s="199">
        <f>Table1[[#This Row],[Tiyaar/gaz]]/1.0936</f>
        <v>1367.9590343818581</v>
      </c>
      <c r="J137" s="199"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9">
        <f>Table1[[#This Row],[billing]]/Table1[[#This Row],[tiyar/meters]]</f>
        <v>12.999999999999998</v>
      </c>
    </row>
    <row r="138" spans="1:17" hidden="1" x14ac:dyDescent="0.3">
      <c r="A138" s="141">
        <v>46146</v>
      </c>
      <c r="B138" s="116" t="s">
        <v>500</v>
      </c>
      <c r="C138" s="145">
        <v>1669</v>
      </c>
      <c r="D138" s="145" t="s">
        <v>86</v>
      </c>
      <c r="E138" s="22">
        <v>2185</v>
      </c>
      <c r="F138" s="22">
        <v>50029</v>
      </c>
      <c r="G138" s="22">
        <v>36039</v>
      </c>
      <c r="H138" s="107">
        <f>_xlfn.XLOOKUP(Table1[[#This Row],[Shipment Number]], 'pivot '!A:A,'pivot '!G:G, "NF")</f>
        <v>4.8759473711538419</v>
      </c>
      <c r="I138" s="153">
        <f>Table1[[#This Row],[Tiyaar/gaz]]/1.0936</f>
        <v>32954.462326261892</v>
      </c>
      <c r="J138" s="153"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9">
        <f>Table1[[#This Row],[billing]]/Table1[[#This Row],[tiyar/meters]]</f>
        <v>12</v>
      </c>
    </row>
    <row r="139" spans="1:17" hidden="1" x14ac:dyDescent="0.3">
      <c r="A139" s="141">
        <v>46146</v>
      </c>
      <c r="B139" s="116" t="s">
        <v>500</v>
      </c>
      <c r="C139" s="145">
        <v>1670</v>
      </c>
      <c r="D139" s="147" t="s">
        <v>86</v>
      </c>
      <c r="E139" s="22">
        <v>2185</v>
      </c>
      <c r="F139" s="22">
        <v>50029</v>
      </c>
      <c r="G139" s="22">
        <v>16005</v>
      </c>
      <c r="H139" s="107">
        <f>_xlfn.XLOOKUP(Table1[[#This Row],[Shipment Number]], 'pivot '!A:A,'pivot '!G:G, "NF")</f>
        <v>4.8759473711538419</v>
      </c>
      <c r="I139" s="153">
        <f>Table1[[#This Row],[Tiyaar/gaz]]/1.0936</f>
        <v>14635.149963423557</v>
      </c>
      <c r="J139" s="153"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9">
        <f>Table1[[#This Row],[billing]]/Table1[[#This Row],[tiyar/meters]]</f>
        <v>12</v>
      </c>
    </row>
    <row r="140" spans="1:17" hidden="1" x14ac:dyDescent="0.3">
      <c r="A140" s="141">
        <v>46146</v>
      </c>
      <c r="B140" s="116" t="s">
        <v>500</v>
      </c>
      <c r="C140" s="145">
        <v>1671</v>
      </c>
      <c r="D140" s="145" t="s">
        <v>86</v>
      </c>
      <c r="E140" s="22">
        <v>2186</v>
      </c>
      <c r="F140" s="22">
        <v>36740</v>
      </c>
      <c r="G140" s="22">
        <v>38709</v>
      </c>
      <c r="H140" s="107">
        <f>_xlfn.XLOOKUP(Table1[[#This Row],[Shipment Number]], 'pivot '!A:A,'pivot '!G:G, "NF")</f>
        <v>3.6583015388389128</v>
      </c>
      <c r="I140" s="153">
        <f>Table1[[#This Row],[Tiyaar/gaz]]/1.0936</f>
        <v>35395.940014630578</v>
      </c>
      <c r="J140" s="153"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9">
        <f>Table1[[#This Row],[billing]]/Table1[[#This Row],[tiyar/meters]]</f>
        <v>12</v>
      </c>
    </row>
    <row r="141" spans="1:17" hidden="1" x14ac:dyDescent="0.3">
      <c r="A141" s="141">
        <v>46146</v>
      </c>
      <c r="B141" s="119" t="s">
        <v>500</v>
      </c>
      <c r="C141" s="145">
        <v>1672</v>
      </c>
      <c r="D141" s="147" t="s">
        <v>86</v>
      </c>
      <c r="E141" s="22">
        <v>2190</v>
      </c>
      <c r="F141" s="22">
        <v>39984</v>
      </c>
      <c r="G141" s="22">
        <v>41078</v>
      </c>
      <c r="H141" s="107">
        <f>_xlfn.XLOOKUP(Table1[[#This Row],[Shipment Number]], 'pivot '!A:A,'pivot '!G:G, "NF")</f>
        <v>6.0569728988888727</v>
      </c>
      <c r="I141" s="153">
        <f>Table1[[#This Row],[Tiyaar/gaz]]/1.0936</f>
        <v>37562.179956108266</v>
      </c>
      <c r="J141" s="153"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9">
        <f>Table1[[#This Row],[billing]]/Table1[[#This Row],[tiyar/meters]]</f>
        <v>12</v>
      </c>
    </row>
    <row r="142" spans="1:17" hidden="1" x14ac:dyDescent="0.3">
      <c r="A142" s="141">
        <v>46146</v>
      </c>
      <c r="B142" s="116" t="s">
        <v>500</v>
      </c>
      <c r="C142" s="145">
        <v>1673</v>
      </c>
      <c r="D142" s="145" t="s">
        <v>86</v>
      </c>
      <c r="E142" s="22">
        <v>2187</v>
      </c>
      <c r="F142" s="22">
        <v>30346</v>
      </c>
      <c r="G142" s="22">
        <v>32052</v>
      </c>
      <c r="H142" s="107">
        <f>_xlfn.XLOOKUP(Table1[[#This Row],[Shipment Number]], 'pivot '!A:A,'pivot '!G:G, "NF")</f>
        <v>3.4182258160707732</v>
      </c>
      <c r="I142" s="153">
        <f>Table1[[#This Row],[Tiyaar/gaz]]/1.0936</f>
        <v>29308.705193855159</v>
      </c>
      <c r="J142" s="153"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9">
        <f>Table1[[#This Row],[billing]]/Table1[[#This Row],[tiyar/meters]]</f>
        <v>12</v>
      </c>
    </row>
    <row r="143" spans="1:17" hidden="1" x14ac:dyDescent="0.3">
      <c r="A143" s="141">
        <v>46147</v>
      </c>
      <c r="B143" s="116" t="s">
        <v>21</v>
      </c>
      <c r="C143" s="145">
        <v>1674</v>
      </c>
      <c r="D143" s="147" t="s">
        <v>85</v>
      </c>
      <c r="E143" s="22">
        <v>2147</v>
      </c>
      <c r="F143" s="22">
        <v>31086</v>
      </c>
      <c r="G143" s="22">
        <v>35474</v>
      </c>
      <c r="H143" s="107">
        <f>_xlfn.XLOOKUP(Table1[[#This Row],[Shipment Number]], 'pivot '!A:A,'pivot '!G:G, "NF")</f>
        <v>2.2838077264489698</v>
      </c>
      <c r="I143" s="153">
        <f>Table1[[#This Row],[Tiyaar/gaz]]/1.0936</f>
        <v>32437.820043891737</v>
      </c>
      <c r="J143" s="153"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9">
        <f>Table1[[#This Row],[billing]]/Table1[[#This Row],[tiyar/meters]]</f>
        <v>10</v>
      </c>
    </row>
    <row r="144" spans="1:17" hidden="1" x14ac:dyDescent="0.3">
      <c r="A144" s="141">
        <v>46147</v>
      </c>
      <c r="B144" s="116" t="s">
        <v>21</v>
      </c>
      <c r="C144" s="145">
        <v>1675</v>
      </c>
      <c r="D144" s="145" t="s">
        <v>85</v>
      </c>
      <c r="E144" s="22">
        <v>2150</v>
      </c>
      <c r="F144" s="22">
        <v>14993</v>
      </c>
      <c r="G144" s="22">
        <v>3895</v>
      </c>
      <c r="H144" s="107">
        <f>_xlfn.XLOOKUP(Table1[[#This Row],[Shipment Number]], 'pivot '!A:A,'pivot '!G:G, "NF")</f>
        <v>0.97183123399551619</v>
      </c>
      <c r="I144" s="153">
        <f>Table1[[#This Row],[Tiyaar/gaz]]/1.0936</f>
        <v>3561.6313094367229</v>
      </c>
      <c r="J144" s="153"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9">
        <f>Table1[[#This Row],[billing]]/Table1[[#This Row],[tiyar/meters]]</f>
        <v>10</v>
      </c>
    </row>
    <row r="145" spans="1:11" hidden="1" x14ac:dyDescent="0.3">
      <c r="A145" s="141">
        <v>46148</v>
      </c>
      <c r="B145" s="116" t="s">
        <v>21</v>
      </c>
      <c r="C145" s="145">
        <v>1676</v>
      </c>
      <c r="D145" s="147" t="s">
        <v>85</v>
      </c>
      <c r="E145" s="22">
        <v>2135</v>
      </c>
      <c r="F145" s="22">
        <v>14433</v>
      </c>
      <c r="G145" s="22">
        <v>4288</v>
      </c>
      <c r="H145" s="107">
        <f>_xlfn.XLOOKUP(Table1[[#This Row],[Shipment Number]], 'pivot '!A:A,'pivot '!G:G, "NF")</f>
        <v>3.2750325128177167</v>
      </c>
      <c r="I145" s="153">
        <f>Table1[[#This Row],[Tiyaar/gaz]]/1.0936</f>
        <v>3920.9948792977325</v>
      </c>
      <c r="J145" s="153"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9">
        <f>Table1[[#This Row],[billing]]/Table1[[#This Row],[tiyar/meters]]</f>
        <v>10</v>
      </c>
    </row>
    <row r="146" spans="1:11" hidden="1" x14ac:dyDescent="0.3">
      <c r="A146" s="141">
        <v>46148</v>
      </c>
      <c r="B146" s="116" t="s">
        <v>21</v>
      </c>
      <c r="C146" s="145">
        <v>1677</v>
      </c>
      <c r="D146" s="145" t="s">
        <v>85</v>
      </c>
      <c r="E146" s="22">
        <v>2169</v>
      </c>
      <c r="F146" s="22">
        <v>38665</v>
      </c>
      <c r="G146" s="22">
        <v>41074</v>
      </c>
      <c r="H146" s="107">
        <f>_xlfn.XLOOKUP(Table1[[#This Row],[Shipment Number]], 'pivot '!A:A,'pivot '!G:G, "NF")</f>
        <v>2.8617035778318467</v>
      </c>
      <c r="I146" s="153">
        <f>Table1[[#This Row],[Tiyaar/gaz]]/1.0936</f>
        <v>37558.522311631314</v>
      </c>
      <c r="J146" s="153"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9">
        <f>Table1[[#This Row],[billing]]/Table1[[#This Row],[tiyar/meters]]</f>
        <v>10</v>
      </c>
    </row>
    <row r="147" spans="1:11" hidden="1" x14ac:dyDescent="0.3">
      <c r="A147" s="141">
        <v>46148</v>
      </c>
      <c r="B147" s="116" t="s">
        <v>21</v>
      </c>
      <c r="C147" s="145">
        <v>1678</v>
      </c>
      <c r="D147" s="155" t="s">
        <v>85</v>
      </c>
      <c r="E147" s="95">
        <v>2191</v>
      </c>
      <c r="F147" s="95">
        <v>107006</v>
      </c>
      <c r="G147" s="95">
        <v>6592</v>
      </c>
      <c r="H147" s="120">
        <f>_xlfn.XLOOKUP(Table1[[#This Row],[Shipment Number]], 'pivot '!A:A,'pivot '!G:G, "NF")</f>
        <v>2.0207879010428371</v>
      </c>
      <c r="I147" s="153">
        <f>Table1[[#This Row],[Tiyaar/gaz]]/1.0936</f>
        <v>6027.7980980248722</v>
      </c>
      <c r="J147" s="153"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9">
        <f>Table1[[#This Row],[billing]]/Table1[[#This Row],[tiyar/meters]]</f>
        <v>10</v>
      </c>
    </row>
    <row r="148" spans="1:11" hidden="1" x14ac:dyDescent="0.3">
      <c r="A148" s="141">
        <v>46148</v>
      </c>
      <c r="B148" s="116" t="s">
        <v>530</v>
      </c>
      <c r="C148" s="145">
        <v>1679</v>
      </c>
      <c r="D148" s="155" t="s">
        <v>85</v>
      </c>
      <c r="E148" s="95">
        <v>2188</v>
      </c>
      <c r="F148" s="95">
        <v>19276</v>
      </c>
      <c r="G148" s="95">
        <v>20731</v>
      </c>
      <c r="H148" s="120">
        <f>_xlfn.XLOOKUP(Table1[[#This Row],[Shipment Number]], 'pivot '!A:A,'pivot '!G:G, "NF")</f>
        <v>1.6566875236145364</v>
      </c>
      <c r="I148" s="153">
        <f>Table1[[#This Row],[Tiyaar/gaz]]/1.0936</f>
        <v>18956.656912948063</v>
      </c>
      <c r="J148" s="153"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9">
        <f>Table1[[#This Row],[billing]]/Table1[[#This Row],[tiyar/meters]]</f>
        <v>10</v>
      </c>
    </row>
    <row r="149" spans="1:11" hidden="1" x14ac:dyDescent="0.3">
      <c r="A149" s="141">
        <v>46149</v>
      </c>
      <c r="B149" s="116" t="s">
        <v>21</v>
      </c>
      <c r="C149" s="145">
        <v>1680</v>
      </c>
      <c r="D149" s="155" t="s">
        <v>85</v>
      </c>
      <c r="E149" s="95">
        <v>2193</v>
      </c>
      <c r="F149" s="95">
        <v>61241</v>
      </c>
      <c r="G149" s="95">
        <v>21509</v>
      </c>
      <c r="H149" s="120">
        <f>_xlfn.XLOOKUP(Table1[[#This Row],[Shipment Number]], 'pivot '!A:A,'pivot '!G:G, "NF")</f>
        <v>1.2664142327970467</v>
      </c>
      <c r="I149" s="153">
        <f>Table1[[#This Row],[Tiyaar/gaz]]/1.0936</f>
        <v>19668.068763716168</v>
      </c>
      <c r="J149" s="153"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9">
        <f>Table1[[#This Row],[billing]]/Table1[[#This Row],[tiyar/meters]]</f>
        <v>10</v>
      </c>
    </row>
    <row r="150" spans="1:11" hidden="1" x14ac:dyDescent="0.3">
      <c r="A150" s="141">
        <v>46149</v>
      </c>
      <c r="B150" s="116" t="s">
        <v>21</v>
      </c>
      <c r="C150" s="145">
        <v>1681</v>
      </c>
      <c r="D150" s="155" t="s">
        <v>85</v>
      </c>
      <c r="E150" s="95">
        <v>2191</v>
      </c>
      <c r="F150" s="95">
        <v>107006</v>
      </c>
      <c r="G150" s="95">
        <v>6364</v>
      </c>
      <c r="H150" s="120">
        <f>_xlfn.XLOOKUP(Table1[[#This Row],[Shipment Number]], 'pivot '!A:A,'pivot '!G:G, "NF")</f>
        <v>2.0207879010428371</v>
      </c>
      <c r="I150" s="153">
        <f>Table1[[#This Row],[Tiyaar/gaz]]/1.0936</f>
        <v>5819.3123628383328</v>
      </c>
      <c r="J150" s="153"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9">
        <f>Table1[[#This Row],[billing]]/Table1[[#This Row],[tiyar/meters]]</f>
        <v>10</v>
      </c>
    </row>
    <row r="151" spans="1:11" hidden="1" x14ac:dyDescent="0.3">
      <c r="A151" s="141">
        <v>46149</v>
      </c>
      <c r="B151" s="116" t="s">
        <v>21</v>
      </c>
      <c r="C151" s="145">
        <v>1682</v>
      </c>
      <c r="D151" s="147" t="s">
        <v>85</v>
      </c>
      <c r="E151" s="22">
        <v>2193</v>
      </c>
      <c r="F151" s="22">
        <v>61241</v>
      </c>
      <c r="G151" s="22">
        <v>44616</v>
      </c>
      <c r="H151" s="107">
        <f>_xlfn.XLOOKUP(Table1[[#This Row],[Shipment Number]], 'pivot '!A:A,'pivot '!G:G, "NF")</f>
        <v>1.2664142327970467</v>
      </c>
      <c r="I151" s="153">
        <f>Table1[[#This Row],[Tiyaar/gaz]]/1.0936</f>
        <v>40797.366495976596</v>
      </c>
      <c r="J151" s="153"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9">
        <f>Table1[[#This Row],[billing]]/Table1[[#This Row],[tiyar/meters]]</f>
        <v>10</v>
      </c>
    </row>
    <row r="152" spans="1:11" hidden="1" x14ac:dyDescent="0.3">
      <c r="A152" s="141">
        <v>46149</v>
      </c>
      <c r="B152" s="144" t="s">
        <v>21</v>
      </c>
      <c r="C152" s="145">
        <v>1683</v>
      </c>
      <c r="D152" s="145" t="s">
        <v>85</v>
      </c>
      <c r="E152" s="22">
        <v>2181</v>
      </c>
      <c r="F152" s="22">
        <v>9943</v>
      </c>
      <c r="G152" s="22">
        <v>2330</v>
      </c>
      <c r="H152" s="107">
        <f>_xlfn.XLOOKUP(Table1[[#This Row],[Shipment Number]], 'pivot '!A:A,'pivot '!G:G, "NF")</f>
        <v>1.4131831615776633</v>
      </c>
      <c r="I152" s="153">
        <f>Table1[[#This Row],[Tiyaar/gaz]]/1.0936</f>
        <v>2130.5779078273595</v>
      </c>
      <c r="J152" s="153"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9">
        <f>Table1[[#This Row],[billing]]/Table1[[#This Row],[tiyar/meters]]</f>
        <v>10</v>
      </c>
    </row>
    <row r="153" spans="1:11" hidden="1" x14ac:dyDescent="0.3">
      <c r="A153" s="141">
        <v>46149</v>
      </c>
      <c r="B153" s="119" t="s">
        <v>21</v>
      </c>
      <c r="C153" s="145">
        <v>1684</v>
      </c>
      <c r="D153" s="147" t="s">
        <v>85</v>
      </c>
      <c r="E153" s="22">
        <v>2191</v>
      </c>
      <c r="F153" s="22">
        <v>107006</v>
      </c>
      <c r="G153" s="22">
        <v>2290</v>
      </c>
      <c r="H153" s="107">
        <f>_xlfn.XLOOKUP(Table1[[#This Row],[Shipment Number]], 'pivot '!A:A,'pivot '!G:G, "NF")</f>
        <v>2.0207879010428371</v>
      </c>
      <c r="I153" s="153">
        <f>Table1[[#This Row],[Tiyaar/gaz]]/1.0936</f>
        <v>2094.0014630577912</v>
      </c>
      <c r="J153" s="153"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9">
        <f>Table1[[#This Row],[billing]]/Table1[[#This Row],[tiyar/meters]]</f>
        <v>10</v>
      </c>
    </row>
    <row r="154" spans="1:11" hidden="1" x14ac:dyDescent="0.3">
      <c r="A154" s="141">
        <v>46150</v>
      </c>
      <c r="B154" s="119" t="s">
        <v>21</v>
      </c>
      <c r="C154" s="145">
        <v>1685</v>
      </c>
      <c r="D154" s="145" t="s">
        <v>85</v>
      </c>
      <c r="E154" s="22">
        <v>2191</v>
      </c>
      <c r="F154" s="22">
        <v>107006</v>
      </c>
      <c r="G154" s="22">
        <v>45049</v>
      </c>
      <c r="H154" s="107">
        <f>_xlfn.XLOOKUP(Table1[[#This Row],[Shipment Number]], 'pivot '!A:A,'pivot '!G:G, "NF")</f>
        <v>2.0207879010428371</v>
      </c>
      <c r="I154" s="153">
        <f>Table1[[#This Row],[Tiyaar/gaz]]/1.0936</f>
        <v>41193.306510607174</v>
      </c>
      <c r="J154" s="153"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9">
        <f>Table1[[#This Row],[billing]]/Table1[[#This Row],[tiyar/meters]]</f>
        <v>10</v>
      </c>
    </row>
    <row r="155" spans="1:11" hidden="1" x14ac:dyDescent="0.3">
      <c r="A155" s="141">
        <v>46150</v>
      </c>
      <c r="B155" s="119" t="s">
        <v>21</v>
      </c>
      <c r="C155" s="145">
        <v>1686</v>
      </c>
      <c r="D155" s="147" t="s">
        <v>85</v>
      </c>
      <c r="E155" s="22">
        <v>2191</v>
      </c>
      <c r="F155" s="22">
        <v>107006</v>
      </c>
      <c r="G155" s="22">
        <v>17678</v>
      </c>
      <c r="H155" s="107">
        <f>_xlfn.XLOOKUP(Table1[[#This Row],[Shipment Number]], 'pivot '!A:A,'pivot '!G:G, "NF")</f>
        <v>2.0207879010428371</v>
      </c>
      <c r="I155" s="153">
        <f>Table1[[#This Row],[Tiyaar/gaz]]/1.0936</f>
        <v>16164.959765910755</v>
      </c>
      <c r="J155" s="153"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9">
        <f>Table1[[#This Row],[billing]]/Table1[[#This Row],[tiyar/meters]]</f>
        <v>10</v>
      </c>
    </row>
    <row r="156" spans="1:11" hidden="1" x14ac:dyDescent="0.3">
      <c r="A156" s="141">
        <v>46150</v>
      </c>
      <c r="B156" s="119" t="s">
        <v>21</v>
      </c>
      <c r="C156" s="145">
        <v>1687</v>
      </c>
      <c r="D156" s="145" t="s">
        <v>85</v>
      </c>
      <c r="E156" s="22">
        <v>2181</v>
      </c>
      <c r="F156" s="22">
        <v>9943</v>
      </c>
      <c r="G156" s="22">
        <v>2530</v>
      </c>
      <c r="H156" s="107">
        <f>_xlfn.XLOOKUP(Table1[[#This Row],[Shipment Number]], 'pivot '!A:A,'pivot '!G:G, "NF")</f>
        <v>1.4131831615776633</v>
      </c>
      <c r="I156" s="153">
        <f>Table1[[#This Row],[Tiyaar/gaz]]/1.0936</f>
        <v>2313.4601316752014</v>
      </c>
      <c r="J156" s="153"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9">
        <f>Table1[[#This Row],[billing]]/Table1[[#This Row],[tiyar/meters]]</f>
        <v>10</v>
      </c>
    </row>
    <row r="157" spans="1:11" hidden="1" x14ac:dyDescent="0.3">
      <c r="A157" s="141">
        <v>46150</v>
      </c>
      <c r="B157" s="119" t="s">
        <v>21</v>
      </c>
      <c r="C157" s="145">
        <v>1688</v>
      </c>
      <c r="D157" s="145" t="s">
        <v>85</v>
      </c>
      <c r="E157" s="22">
        <v>2191</v>
      </c>
      <c r="F157" s="22">
        <v>107006</v>
      </c>
      <c r="G157" s="22">
        <v>25378</v>
      </c>
      <c r="H157" s="107">
        <f>_xlfn.XLOOKUP(Table1[[#This Row],[Shipment Number]], 'pivot '!A:A,'pivot '!G:G, "NF")</f>
        <v>2.0207879010428371</v>
      </c>
      <c r="I157" s="153">
        <f>Table1[[#This Row],[Tiyaar/gaz]]/1.0936</f>
        <v>23205.925384052673</v>
      </c>
      <c r="J157" s="153"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9">
        <f>Table1[[#This Row],[billing]]/Table1[[#This Row],[tiyar/meters]]</f>
        <v>10</v>
      </c>
    </row>
    <row r="158" spans="1:11" hidden="1" x14ac:dyDescent="0.3">
      <c r="A158" s="141">
        <v>46150</v>
      </c>
      <c r="B158" s="119" t="s">
        <v>21</v>
      </c>
      <c r="C158" s="145">
        <v>1689</v>
      </c>
      <c r="D158" s="147" t="s">
        <v>85</v>
      </c>
      <c r="E158" s="22">
        <v>2191</v>
      </c>
      <c r="F158" s="22">
        <v>107006</v>
      </c>
      <c r="G158" s="22">
        <v>11306</v>
      </c>
      <c r="H158" s="107">
        <f>_xlfn.XLOOKUP(Table1[[#This Row],[Shipment Number]], 'pivot '!A:A,'pivot '!G:G, "NF")</f>
        <v>2.0207879010428371</v>
      </c>
      <c r="I158" s="153">
        <f>Table1[[#This Row],[Tiyaar/gaz]]/1.0936</f>
        <v>10338.332114118508</v>
      </c>
      <c r="J158" s="153"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9">
        <f>Table1[[#This Row],[billing]]/Table1[[#This Row],[tiyar/meters]]</f>
        <v>10</v>
      </c>
    </row>
    <row r="159" spans="1:11" hidden="1" x14ac:dyDescent="0.3">
      <c r="A159" s="141">
        <v>46150</v>
      </c>
      <c r="B159" s="116" t="s">
        <v>21</v>
      </c>
      <c r="C159" s="145">
        <v>1690</v>
      </c>
      <c r="D159" s="145" t="s">
        <v>85</v>
      </c>
      <c r="E159" s="22">
        <v>2181</v>
      </c>
      <c r="F159" s="22">
        <v>9943</v>
      </c>
      <c r="G159" s="22">
        <v>5860</v>
      </c>
      <c r="H159" s="107">
        <f>_xlfn.XLOOKUP(Table1[[#This Row],[Shipment Number]], 'pivot '!A:A,'pivot '!G:G, "NF")</f>
        <v>1.4131831615776633</v>
      </c>
      <c r="I159" s="153">
        <f>Table1[[#This Row],[Tiyaar/gaz]]/1.0936</f>
        <v>5358.4491587417706</v>
      </c>
      <c r="J159" s="153"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9">
        <f>Table1[[#This Row],[billing]]/Table1[[#This Row],[tiyar/meters]]</f>
        <v>10</v>
      </c>
    </row>
    <row r="160" spans="1:11" hidden="1" x14ac:dyDescent="0.3">
      <c r="A160" s="141">
        <v>46151</v>
      </c>
      <c r="B160" s="119" t="s">
        <v>21</v>
      </c>
      <c r="C160" s="145">
        <v>1691</v>
      </c>
      <c r="D160" s="145" t="s">
        <v>86</v>
      </c>
      <c r="E160" s="22">
        <v>2195</v>
      </c>
      <c r="F160" s="22">
        <v>17930</v>
      </c>
      <c r="G160" s="22">
        <v>19428</v>
      </c>
      <c r="H160" s="107">
        <f>_xlfn.XLOOKUP(Table1[[#This Row],[Shipment Number]], 'pivot '!A:A,'pivot '!G:G, "NF")</f>
        <v>0.91924581941231054</v>
      </c>
      <c r="I160" s="153">
        <f>Table1[[#This Row],[Tiyaar/gaz]]/1.0936</f>
        <v>17765.179224579373</v>
      </c>
      <c r="J160" s="153"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9">
        <f>Table1[[#This Row],[billing]]/Table1[[#This Row],[tiyar/meters]]</f>
        <v>13</v>
      </c>
    </row>
    <row r="161" spans="1:12" hidden="1" x14ac:dyDescent="0.3">
      <c r="A161" s="141">
        <v>46151</v>
      </c>
      <c r="B161" s="119" t="s">
        <v>21</v>
      </c>
      <c r="C161" s="145">
        <v>1692</v>
      </c>
      <c r="D161" s="145" t="s">
        <v>85</v>
      </c>
      <c r="E161" s="22">
        <v>2192</v>
      </c>
      <c r="F161" s="22">
        <v>57164</v>
      </c>
      <c r="G161" s="22">
        <v>19836</v>
      </c>
      <c r="H161" s="107">
        <f>_xlfn.XLOOKUP(Table1[[#This Row],[Shipment Number]], 'pivot '!A:A,'pivot '!G:G, "NF")</f>
        <v>1.2469903326698102</v>
      </c>
      <c r="I161" s="153">
        <f>Table1[[#This Row],[Tiyaar/gaz]]/1.0936</f>
        <v>18138.25896122897</v>
      </c>
      <c r="J161" s="153"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9">
        <f>Table1[[#This Row],[billing]]/Table1[[#This Row],[tiyar/meters]]</f>
        <v>10</v>
      </c>
    </row>
    <row r="162" spans="1:12" hidden="1" x14ac:dyDescent="0.3">
      <c r="A162" s="141">
        <v>46151</v>
      </c>
      <c r="B162" s="116" t="s">
        <v>441</v>
      </c>
      <c r="C162" s="145">
        <v>1693</v>
      </c>
      <c r="D162" s="145" t="s">
        <v>86</v>
      </c>
      <c r="E162" s="22">
        <v>2182</v>
      </c>
      <c r="F162" s="22">
        <v>99404</v>
      </c>
      <c r="G162" s="22">
        <v>37070</v>
      </c>
      <c r="H162" s="107">
        <f>_xlfn.XLOOKUP(Table1[[#This Row],[Shipment Number]], 'pivot '!A:A,'pivot '!G:G, "NF")</f>
        <v>6.694263575356814</v>
      </c>
      <c r="I162" s="153">
        <f>Table1[[#This Row],[Tiyaar/gaz]]/1.0936</f>
        <v>33897.220190197513</v>
      </c>
      <c r="J162" s="153">
        <f>Table1[[#This Row],[tiyar/meters]]*12</f>
        <v>406766.64228237013</v>
      </c>
      <c r="K162" s="119">
        <f>Table1[[#This Row],[billing]]/Table1[[#This Row],[tiyar/meters]]</f>
        <v>12</v>
      </c>
    </row>
    <row r="163" spans="1:12" hidden="1" x14ac:dyDescent="0.3">
      <c r="A163" s="141">
        <v>46151</v>
      </c>
      <c r="B163" s="116" t="s">
        <v>441</v>
      </c>
      <c r="C163" s="145">
        <v>1694</v>
      </c>
      <c r="D163" s="145" t="s">
        <v>86</v>
      </c>
      <c r="E163" s="22">
        <v>2182</v>
      </c>
      <c r="F163" s="22">
        <v>99404</v>
      </c>
      <c r="G163" s="22">
        <v>14046</v>
      </c>
      <c r="H163" s="107">
        <f>_xlfn.XLOOKUP(Table1[[#This Row],[Shipment Number]], 'pivot '!A:A,'pivot '!G:G, "NF")</f>
        <v>6.694263575356814</v>
      </c>
      <c r="I163" s="153">
        <f>Table1[[#This Row],[Tiyaar/gaz]]/1.0936</f>
        <v>12843.818580833944</v>
      </c>
      <c r="J163" s="153">
        <f>Table1[[#This Row],[tiyar/meters]]*12</f>
        <v>154125.82297000731</v>
      </c>
      <c r="K163" s="119">
        <f>Table1[[#This Row],[billing]]/Table1[[#This Row],[tiyar/meters]]</f>
        <v>11.999999999999998</v>
      </c>
      <c r="L163"/>
    </row>
    <row r="164" spans="1:12" hidden="1" x14ac:dyDescent="0.3">
      <c r="A164" s="141">
        <v>46153</v>
      </c>
      <c r="B164" s="106" t="s">
        <v>441</v>
      </c>
      <c r="C164" s="145">
        <v>1695</v>
      </c>
      <c r="D164" s="145" t="s">
        <v>86</v>
      </c>
      <c r="E164" s="22">
        <v>2182</v>
      </c>
      <c r="F164" s="22">
        <v>99404</v>
      </c>
      <c r="G164" s="22">
        <v>39878</v>
      </c>
      <c r="H164" s="107">
        <f>_xlfn.XLOOKUP(Table1[[#This Row],[Shipment Number]], 'pivot '!A:A,'pivot '!G:G, "NF")</f>
        <v>6.694263575356814</v>
      </c>
      <c r="I164" s="63">
        <f>Table1[[#This Row],[Tiyaar/gaz]]/1.0936</f>
        <v>36464.886613021219</v>
      </c>
      <c r="J164" s="63">
        <f>Table1[[#This Row],[tiyar/meters]]*12</f>
        <v>437578.6393562546</v>
      </c>
      <c r="K164" s="119">
        <f>Table1[[#This Row],[billing]]/Table1[[#This Row],[tiyar/meters]]</f>
        <v>12</v>
      </c>
    </row>
    <row r="165" spans="1:12" hidden="1" x14ac:dyDescent="0.3">
      <c r="A165" s="141">
        <v>46153</v>
      </c>
      <c r="B165" s="106" t="s">
        <v>441</v>
      </c>
      <c r="C165" s="145">
        <v>1696</v>
      </c>
      <c r="D165" s="145" t="s">
        <v>86</v>
      </c>
      <c r="E165" s="22">
        <v>2182</v>
      </c>
      <c r="F165" s="22">
        <v>99404</v>
      </c>
      <c r="G165" s="22">
        <v>10437</v>
      </c>
      <c r="H165" s="107">
        <f>_xlfn.XLOOKUP(Table1[[#This Row],[Shipment Number]], 'pivot '!A:A,'pivot '!G:G, "NF")</f>
        <v>6.694263575356814</v>
      </c>
      <c r="I165" s="63">
        <f>Table1[[#This Row],[Tiyaar/gaz]]/1.0936</f>
        <v>9543.7088514996358</v>
      </c>
      <c r="J165" s="63">
        <f>Table1[[#This Row],[tiyar/meters]]*12</f>
        <v>114524.50621799563</v>
      </c>
      <c r="K165" s="119">
        <f>Table1[[#This Row],[billing]]/Table1[[#This Row],[tiyar/meters]]</f>
        <v>12</v>
      </c>
    </row>
    <row r="166" spans="1:12" hidden="1" x14ac:dyDescent="0.3">
      <c r="A166" s="141">
        <v>46154</v>
      </c>
      <c r="B166" s="106" t="s">
        <v>258</v>
      </c>
      <c r="C166" s="145">
        <v>1697</v>
      </c>
      <c r="D166" s="145" t="s">
        <v>86</v>
      </c>
      <c r="E166" s="22" t="s">
        <v>574</v>
      </c>
      <c r="F166" s="22">
        <v>7846</v>
      </c>
      <c r="G166" s="22">
        <v>8229</v>
      </c>
      <c r="H166" s="107">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9">
        <f>Table1[[#This Row],[billing]]/Table1[[#This Row],[tiyar/meters]]</f>
        <v>13</v>
      </c>
    </row>
    <row r="167" spans="1:12" hidden="1" x14ac:dyDescent="0.3">
      <c r="A167" s="141">
        <v>46154</v>
      </c>
      <c r="B167" s="106" t="s">
        <v>258</v>
      </c>
      <c r="C167" s="145">
        <v>1698</v>
      </c>
      <c r="D167" s="145" t="s">
        <v>86</v>
      </c>
      <c r="E167" s="22">
        <v>2176</v>
      </c>
      <c r="F167" s="22">
        <v>17218</v>
      </c>
      <c r="G167" s="22">
        <v>18230</v>
      </c>
      <c r="H167" s="107">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9">
        <f>Table1[[#This Row],[billing]]/Table1[[#This Row],[tiyar/meters]]</f>
        <v>13</v>
      </c>
    </row>
    <row r="168" spans="1:12" hidden="1" x14ac:dyDescent="0.3">
      <c r="A168" s="141">
        <v>46154</v>
      </c>
      <c r="B168" s="106" t="s">
        <v>258</v>
      </c>
      <c r="C168" s="145">
        <v>1699</v>
      </c>
      <c r="D168" s="145" t="s">
        <v>86</v>
      </c>
      <c r="E168" s="22">
        <v>2173</v>
      </c>
      <c r="F168" s="22">
        <v>46820</v>
      </c>
      <c r="G168" s="22">
        <v>27486</v>
      </c>
      <c r="H168" s="107">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9">
        <f>Table1[[#This Row],[billing]]/Table1[[#This Row],[tiyar/meters]]</f>
        <v>13</v>
      </c>
    </row>
    <row r="169" spans="1:12" hidden="1" x14ac:dyDescent="0.3">
      <c r="A169" s="141">
        <v>46154</v>
      </c>
      <c r="B169" s="106" t="s">
        <v>258</v>
      </c>
      <c r="C169" s="145">
        <v>1700</v>
      </c>
      <c r="D169" s="145" t="s">
        <v>86</v>
      </c>
      <c r="E169" s="22">
        <v>2173</v>
      </c>
      <c r="F169" s="22">
        <v>46820</v>
      </c>
      <c r="G169" s="22">
        <v>20078</v>
      </c>
      <c r="H169" s="107">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9">
        <f>Table1[[#This Row],[billing]]/Table1[[#This Row],[tiyar/meters]]</f>
        <v>13</v>
      </c>
    </row>
    <row r="170" spans="1:12" hidden="1" x14ac:dyDescent="0.3">
      <c r="A170" s="141">
        <v>46154</v>
      </c>
      <c r="B170" s="119" t="s">
        <v>21</v>
      </c>
      <c r="C170" s="145">
        <v>1701</v>
      </c>
      <c r="D170" s="145" t="s">
        <v>86</v>
      </c>
      <c r="E170" s="95">
        <v>2200</v>
      </c>
      <c r="F170" s="95">
        <v>37514</v>
      </c>
      <c r="G170" s="95">
        <v>40509</v>
      </c>
      <c r="H170" s="120">
        <f>_xlfn.XLOOKUP(Table1[[#This Row],[Shipment Number]], 'pivot '!A:A,'pivot '!G:G, "NF")</f>
        <v>1.2585167423864192</v>
      </c>
      <c r="I170" s="156">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9">
        <f>Table1[[#This Row],[billing]]/Table1[[#This Row],[tiyar/meters]]</f>
        <v>13</v>
      </c>
    </row>
    <row r="171" spans="1:12" hidden="1" x14ac:dyDescent="0.3">
      <c r="A171" s="141">
        <v>46155</v>
      </c>
      <c r="B171" s="106" t="s">
        <v>500</v>
      </c>
      <c r="C171" s="145">
        <v>1702</v>
      </c>
      <c r="D171" s="145" t="s">
        <v>86</v>
      </c>
      <c r="E171" s="22">
        <v>2194</v>
      </c>
      <c r="F171" s="22">
        <v>30184</v>
      </c>
      <c r="G171" s="22">
        <v>7748</v>
      </c>
      <c r="H171" s="107">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9">
        <f>Table1[[#This Row],[billing]]/Table1[[#This Row],[tiyar/meters]]</f>
        <v>11.999999999999998</v>
      </c>
    </row>
    <row r="172" spans="1:12" hidden="1" x14ac:dyDescent="0.3">
      <c r="A172" s="141">
        <v>46155</v>
      </c>
      <c r="B172" s="106" t="s">
        <v>500</v>
      </c>
      <c r="C172" s="145">
        <v>1703</v>
      </c>
      <c r="D172" s="145" t="s">
        <v>86</v>
      </c>
      <c r="E172" s="22">
        <v>2194</v>
      </c>
      <c r="F172" s="22">
        <v>30184</v>
      </c>
      <c r="G172" s="22">
        <v>24062</v>
      </c>
      <c r="H172" s="107">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9">
        <f>Table1[[#This Row],[billing]]/Table1[[#This Row],[tiyar/meters]]</f>
        <v>12</v>
      </c>
    </row>
    <row r="173" spans="1:12" hidden="1" x14ac:dyDescent="0.3">
      <c r="A173" s="141">
        <v>46157</v>
      </c>
      <c r="B173" s="119" t="s">
        <v>530</v>
      </c>
      <c r="C173" s="145">
        <v>1704</v>
      </c>
      <c r="D173" s="145" t="s">
        <v>85</v>
      </c>
      <c r="E173" s="95">
        <v>2198</v>
      </c>
      <c r="F173" s="95">
        <v>29612</v>
      </c>
      <c r="G173" s="95">
        <v>19224</v>
      </c>
      <c r="H173" s="120">
        <f>_xlfn.XLOOKUP(Table1[[#This Row],[Shipment Number]], 'pivot '!A:A,'pivot '!G:G, "NF")</f>
        <v>2.0525250197605516</v>
      </c>
      <c r="I173" s="156">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9">
        <f>Table1[[#This Row],[billing]]/Table1[[#This Row],[tiyar/meters]]</f>
        <v>10</v>
      </c>
    </row>
    <row r="174" spans="1:12" hidden="1" x14ac:dyDescent="0.3">
      <c r="A174" s="141">
        <v>46157</v>
      </c>
      <c r="B174" s="116" t="s">
        <v>21</v>
      </c>
      <c r="C174" s="145">
        <v>1705</v>
      </c>
      <c r="D174" s="145" t="s">
        <v>85</v>
      </c>
      <c r="E174" s="95">
        <v>2192</v>
      </c>
      <c r="F174" s="95">
        <v>57164</v>
      </c>
      <c r="G174" s="95">
        <v>6620</v>
      </c>
      <c r="H174" s="120">
        <f>_xlfn.XLOOKUP(Table1[[#This Row],[Shipment Number]], 'pivot '!A:A,'pivot '!G:G, "NF")</f>
        <v>1.2469903326698102</v>
      </c>
      <c r="I174" s="156">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9">
        <f>Table1[[#This Row],[billing]]/Table1[[#This Row],[tiyar/meters]]</f>
        <v>10</v>
      </c>
    </row>
    <row r="175" spans="1:12" hidden="1" x14ac:dyDescent="0.3">
      <c r="A175" s="141">
        <v>46157</v>
      </c>
      <c r="B175" s="106" t="s">
        <v>21</v>
      </c>
      <c r="C175" s="145">
        <v>1706</v>
      </c>
      <c r="D175" s="145" t="s">
        <v>85</v>
      </c>
      <c r="E175" s="22">
        <v>2197</v>
      </c>
      <c r="F175" s="22">
        <v>9641</v>
      </c>
      <c r="G175" s="22">
        <v>10359</v>
      </c>
      <c r="H175" s="107">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9">
        <f>Table1[[#This Row],[billing]]/Table1[[#This Row],[tiyar/meters]]</f>
        <v>10</v>
      </c>
    </row>
    <row r="176" spans="1:12" hidden="1" x14ac:dyDescent="0.3">
      <c r="A176" s="141">
        <v>46157</v>
      </c>
      <c r="B176" s="119" t="s">
        <v>21</v>
      </c>
      <c r="C176" s="155">
        <v>1707</v>
      </c>
      <c r="D176" s="155" t="s">
        <v>85</v>
      </c>
      <c r="E176" s="95">
        <v>2192</v>
      </c>
      <c r="F176" s="95">
        <v>57164</v>
      </c>
      <c r="G176" s="95">
        <v>35279</v>
      </c>
      <c r="H176" s="120">
        <f>_xlfn.XLOOKUP(Table1[[#This Row],[Shipment Number]], 'pivot '!A:A,'pivot '!G:G, "NF")</f>
        <v>1.2469903326698102</v>
      </c>
      <c r="I176" s="156">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9">
        <f>Table1[[#This Row],[billing]]/Table1[[#This Row],[tiyar/meters]]</f>
        <v>10</v>
      </c>
    </row>
    <row r="177" spans="1:11" hidden="1" x14ac:dyDescent="0.3">
      <c r="A177" s="141">
        <v>46157</v>
      </c>
      <c r="B177" s="116" t="s">
        <v>21</v>
      </c>
      <c r="C177" s="155">
        <v>1708</v>
      </c>
      <c r="D177" s="155" t="s">
        <v>231</v>
      </c>
      <c r="E177" s="95">
        <v>2161</v>
      </c>
      <c r="F177" s="95">
        <v>4032</v>
      </c>
      <c r="G177" s="95">
        <v>4192</v>
      </c>
      <c r="H177" s="120">
        <f>_xlfn.XLOOKUP(Table1[[#This Row],[Shipment Number]], 'pivot '!A:A,'pivot '!G:G, "NF")</f>
        <v>4.930272523542456</v>
      </c>
      <c r="I177" s="156">
        <f>Table1[[#This Row],[Tiyaar/gaz]]/1.0936</f>
        <v>3833.2114118507684</v>
      </c>
      <c r="J177" s="156"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9">
        <f>Table1[[#This Row],[billing]]/Table1[[#This Row],[tiyar/meters]]</f>
        <v>10</v>
      </c>
    </row>
    <row r="178" spans="1:11" hidden="1" x14ac:dyDescent="0.3">
      <c r="A178" s="141">
        <v>46157</v>
      </c>
      <c r="B178" s="116" t="s">
        <v>21</v>
      </c>
      <c r="C178" s="190">
        <v>1709</v>
      </c>
      <c r="D178" s="190" t="s">
        <v>85</v>
      </c>
      <c r="E178" s="193">
        <v>2178</v>
      </c>
      <c r="F178" s="193">
        <v>15645</v>
      </c>
      <c r="G178" s="95">
        <v>1591</v>
      </c>
      <c r="H178" s="120">
        <f>_xlfn.XLOOKUP(Table1[[#This Row],[Shipment Number]], 'pivot '!A:A,'pivot '!G:G, "NF")</f>
        <v>28.460261428648579</v>
      </c>
      <c r="I178" s="156">
        <f>Table1[[#This Row],[Tiyaar/gaz]]/1.0936</f>
        <v>1454.8280907095832</v>
      </c>
      <c r="J178" s="156"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9">
        <f>Table1[[#This Row],[billing]]/Table1[[#This Row],[tiyar/meters]]</f>
        <v>10</v>
      </c>
    </row>
    <row r="179" spans="1:11" hidden="1" x14ac:dyDescent="0.3">
      <c r="A179" s="141">
        <v>46157</v>
      </c>
      <c r="B179" s="116" t="s">
        <v>21</v>
      </c>
      <c r="C179" s="155">
        <v>1710</v>
      </c>
      <c r="D179" s="155" t="s">
        <v>231</v>
      </c>
      <c r="E179" s="95">
        <v>2175</v>
      </c>
      <c r="F179" s="95">
        <v>6003</v>
      </c>
      <c r="G179" s="95">
        <v>5324</v>
      </c>
      <c r="H179" s="120">
        <f>_xlfn.XLOOKUP(Table1[[#This Row],[Shipment Number]], 'pivot '!A:A,'pivot '!G:G, "NF")</f>
        <v>18.901802451614941</v>
      </c>
      <c r="I179" s="156">
        <f>Table1[[#This Row],[Tiyaar/gaz]]/1.0936</f>
        <v>4868.3247988295543</v>
      </c>
      <c r="J179" s="156"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9">
        <f>Table1[[#This Row],[billing]]/Table1[[#This Row],[tiyar/meters]]</f>
        <v>10</v>
      </c>
    </row>
    <row r="180" spans="1:11" hidden="1" x14ac:dyDescent="0.3">
      <c r="A180" s="141">
        <v>46157</v>
      </c>
      <c r="B180" s="116" t="s">
        <v>21</v>
      </c>
      <c r="C180" s="155">
        <v>1711</v>
      </c>
      <c r="D180" s="155" t="s">
        <v>231</v>
      </c>
      <c r="E180" s="95">
        <v>2163</v>
      </c>
      <c r="F180" s="95">
        <v>4051</v>
      </c>
      <c r="G180" s="95">
        <v>4170</v>
      </c>
      <c r="H180" s="120">
        <f>_xlfn.XLOOKUP(Table1[[#This Row],[Shipment Number]], 'pivot '!A:A,'pivot '!G:G, "NF")</f>
        <v>5.8727630899159209</v>
      </c>
      <c r="I180" s="156">
        <f>Table1[[#This Row],[Tiyaar/gaz]]/1.0936</f>
        <v>3813.0943672275057</v>
      </c>
      <c r="J180" s="156"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9">
        <f>Table1[[#This Row],[billing]]/Table1[[#This Row],[tiyar/meters]]</f>
        <v>10</v>
      </c>
    </row>
    <row r="181" spans="1:11" hidden="1" x14ac:dyDescent="0.3">
      <c r="A181" s="141">
        <v>46157</v>
      </c>
      <c r="B181" s="116" t="s">
        <v>21</v>
      </c>
      <c r="C181" s="155">
        <v>1712</v>
      </c>
      <c r="D181" s="155" t="s">
        <v>231</v>
      </c>
      <c r="E181" s="95">
        <v>2160</v>
      </c>
      <c r="F181" s="95">
        <v>2810</v>
      </c>
      <c r="G181" s="95">
        <v>2704</v>
      </c>
      <c r="H181" s="120">
        <f>_xlfn.XLOOKUP(Table1[[#This Row],[Shipment Number]], 'pivot '!A:A,'pivot '!G:G, "NF")</f>
        <v>12.008268098831891</v>
      </c>
      <c r="I181" s="156">
        <f>Table1[[#This Row],[Tiyaar/gaz]]/1.0936</f>
        <v>2472.567666422824</v>
      </c>
      <c r="J181" s="156"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9">
        <f>Table1[[#This Row],[billing]]/Table1[[#This Row],[tiyar/meters]]</f>
        <v>10</v>
      </c>
    </row>
    <row r="182" spans="1:11" hidden="1" x14ac:dyDescent="0.3">
      <c r="A182" s="141">
        <v>46157</v>
      </c>
      <c r="B182" s="116" t="s">
        <v>21</v>
      </c>
      <c r="C182" s="155">
        <v>1713</v>
      </c>
      <c r="D182" s="155" t="s">
        <v>231</v>
      </c>
      <c r="E182" s="95" t="s">
        <v>611</v>
      </c>
      <c r="F182" s="95">
        <v>2308</v>
      </c>
      <c r="G182" s="95">
        <v>2238</v>
      </c>
      <c r="H182" s="120">
        <f>_xlfn.XLOOKUP(Table1[[#This Row],[Shipment Number]], 'pivot '!A:A,'pivot '!G:G, "NF")</f>
        <v>11.332232025244707</v>
      </c>
      <c r="I182" s="156">
        <f>Table1[[#This Row],[Tiyaar/gaz]]/1.0936</f>
        <v>2046.452084857352</v>
      </c>
      <c r="J182" s="156"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9">
        <f>Table1[[#This Row],[billing]]/Table1[[#This Row],[tiyar/meters]]</f>
        <v>10</v>
      </c>
    </row>
    <row r="183" spans="1:11" hidden="1" x14ac:dyDescent="0.3">
      <c r="A183" s="171">
        <v>46157</v>
      </c>
      <c r="B183" s="116" t="s">
        <v>21</v>
      </c>
      <c r="C183" s="155">
        <v>1714</v>
      </c>
      <c r="D183" s="155" t="s">
        <v>231</v>
      </c>
      <c r="E183" s="95" t="s">
        <v>97</v>
      </c>
      <c r="F183" s="95" t="s">
        <v>97</v>
      </c>
      <c r="G183" s="95">
        <v>2192</v>
      </c>
      <c r="H183" s="120">
        <f>_xlfn.XLOOKUP(Table1[[#This Row],[Shipment Number]], 'pivot '!A:A,'pivot '!G:G, "NF")</f>
        <v>-5.0674587415249448</v>
      </c>
      <c r="I183" s="156">
        <f>Table1[[#This Row],[Tiyaar/gaz]]/1.0936</f>
        <v>2004.3891733723483</v>
      </c>
      <c r="J183" s="156"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9">
        <f>Table1[[#This Row],[billing]]/Table1[[#This Row],[tiyar/meters]]</f>
        <v>10</v>
      </c>
    </row>
    <row r="184" spans="1:11" hidden="1" x14ac:dyDescent="0.3">
      <c r="A184" s="171">
        <v>46158</v>
      </c>
      <c r="B184" s="116" t="s">
        <v>530</v>
      </c>
      <c r="C184" s="155">
        <v>1715</v>
      </c>
      <c r="D184" s="155" t="s">
        <v>85</v>
      </c>
      <c r="E184" s="95">
        <v>2198</v>
      </c>
      <c r="F184" s="95">
        <v>29612</v>
      </c>
      <c r="G184" s="95">
        <v>12495</v>
      </c>
      <c r="H184" s="120">
        <f>_xlfn.XLOOKUP(Table1[[#This Row],[Shipment Number]], 'pivot '!A:A,'pivot '!G:G, "NF")</f>
        <v>2.0525250197605516</v>
      </c>
      <c r="I184" s="156">
        <f>Table1[[#This Row],[Tiyaar/gaz]]/1.0936</f>
        <v>11425.56693489393</v>
      </c>
      <c r="J184" s="156"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9">
        <f>Table1[[#This Row],[billing]]/Table1[[#This Row],[tiyar/meters]]</f>
        <v>10</v>
      </c>
    </row>
    <row r="185" spans="1:11" hidden="1" x14ac:dyDescent="0.3">
      <c r="A185" s="171">
        <v>46158</v>
      </c>
      <c r="B185" s="116" t="s">
        <v>21</v>
      </c>
      <c r="C185" s="155">
        <v>1716</v>
      </c>
      <c r="D185" s="155" t="s">
        <v>231</v>
      </c>
      <c r="E185" s="95">
        <v>2179</v>
      </c>
      <c r="F185" s="95">
        <v>35766</v>
      </c>
      <c r="G185" s="95">
        <v>36604</v>
      </c>
      <c r="H185" s="120">
        <f>_xlfn.XLOOKUP(Table1[[#This Row],[Shipment Number]], 'pivot '!A:A,'pivot '!G:G, "NF")</f>
        <v>6.4164161252808753</v>
      </c>
      <c r="I185" s="156">
        <f>Table1[[#This Row],[Tiyaar/gaz]]/1.0936</f>
        <v>33471.104608632042</v>
      </c>
      <c r="J185" s="156"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9">
        <f>Table1[[#This Row],[billing]]/Table1[[#This Row],[tiyar/meters]]</f>
        <v>10</v>
      </c>
    </row>
    <row r="186" spans="1:11" hidden="1" x14ac:dyDescent="0.3">
      <c r="A186" s="171">
        <v>46158</v>
      </c>
      <c r="B186" s="116" t="s">
        <v>21</v>
      </c>
      <c r="C186" s="155">
        <v>1717</v>
      </c>
      <c r="D186" s="155" t="s">
        <v>231</v>
      </c>
      <c r="E186" s="95">
        <v>2196</v>
      </c>
      <c r="F186" s="95">
        <v>5782</v>
      </c>
      <c r="G186" s="95">
        <v>5794</v>
      </c>
      <c r="H186" s="120">
        <f>_xlfn.XLOOKUP(Table1[[#This Row],[Shipment Number]], 'pivot '!A:A,'pivot '!G:G, "NF")</f>
        <v>8.369110604081925</v>
      </c>
      <c r="I186" s="156">
        <f>Table1[[#This Row],[Tiyaar/gaz]]/1.0936</f>
        <v>5298.0980248719825</v>
      </c>
      <c r="J186" s="156"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9">
        <f>Table1[[#This Row],[billing]]/Table1[[#This Row],[tiyar/meters]]</f>
        <v>10</v>
      </c>
    </row>
    <row r="187" spans="1:11" hidden="1" x14ac:dyDescent="0.3">
      <c r="A187" s="171">
        <v>46160</v>
      </c>
      <c r="B187" s="116" t="s">
        <v>22</v>
      </c>
      <c r="C187" s="155">
        <v>1718</v>
      </c>
      <c r="D187" s="155" t="s">
        <v>86</v>
      </c>
      <c r="E187" s="95">
        <v>2202</v>
      </c>
      <c r="F187" s="95">
        <v>30431</v>
      </c>
      <c r="G187" s="95">
        <v>31404</v>
      </c>
      <c r="H187" s="120">
        <f>_xlfn.XLOOKUP(Table1[[#This Row],[Shipment Number]], 'pivot '!A:A,'pivot '!G:G, "NF")</f>
        <v>5.6351523492880631</v>
      </c>
      <c r="I187" s="156">
        <f>Table1[[#This Row],[Tiyaar/gaz]]/1.0936</f>
        <v>28716.166788588151</v>
      </c>
      <c r="J187" s="156"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9">
        <f>Table1[[#This Row],[billing]]/Table1[[#This Row],[tiyar/meters]]</f>
        <v>13</v>
      </c>
    </row>
    <row r="188" spans="1:11" hidden="1" x14ac:dyDescent="0.3">
      <c r="A188" s="171">
        <v>46160</v>
      </c>
      <c r="B188" s="116" t="s">
        <v>530</v>
      </c>
      <c r="C188" s="155">
        <v>1719</v>
      </c>
      <c r="D188" s="155" t="s">
        <v>86</v>
      </c>
      <c r="E188" s="95">
        <v>2199</v>
      </c>
      <c r="F188" s="95">
        <v>2332</v>
      </c>
      <c r="G188" s="95">
        <v>2498</v>
      </c>
      <c r="H188" s="120">
        <f>_xlfn.XLOOKUP(Table1[[#This Row],[Shipment Number]], 'pivot '!A:A,'pivot '!G:G, "NF")</f>
        <v>2.0497866269490999</v>
      </c>
      <c r="I188" s="156">
        <f>Table1[[#This Row],[Tiyaar/gaz]]/1.0936</f>
        <v>2284.1989758595469</v>
      </c>
      <c r="J188" s="156"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9">
        <f>Table1[[#This Row],[billing]]/Table1[[#This Row],[tiyar/meters]]</f>
        <v>13</v>
      </c>
    </row>
    <row r="189" spans="1:11" hidden="1" x14ac:dyDescent="0.3">
      <c r="A189" s="171">
        <v>46160</v>
      </c>
      <c r="B189" s="116" t="s">
        <v>27</v>
      </c>
      <c r="C189" s="155">
        <v>1720</v>
      </c>
      <c r="D189" s="155" t="s">
        <v>231</v>
      </c>
      <c r="E189" s="95" t="s">
        <v>612</v>
      </c>
      <c r="F189" s="95"/>
      <c r="G189" s="95">
        <v>1756</v>
      </c>
      <c r="H189" s="120" t="e">
        <f>_xlfn.XLOOKUP(Table1[[#This Row],[Shipment Number]], 'pivot '!A:A,'pivot '!G:G, "NF")</f>
        <v>#DIV/0!</v>
      </c>
      <c r="I189" s="156">
        <f>Table1[[#This Row],[Tiyaar/gaz]]/1.0936</f>
        <v>1605.7059253840528</v>
      </c>
      <c r="J189" s="156"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9">
        <f>Table1[[#This Row],[billing]]/Table1[[#This Row],[tiyar/meters]]</f>
        <v>10</v>
      </c>
    </row>
    <row r="190" spans="1:11" hidden="1" x14ac:dyDescent="0.3">
      <c r="A190" s="171">
        <v>46160</v>
      </c>
      <c r="B190" s="116" t="s">
        <v>189</v>
      </c>
      <c r="C190" s="155">
        <v>1721</v>
      </c>
      <c r="D190" s="155" t="s">
        <v>86</v>
      </c>
      <c r="E190" s="95" t="s">
        <v>613</v>
      </c>
      <c r="F190" s="95">
        <v>4165</v>
      </c>
      <c r="G190" s="95">
        <v>4446</v>
      </c>
      <c r="H190" s="120">
        <f>_xlfn.XLOOKUP(Table1[[#This Row],[Shipment Number]], 'pivot '!A:A,'pivot '!G:G, "NF")</f>
        <v>2.3896317854134992</v>
      </c>
      <c r="I190" s="156">
        <f>Table1[[#This Row],[Tiyaar/gaz]]/1.0936</f>
        <v>4065.4718361375276</v>
      </c>
      <c r="J190" s="156"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9">
        <f>Table1[[#This Row],[billing]]/Table1[[#This Row],[tiyar/meters]]</f>
        <v>13</v>
      </c>
    </row>
    <row r="191" spans="1:11" hidden="1" x14ac:dyDescent="0.3">
      <c r="A191" s="171">
        <v>46160</v>
      </c>
      <c r="B191" s="116" t="s">
        <v>189</v>
      </c>
      <c r="C191" s="155">
        <v>1722</v>
      </c>
      <c r="D191" s="155" t="s">
        <v>85</v>
      </c>
      <c r="E191" s="95" t="s">
        <v>614</v>
      </c>
      <c r="F191" s="95">
        <v>30095</v>
      </c>
      <c r="G191" s="95">
        <v>32028</v>
      </c>
      <c r="H191" s="120">
        <f>_xlfn.XLOOKUP(Table1[[#This Row],[Shipment Number]], 'pivot '!A:A,'pivot '!G:G, "NF")</f>
        <v>2.6856310782740707</v>
      </c>
      <c r="I191" s="156">
        <f>Table1[[#This Row],[Tiyaar/gaz]]/1.0936</f>
        <v>29286.759326993419</v>
      </c>
      <c r="J191" s="156"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9">
        <f>Table1[[#This Row],[billing]]/Table1[[#This Row],[tiyar/meters]]</f>
        <v>10</v>
      </c>
    </row>
    <row r="192" spans="1:11" hidden="1" x14ac:dyDescent="0.3">
      <c r="A192" s="172">
        <v>46160</v>
      </c>
      <c r="B192" s="124" t="s">
        <v>21</v>
      </c>
      <c r="C192" s="173">
        <v>1723</v>
      </c>
      <c r="D192" s="173" t="s">
        <v>85</v>
      </c>
      <c r="E192" s="194">
        <v>2500</v>
      </c>
      <c r="F192" s="194">
        <v>18246</v>
      </c>
      <c r="G192" s="194">
        <v>19353</v>
      </c>
      <c r="H192" s="196">
        <f>_xlfn.XLOOKUP(Table1[[#This Row],[Shipment Number]], 'pivot '!A:A,'pivot '!G:G, "NF")</f>
        <v>3.011079740017351</v>
      </c>
      <c r="I192" s="174">
        <f>Table1[[#This Row],[Tiyaar/gaz]]/1.0936</f>
        <v>17696.598390636431</v>
      </c>
      <c r="J192" s="174"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9">
        <f>Table1[[#This Row],[billing]]/Table1[[#This Row],[tiyar/meters]]</f>
        <v>10</v>
      </c>
    </row>
    <row r="193" spans="1:11" hidden="1" x14ac:dyDescent="0.3">
      <c r="A193" s="171">
        <v>46163</v>
      </c>
      <c r="B193" s="116" t="s">
        <v>441</v>
      </c>
      <c r="C193" s="155">
        <v>1724</v>
      </c>
      <c r="D193" s="155" t="s">
        <v>447</v>
      </c>
      <c r="E193" s="95">
        <v>2205</v>
      </c>
      <c r="F193" s="95">
        <v>14922</v>
      </c>
      <c r="G193" s="95">
        <v>14491</v>
      </c>
      <c r="H193" s="120">
        <f>_xlfn.XLOOKUP(Table1[[#This Row],[Shipment Number]], 'pivot '!A:A,'pivot '!G:G, "NF")</f>
        <v>11.200029963172554</v>
      </c>
      <c r="I193" s="156">
        <f>Table1[[#This Row],[Tiyaar/gaz]]/1.0936</f>
        <v>13250.731528895392</v>
      </c>
      <c r="J193" s="198"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9">
        <f>Table1[[#This Row],[billing]]/Table1[[#This Row],[tiyar/meters]]</f>
        <v>15</v>
      </c>
    </row>
    <row r="194" spans="1:11" hidden="1" x14ac:dyDescent="0.3">
      <c r="A194" s="171">
        <v>46163</v>
      </c>
      <c r="B194" s="116" t="s">
        <v>27</v>
      </c>
      <c r="C194" s="155">
        <v>1725</v>
      </c>
      <c r="D194" s="155" t="s">
        <v>86</v>
      </c>
      <c r="E194" s="95">
        <v>2207</v>
      </c>
      <c r="F194" s="95">
        <v>27810</v>
      </c>
      <c r="G194" s="95">
        <v>29585</v>
      </c>
      <c r="H194" s="120">
        <f>_xlfn.XLOOKUP(Table1[[#This Row],[Shipment Number]], 'pivot '!A:A,'pivot '!G:G, "NF")</f>
        <v>2.722571151772641</v>
      </c>
      <c r="I194" s="156">
        <f>Table1[[#This Row],[Tiyaar/gaz]]/1.0936</f>
        <v>27052.852962692028</v>
      </c>
      <c r="J194" s="156"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9">
        <f>Table1[[#This Row],[billing]]/Table1[[#This Row],[tiyar/meters]]</f>
        <v>13</v>
      </c>
    </row>
    <row r="195" spans="1:11" hidden="1" x14ac:dyDescent="0.3">
      <c r="A195" s="171">
        <v>46163</v>
      </c>
      <c r="B195" s="116" t="s">
        <v>21</v>
      </c>
      <c r="C195" s="155">
        <v>1726</v>
      </c>
      <c r="D195" s="155" t="s">
        <v>231</v>
      </c>
      <c r="E195" s="95" t="s">
        <v>97</v>
      </c>
      <c r="F195" s="95">
        <v>2087</v>
      </c>
      <c r="G195" s="95">
        <v>206</v>
      </c>
      <c r="H195" s="120">
        <f>_xlfn.XLOOKUP(Table1[[#This Row],[Shipment Number]], 'pivot '!A:A,'pivot '!G:G, "NF")</f>
        <v>-5.0674587415249448</v>
      </c>
      <c r="I195" s="156">
        <f>Table1[[#This Row],[Tiyaar/gaz]]/1.0936</f>
        <v>188.36869056327726</v>
      </c>
      <c r="J195" s="156"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9">
        <f>Table1[[#This Row],[billing]]/Table1[[#This Row],[tiyar/meters]]</f>
        <v>10</v>
      </c>
    </row>
    <row r="196" spans="1:11" hidden="1" x14ac:dyDescent="0.3">
      <c r="A196" s="171">
        <v>46163</v>
      </c>
      <c r="B196" s="116" t="s">
        <v>21</v>
      </c>
      <c r="C196" s="155">
        <v>1727</v>
      </c>
      <c r="D196" s="155" t="s">
        <v>231</v>
      </c>
      <c r="E196" s="95" t="s">
        <v>615</v>
      </c>
      <c r="F196" s="95">
        <v>3244</v>
      </c>
      <c r="G196" s="95">
        <v>3296</v>
      </c>
      <c r="H196" s="120">
        <f>_xlfn.XLOOKUP(Table1[[#This Row],[Shipment Number]], 'pivot '!A:A,'pivot '!G:G, "NF")</f>
        <v>7.0931242597892634</v>
      </c>
      <c r="I196" s="156">
        <f>Table1[[#This Row],[Tiyaar/gaz]]/1.0936</f>
        <v>3013.8990490124361</v>
      </c>
      <c r="J196" s="156"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9">
        <f>Table1[[#This Row],[billing]]/Table1[[#This Row],[tiyar/meters]]</f>
        <v>10</v>
      </c>
    </row>
    <row r="197" spans="1:11" hidden="1" x14ac:dyDescent="0.3">
      <c r="A197" s="171">
        <v>46163</v>
      </c>
      <c r="B197" s="116" t="s">
        <v>21</v>
      </c>
      <c r="C197" s="155">
        <v>1728</v>
      </c>
      <c r="D197" s="155" t="s">
        <v>231</v>
      </c>
      <c r="E197" s="95">
        <v>2203</v>
      </c>
      <c r="F197" s="95">
        <v>9612</v>
      </c>
      <c r="G197" s="95">
        <v>10216</v>
      </c>
      <c r="H197" s="120">
        <f>_xlfn.XLOOKUP(Table1[[#This Row],[Shipment Number]], 'pivot '!A:A,'pivot '!G:G, "NF")</f>
        <v>2.8129006018750573</v>
      </c>
      <c r="I197" s="156">
        <f>Table1[[#This Row],[Tiyaar/gaz]]/1.0936</f>
        <v>9341.6239941477688</v>
      </c>
      <c r="J197" s="156"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9">
        <f>Table1[[#This Row],[billing]]/Table1[[#This Row],[tiyar/meters]]</f>
        <v>10</v>
      </c>
    </row>
    <row r="198" spans="1:11" hidden="1" x14ac:dyDescent="0.3">
      <c r="A198" s="171">
        <v>46164</v>
      </c>
      <c r="B198" s="119" t="s">
        <v>27</v>
      </c>
      <c r="C198" s="155">
        <v>1729</v>
      </c>
      <c r="D198" s="155" t="s">
        <v>85</v>
      </c>
      <c r="E198" s="95">
        <v>2210</v>
      </c>
      <c r="F198" s="95">
        <v>53625</v>
      </c>
      <c r="G198" s="95">
        <v>12287</v>
      </c>
      <c r="H198" s="120">
        <f>_xlfn.XLOOKUP(Table1[[#This Row],[Shipment Number]], 'pivot '!A:A,'pivot '!G:G, "NF")</f>
        <v>2.9078699890696953</v>
      </c>
      <c r="I198" s="156">
        <f>Table1[[#This Row],[Tiyaar/gaz]]/1.0936</f>
        <v>11235.369422092173</v>
      </c>
      <c r="J198" s="156"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9">
        <f>Table1[[#This Row],[billing]]/Table1[[#This Row],[tiyar/meters]]</f>
        <v>10</v>
      </c>
    </row>
    <row r="199" spans="1:11" hidden="1" x14ac:dyDescent="0.3">
      <c r="A199" s="171">
        <v>46164</v>
      </c>
      <c r="B199" s="116" t="s">
        <v>27</v>
      </c>
      <c r="C199" s="155">
        <v>1730</v>
      </c>
      <c r="D199" s="155" t="s">
        <v>85</v>
      </c>
      <c r="E199" s="11">
        <v>2210</v>
      </c>
      <c r="F199" s="11">
        <v>53625</v>
      </c>
      <c r="G199" s="11">
        <v>44652</v>
      </c>
      <c r="H199" s="114">
        <f>_xlfn.XLOOKUP(Table1[[#This Row],[Shipment Number]], 'pivot '!A:A,'pivot '!G:G, "NF")</f>
        <v>2.9078699890696953</v>
      </c>
      <c r="I199" s="156">
        <f>Table1[[#This Row],[Tiyaar/gaz]]/1.0936</f>
        <v>40830.285296269205</v>
      </c>
      <c r="J199" s="156"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9">
        <f>Table1[[#This Row],[billing]]/Table1[[#This Row],[tiyar/meters]]</f>
        <v>10</v>
      </c>
    </row>
    <row r="200" spans="1:11" hidden="1" x14ac:dyDescent="0.3">
      <c r="A200" s="171">
        <v>46167</v>
      </c>
      <c r="B200" s="116" t="s">
        <v>176</v>
      </c>
      <c r="C200" s="155">
        <v>1731</v>
      </c>
      <c r="D200" s="155" t="s">
        <v>206</v>
      </c>
      <c r="E200" s="11">
        <v>2214</v>
      </c>
      <c r="F200" s="11">
        <v>44943</v>
      </c>
      <c r="G200" s="11">
        <v>40590</v>
      </c>
      <c r="H200" s="114">
        <f>_xlfn.XLOOKUP(Table1[[#This Row],[Shipment Number]], 'pivot '!A:A,'pivot '!G:G, "NF")</f>
        <v>3.4052415348313758</v>
      </c>
      <c r="I200" s="156">
        <f>Table1[[#This Row],[Tiyaar/gaz]]/1.0936</f>
        <v>37115.947329919538</v>
      </c>
      <c r="J200" s="156">
        <f>Table1[[#This Row],[tiyar/meters]]*11</f>
        <v>408275.4206291149</v>
      </c>
      <c r="K200" s="119">
        <f>Table1[[#This Row],[billing]]/Table1[[#This Row],[tiyar/meters]]</f>
        <v>11</v>
      </c>
    </row>
    <row r="201" spans="1:11" hidden="1" x14ac:dyDescent="0.3">
      <c r="A201" s="171">
        <v>46167</v>
      </c>
      <c r="B201" s="116" t="s">
        <v>176</v>
      </c>
      <c r="C201" s="155">
        <v>1732</v>
      </c>
      <c r="D201" s="155" t="s">
        <v>206</v>
      </c>
      <c r="E201" s="11">
        <v>2214</v>
      </c>
      <c r="F201" s="11">
        <v>44943</v>
      </c>
      <c r="G201" s="11">
        <v>6886</v>
      </c>
      <c r="H201" s="114">
        <f>_xlfn.XLOOKUP(Table1[[#This Row],[Shipment Number]], 'pivot '!A:A,'pivot '!G:G, "NF")</f>
        <v>3.4052415348313758</v>
      </c>
      <c r="I201" s="156">
        <f>Table1[[#This Row],[Tiyaar/gaz]]/1.0936</f>
        <v>6296.6349670812006</v>
      </c>
      <c r="J201" s="156">
        <f>Table1[[#This Row],[tiyar/meters]]*11</f>
        <v>69262.984637893212</v>
      </c>
      <c r="K201" s="119">
        <f>Table1[[#This Row],[billing]]/Table1[[#This Row],[tiyar/meters]]</f>
        <v>11.000000000000002</v>
      </c>
    </row>
    <row r="202" spans="1:11" hidden="1" x14ac:dyDescent="0.3">
      <c r="A202" s="171">
        <v>46167</v>
      </c>
      <c r="B202" s="116" t="s">
        <v>176</v>
      </c>
      <c r="C202" s="155">
        <v>1733</v>
      </c>
      <c r="D202" s="155" t="s">
        <v>274</v>
      </c>
      <c r="E202" s="11">
        <v>2215</v>
      </c>
      <c r="F202" s="11">
        <v>3800</v>
      </c>
      <c r="G202" s="11">
        <v>4120</v>
      </c>
      <c r="H202" s="114">
        <f>_xlfn.XLOOKUP(Table1[[#This Row],[Shipment Number]], 'pivot '!A:A,'pivot '!G:G, "NF")</f>
        <v>0.85858391406459589</v>
      </c>
      <c r="I202" s="156">
        <f>Table1[[#This Row],[Tiyaar/gaz]]/1.0936</f>
        <v>3767.3738112655451</v>
      </c>
      <c r="J202" s="156"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9">
        <f>Table1[[#This Row],[billing]]/Table1[[#This Row],[tiyar/meters]]</f>
        <v>12</v>
      </c>
    </row>
    <row r="203" spans="1:11" hidden="1" x14ac:dyDescent="0.3">
      <c r="A203" s="171">
        <v>46167</v>
      </c>
      <c r="B203" s="116" t="s">
        <v>441</v>
      </c>
      <c r="C203" s="155">
        <v>1734</v>
      </c>
      <c r="D203" s="155" t="s">
        <v>447</v>
      </c>
      <c r="E203" s="11">
        <v>2213</v>
      </c>
      <c r="F203" s="11">
        <v>24903</v>
      </c>
      <c r="G203" s="11">
        <v>24785</v>
      </c>
      <c r="H203" s="114">
        <f>_xlfn.XLOOKUP(Table1[[#This Row],[Shipment Number]], 'pivot '!A:A,'pivot '!G:G, "NF")</f>
        <v>8.9921712631256412</v>
      </c>
      <c r="I203" s="156">
        <f>Table1[[#This Row],[Tiyaar/gaz]]/1.0936</f>
        <v>22663.679590343821</v>
      </c>
      <c r="J203" s="156"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9">
        <f>Table1[[#This Row],[billing]]/Table1[[#This Row],[tiyar/meters]]</f>
        <v>14.999999999999998</v>
      </c>
    </row>
    <row r="204" spans="1:11" hidden="1" x14ac:dyDescent="0.3">
      <c r="A204" s="171">
        <v>46167</v>
      </c>
      <c r="B204" s="116" t="s">
        <v>280</v>
      </c>
      <c r="C204" s="155">
        <v>1735</v>
      </c>
      <c r="D204" s="155" t="s">
        <v>231</v>
      </c>
      <c r="E204" s="11">
        <v>1639</v>
      </c>
      <c r="F204" s="11">
        <v>26048</v>
      </c>
      <c r="G204" s="11">
        <f>27444</f>
        <v>27444</v>
      </c>
      <c r="H204" s="114">
        <f>_xlfn.XLOOKUP(Table1[[#This Row],[Shipment Number]], 'pivot '!A:A,'pivot '!G:G, "NF")</f>
        <v>3.6582510887558328</v>
      </c>
      <c r="I204" s="156">
        <f>Table1[[#This Row],[Tiyaar/gaz]]/1.0936</f>
        <v>25095.098756400879</v>
      </c>
      <c r="J204" s="156"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9">
        <f>Table1[[#This Row],[billing]]/Table1[[#This Row],[tiyar/meters]]</f>
        <v>10</v>
      </c>
    </row>
    <row r="205" spans="1:11" hidden="1" x14ac:dyDescent="0.3">
      <c r="A205" s="171">
        <v>46167</v>
      </c>
      <c r="B205" s="116" t="s">
        <v>280</v>
      </c>
      <c r="C205" s="155">
        <v>1736</v>
      </c>
      <c r="D205" s="155" t="s">
        <v>231</v>
      </c>
      <c r="E205" s="11">
        <v>1636</v>
      </c>
      <c r="F205" s="11">
        <v>26025</v>
      </c>
      <c r="G205" s="11">
        <v>27459</v>
      </c>
      <c r="H205" s="114">
        <f>_xlfn.XLOOKUP(Table1[[#This Row],[Shipment Number]], 'pivot '!A:A,'pivot '!G:G, "NF")</f>
        <v>3.5204037533546</v>
      </c>
      <c r="I205" s="156">
        <f>Table1[[#This Row],[Tiyaar/gaz]]/1.0936</f>
        <v>25108.814923189468</v>
      </c>
      <c r="J205" s="156"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9">
        <f>Table1[[#This Row],[billing]]/Table1[[#This Row],[tiyar/meters]]</f>
        <v>10</v>
      </c>
    </row>
    <row r="206" spans="1:11" hidden="1" x14ac:dyDescent="0.3">
      <c r="A206" s="186">
        <v>46167</v>
      </c>
      <c r="B206" s="139"/>
      <c r="C206" s="190">
        <v>1737</v>
      </c>
      <c r="D206" s="190"/>
      <c r="E206" s="133"/>
      <c r="F206" s="133"/>
      <c r="G206" s="133"/>
      <c r="H206" s="140"/>
      <c r="I206" s="198"/>
      <c r="J206" s="198"/>
      <c r="K206" s="119" t="e">
        <f>Table1[[#This Row],[billing]]/Table1[[#This Row],[tiyar/meters]]</f>
        <v>#DIV/0!</v>
      </c>
    </row>
    <row r="207" spans="1:11" hidden="1" x14ac:dyDescent="0.3">
      <c r="A207" s="186">
        <v>46167</v>
      </c>
      <c r="B207" s="139"/>
      <c r="C207" s="190">
        <v>1738</v>
      </c>
      <c r="D207" s="190"/>
      <c r="E207" s="193"/>
      <c r="F207" s="193"/>
      <c r="G207" s="193"/>
      <c r="H207" s="197"/>
      <c r="I207" s="198"/>
      <c r="J207" s="198"/>
      <c r="K207" s="119" t="e">
        <f>Table1[[#This Row],[billing]]/Table1[[#This Row],[tiyar/meters]]</f>
        <v>#DIV/0!</v>
      </c>
    </row>
    <row r="208" spans="1:11" hidden="1" x14ac:dyDescent="0.3">
      <c r="A208" s="171">
        <v>46167</v>
      </c>
      <c r="B208" s="116" t="s">
        <v>258</v>
      </c>
      <c r="C208" s="155">
        <v>1739</v>
      </c>
      <c r="D208" s="155" t="s">
        <v>86</v>
      </c>
      <c r="E208" s="95">
        <v>2173</v>
      </c>
      <c r="F208" s="95">
        <v>46820</v>
      </c>
      <c r="G208" s="95">
        <v>1448</v>
      </c>
      <c r="H208" s="120">
        <f>_xlfn.XLOOKUP(Table1[[#This Row],[Shipment Number]], 'pivot '!A:A,'pivot '!G:G, "NF")</f>
        <v>4.2778347369667671</v>
      </c>
      <c r="I208" s="156">
        <f>Table1[[#This Row],[Tiyaar/gaz]]/1.0936</f>
        <v>1324.0673006583761</v>
      </c>
      <c r="J208" s="156"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9">
        <f>Table1[[#This Row],[billing]]/Table1[[#This Row],[tiyar/meters]]</f>
        <v>13</v>
      </c>
    </row>
    <row r="209" spans="1:11" hidden="1" x14ac:dyDescent="0.3">
      <c r="A209" s="171">
        <v>46167</v>
      </c>
      <c r="B209" s="116" t="s">
        <v>258</v>
      </c>
      <c r="C209" s="155">
        <v>1740</v>
      </c>
      <c r="D209" s="155" t="s">
        <v>86</v>
      </c>
      <c r="E209" s="95">
        <v>2109</v>
      </c>
      <c r="F209" s="95"/>
      <c r="G209" s="95">
        <v>2870</v>
      </c>
      <c r="H209" s="120" t="e">
        <f>_xlfn.XLOOKUP(Table1[[#This Row],[Shipment Number]], 'pivot '!A:A,'pivot '!G:G, "NF")</f>
        <v>#DIV/0!</v>
      </c>
      <c r="I209" s="156">
        <f>Table1[[#This Row],[Tiyaar/gaz]]/1.0936</f>
        <v>2624.3599122165328</v>
      </c>
      <c r="J209" s="156"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9">
        <f>Table1[[#This Row],[billing]]/Table1[[#This Row],[tiyar/meters]]</f>
        <v>13</v>
      </c>
    </row>
    <row r="210" spans="1:11" hidden="1" x14ac:dyDescent="0.3">
      <c r="A210" s="171">
        <v>46167</v>
      </c>
      <c r="B210" s="116" t="s">
        <v>441</v>
      </c>
      <c r="C210" s="155">
        <v>1741</v>
      </c>
      <c r="D210" s="155" t="s">
        <v>86</v>
      </c>
      <c r="E210" s="95">
        <v>2208</v>
      </c>
      <c r="F210" s="95">
        <v>73515</v>
      </c>
      <c r="G210" s="95">
        <v>38150</v>
      </c>
      <c r="H210" s="120">
        <f>_xlfn.XLOOKUP(Table1[[#This Row],[Shipment Number]], 'pivot '!A:A,'pivot '!G:G, "NF")</f>
        <v>3.9604008179311876</v>
      </c>
      <c r="I210" s="156">
        <f>Table1[[#This Row],[Tiyaar/gaz]]/1.0936</f>
        <v>34884.78419897586</v>
      </c>
      <c r="J210" s="156"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9">
        <f>Table1[[#This Row],[billing]]/Table1[[#This Row],[tiyar/meters]]</f>
        <v>12</v>
      </c>
    </row>
    <row r="211" spans="1:11" hidden="1" x14ac:dyDescent="0.3">
      <c r="A211" s="171">
        <v>46167</v>
      </c>
      <c r="B211" s="116" t="s">
        <v>441</v>
      </c>
      <c r="C211" s="155">
        <v>1742</v>
      </c>
      <c r="D211" s="155" t="s">
        <v>86</v>
      </c>
      <c r="E211" s="95">
        <v>2208</v>
      </c>
      <c r="F211" s="95">
        <v>73515</v>
      </c>
      <c r="G211" s="95">
        <v>15552</v>
      </c>
      <c r="H211" s="120">
        <f>_xlfn.XLOOKUP(Table1[[#This Row],[Shipment Number]], 'pivot '!A:A,'pivot '!G:G, "NF")</f>
        <v>3.9604008179311876</v>
      </c>
      <c r="I211" s="156">
        <f>Table1[[#This Row],[Tiyaar/gaz]]/1.0936</f>
        <v>14220.921726408194</v>
      </c>
      <c r="J211" s="156"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9">
        <f>Table1[[#This Row],[billing]]/Table1[[#This Row],[tiyar/meters]]</f>
        <v>12</v>
      </c>
    </row>
    <row r="212" spans="1:11" hidden="1" x14ac:dyDescent="0.3">
      <c r="A212" s="171">
        <v>46167</v>
      </c>
      <c r="B212" s="116" t="s">
        <v>441</v>
      </c>
      <c r="C212" s="155">
        <v>1743</v>
      </c>
      <c r="D212" s="155" t="s">
        <v>86</v>
      </c>
      <c r="E212" s="95">
        <v>2208</v>
      </c>
      <c r="F212" s="95">
        <v>73515</v>
      </c>
      <c r="G212" s="95">
        <v>23510</v>
      </c>
      <c r="H212" s="120">
        <f>_xlfn.XLOOKUP(Table1[[#This Row],[Shipment Number]], 'pivot '!A:A,'pivot '!G:G, "NF")</f>
        <v>3.9604008179311876</v>
      </c>
      <c r="I212" s="156">
        <f>Table1[[#This Row],[Tiyaar/gaz]]/1.0936</f>
        <v>21497.805413313828</v>
      </c>
      <c r="J212" s="156"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9">
        <f>Table1[[#This Row],[billing]]/Table1[[#This Row],[tiyar/meters]]</f>
        <v>12</v>
      </c>
    </row>
    <row r="213" spans="1:11" hidden="1" x14ac:dyDescent="0.3">
      <c r="A213" s="171">
        <v>46167</v>
      </c>
      <c r="B213" s="116" t="s">
        <v>441</v>
      </c>
      <c r="C213" s="155">
        <v>1744</v>
      </c>
      <c r="D213" s="155" t="s">
        <v>86</v>
      </c>
      <c r="E213" s="95">
        <v>2201</v>
      </c>
      <c r="F213" s="95">
        <v>83485</v>
      </c>
      <c r="G213" s="95">
        <v>38261</v>
      </c>
      <c r="H213" s="120">
        <f>_xlfn.XLOOKUP(Table1[[#This Row],[Shipment Number]], 'pivot '!A:A,'pivot '!G:G, "NF")</f>
        <v>4.5227079546242663</v>
      </c>
      <c r="I213" s="156">
        <f>Table1[[#This Row],[Tiyaar/gaz]]/1.0936</f>
        <v>34986.283833211412</v>
      </c>
      <c r="J213" s="156"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9">
        <f>Table1[[#This Row],[billing]]/Table1[[#This Row],[tiyar/meters]]</f>
        <v>12</v>
      </c>
    </row>
    <row r="214" spans="1:11" hidden="1" x14ac:dyDescent="0.3">
      <c r="A214" s="171">
        <v>46167</v>
      </c>
      <c r="B214" s="116" t="s">
        <v>441</v>
      </c>
      <c r="C214" s="155">
        <v>1745</v>
      </c>
      <c r="D214" s="155" t="s">
        <v>86</v>
      </c>
      <c r="E214" s="95">
        <v>2201</v>
      </c>
      <c r="F214" s="95">
        <v>83485</v>
      </c>
      <c r="G214" s="95">
        <v>28576</v>
      </c>
      <c r="H214" s="120">
        <f>_xlfn.XLOOKUP(Table1[[#This Row],[Shipment Number]], 'pivot '!A:A,'pivot '!G:G, "NF")</f>
        <v>4.5227079546242663</v>
      </c>
      <c r="I214" s="156">
        <f>Table1[[#This Row],[Tiyaar/gaz]]/1.0936</f>
        <v>26130.212143379667</v>
      </c>
      <c r="J214" s="156"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9">
        <f>Table1[[#This Row],[billing]]/Table1[[#This Row],[tiyar/meters]]</f>
        <v>12</v>
      </c>
    </row>
    <row r="215" spans="1:11" hidden="1" x14ac:dyDescent="0.3">
      <c r="A215" s="171">
        <v>46183</v>
      </c>
      <c r="B215" s="116" t="s">
        <v>21</v>
      </c>
      <c r="C215" s="155">
        <v>1746</v>
      </c>
      <c r="D215" s="155" t="s">
        <v>86</v>
      </c>
      <c r="E215" s="95" t="s">
        <v>726</v>
      </c>
      <c r="F215" s="95">
        <v>33085</v>
      </c>
      <c r="G215" s="95">
        <v>31683</v>
      </c>
      <c r="H215" s="120">
        <f>_xlfn.XLOOKUP(Table1[[#This Row],[Shipment Number]], 'pivot '!A:A,'pivot '!G:G, "NF")</f>
        <v>12.433769107281563</v>
      </c>
      <c r="I215" s="156">
        <f>Table1[[#This Row],[Tiyaar/gaz]]/1.0936</f>
        <v>28971.287490855892</v>
      </c>
      <c r="J215" s="156"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9">
        <f>Table1[[#This Row],[billing]]/Table1[[#This Row],[tiyar/meters]]</f>
        <v>13</v>
      </c>
    </row>
    <row r="216" spans="1:11" hidden="1" x14ac:dyDescent="0.3">
      <c r="A216" s="171">
        <v>46183</v>
      </c>
      <c r="B216" s="116" t="s">
        <v>21</v>
      </c>
      <c r="C216" s="155">
        <v>1747</v>
      </c>
      <c r="D216" s="155" t="s">
        <v>85</v>
      </c>
      <c r="E216" s="95">
        <v>2211</v>
      </c>
      <c r="F216" s="95">
        <v>7182</v>
      </c>
      <c r="G216" s="95">
        <v>7337</v>
      </c>
      <c r="H216" s="120">
        <f>_xlfn.XLOOKUP(Table1[[#This Row],[Shipment Number]], 'pivot '!A:A,'pivot '!G:G, "NF")</f>
        <v>6.5854304948749132</v>
      </c>
      <c r="I216" s="156">
        <f>Table1[[#This Row],[Tiyaar/gaz]]/1.0936</f>
        <v>6709.0343818580841</v>
      </c>
      <c r="J216" s="156"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9">
        <f>Table1[[#This Row],[billing]]/Table1[[#This Row],[tiyar/meters]]</f>
        <v>10.000000000000002</v>
      </c>
    </row>
    <row r="217" spans="1:11" hidden="1" x14ac:dyDescent="0.3">
      <c r="A217" s="171">
        <v>46183</v>
      </c>
      <c r="B217" s="116" t="s">
        <v>21</v>
      </c>
      <c r="C217" s="155">
        <v>1748</v>
      </c>
      <c r="D217" s="155" t="s">
        <v>86</v>
      </c>
      <c r="E217" s="95">
        <v>2212</v>
      </c>
      <c r="F217" s="95">
        <v>1558</v>
      </c>
      <c r="G217" s="95">
        <v>1527</v>
      </c>
      <c r="H217" s="120">
        <f>_xlfn.XLOOKUP(Table1[[#This Row],[Shipment Number]], 'pivot '!A:A,'pivot '!G:G, "NF")</f>
        <v>10.378319699725694</v>
      </c>
      <c r="I217" s="156">
        <f>Table1[[#This Row],[Tiyaar/gaz]]/1.0936</f>
        <v>1396.3057790782736</v>
      </c>
      <c r="J217" s="156"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9">
        <f>Table1[[#This Row],[billing]]/Table1[[#This Row],[tiyar/meters]]</f>
        <v>13.000000000000002</v>
      </c>
    </row>
    <row r="218" spans="1:11" hidden="1" x14ac:dyDescent="0.3">
      <c r="A218" s="171">
        <v>46185</v>
      </c>
      <c r="B218" s="116" t="s">
        <v>441</v>
      </c>
      <c r="C218" s="155">
        <v>1749</v>
      </c>
      <c r="D218" s="155" t="s">
        <v>86</v>
      </c>
      <c r="E218" s="95">
        <v>2201</v>
      </c>
      <c r="F218" s="95">
        <v>83485</v>
      </c>
      <c r="G218" s="95">
        <v>20333</v>
      </c>
      <c r="H218" s="120">
        <f>_xlfn.XLOOKUP(Table1[[#This Row],[Shipment Number]], 'pivot '!A:A,'pivot '!G:G, "NF")</f>
        <v>4.5227079546242663</v>
      </c>
      <c r="I218" s="156">
        <f>Table1[[#This Row],[Tiyaar/gaz]]/1.0936</f>
        <v>18592.721287490858</v>
      </c>
      <c r="J218" s="156"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9">
        <f>Table1[[#This Row],[billing]]/Table1[[#This Row],[tiyar/meters]]</f>
        <v>12</v>
      </c>
    </row>
    <row r="219" spans="1:11" hidden="1" x14ac:dyDescent="0.3">
      <c r="A219" s="171">
        <v>46184</v>
      </c>
      <c r="B219" s="116" t="s">
        <v>258</v>
      </c>
      <c r="C219" s="155">
        <v>1750</v>
      </c>
      <c r="D219" s="155" t="s">
        <v>206</v>
      </c>
      <c r="E219" s="95">
        <v>2220</v>
      </c>
      <c r="F219" s="95">
        <v>24199</v>
      </c>
      <c r="G219" s="95">
        <v>25514</v>
      </c>
      <c r="H219" s="120">
        <f>_xlfn.XLOOKUP(Table1[[#This Row],[Shipment Number]], 'pivot '!A:A,'pivot '!G:G, "NF")</f>
        <v>3.5898785227934837</v>
      </c>
      <c r="I219" s="156">
        <f>Table1[[#This Row],[Tiyaar/gaz]]/1.0936</f>
        <v>23330.285296269205</v>
      </c>
      <c r="J219" s="156"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9">
        <f>Table1[[#This Row],[billing]]/Table1[[#This Row],[tiyar/meters]]</f>
        <v>11</v>
      </c>
    </row>
    <row r="220" spans="1:11" hidden="1" x14ac:dyDescent="0.3">
      <c r="A220" s="171">
        <v>46184</v>
      </c>
      <c r="B220" s="116" t="s">
        <v>258</v>
      </c>
      <c r="C220" s="155">
        <v>1751</v>
      </c>
      <c r="D220" s="155" t="s">
        <v>274</v>
      </c>
      <c r="E220" s="95">
        <v>2219</v>
      </c>
      <c r="F220" s="95">
        <v>23675</v>
      </c>
      <c r="G220" s="95">
        <v>24836</v>
      </c>
      <c r="H220" s="120">
        <f>_xlfn.XLOOKUP(Table1[[#This Row],[Shipment Number]], 'pivot '!A:A,'pivot '!G:G, "NF")</f>
        <v>4.0747009190073129</v>
      </c>
      <c r="I220" s="156">
        <f>Table1[[#This Row],[Tiyaar/gaz]]/1.0936</f>
        <v>22710.314557425019</v>
      </c>
      <c r="J220" s="156"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9">
        <f>Table1[[#This Row],[billing]]/Table1[[#This Row],[tiyar/meters]]</f>
        <v>12</v>
      </c>
    </row>
    <row r="221" spans="1:11" hidden="1" x14ac:dyDescent="0.3">
      <c r="A221" s="171">
        <v>46185</v>
      </c>
      <c r="B221" s="116" t="s">
        <v>176</v>
      </c>
      <c r="C221" s="155">
        <v>1752</v>
      </c>
      <c r="D221" s="155" t="s">
        <v>274</v>
      </c>
      <c r="E221" s="95">
        <v>2222</v>
      </c>
      <c r="F221" s="95">
        <v>9409</v>
      </c>
      <c r="G221" s="95">
        <v>8549</v>
      </c>
      <c r="H221" s="120">
        <f>_xlfn.XLOOKUP(Table1[[#This Row],[Shipment Number]], 'pivot '!A:A,'pivot '!G:G, "NF")</f>
        <v>1.8725786910585214</v>
      </c>
      <c r="I221" s="156">
        <f>Table1[[#This Row],[Tiyaar/gaz]]/1.0936</f>
        <v>7817.3006583760061</v>
      </c>
      <c r="J221" s="156"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9">
        <f>Table1[[#This Row],[billing]]/Table1[[#This Row],[tiyar/meters]]</f>
        <v>12</v>
      </c>
    </row>
    <row r="222" spans="1:11" hidden="1" x14ac:dyDescent="0.3">
      <c r="A222" s="171">
        <v>46185</v>
      </c>
      <c r="B222" s="116" t="s">
        <v>258</v>
      </c>
      <c r="C222" s="155">
        <v>1753</v>
      </c>
      <c r="D222" s="155" t="s">
        <v>86</v>
      </c>
      <c r="E222" s="191" t="s">
        <v>727</v>
      </c>
      <c r="F222" s="95">
        <v>4471</v>
      </c>
      <c r="G222" s="95">
        <v>4765</v>
      </c>
      <c r="H222" s="120">
        <f>_xlfn.XLOOKUP(Table1[[#This Row],[Shipment Number]], 'pivot '!A:A,'pivot '!G:G, "NF")</f>
        <v>2.5459856145194522</v>
      </c>
      <c r="I222" s="156">
        <f>Table1[[#This Row],[Tiyaar/gaz]]/1.0936</f>
        <v>4357.1689831748354</v>
      </c>
      <c r="J222" s="156"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9">
        <f>Table1[[#This Row],[billing]]/Table1[[#This Row],[tiyar/meters]]</f>
        <v>13</v>
      </c>
    </row>
    <row r="223" spans="1:11" hidden="1" x14ac:dyDescent="0.3">
      <c r="A223" s="171">
        <v>46185</v>
      </c>
      <c r="B223" s="116" t="s">
        <v>176</v>
      </c>
      <c r="C223" s="155">
        <v>1754</v>
      </c>
      <c r="D223" s="155" t="s">
        <v>206</v>
      </c>
      <c r="E223" s="95">
        <v>2216</v>
      </c>
      <c r="F223" s="95">
        <v>12883</v>
      </c>
      <c r="G223" s="95">
        <v>13549</v>
      </c>
      <c r="H223" s="120">
        <f>_xlfn.XLOOKUP(Table1[[#This Row],[Shipment Number]], 'pivot '!A:A,'pivot '!G:G, "NF")</f>
        <v>3.831745287805191</v>
      </c>
      <c r="I223" s="156">
        <f>Table1[[#This Row],[Tiyaar/gaz]]/1.0936</f>
        <v>12389.356254572056</v>
      </c>
      <c r="J223" s="156">
        <f>Table1[[#This Row],[tiyar/meters]]*11</f>
        <v>136282.91880029262</v>
      </c>
      <c r="K223" s="119">
        <f>Table1[[#This Row],[billing]]/Table1[[#This Row],[tiyar/meters]]</f>
        <v>11</v>
      </c>
    </row>
    <row r="224" spans="1:11" hidden="1" x14ac:dyDescent="0.3">
      <c r="A224" s="171">
        <v>46185</v>
      </c>
      <c r="B224" s="116" t="s">
        <v>176</v>
      </c>
      <c r="C224" s="155">
        <v>1755</v>
      </c>
      <c r="D224" s="155" t="s">
        <v>86</v>
      </c>
      <c r="E224" s="95">
        <v>2223</v>
      </c>
      <c r="F224" s="95">
        <v>14949</v>
      </c>
      <c r="G224" s="95">
        <v>15026</v>
      </c>
      <c r="H224" s="120">
        <f>_xlfn.XLOOKUP(Table1[[#This Row],[Shipment Number]], 'pivot '!A:A,'pivot '!G:G, "NF")</f>
        <v>0.96785055533607078</v>
      </c>
      <c r="I224" s="156">
        <f>Table1[[#This Row],[Tiyaar/gaz]]/1.0936</f>
        <v>13739.94147768837</v>
      </c>
      <c r="J224" s="156">
        <f>Table1[[#This Row],[tiyar/meters]]*12</f>
        <v>164879.29773226043</v>
      </c>
      <c r="K224" s="119">
        <f>Table1[[#This Row],[billing]]/Table1[[#This Row],[tiyar/meters]]</f>
        <v>12</v>
      </c>
    </row>
    <row r="225" spans="1:13" hidden="1" x14ac:dyDescent="0.3">
      <c r="A225" s="176">
        <v>46185</v>
      </c>
      <c r="B225" s="130" t="s">
        <v>21</v>
      </c>
      <c r="C225" s="178">
        <v>1756</v>
      </c>
      <c r="D225" s="178" t="s">
        <v>85</v>
      </c>
      <c r="E225" s="180">
        <v>2227</v>
      </c>
      <c r="F225" s="180"/>
      <c r="G225" s="180">
        <v>6743</v>
      </c>
      <c r="H225" s="182">
        <f>_xlfn.XLOOKUP(Table1[[#This Row],[Shipment Number]], 'pivot '!A:A,'pivot '!G:G, "NF")</f>
        <v>16.329502602226924</v>
      </c>
      <c r="I225" s="183">
        <f>Table1[[#This Row],[Tiyaar/gaz]]/1.0936</f>
        <v>6165.874177029993</v>
      </c>
      <c r="J225" s="183"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9">
        <f>Table1[[#This Row],[billing]]/Table1[[#This Row],[tiyar/meters]]</f>
        <v>10</v>
      </c>
    </row>
    <row r="226" spans="1:13" hidden="1" x14ac:dyDescent="0.3">
      <c r="A226" s="171">
        <v>46186</v>
      </c>
      <c r="B226" s="116" t="s">
        <v>27</v>
      </c>
      <c r="C226" s="155">
        <v>1757</v>
      </c>
      <c r="D226" s="155" t="s">
        <v>86</v>
      </c>
      <c r="E226" s="95">
        <v>2217</v>
      </c>
      <c r="F226" s="95">
        <v>30502</v>
      </c>
      <c r="G226" s="95">
        <v>24765</v>
      </c>
      <c r="H226" s="120">
        <f>_xlfn.XLOOKUP(Table1[[#This Row],[Shipment Number]], 'pivot '!A:A,'pivot '!G:G, "NF")</f>
        <v>1.3100319803462241</v>
      </c>
      <c r="I226" s="156">
        <f>Table1[[#This Row],[Tiyaar/gaz]]/1.0936</f>
        <v>22645.391367959037</v>
      </c>
      <c r="J226" s="156"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9">
        <f>Table1[[#This Row],[billing]]/Table1[[#This Row],[tiyar/meters]]</f>
        <v>13</v>
      </c>
    </row>
    <row r="227" spans="1:13" hidden="1" x14ac:dyDescent="0.3">
      <c r="A227" s="171">
        <v>46186</v>
      </c>
      <c r="B227" s="116" t="s">
        <v>21</v>
      </c>
      <c r="C227" s="155">
        <v>1758</v>
      </c>
      <c r="D227" s="113" t="s">
        <v>86</v>
      </c>
      <c r="E227" s="11" t="s">
        <v>728</v>
      </c>
      <c r="F227" s="11">
        <v>39273</v>
      </c>
      <c r="G227" s="11">
        <v>9874</v>
      </c>
      <c r="H227" s="114">
        <f>_xlfn.XLOOKUP(Table1[[#This Row],[Shipment Number]], 'pivot '!A:A,'pivot '!G:G, "NF")</f>
        <v>77.009916758668908</v>
      </c>
      <c r="I227" s="156">
        <f>Table1[[#This Row],[Tiyaar/gaz]]/1.0936</f>
        <v>9028.8953913679597</v>
      </c>
      <c r="J227" s="156"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9">
        <f>Table1[[#This Row],[billing]]/Table1[[#This Row],[tiyar/meters]]</f>
        <v>13</v>
      </c>
    </row>
    <row r="228" spans="1:13" hidden="1" x14ac:dyDescent="0.3">
      <c r="A228" s="171">
        <v>46186</v>
      </c>
      <c r="B228" s="116" t="s">
        <v>21</v>
      </c>
      <c r="C228" s="155">
        <v>1759</v>
      </c>
      <c r="D228" s="113" t="s">
        <v>85</v>
      </c>
      <c r="E228" s="11">
        <v>2225</v>
      </c>
      <c r="F228" s="11">
        <v>52646</v>
      </c>
      <c r="G228" s="11">
        <v>6914</v>
      </c>
      <c r="H228" s="114">
        <f>_xlfn.XLOOKUP(Table1[[#This Row],[Shipment Number]], 'pivot '!A:A,'pivot '!G:G, "NF")</f>
        <v>2.2400269056344229</v>
      </c>
      <c r="I228" s="156">
        <f>Table1[[#This Row],[Tiyaar/gaz]]/1.0936</f>
        <v>6322.2384784198985</v>
      </c>
      <c r="J228" s="156"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9">
        <f>Table1[[#This Row],[billing]]/Table1[[#This Row],[tiyar/meters]]</f>
        <v>10</v>
      </c>
    </row>
    <row r="229" spans="1:13" hidden="1" x14ac:dyDescent="0.3">
      <c r="A229" s="171">
        <v>46186</v>
      </c>
      <c r="B229" s="116" t="s">
        <v>21</v>
      </c>
      <c r="C229" s="155">
        <v>1760</v>
      </c>
      <c r="D229" s="161" t="s">
        <v>85</v>
      </c>
      <c r="E229" s="162">
        <v>2227</v>
      </c>
      <c r="F229" s="162">
        <v>12403</v>
      </c>
      <c r="G229" s="11">
        <v>4606</v>
      </c>
      <c r="H229" s="114">
        <f>_xlfn.XLOOKUP(Table1[[#This Row],[Shipment Number]], 'pivot '!A:A,'pivot '!G:G, "NF")</f>
        <v>16.329502602226924</v>
      </c>
      <c r="I229" s="156">
        <f>Table1[[#This Row],[Tiyaar/gaz]]/1.0936</f>
        <v>4211.7776152158012</v>
      </c>
      <c r="J229" s="156"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9">
        <f>Table1[[#This Row],[billing]]/Table1[[#This Row],[tiyar/meters]]</f>
        <v>10</v>
      </c>
      <c r="M229" s="10">
        <v>810440</v>
      </c>
    </row>
    <row r="230" spans="1:13" hidden="1" x14ac:dyDescent="0.3">
      <c r="A230" s="171">
        <v>46186</v>
      </c>
      <c r="B230" s="116" t="s">
        <v>441</v>
      </c>
      <c r="C230" s="155">
        <v>1761</v>
      </c>
      <c r="D230" s="113" t="s">
        <v>447</v>
      </c>
      <c r="E230" s="11" t="s">
        <v>731</v>
      </c>
      <c r="F230" s="11">
        <v>11205</v>
      </c>
      <c r="G230" s="11">
        <v>11205</v>
      </c>
      <c r="H230" s="114">
        <f>_xlfn.XLOOKUP(Table1[[#This Row],[Shipment Number]], 'pivot '!A:A,'pivot '!G:G, "NF")</f>
        <v>8.5588880760790005</v>
      </c>
      <c r="I230" s="156">
        <f>Table1[[#This Row],[Tiyaar/gaz]]/1.0936</f>
        <v>10245.976591075349</v>
      </c>
      <c r="J230" s="156"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9">
        <f>Table1[[#This Row],[billing]]/Table1[[#This Row],[tiyar/meters]]</f>
        <v>14.999999999999998</v>
      </c>
    </row>
    <row r="231" spans="1:13" hidden="1" x14ac:dyDescent="0.3">
      <c r="A231" s="171">
        <v>46186</v>
      </c>
      <c r="B231" s="116" t="s">
        <v>441</v>
      </c>
      <c r="C231" s="155">
        <v>1762</v>
      </c>
      <c r="D231" s="155" t="s">
        <v>85</v>
      </c>
      <c r="E231" s="95">
        <v>2209</v>
      </c>
      <c r="F231" s="95">
        <v>5702</v>
      </c>
      <c r="G231" s="95">
        <v>5958</v>
      </c>
      <c r="H231" s="120">
        <f>_xlfn.XLOOKUP(Table1[[#This Row],[Shipment Number]], 'pivot '!A:A,'pivot '!G:G, "NF")</f>
        <v>4.4534996768289545</v>
      </c>
      <c r="I231" s="156">
        <f>Table1[[#This Row],[Tiyaar/gaz]]/1.0936</f>
        <v>5448.0614484272137</v>
      </c>
      <c r="J231" s="156"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9">
        <f>Table1[[#This Row],[billing]]/Table1[[#This Row],[tiyar/meters]]</f>
        <v>10</v>
      </c>
    </row>
    <row r="232" spans="1:13" hidden="1" x14ac:dyDescent="0.3">
      <c r="A232" s="185">
        <v>46186</v>
      </c>
      <c r="B232" s="187" t="s">
        <v>27</v>
      </c>
      <c r="C232" s="189">
        <v>1763</v>
      </c>
      <c r="D232" s="189" t="s">
        <v>86</v>
      </c>
      <c r="E232" s="192">
        <v>2217</v>
      </c>
      <c r="F232" s="192">
        <v>30502</v>
      </c>
      <c r="G232" s="192">
        <v>8155</v>
      </c>
      <c r="H232" s="195">
        <f>_xlfn.XLOOKUP(Table1[[#This Row],[Shipment Number]], 'pivot '!A:A,'pivot '!G:G, "NF")</f>
        <v>1.3100319803462241</v>
      </c>
      <c r="I232" s="156">
        <f>Table1[[#This Row],[Tiyaar/gaz]]/1.0936</f>
        <v>7457.0226773957575</v>
      </c>
      <c r="J232" s="156"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9">
        <f>Table1[[#This Row],[billing]]/Table1[[#This Row],[tiyar/meters]]</f>
        <v>13</v>
      </c>
    </row>
    <row r="233" spans="1:13" hidden="1" x14ac:dyDescent="0.3">
      <c r="A233" s="171">
        <v>46191</v>
      </c>
      <c r="B233" s="119" t="s">
        <v>21</v>
      </c>
      <c r="C233" s="155">
        <v>1764</v>
      </c>
      <c r="D233" s="155" t="s">
        <v>86</v>
      </c>
      <c r="E233" s="95">
        <v>2242</v>
      </c>
      <c r="F233" s="95">
        <v>24854</v>
      </c>
      <c r="G233" s="95">
        <v>25714</v>
      </c>
      <c r="H233" s="120">
        <f>_xlfn.XLOOKUP(Table1[[#This Row],[Shipment Number]], 'pivot '!A:A,'pivot '!G:G, "NF")</f>
        <v>5.3948357603723878</v>
      </c>
      <c r="I233" s="156">
        <f>Table1[[#This Row],[Tiyaar/gaz]]/1.0936</f>
        <v>23513.167520117047</v>
      </c>
      <c r="J233" s="156"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9">
        <f>Table1[[#This Row],[billing]]/Table1[[#This Row],[tiyar/meters]]</f>
        <v>13</v>
      </c>
    </row>
    <row r="234" spans="1:13" hidden="1" x14ac:dyDescent="0.3">
      <c r="A234" s="171">
        <v>46191</v>
      </c>
      <c r="B234" s="116" t="s">
        <v>530</v>
      </c>
      <c r="C234" s="155">
        <v>1765</v>
      </c>
      <c r="D234" s="155" t="s">
        <v>85</v>
      </c>
      <c r="E234" s="95">
        <v>2232</v>
      </c>
      <c r="F234" s="95">
        <v>12052</v>
      </c>
      <c r="G234" s="95">
        <v>13016</v>
      </c>
      <c r="H234" s="120">
        <f>_xlfn.XLOOKUP(Table1[[#This Row],[Shipment Number]], 'pivot '!A:A,'pivot '!G:G, "NF")</f>
        <v>1.2448130765221066</v>
      </c>
      <c r="I234" s="156">
        <f>Table1[[#This Row],[Tiyaar/gaz]]/1.0936</f>
        <v>11901.975128017557</v>
      </c>
      <c r="J234" s="156"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9">
        <f>Table1[[#This Row],[billing]]/Table1[[#This Row],[tiyar/meters]]</f>
        <v>10</v>
      </c>
    </row>
    <row r="235" spans="1:13" hidden="1" x14ac:dyDescent="0.3">
      <c r="A235" s="171">
        <v>46191</v>
      </c>
      <c r="B235" s="116" t="s">
        <v>176</v>
      </c>
      <c r="C235" s="155">
        <v>1766</v>
      </c>
      <c r="D235" s="155" t="s">
        <v>274</v>
      </c>
      <c r="E235" s="95">
        <v>2221</v>
      </c>
      <c r="F235" s="95">
        <v>11026</v>
      </c>
      <c r="G235" s="95">
        <v>11640</v>
      </c>
      <c r="H235" s="120">
        <f>_xlfn.XLOOKUP(Table1[[#This Row],[Shipment Number]], 'pivot '!A:A,'pivot '!G:G, "NF")</f>
        <v>3.4668471980373283</v>
      </c>
      <c r="I235" s="156">
        <f>Table1[[#This Row],[Tiyaar/gaz]]/1.0936</f>
        <v>10643.745427944405</v>
      </c>
      <c r="J235" s="156">
        <f>Table1[[#This Row],[tiyar/meters]]*15</f>
        <v>159656.18141916607</v>
      </c>
      <c r="K235" s="119">
        <f>Table1[[#This Row],[billing]]/Table1[[#This Row],[tiyar/meters]]</f>
        <v>15</v>
      </c>
    </row>
    <row r="236" spans="1:13" hidden="1" x14ac:dyDescent="0.3">
      <c r="A236" s="171">
        <v>46191</v>
      </c>
      <c r="B236" s="116" t="s">
        <v>176</v>
      </c>
      <c r="C236" s="155">
        <v>1767</v>
      </c>
      <c r="D236" s="155" t="s">
        <v>274</v>
      </c>
      <c r="E236" s="95">
        <v>2230</v>
      </c>
      <c r="F236" s="95">
        <v>20189</v>
      </c>
      <c r="G236" s="95">
        <v>22169</v>
      </c>
      <c r="H236" s="120">
        <f>_xlfn.XLOOKUP(Table1[[#This Row],[Shipment Number]], 'pivot '!A:A,'pivot '!G:G, "NF")</f>
        <v>-0.40903513009087078</v>
      </c>
      <c r="I236" s="156">
        <f>Table1[[#This Row],[Tiyaar/gaz]]/1.0936</f>
        <v>20271.580102414046</v>
      </c>
      <c r="J236" s="156"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9">
        <f>Table1[[#This Row],[billing]]/Table1[[#This Row],[tiyar/meters]]</f>
        <v>12</v>
      </c>
    </row>
    <row r="237" spans="1:13" hidden="1" x14ac:dyDescent="0.3">
      <c r="A237" s="171">
        <v>46191</v>
      </c>
      <c r="B237" s="116" t="s">
        <v>176</v>
      </c>
      <c r="C237" s="155">
        <v>1768</v>
      </c>
      <c r="D237" s="155" t="s">
        <v>274</v>
      </c>
      <c r="E237" s="95">
        <v>2222</v>
      </c>
      <c r="F237" s="95">
        <v>9409</v>
      </c>
      <c r="G237" s="95">
        <v>1548</v>
      </c>
      <c r="H237" s="120">
        <f>_xlfn.XLOOKUP(Table1[[#This Row],[Shipment Number]], 'pivot '!A:A,'pivot '!G:G, "NF")</f>
        <v>1.8725786910585214</v>
      </c>
      <c r="I237" s="156">
        <f>Table1[[#This Row],[Tiyaar/gaz]]/1.0936</f>
        <v>1415.5084125822971</v>
      </c>
      <c r="J237" s="156"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9">
        <f>Table1[[#This Row],[billing]]/Table1[[#This Row],[tiyar/meters]]</f>
        <v>12</v>
      </c>
    </row>
    <row r="238" spans="1:13" hidden="1" x14ac:dyDescent="0.3">
      <c r="A238" s="171">
        <v>46191</v>
      </c>
      <c r="B238" s="116" t="s">
        <v>176</v>
      </c>
      <c r="C238" s="155">
        <v>1769</v>
      </c>
      <c r="D238" s="155" t="s">
        <v>274</v>
      </c>
      <c r="E238" s="95" t="s">
        <v>762</v>
      </c>
      <c r="F238" s="95">
        <v>2750</v>
      </c>
      <c r="G238" s="95">
        <v>3065</v>
      </c>
      <c r="H238" s="120">
        <f>_xlfn.XLOOKUP(Table1[[#This Row],[Shipment Number]], 'pivot '!A:A,'pivot '!G:G, "NF")</f>
        <v>-1.9152756533883206</v>
      </c>
      <c r="I238" s="156">
        <f>Table1[[#This Row],[Tiyaar/gaz]]/1.0936</f>
        <v>2802.6700804681786</v>
      </c>
      <c r="J238" s="156"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9">
        <f>Table1[[#This Row],[billing]]/Table1[[#This Row],[tiyar/meters]]</f>
        <v>12</v>
      </c>
    </row>
    <row r="239" spans="1:13" hidden="1" x14ac:dyDescent="0.3">
      <c r="A239" s="171">
        <v>46191</v>
      </c>
      <c r="B239" s="116" t="s">
        <v>176</v>
      </c>
      <c r="C239" s="155">
        <v>1770</v>
      </c>
      <c r="D239" s="155" t="s">
        <v>206</v>
      </c>
      <c r="E239" s="95">
        <v>2231</v>
      </c>
      <c r="F239" s="95">
        <v>25816</v>
      </c>
      <c r="G239" s="95">
        <v>27352</v>
      </c>
      <c r="H239" s="120">
        <f>_xlfn.XLOOKUP(Table1[[#This Row],[Shipment Number]], 'pivot '!A:A,'pivot '!G:G, "NF")</f>
        <v>3.1183261022975017</v>
      </c>
      <c r="I239" s="156">
        <f>Table1[[#This Row],[Tiyaar/gaz]]/1.0936</f>
        <v>25010.972933430872</v>
      </c>
      <c r="J239" s="156"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9">
        <f>Table1[[#This Row],[billing]]/Table1[[#This Row],[tiyar/meters]]</f>
        <v>11</v>
      </c>
    </row>
    <row r="240" spans="1:13" hidden="1" x14ac:dyDescent="0.3">
      <c r="A240" s="171">
        <v>46191</v>
      </c>
      <c r="B240" s="116" t="s">
        <v>176</v>
      </c>
      <c r="C240" s="155">
        <v>1771</v>
      </c>
      <c r="D240" s="155" t="s">
        <v>86</v>
      </c>
      <c r="E240" s="95">
        <v>2223</v>
      </c>
      <c r="F240" s="95">
        <v>14949</v>
      </c>
      <c r="G240" s="95">
        <v>1164</v>
      </c>
      <c r="H240" s="120">
        <f>_xlfn.XLOOKUP(Table1[[#This Row],[Shipment Number]], 'pivot '!A:A,'pivot '!G:G, "NF")</f>
        <v>0.96785055533607078</v>
      </c>
      <c r="I240" s="156">
        <f>Table1[[#This Row],[Tiyaar/gaz]]/1.0936</f>
        <v>1064.3745427944405</v>
      </c>
      <c r="J240" s="156"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9">
        <f>Table1[[#This Row],[billing]]/Table1[[#This Row],[tiyar/meters]]</f>
        <v>12</v>
      </c>
    </row>
    <row r="241" spans="1:13" hidden="1" x14ac:dyDescent="0.3">
      <c r="A241" s="171">
        <v>46191</v>
      </c>
      <c r="B241" s="116" t="s">
        <v>280</v>
      </c>
      <c r="C241" s="155">
        <v>1772</v>
      </c>
      <c r="D241" s="155" t="s">
        <v>85</v>
      </c>
      <c r="E241" s="95">
        <v>1965</v>
      </c>
      <c r="F241" s="95">
        <v>24024</v>
      </c>
      <c r="G241" s="95">
        <v>25488</v>
      </c>
      <c r="H241" s="120">
        <f>_xlfn.XLOOKUP(Table1[[#This Row],[Shipment Number]], 'pivot '!A:A,'pivot '!G:G, "NF")</f>
        <v>2.9865525842116938</v>
      </c>
      <c r="I241" s="156">
        <f>Table1[[#This Row],[Tiyaar/gaz]]/1.0936</f>
        <v>23306.510607168984</v>
      </c>
      <c r="J241" s="156"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9">
        <f>Table1[[#This Row],[billing]]/Table1[[#This Row],[tiyar/meters]]</f>
        <v>10</v>
      </c>
      <c r="M241" s="10">
        <v>1113240</v>
      </c>
    </row>
    <row r="242" spans="1:13" hidden="1" x14ac:dyDescent="0.3">
      <c r="A242" s="171">
        <v>46195</v>
      </c>
      <c r="B242" s="119" t="s">
        <v>755</v>
      </c>
      <c r="C242" s="155">
        <v>1773</v>
      </c>
      <c r="D242" s="155" t="s">
        <v>86</v>
      </c>
      <c r="E242" s="95">
        <v>2243</v>
      </c>
      <c r="F242" s="95">
        <v>100115</v>
      </c>
      <c r="G242" s="95">
        <v>37718</v>
      </c>
      <c r="H242" s="120">
        <f>_xlfn.XLOOKUP(Table1[[#This Row],[Shipment Number]], 'pivot '!A:A,'pivot '!G:G, "NF")</f>
        <v>3.8322461722055436</v>
      </c>
      <c r="I242" s="156">
        <f>Table1[[#This Row],[Tiyaar/gaz]]/1.0936</f>
        <v>34489.758595464526</v>
      </c>
      <c r="J242" s="156"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9">
        <f>Table1[[#This Row],[billing]]/Table1[[#This Row],[tiyar/meters]]</f>
        <v>12</v>
      </c>
      <c r="M242" s="10">
        <v>229125</v>
      </c>
    </row>
    <row r="243" spans="1:13" hidden="1" x14ac:dyDescent="0.3">
      <c r="A243" s="171">
        <v>46195</v>
      </c>
      <c r="B243" s="116" t="s">
        <v>755</v>
      </c>
      <c r="C243" s="155">
        <v>1774</v>
      </c>
      <c r="D243" s="155" t="s">
        <v>86</v>
      </c>
      <c r="E243" s="95">
        <v>2243</v>
      </c>
      <c r="F243" s="95">
        <v>100115</v>
      </c>
      <c r="G243" s="95">
        <v>12423</v>
      </c>
      <c r="H243" s="120">
        <f>_xlfn.XLOOKUP(Table1[[#This Row],[Shipment Number]], 'pivot '!A:A,'pivot '!G:G, "NF")</f>
        <v>3.8322461722055436</v>
      </c>
      <c r="I243" s="156">
        <f>Table1[[#This Row],[Tiyaar/gaz]]/1.0936</f>
        <v>11359.729334308706</v>
      </c>
      <c r="J243" s="156"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9">
        <f>Table1[[#This Row],[billing]]/Table1[[#This Row],[tiyar/meters]]</f>
        <v>12</v>
      </c>
    </row>
    <row r="244" spans="1:13" hidden="1" x14ac:dyDescent="0.3">
      <c r="A244" s="171">
        <v>46195</v>
      </c>
      <c r="B244" s="119" t="s">
        <v>755</v>
      </c>
      <c r="C244" s="155">
        <v>1775</v>
      </c>
      <c r="D244" s="155" t="s">
        <v>86</v>
      </c>
      <c r="E244" s="95">
        <v>2243</v>
      </c>
      <c r="F244" s="95">
        <v>100115</v>
      </c>
      <c r="G244" s="95">
        <v>38464</v>
      </c>
      <c r="H244" s="120">
        <f>_xlfn.XLOOKUP(Table1[[#This Row],[Shipment Number]], 'pivot '!A:A,'pivot '!G:G, "NF")</f>
        <v>3.8322461722055436</v>
      </c>
      <c r="I244" s="156">
        <f>Table1[[#This Row],[Tiyaar/gaz]]/1.0936</f>
        <v>35171.909290416974</v>
      </c>
      <c r="J244" s="156"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9">
        <f>Table1[[#This Row],[billing]]/Table1[[#This Row],[tiyar/meters]]</f>
        <v>12</v>
      </c>
    </row>
    <row r="245" spans="1:13" hidden="1" x14ac:dyDescent="0.3">
      <c r="A245" s="171">
        <v>46195</v>
      </c>
      <c r="B245" s="119" t="s">
        <v>755</v>
      </c>
      <c r="C245" s="155">
        <v>1776</v>
      </c>
      <c r="D245" s="155" t="s">
        <v>86</v>
      </c>
      <c r="E245" s="95">
        <v>2243</v>
      </c>
      <c r="F245" s="95">
        <v>100115</v>
      </c>
      <c r="G245" s="95">
        <v>16685</v>
      </c>
      <c r="H245" s="120">
        <f>_xlfn.XLOOKUP(Table1[[#This Row],[Shipment Number]], 'pivot '!A:A,'pivot '!G:G, "NF")</f>
        <v>3.8322461722055436</v>
      </c>
      <c r="I245" s="156">
        <f>Table1[[#This Row],[Tiyaar/gaz]]/1.0936</f>
        <v>15256.949524506219</v>
      </c>
      <c r="J245" s="156"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9">
        <f>Table1[[#This Row],[billing]]/Table1[[#This Row],[tiyar/meters]]</f>
        <v>12</v>
      </c>
    </row>
    <row r="246" spans="1:13" hidden="1" x14ac:dyDescent="0.3">
      <c r="A246" s="171">
        <v>46195</v>
      </c>
      <c r="B246" s="119" t="s">
        <v>21</v>
      </c>
      <c r="C246" s="155">
        <v>1777</v>
      </c>
      <c r="D246" s="155" t="s">
        <v>85</v>
      </c>
      <c r="E246" s="95">
        <v>2237</v>
      </c>
      <c r="F246" s="95">
        <v>25929</v>
      </c>
      <c r="G246" s="95">
        <v>4360</v>
      </c>
      <c r="H246" s="120">
        <f>_xlfn.XLOOKUP(Table1[[#This Row],[Shipment Number]], 'pivot '!A:A,'pivot '!G:G, "NF")</f>
        <v>2.8634352719935237</v>
      </c>
      <c r="I246" s="156">
        <f>Table1[[#This Row],[Tiyaar/gaz]]/1.0936</f>
        <v>3986.8324798829558</v>
      </c>
      <c r="J246" s="156"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9">
        <f>Table1[[#This Row],[billing]]/Table1[[#This Row],[tiyar/meters]]</f>
        <v>10</v>
      </c>
    </row>
    <row r="247" spans="1:13" hidden="1" x14ac:dyDescent="0.3">
      <c r="A247" s="171">
        <v>46196</v>
      </c>
      <c r="B247" s="119" t="s">
        <v>755</v>
      </c>
      <c r="C247" s="155">
        <v>1778</v>
      </c>
      <c r="D247" s="155" t="s">
        <v>85</v>
      </c>
      <c r="E247" s="95" t="s">
        <v>827</v>
      </c>
      <c r="F247" s="95">
        <v>30000</v>
      </c>
      <c r="G247" s="95">
        <v>31992</v>
      </c>
      <c r="H247" s="120">
        <f>_xlfn.XLOOKUP(Table1[[#This Row],[Shipment Number]], 'pivot '!A:A,'pivot '!G:G, "NF")</f>
        <v>2.4871982443306422</v>
      </c>
      <c r="I247" s="156">
        <f>Table1[[#This Row],[Tiyaar/gaz]]/1.0936</f>
        <v>29253.840526700806</v>
      </c>
      <c r="J247" s="156"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9">
        <f>Table1[[#This Row],[billing]]/Table1[[#This Row],[tiyar/meters]]</f>
        <v>10</v>
      </c>
    </row>
    <row r="248" spans="1:13" hidden="1" x14ac:dyDescent="0.3">
      <c r="A248" s="172">
        <v>46196</v>
      </c>
      <c r="B248" s="188" t="s">
        <v>21</v>
      </c>
      <c r="C248" s="173">
        <v>1779</v>
      </c>
      <c r="D248" s="173" t="s">
        <v>85</v>
      </c>
      <c r="E248" s="194">
        <v>2237</v>
      </c>
      <c r="F248" s="194">
        <v>25929</v>
      </c>
      <c r="G248" s="194">
        <v>23184</v>
      </c>
      <c r="H248" s="196">
        <f>_xlfn.XLOOKUP(Table1[[#This Row],[Shipment Number]], 'pivot '!A:A,'pivot '!G:G, "NF")</f>
        <v>2.8634352719935237</v>
      </c>
      <c r="I248" s="174">
        <f>Table1[[#This Row],[Tiyaar/gaz]]/1.0936</f>
        <v>21199.707388441846</v>
      </c>
      <c r="J248" s="174"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9">
        <f>Table1[[#This Row],[billing]]/Table1[[#This Row],[tiyar/meters]]</f>
        <v>10</v>
      </c>
    </row>
    <row r="249" spans="1:13" hidden="1" x14ac:dyDescent="0.3">
      <c r="A249" s="171">
        <v>46196</v>
      </c>
      <c r="B249" s="119" t="s">
        <v>258</v>
      </c>
      <c r="C249" s="155">
        <v>1780</v>
      </c>
      <c r="D249" s="155" t="s">
        <v>86</v>
      </c>
      <c r="E249" s="95">
        <v>2244</v>
      </c>
      <c r="F249" s="95">
        <v>49912</v>
      </c>
      <c r="G249" s="95">
        <v>35923</v>
      </c>
      <c r="H249" s="120">
        <f>_xlfn.XLOOKUP(Table1[[#This Row],[Shipment Number]], 'pivot '!A:A,'pivot '!G:G, "NF")</f>
        <v>3.6966362920173168</v>
      </c>
      <c r="I249" s="156">
        <f>Table1[[#This Row],[Tiyaar/gaz]]/1.0936</f>
        <v>32848.390636430144</v>
      </c>
      <c r="J249" s="156"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9">
        <f>Table1[[#This Row],[billing]]/Table1[[#This Row],[tiyar/meters]]</f>
        <v>13</v>
      </c>
    </row>
    <row r="250" spans="1:13" hidden="1" x14ac:dyDescent="0.3">
      <c r="A250" s="171">
        <v>46196</v>
      </c>
      <c r="B250" s="116" t="s">
        <v>258</v>
      </c>
      <c r="C250" s="155">
        <v>1781</v>
      </c>
      <c r="D250" s="155" t="s">
        <v>86</v>
      </c>
      <c r="E250" s="11">
        <v>2244</v>
      </c>
      <c r="F250" s="11">
        <v>49912</v>
      </c>
      <c r="G250" s="11">
        <v>16643</v>
      </c>
      <c r="H250" s="114">
        <f>_xlfn.XLOOKUP(Table1[[#This Row],[Shipment Number]], 'pivot '!A:A,'pivot '!G:G, "NF")</f>
        <v>3.6966362920173168</v>
      </c>
      <c r="I250" s="115">
        <f>Table1[[#This Row],[Tiyaar/gaz]]/1.0936</f>
        <v>15218.544257498172</v>
      </c>
      <c r="J250" s="156"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9">
        <f>Table1[[#This Row],[billing]]/Table1[[#This Row],[tiyar/meters]]</f>
        <v>13</v>
      </c>
    </row>
    <row r="251" spans="1:13" hidden="1" x14ac:dyDescent="0.3">
      <c r="A251" s="171">
        <v>46196</v>
      </c>
      <c r="B251" s="119" t="s">
        <v>21</v>
      </c>
      <c r="C251" s="155">
        <v>1782</v>
      </c>
      <c r="D251" s="155" t="s">
        <v>231</v>
      </c>
      <c r="E251" s="95">
        <v>2238</v>
      </c>
      <c r="F251" s="95">
        <v>50235</v>
      </c>
      <c r="G251" s="95">
        <v>29885</v>
      </c>
      <c r="H251" s="120">
        <f>_xlfn.XLOOKUP(Table1[[#This Row],[Shipment Number]], 'pivot '!A:A,'pivot '!G:G, "NF")</f>
        <v>20.299610120655302</v>
      </c>
      <c r="I251" s="156">
        <f>Table1[[#This Row],[Tiyaar/gaz]]/1.0936</f>
        <v>27327.17629846379</v>
      </c>
      <c r="J251" s="156"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9">
        <f>Table1[[#This Row],[billing]]/Table1[[#This Row],[tiyar/meters]]</f>
        <v>9.9999999999999982</v>
      </c>
    </row>
    <row r="252" spans="1:13" hidden="1" x14ac:dyDescent="0.3">
      <c r="A252" s="171">
        <v>46207</v>
      </c>
      <c r="B252" s="119" t="s">
        <v>755</v>
      </c>
      <c r="C252" s="155">
        <v>1783</v>
      </c>
      <c r="D252" s="155" t="s">
        <v>85</v>
      </c>
      <c r="E252" s="95" t="s">
        <v>856</v>
      </c>
      <c r="F252" s="95">
        <v>28918</v>
      </c>
      <c r="G252" s="95">
        <v>30765</v>
      </c>
      <c r="H252" s="120">
        <f>_xlfn.XLOOKUP(Table1[[#This Row],[Shipment Number]], 'pivot '!A:A,'pivot '!G:G, "NF")</f>
        <v>2.7185210478100146</v>
      </c>
      <c r="I252" s="156">
        <f>Table1[[#This Row],[Tiyaar/gaz]]/1.0936</f>
        <v>28131.858083394298</v>
      </c>
      <c r="J252" s="156"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9">
        <f>Table1[[#This Row],[billing]]/Table1[[#This Row],[tiyar/meters]]</f>
        <v>10</v>
      </c>
    </row>
    <row r="253" spans="1:13" hidden="1" x14ac:dyDescent="0.3">
      <c r="A253" s="171">
        <v>46207</v>
      </c>
      <c r="B253" s="116" t="s">
        <v>441</v>
      </c>
      <c r="C253" s="155">
        <v>1784</v>
      </c>
      <c r="D253" s="155" t="s">
        <v>447</v>
      </c>
      <c r="E253" s="11" t="s">
        <v>857</v>
      </c>
      <c r="F253" s="11">
        <v>15696</v>
      </c>
      <c r="G253" s="11">
        <v>6929</v>
      </c>
      <c r="H253" s="114">
        <f>_xlfn.XLOOKUP(Table1[[#This Row],[Shipment Number]], 'pivot '!A:A,'pivot '!G:G, "NF")</f>
        <v>7.9355318722143551</v>
      </c>
      <c r="I253" s="115">
        <f>Table1[[#This Row],[Tiyaar/gaz]]/1.0936</f>
        <v>6335.954645208486</v>
      </c>
      <c r="J253" s="156"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9">
        <f>Table1[[#This Row],[billing]]/Table1[[#This Row],[tiyar/meters]]</f>
        <v>15</v>
      </c>
    </row>
    <row r="254" spans="1:13" hidden="1" x14ac:dyDescent="0.3">
      <c r="A254" s="171">
        <v>46209</v>
      </c>
      <c r="B254" s="116" t="s">
        <v>21</v>
      </c>
      <c r="C254" s="155">
        <v>1785</v>
      </c>
      <c r="D254" s="155" t="s">
        <v>231</v>
      </c>
      <c r="E254" s="11">
        <v>2184</v>
      </c>
      <c r="F254" s="11">
        <v>4568</v>
      </c>
      <c r="G254" s="11">
        <v>4647</v>
      </c>
      <c r="H254" s="114">
        <f>_xlfn.XLOOKUP(Table1[[#This Row],[Shipment Number]], 'pivot '!A:A,'pivot '!G:G, "NF")</f>
        <v>6.9774853085681059</v>
      </c>
      <c r="I254" s="115">
        <f>Table1[[#This Row],[Tiyaar/gaz]]/1.0936</f>
        <v>4249.2684711046086</v>
      </c>
      <c r="J254" s="156"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9">
        <f>Table1[[#This Row],[billing]]/Table1[[#This Row],[tiyar/meters]]</f>
        <v>10</v>
      </c>
    </row>
    <row r="255" spans="1:13" hidden="1" x14ac:dyDescent="0.3">
      <c r="A255" s="171">
        <v>46209</v>
      </c>
      <c r="B255" s="119" t="s">
        <v>21</v>
      </c>
      <c r="C255" s="155">
        <v>1786</v>
      </c>
      <c r="D255" s="155" t="s">
        <v>231</v>
      </c>
      <c r="E255" s="95">
        <v>2238</v>
      </c>
      <c r="F255" s="95">
        <v>50235</v>
      </c>
      <c r="G255" s="95">
        <v>1792</v>
      </c>
      <c r="H255" s="120">
        <f>_xlfn.XLOOKUP(Table1[[#This Row],[Shipment Number]], 'pivot '!A:A,'pivot '!G:G, "NF")</f>
        <v>20.299610120655302</v>
      </c>
      <c r="I255" s="156">
        <f>Table1[[#This Row],[Tiyaar/gaz]]/1.0936</f>
        <v>1638.6247256766644</v>
      </c>
      <c r="J255" s="156"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9">
        <f>Table1[[#This Row],[billing]]/Table1[[#This Row],[tiyar/meters]]</f>
        <v>10</v>
      </c>
    </row>
    <row r="256" spans="1:13" hidden="1" x14ac:dyDescent="0.3">
      <c r="A256" s="171">
        <v>46209</v>
      </c>
      <c r="B256" s="116" t="s">
        <v>858</v>
      </c>
      <c r="C256" s="113">
        <v>1787</v>
      </c>
      <c r="D256" s="113" t="s">
        <v>86</v>
      </c>
      <c r="E256" s="11">
        <v>2247</v>
      </c>
      <c r="F256" s="11">
        <v>9028</v>
      </c>
      <c r="G256" s="11">
        <v>9579</v>
      </c>
      <c r="H256" s="114">
        <f>_xlfn.XLOOKUP(Table1[[#This Row],[Shipment Number]], 'pivot '!A:A,'pivot '!G:G, "NF")</f>
        <v>2.978022693925638</v>
      </c>
      <c r="I256" s="115">
        <f>Table1[[#This Row],[Tiyaar/gaz]]/1.0936</f>
        <v>8759.1441111923923</v>
      </c>
      <c r="J256" s="156"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9">
        <f>Table1[[#This Row],[billing]]/Table1[[#This Row],[tiyar/meters]]</f>
        <v>12</v>
      </c>
    </row>
    <row r="257" spans="1:13" hidden="1" x14ac:dyDescent="0.3">
      <c r="A257" s="171">
        <v>46209</v>
      </c>
      <c r="B257" s="116" t="s">
        <v>21</v>
      </c>
      <c r="C257" s="113">
        <v>1788</v>
      </c>
      <c r="D257" s="113" t="s">
        <v>86</v>
      </c>
      <c r="E257" s="11">
        <v>2249</v>
      </c>
      <c r="F257" s="11">
        <v>40536</v>
      </c>
      <c r="G257" s="11">
        <v>23098</v>
      </c>
      <c r="H257" s="114">
        <f>_xlfn.XLOOKUP(Table1[[#This Row],[Shipment Number]], 'pivot '!A:A,'pivot '!G:G, "NF")</f>
        <v>4.4420529354347309</v>
      </c>
      <c r="I257" s="115">
        <f>Table1[[#This Row],[Tiyaar/gaz]]/1.0936</f>
        <v>21121.068032187271</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9">
        <f>Table1[[#This Row],[billing]]/Table1[[#This Row],[tiyar/meters]]</f>
        <v>12</v>
      </c>
    </row>
    <row r="258" spans="1:13" hidden="1" x14ac:dyDescent="0.3">
      <c r="A258" s="171">
        <v>46209</v>
      </c>
      <c r="B258" s="116" t="s">
        <v>441</v>
      </c>
      <c r="C258" s="113">
        <v>1789</v>
      </c>
      <c r="D258" s="113" t="s">
        <v>447</v>
      </c>
      <c r="E258" s="11" t="s">
        <v>857</v>
      </c>
      <c r="F258" s="11">
        <v>15696</v>
      </c>
      <c r="G258" s="11">
        <v>8874</v>
      </c>
      <c r="H258" s="114">
        <f>_xlfn.XLOOKUP(Table1[[#This Row],[Shipment Number]], 'pivot '!A:A,'pivot '!G:G, "NF")</f>
        <v>7.9355318722143551</v>
      </c>
      <c r="I258" s="115">
        <f>Table1[[#This Row],[Tiyaar/gaz]]/1.0936</f>
        <v>8114.4842721287496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9">
        <f>Table1[[#This Row],[billing]]/Table1[[#This Row],[tiyar/meters]]</f>
        <v>14.999999999999998</v>
      </c>
    </row>
    <row r="259" spans="1:13" hidden="1" x14ac:dyDescent="0.3">
      <c r="A259" s="171">
        <v>46209</v>
      </c>
      <c r="B259" s="116" t="s">
        <v>21</v>
      </c>
      <c r="C259" s="113">
        <v>1790</v>
      </c>
      <c r="D259" s="113" t="s">
        <v>85</v>
      </c>
      <c r="E259" s="11">
        <v>2236</v>
      </c>
      <c r="F259" s="11">
        <v>47555</v>
      </c>
      <c r="G259" s="11">
        <v>2230</v>
      </c>
      <c r="H259" s="114">
        <f>_xlfn.XLOOKUP(Table1[[#This Row],[Shipment Number]], 'pivot '!A:A,'pivot '!G:G, "NF")</f>
        <v>88.291768888555254</v>
      </c>
      <c r="I259" s="115">
        <f>Table1[[#This Row],[Tiyaar/gaz]]/1.0936</f>
        <v>2039.1367959034383</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9">
        <f>Table1[[#This Row],[billing]]/Table1[[#This Row],[tiyar/meters]]</f>
        <v>10</v>
      </c>
    </row>
    <row r="260" spans="1:13" hidden="1" x14ac:dyDescent="0.3">
      <c r="A260" s="171">
        <v>46211</v>
      </c>
      <c r="B260" s="116" t="s">
        <v>21</v>
      </c>
      <c r="C260" s="113">
        <v>1791</v>
      </c>
      <c r="D260" s="113" t="s">
        <v>85</v>
      </c>
      <c r="E260" s="11">
        <v>2236</v>
      </c>
      <c r="F260" s="11">
        <v>47555</v>
      </c>
      <c r="G260" s="11">
        <v>3859</v>
      </c>
      <c r="H260" s="114">
        <f>_xlfn.XLOOKUP(Table1[[#This Row],[Shipment Number]], 'pivot '!A:A,'pivot '!G:G, "NF")</f>
        <v>88.291768888555254</v>
      </c>
      <c r="I260" s="115">
        <f>Table1[[#This Row],[Tiyaar/gaz]]/1.0936</f>
        <v>3528.7125091441117</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9">
        <f>Table1[[#This Row],[billing]]/Table1[[#This Row],[tiyar/meters]]</f>
        <v>10</v>
      </c>
    </row>
    <row r="261" spans="1:13" hidden="1" x14ac:dyDescent="0.3">
      <c r="A261" s="171">
        <v>46211</v>
      </c>
      <c r="B261" s="116" t="s">
        <v>21</v>
      </c>
      <c r="C261" s="113">
        <v>1792</v>
      </c>
      <c r="D261" s="113" t="s">
        <v>85</v>
      </c>
      <c r="E261" s="11">
        <v>2239</v>
      </c>
      <c r="F261" s="11">
        <v>47555</v>
      </c>
      <c r="G261" s="11">
        <v>13484</v>
      </c>
      <c r="H261" s="114">
        <f>_xlfn.XLOOKUP(Table1[[#This Row],[Shipment Number]], 'pivot '!A:A,'pivot '!G:G, "NF")</f>
        <v>74.072296221592879</v>
      </c>
      <c r="I261" s="115">
        <f>Table1[[#This Row],[Tiyaar/gaz]]/1.0936</f>
        <v>12329.919531821508</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9">
        <f>Table1[[#This Row],[billing]]/Table1[[#This Row],[tiyar/meters]]</f>
        <v>10</v>
      </c>
    </row>
    <row r="262" spans="1:13" hidden="1" x14ac:dyDescent="0.3">
      <c r="A262" s="171">
        <v>46211</v>
      </c>
      <c r="B262" s="116" t="s">
        <v>21</v>
      </c>
      <c r="C262" s="113">
        <v>1793</v>
      </c>
      <c r="D262" s="113" t="s">
        <v>231</v>
      </c>
      <c r="E262" s="11">
        <v>2250</v>
      </c>
      <c r="F262" s="11">
        <v>14961</v>
      </c>
      <c r="G262" s="11">
        <v>14807</v>
      </c>
      <c r="H262" s="114">
        <f>_xlfn.XLOOKUP(Table1[[#This Row],[Shipment Number]], 'pivot '!A:A,'pivot '!G:G, "NF")</f>
        <v>9.5001307227124983</v>
      </c>
      <c r="I262" s="115">
        <f>Table1[[#This Row],[Tiyaar/gaz]]/1.0936</f>
        <v>13539.685442574983</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9">
        <f>Table1[[#This Row],[billing]]/Table1[[#This Row],[tiyar/meters]]</f>
        <v>10</v>
      </c>
    </row>
    <row r="263" spans="1:13" hidden="1" x14ac:dyDescent="0.3">
      <c r="A263" s="118">
        <v>46211</v>
      </c>
      <c r="B263" s="116" t="s">
        <v>21</v>
      </c>
      <c r="C263" s="113">
        <v>1794</v>
      </c>
      <c r="D263" s="113" t="s">
        <v>231</v>
      </c>
      <c r="E263" s="11">
        <v>2251</v>
      </c>
      <c r="F263" s="11">
        <v>28877</v>
      </c>
      <c r="G263" s="11">
        <v>18689</v>
      </c>
      <c r="H263" s="114">
        <f>_xlfn.XLOOKUP(Table1[[#This Row],[Shipment Number]], 'pivot '!A:A,'pivot '!G:G, "NF")</f>
        <v>8.1757328126238491</v>
      </c>
      <c r="I263" s="115">
        <f>Table1[[#This Row],[Tiyaar/gaz]]/1.0936</f>
        <v>17089.429407461597</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9">
        <f>Table1[[#This Row],[billing]]/Table1[[#This Row],[tiyar/meters]]</f>
        <v>10</v>
      </c>
    </row>
    <row r="264" spans="1:13" hidden="1" x14ac:dyDescent="0.3">
      <c r="A264" s="118">
        <v>46211</v>
      </c>
      <c r="B264" s="116" t="s">
        <v>867</v>
      </c>
      <c r="C264" s="113">
        <v>1795</v>
      </c>
      <c r="D264" s="113" t="s">
        <v>231</v>
      </c>
      <c r="E264" s="11">
        <v>2252</v>
      </c>
      <c r="F264" s="11">
        <v>10038</v>
      </c>
      <c r="G264" s="11">
        <v>10382</v>
      </c>
      <c r="H264" s="114">
        <f>_xlfn.XLOOKUP(Table1[[#This Row],[Shipment Number]], 'pivot '!A:A,'pivot '!G:G, "NF")</f>
        <v>5.4252217579051774</v>
      </c>
      <c r="I264" s="115">
        <f>Table1[[#This Row],[Tiyaar/gaz]]/1.0936</f>
        <v>9493.4162399414781</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9">
        <f>Table1[[#This Row],[billing]]/Table1[[#This Row],[tiyar/meters]]</f>
        <v>10</v>
      </c>
      <c r="M264" s="10">
        <v>77475</v>
      </c>
    </row>
    <row r="265" spans="1:13" hidden="1" x14ac:dyDescent="0.3">
      <c r="A265" s="118">
        <v>46211</v>
      </c>
      <c r="B265" s="116" t="s">
        <v>21</v>
      </c>
      <c r="C265" s="113">
        <v>1796</v>
      </c>
      <c r="D265" s="113" t="s">
        <v>85</v>
      </c>
      <c r="E265" s="11" t="s">
        <v>873</v>
      </c>
      <c r="F265" s="11">
        <v>12403</v>
      </c>
      <c r="G265" s="11">
        <v>4519</v>
      </c>
      <c r="H265" s="114">
        <f>_xlfn.XLOOKUP(Table1[[#This Row],[Shipment Number]], 'pivot '!A:A,'pivot '!G:G, "NF")</f>
        <v>66.683674531629521</v>
      </c>
      <c r="I265" s="115">
        <f>Table1[[#This Row],[Tiyaar/gaz]]/1.0936</f>
        <v>4132.2238478419904</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9">
        <f>Table1[[#This Row],[billing]]/Table1[[#This Row],[tiyar/meters]]</f>
        <v>10</v>
      </c>
    </row>
    <row r="266" spans="1:13" hidden="1" x14ac:dyDescent="0.3">
      <c r="A266" s="118">
        <v>46211</v>
      </c>
      <c r="B266" s="116" t="s">
        <v>21</v>
      </c>
      <c r="C266" s="113">
        <v>1797</v>
      </c>
      <c r="D266" s="113" t="s">
        <v>85</v>
      </c>
      <c r="E266" s="11" t="s">
        <v>872</v>
      </c>
      <c r="F266" s="11">
        <v>14953</v>
      </c>
      <c r="G266" s="11">
        <v>8881</v>
      </c>
      <c r="H266" s="114">
        <f>_xlfn.XLOOKUP(Table1[[#This Row],[Shipment Number]], 'pivot '!A:A,'pivot '!G:G, "NF")</f>
        <v>45.69059620167576</v>
      </c>
      <c r="I266" s="115">
        <f>Table1[[#This Row],[Tiyaar/gaz]]/1.0936</f>
        <v>8120.8851499634238</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9">
        <f>Table1[[#This Row],[billing]]/Table1[[#This Row],[tiyar/meters]]</f>
        <v>10</v>
      </c>
    </row>
    <row r="267" spans="1:13" hidden="1" x14ac:dyDescent="0.3">
      <c r="A267" s="118">
        <v>46211</v>
      </c>
      <c r="B267" s="116" t="s">
        <v>1000</v>
      </c>
      <c r="C267" s="113">
        <v>1798</v>
      </c>
      <c r="D267" s="113" t="s">
        <v>998</v>
      </c>
      <c r="E267" s="11">
        <v>2256</v>
      </c>
      <c r="F267" s="11">
        <v>6400</v>
      </c>
      <c r="G267" s="11">
        <v>6660</v>
      </c>
      <c r="H267" s="114">
        <f>_xlfn.XLOOKUP(Table1[[#This Row],[Shipment Number]], 'pivot '!A:A,'pivot '!G:G, "NF")</f>
        <v>4.844092904169699</v>
      </c>
      <c r="I267" s="115">
        <f>Table1[[#This Row],[Tiyaar/gaz]]/1.0936</f>
        <v>6089.9780541331384</v>
      </c>
      <c r="J267" s="115">
        <f>Table1[[#This Row],[tiyar/meters]]*15</f>
        <v>91349.670811997072</v>
      </c>
      <c r="K267" s="119">
        <f>Table1[[#This Row],[billing]]/Table1[[#This Row],[tiyar/meters]]</f>
        <v>15</v>
      </c>
    </row>
    <row r="268" spans="1:13" hidden="1" x14ac:dyDescent="0.3">
      <c r="A268" s="118">
        <v>46212</v>
      </c>
      <c r="B268" s="116" t="s">
        <v>894</v>
      </c>
      <c r="C268" s="113">
        <v>1799</v>
      </c>
      <c r="D268" s="113" t="s">
        <v>85</v>
      </c>
      <c r="E268" s="11" t="s">
        <v>895</v>
      </c>
      <c r="F268" s="11">
        <v>50000</v>
      </c>
      <c r="G268" s="11">
        <v>53438</v>
      </c>
      <c r="H268" s="114">
        <f>_xlfn.XLOOKUP(Table1[[#This Row],[Shipment Number]], 'pivot '!A:A,'pivot '!G:G, "NF")</f>
        <v>2.2713972201901811</v>
      </c>
      <c r="I268" s="115">
        <f>Table1[[#This Row],[Tiyaar/gaz]]/1.0936</f>
        <v>48864.301389904904</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9">
        <f>Table1[[#This Row],[billing]]/Table1[[#This Row],[tiyar/meters]]</f>
        <v>10</v>
      </c>
    </row>
    <row r="269" spans="1:13" hidden="1" x14ac:dyDescent="0.3">
      <c r="A269" s="171">
        <v>46212</v>
      </c>
      <c r="B269" s="116" t="s">
        <v>21</v>
      </c>
      <c r="C269" s="113">
        <v>1800</v>
      </c>
      <c r="D269" s="113" t="s">
        <v>86</v>
      </c>
      <c r="E269" s="11">
        <v>2249</v>
      </c>
      <c r="F269" s="11">
        <v>40536</v>
      </c>
      <c r="G269" s="11">
        <v>19263</v>
      </c>
      <c r="H269" s="114">
        <f>_xlfn.XLOOKUP(Table1[[#This Row],[Shipment Number]], 'pivot '!A:A,'pivot '!G:G, "NF")</f>
        <v>4.4420529354347309</v>
      </c>
      <c r="I269" s="115">
        <f>Table1[[#This Row],[Tiyaar/gaz]]/1.0936</f>
        <v>17614.301389904904</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9">
        <f>Table1[[#This Row],[billing]]/Table1[[#This Row],[tiyar/meters]]</f>
        <v>12</v>
      </c>
      <c r="M269" s="10">
        <v>198750</v>
      </c>
    </row>
    <row r="270" spans="1:13" hidden="1" x14ac:dyDescent="0.3">
      <c r="A270" s="118">
        <v>46213</v>
      </c>
      <c r="B270" s="116" t="s">
        <v>21</v>
      </c>
      <c r="C270" s="113">
        <v>1801</v>
      </c>
      <c r="D270" s="113" t="s">
        <v>231</v>
      </c>
      <c r="E270" s="11">
        <v>2251</v>
      </c>
      <c r="F270" s="11">
        <v>28877</v>
      </c>
      <c r="G270" s="11">
        <v>6125</v>
      </c>
      <c r="H270" s="114">
        <f>_xlfn.XLOOKUP(Table1[[#This Row],[Shipment Number]], 'pivot '!A:A,'pivot '!G:G, "NF")</f>
        <v>8.1757328126238491</v>
      </c>
      <c r="I270" s="115">
        <f>Table1[[#This Row],[Tiyaar/gaz]]/1.0936</f>
        <v>5600.7681053401611</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9">
        <f>Table1[[#This Row],[billing]]/Table1[[#This Row],[tiyar/meters]]</f>
        <v>10</v>
      </c>
    </row>
    <row r="271" spans="1:13" hidden="1" x14ac:dyDescent="0.3">
      <c r="A271" s="118">
        <v>46213</v>
      </c>
      <c r="B271" s="116" t="s">
        <v>21</v>
      </c>
      <c r="C271" s="113">
        <v>1802</v>
      </c>
      <c r="D271" s="113" t="s">
        <v>231</v>
      </c>
      <c r="E271" s="11">
        <v>2251</v>
      </c>
      <c r="F271" s="11">
        <v>28877</v>
      </c>
      <c r="G271" s="11">
        <v>4184</v>
      </c>
      <c r="H271" s="114">
        <f>_xlfn.XLOOKUP(Table1[[#This Row],[Shipment Number]], 'pivot '!A:A,'pivot '!G:G, "NF")</f>
        <v>8.1757328126238491</v>
      </c>
      <c r="I271" s="115">
        <f>Table1[[#This Row],[Tiyaar/gaz]]/1.0936</f>
        <v>3825.8961228968546</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9">
        <f>Table1[[#This Row],[billing]]/Table1[[#This Row],[tiyar/meters]]</f>
        <v>10</v>
      </c>
    </row>
    <row r="272" spans="1:13" hidden="1" x14ac:dyDescent="0.3">
      <c r="A272" s="118">
        <v>46213</v>
      </c>
      <c r="B272" s="116" t="s">
        <v>176</v>
      </c>
      <c r="C272" s="113">
        <v>1803</v>
      </c>
      <c r="D272" s="113" t="s">
        <v>231</v>
      </c>
      <c r="E272" s="11">
        <v>2259</v>
      </c>
      <c r="F272" s="11">
        <v>28661</v>
      </c>
      <c r="G272" s="11">
        <v>28761</v>
      </c>
      <c r="H272" s="114">
        <f>_xlfn.XLOOKUP(Table1[[#This Row],[Shipment Number]], 'pivot '!A:A,'pivot '!G:G, "NF")</f>
        <v>8.2398443863126829</v>
      </c>
      <c r="I272" s="115">
        <f>Table1[[#This Row],[Tiyaar/gaz]]/1.0936</f>
        <v>26299.378200438921</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9">
        <f>Table1[[#This Row],[billing]]/Table1[[#This Row],[tiyar/meters]]</f>
        <v>11</v>
      </c>
    </row>
    <row r="273" spans="1:11" hidden="1" x14ac:dyDescent="0.3">
      <c r="A273" s="171">
        <v>46213</v>
      </c>
      <c r="B273" s="116" t="s">
        <v>21</v>
      </c>
      <c r="C273" s="113">
        <v>1804</v>
      </c>
      <c r="D273" s="113" t="s">
        <v>86</v>
      </c>
      <c r="E273" s="11">
        <v>2267</v>
      </c>
      <c r="F273" s="11">
        <v>16511</v>
      </c>
      <c r="G273" s="11">
        <v>17763</v>
      </c>
      <c r="H273" s="114">
        <f>_xlfn.XLOOKUP(Table1[[#This Row],[Shipment Number]], 'pivot '!A:A,'pivot '!G:G, "NF")</f>
        <v>1.6250698864630522</v>
      </c>
      <c r="I273" s="115">
        <f>Table1[[#This Row],[Tiyaar/gaz]]/1.0936</f>
        <v>16242.684711046088</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9">
        <f>Table1[[#This Row],[billing]]/Table1[[#This Row],[tiyar/meters]]</f>
        <v>12</v>
      </c>
    </row>
    <row r="274" spans="1:11" hidden="1" x14ac:dyDescent="0.3">
      <c r="A274" s="171">
        <v>46213</v>
      </c>
      <c r="B274" s="116" t="s">
        <v>21</v>
      </c>
      <c r="C274" s="113">
        <v>1805</v>
      </c>
      <c r="D274" s="113" t="s">
        <v>86</v>
      </c>
      <c r="E274" s="11">
        <v>2238</v>
      </c>
      <c r="F274" s="11">
        <v>50235</v>
      </c>
      <c r="G274" s="11">
        <v>12108</v>
      </c>
      <c r="H274" s="114">
        <f>_xlfn.XLOOKUP(Table1[[#This Row],[Shipment Number]], 'pivot '!A:A,'pivot '!G:G, "NF")</f>
        <v>20.299610120655302</v>
      </c>
      <c r="I274" s="115">
        <f>Table1[[#This Row],[Tiyaar/gaz]]/1.0936</f>
        <v>11071.689831748356</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9">
        <f>Table1[[#This Row],[billing]]/Table1[[#This Row],[tiyar/meters]]</f>
        <v>12</v>
      </c>
    </row>
    <row r="275" spans="1:11" hidden="1" x14ac:dyDescent="0.3">
      <c r="A275" s="118">
        <v>46213</v>
      </c>
      <c r="B275" s="116" t="s">
        <v>21</v>
      </c>
      <c r="C275" s="113">
        <v>1806</v>
      </c>
      <c r="D275" s="113" t="s">
        <v>86</v>
      </c>
      <c r="E275" s="11">
        <v>2269</v>
      </c>
      <c r="F275" s="11">
        <v>4869</v>
      </c>
      <c r="G275" s="11">
        <v>5141</v>
      </c>
      <c r="H275" s="114">
        <f>_xlfn.XLOOKUP(Table1[[#This Row],[Shipment Number]], 'pivot '!A:A,'pivot '!G:G, "NF")</f>
        <v>3.4506559045229324</v>
      </c>
      <c r="I275" s="115">
        <f>Table1[[#This Row],[Tiyaar/gaz]]/1.0936</f>
        <v>4700.9875640087785</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9">
        <f>Table1[[#This Row],[billing]]/Table1[[#This Row],[tiyar/meters]]</f>
        <v>12</v>
      </c>
    </row>
    <row r="276" spans="1:11" hidden="1" x14ac:dyDescent="0.3">
      <c r="A276" s="118">
        <v>46213</v>
      </c>
      <c r="B276" s="116" t="s">
        <v>21</v>
      </c>
      <c r="C276" s="113">
        <v>1807</v>
      </c>
      <c r="D276" s="113" t="s">
        <v>85</v>
      </c>
      <c r="E276" s="11">
        <v>2245</v>
      </c>
      <c r="F276" s="11">
        <v>14953</v>
      </c>
      <c r="G276" s="11">
        <v>7256</v>
      </c>
      <c r="H276" s="114">
        <f>_xlfn.XLOOKUP(Table1[[#This Row],[Shipment Number]], 'pivot '!A:A,'pivot '!G:G, "NF")</f>
        <v>55.627853399319818</v>
      </c>
      <c r="I276" s="115">
        <f>Table1[[#This Row],[Tiyaar/gaz]]/1.0936</f>
        <v>6634.9670811997075</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9">
        <f>Table1[[#This Row],[billing]]/Table1[[#This Row],[tiyar/meters]]</f>
        <v>10</v>
      </c>
    </row>
    <row r="277" spans="1:11" hidden="1" x14ac:dyDescent="0.3">
      <c r="A277" s="118">
        <v>46214</v>
      </c>
      <c r="B277" s="116" t="s">
        <v>21</v>
      </c>
      <c r="C277" s="113">
        <v>1808</v>
      </c>
      <c r="D277" s="113" t="s">
        <v>85</v>
      </c>
      <c r="E277" s="11" t="s">
        <v>996</v>
      </c>
      <c r="F277" s="11">
        <v>27569</v>
      </c>
      <c r="G277" s="11">
        <v>11620</v>
      </c>
      <c r="H277" s="114">
        <f>_xlfn.XLOOKUP(Table1[[#This Row],[Shipment Number]], 'pivot '!A:A,'pivot '!G:G, "NF")</f>
        <v>61.458677479924475</v>
      </c>
      <c r="I277" s="115">
        <f>Table1[[#This Row],[Tiyaar/gaz]]/1.0936</f>
        <v>10625.45720555962</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9">
        <f>Table1[[#This Row],[billing]]/Table1[[#This Row],[tiyar/meters]]</f>
        <v>10</v>
      </c>
    </row>
    <row r="278" spans="1:11" hidden="1" x14ac:dyDescent="0.3">
      <c r="A278" s="118">
        <v>46214</v>
      </c>
      <c r="B278" s="116" t="s">
        <v>21</v>
      </c>
      <c r="C278" s="113">
        <v>1809</v>
      </c>
      <c r="D278" s="113" t="s">
        <v>85</v>
      </c>
      <c r="E278" s="11" t="s">
        <v>612</v>
      </c>
      <c r="F278" s="11"/>
      <c r="G278" s="11">
        <v>3933</v>
      </c>
      <c r="H278" s="114" t="e">
        <f>_xlfn.XLOOKUP(Table1[[#This Row],[Shipment Number]], 'pivot '!A:A,'pivot '!G:G, "NF")</f>
        <v>#DIV/0!</v>
      </c>
      <c r="I278" s="115">
        <f>Table1[[#This Row],[Tiyaar/gaz]]/1.0936</f>
        <v>3596.3789319678131</v>
      </c>
      <c r="J278" s="115"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9">
        <f>Table1[[#This Row],[billing]]/Table1[[#This Row],[tiyar/meters]]</f>
        <v>10</v>
      </c>
    </row>
    <row r="279" spans="1:11" hidden="1" x14ac:dyDescent="0.3">
      <c r="A279" s="118">
        <v>46214</v>
      </c>
      <c r="B279" s="116" t="s">
        <v>176</v>
      </c>
      <c r="C279" s="113">
        <v>1810</v>
      </c>
      <c r="D279" s="113" t="s">
        <v>447</v>
      </c>
      <c r="E279" s="11">
        <v>2261</v>
      </c>
      <c r="F279" s="11">
        <v>1209</v>
      </c>
      <c r="G279" s="11">
        <v>1212</v>
      </c>
      <c r="H279" s="114">
        <f>_xlfn.XLOOKUP(Table1[[#This Row],[Shipment Number]], 'pivot '!A:A,'pivot '!G:G, "NF")</f>
        <v>8.3319870539352792</v>
      </c>
      <c r="I279" s="115">
        <f>Table1[[#This Row],[Tiyaar/gaz]]/1.0936</f>
        <v>1108.2662765179225</v>
      </c>
      <c r="J279" s="115">
        <f>Table1[[#This Row],[tiyar/meters]]*35</f>
        <v>38789.319678127285</v>
      </c>
      <c r="K279" s="119">
        <f>Table1[[#This Row],[billing]]/Table1[[#This Row],[tiyar/meters]]</f>
        <v>35</v>
      </c>
    </row>
    <row r="280" spans="1:11" hidden="1" x14ac:dyDescent="0.3">
      <c r="A280" s="118">
        <v>46214</v>
      </c>
      <c r="B280" s="116" t="s">
        <v>176</v>
      </c>
      <c r="C280" s="113">
        <v>1811</v>
      </c>
      <c r="D280" s="113" t="s">
        <v>86</v>
      </c>
      <c r="E280" s="11">
        <v>2260</v>
      </c>
      <c r="F280" s="11">
        <v>2441</v>
      </c>
      <c r="G280" s="11">
        <v>2439</v>
      </c>
      <c r="H280" s="114">
        <f>_xlfn.XLOOKUP(Table1[[#This Row],[Shipment Number]], 'pivot '!A:A,'pivot '!G:G, "NF")</f>
        <v>8.6338091018257472</v>
      </c>
      <c r="I280" s="115">
        <f>Table1[[#This Row],[Tiyaar/gaz]]/1.0936</f>
        <v>2230.2487198244335</v>
      </c>
      <c r="J280" s="115">
        <f>Table1[[#This Row],[tiyar/meters]]*15</f>
        <v>33453.730797366501</v>
      </c>
      <c r="K280" s="119">
        <f>Table1[[#This Row],[billing]]/Table1[[#This Row],[tiyar/meters]]</f>
        <v>15</v>
      </c>
    </row>
    <row r="281" spans="1:11" hidden="1" x14ac:dyDescent="0.3">
      <c r="A281" s="118">
        <v>46214</v>
      </c>
      <c r="B281" s="116" t="s">
        <v>176</v>
      </c>
      <c r="C281" s="113">
        <v>1812</v>
      </c>
      <c r="D281" s="113" t="s">
        <v>206</v>
      </c>
      <c r="E281" s="11">
        <v>2254</v>
      </c>
      <c r="F281" s="11">
        <v>30184</v>
      </c>
      <c r="G281" s="11">
        <v>31912</v>
      </c>
      <c r="H281" s="114">
        <f>_xlfn.XLOOKUP(Table1[[#This Row],[Shipment Number]], 'pivot '!A:A,'pivot '!G:G, "NF")</f>
        <v>3.3239874199520614</v>
      </c>
      <c r="I281" s="115">
        <f>Table1[[#This Row],[Tiyaar/gaz]]/1.0936</f>
        <v>29180.687637161671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9">
        <f>Table1[[#This Row],[billing]]/Table1[[#This Row],[tiyar/meters]]</f>
        <v>11</v>
      </c>
    </row>
    <row r="282" spans="1:11" hidden="1" x14ac:dyDescent="0.3">
      <c r="A282" s="118">
        <v>46214</v>
      </c>
      <c r="B282" s="116" t="s">
        <v>176</v>
      </c>
      <c r="C282" s="113">
        <v>1813</v>
      </c>
      <c r="D282" s="113" t="s">
        <v>274</v>
      </c>
      <c r="E282" s="11">
        <v>2253</v>
      </c>
      <c r="F282" s="11">
        <v>9273</v>
      </c>
      <c r="G282" s="11">
        <v>9916</v>
      </c>
      <c r="H282" s="114">
        <f>_xlfn.XLOOKUP(Table1[[#This Row],[Shipment Number]], 'pivot '!A:A,'pivot '!G:G, "NF")</f>
        <v>2.2182609902296235</v>
      </c>
      <c r="I282" s="115">
        <f>Table1[[#This Row],[Tiyaar/gaz]]/1.0936</f>
        <v>9067.300658376007</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9">
        <f>Table1[[#This Row],[billing]]/Table1[[#This Row],[tiyar/meters]]</f>
        <v>12</v>
      </c>
    </row>
    <row r="283" spans="1:11" hidden="1" x14ac:dyDescent="0.3">
      <c r="A283" s="118">
        <v>46216</v>
      </c>
      <c r="B283" s="116" t="s">
        <v>997</v>
      </c>
      <c r="C283" s="113">
        <v>1814</v>
      </c>
      <c r="D283" s="113" t="s">
        <v>998</v>
      </c>
      <c r="E283" s="11">
        <v>2262</v>
      </c>
      <c r="F283" s="11">
        <v>7211</v>
      </c>
      <c r="G283" s="11">
        <v>7429</v>
      </c>
      <c r="H283" s="114">
        <f>_xlfn.XLOOKUP(Table1[[#This Row],[Shipment Number]], 'pivot '!A:A,'pivot '!G:G, "NF")</f>
        <v>5.1477579821204955</v>
      </c>
      <c r="I283" s="115">
        <f>Table1[[#This Row],[Tiyaar/gaz]]/1.0936</f>
        <v>6793.1602048280911</v>
      </c>
      <c r="J283" s="115"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9">
        <f>Table1[[#This Row],[billing]]/Table1[[#This Row],[tiyar/meters]]</f>
        <v>15</v>
      </c>
    </row>
    <row r="284" spans="1:11" hidden="1" x14ac:dyDescent="0.3">
      <c r="A284" s="118">
        <v>46216</v>
      </c>
      <c r="B284" s="116" t="s">
        <v>530</v>
      </c>
      <c r="C284" s="113">
        <v>1815</v>
      </c>
      <c r="D284" s="113" t="s">
        <v>85</v>
      </c>
      <c r="E284" s="11">
        <v>2257</v>
      </c>
      <c r="F284" s="11">
        <v>2977</v>
      </c>
      <c r="G284" s="11">
        <v>2111</v>
      </c>
      <c r="H284" s="114">
        <f>_xlfn.XLOOKUP(Table1[[#This Row],[Shipment Number]], 'pivot '!A:A,'pivot '!G:G, "NF")</f>
        <v>1.7092515429804536</v>
      </c>
      <c r="I284" s="115">
        <f>Table1[[#This Row],[Tiyaar/gaz]]/1.0936</f>
        <v>1930.3218727139724</v>
      </c>
      <c r="J284" s="115"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9">
        <f>Table1[[#This Row],[billing]]/Table1[[#This Row],[tiyar/meters]]</f>
        <v>10</v>
      </c>
    </row>
    <row r="285" spans="1:11" hidden="1" x14ac:dyDescent="0.3">
      <c r="A285" s="157">
        <v>46216</v>
      </c>
      <c r="B285" s="130" t="s">
        <v>21</v>
      </c>
      <c r="C285" s="158">
        <v>1816</v>
      </c>
      <c r="D285" s="158" t="s">
        <v>86</v>
      </c>
      <c r="E285" s="131">
        <v>2258</v>
      </c>
      <c r="F285" s="131">
        <v>36789</v>
      </c>
      <c r="G285" s="131">
        <v>38686</v>
      </c>
      <c r="H285" s="159">
        <f>_xlfn.XLOOKUP(Table1[[#This Row],[Shipment Number]], 'pivot '!A:A,'pivot '!G:G, "NF")</f>
        <v>3.8437887442222376</v>
      </c>
      <c r="I285" s="160">
        <f>Table1[[#This Row],[Tiyaar/gaz]]/1.0936</f>
        <v>35374.908558888077</v>
      </c>
      <c r="J285" s="160"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9">
        <f>Table1[[#This Row],[billing]]/Table1[[#This Row],[tiyar/meters]]</f>
        <v>12</v>
      </c>
    </row>
    <row r="286" spans="1:11" hidden="1" x14ac:dyDescent="0.3">
      <c r="A286" s="118">
        <v>46216</v>
      </c>
      <c r="B286" s="116" t="s">
        <v>867</v>
      </c>
      <c r="C286" s="113">
        <v>1817</v>
      </c>
      <c r="D286" s="113" t="s">
        <v>85</v>
      </c>
      <c r="E286" s="11" t="s">
        <v>999</v>
      </c>
      <c r="F286" s="11">
        <v>12033</v>
      </c>
      <c r="G286" s="11">
        <v>12741</v>
      </c>
      <c r="H286" s="114">
        <f>_xlfn.XLOOKUP(Table1[[#This Row],[Shipment Number]], 'pivot '!A:A,'pivot '!G:G, "NF")</f>
        <v>3.178658104988159</v>
      </c>
      <c r="I286" s="115">
        <f>Table1[[#This Row],[Tiyaar/gaz]]/1.0936</f>
        <v>11650.512070226774</v>
      </c>
      <c r="J286" s="115"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9">
        <f>Table1[[#This Row],[billing]]/Table1[[#This Row],[tiyar/meters]]</f>
        <v>10</v>
      </c>
    </row>
    <row r="287" spans="1:11" hidden="1" x14ac:dyDescent="0.3">
      <c r="A287" s="118">
        <v>46220</v>
      </c>
      <c r="B287" s="116" t="s">
        <v>997</v>
      </c>
      <c r="C287" s="113">
        <v>1818</v>
      </c>
      <c r="D287" s="113" t="s">
        <v>998</v>
      </c>
      <c r="E287" s="11">
        <v>2262</v>
      </c>
      <c r="F287" s="11"/>
      <c r="G287" s="11">
        <v>51</v>
      </c>
      <c r="H287" s="114">
        <f>_xlfn.XLOOKUP(Table1[[#This Row],[Shipment Number]], 'pivot '!A:A,'pivot '!G:G, "NF")</f>
        <v>5.1477579821204955</v>
      </c>
      <c r="I287" s="115">
        <f>Table1[[#This Row],[Tiyaar/gaz]]/1.0936</f>
        <v>46.634967081199711</v>
      </c>
      <c r="J287" s="115"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9">
        <f>Table1[[#This Row],[billing]]/Table1[[#This Row],[tiyar/meters]]</f>
        <v>14.999999999999998</v>
      </c>
    </row>
    <row r="288" spans="1:11" hidden="1" x14ac:dyDescent="0.3">
      <c r="A288" s="118">
        <v>46220</v>
      </c>
      <c r="B288" s="116" t="s">
        <v>21</v>
      </c>
      <c r="C288" s="113">
        <v>1819</v>
      </c>
      <c r="D288" s="113" t="s">
        <v>231</v>
      </c>
      <c r="E288" s="11">
        <v>2271</v>
      </c>
      <c r="F288" s="11"/>
      <c r="G288" s="11">
        <v>300</v>
      </c>
      <c r="H288" s="114" t="e">
        <f>_xlfn.XLOOKUP(Table1[[#This Row],[Shipment Number]], 'pivot '!A:A,'pivot '!G:G, "NF")</f>
        <v>#DIV/0!</v>
      </c>
      <c r="I288" s="115">
        <f>Table1[[#This Row],[Tiyaar/gaz]]/1.0936</f>
        <v>274.32333577176303</v>
      </c>
      <c r="J288" s="115"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9">
        <f>Table1[[#This Row],[billing]]/Table1[[#This Row],[tiyar/meters]]</f>
        <v>10</v>
      </c>
    </row>
    <row r="289" spans="1:11" hidden="1" x14ac:dyDescent="0.3">
      <c r="A289" s="118">
        <v>46221</v>
      </c>
      <c r="B289" s="116" t="s">
        <v>530</v>
      </c>
      <c r="C289" s="113">
        <v>1820</v>
      </c>
      <c r="D289" s="113" t="s">
        <v>85</v>
      </c>
      <c r="E289" s="11">
        <v>2278</v>
      </c>
      <c r="F289" s="11">
        <v>21989</v>
      </c>
      <c r="G289" s="11">
        <v>23571</v>
      </c>
      <c r="H289" s="114">
        <f>_xlfn.XLOOKUP(Table1[[#This Row],[Shipment Number]], 'pivot '!A:A,'pivot '!G:G, "NF")</f>
        <v>1.9801514776141715</v>
      </c>
      <c r="I289" s="115">
        <f>Table1[[#This Row],[Tiyaar/gaz]]/1.0936</f>
        <v>21553.584491587419</v>
      </c>
      <c r="J289" s="115"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9">
        <f>Table1[[#This Row],[billing]]/Table1[[#This Row],[tiyar/meters]]</f>
        <v>10</v>
      </c>
    </row>
    <row r="290" spans="1:11" hidden="1" x14ac:dyDescent="0.3">
      <c r="A290" s="118">
        <v>46221</v>
      </c>
      <c r="B290" s="116" t="s">
        <v>21</v>
      </c>
      <c r="C290" s="113">
        <v>1821</v>
      </c>
      <c r="D290" s="113" t="s">
        <v>85</v>
      </c>
      <c r="E290" s="11">
        <v>2276</v>
      </c>
      <c r="F290" s="11">
        <v>14222</v>
      </c>
      <c r="G290" s="11">
        <v>15277</v>
      </c>
      <c r="H290" s="114">
        <f>_xlfn.XLOOKUP(Table1[[#This Row],[Shipment Number]], 'pivot '!A:A,'pivot '!G:G, "NF")</f>
        <v>1.7757089817366705</v>
      </c>
      <c r="I290" s="115">
        <f>Table1[[#This Row],[Tiyaar/gaz]]/1.0936</f>
        <v>13969.458668617412</v>
      </c>
      <c r="J290" s="115"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9">
        <f>Table1[[#This Row],[billing]]/Table1[[#This Row],[tiyar/meters]]</f>
        <v>10</v>
      </c>
    </row>
    <row r="291" spans="1:11" hidden="1" x14ac:dyDescent="0.3">
      <c r="A291" s="118">
        <v>46221</v>
      </c>
      <c r="B291" s="116" t="s">
        <v>530</v>
      </c>
      <c r="C291" s="113">
        <v>1822</v>
      </c>
      <c r="D291" s="113" t="s">
        <v>85</v>
      </c>
      <c r="E291" s="11">
        <v>2257</v>
      </c>
      <c r="F291" s="11">
        <v>2977</v>
      </c>
      <c r="G291" s="11">
        <v>1089</v>
      </c>
      <c r="H291" s="114">
        <f>_xlfn.XLOOKUP(Table1[[#This Row],[Shipment Number]], 'pivot '!A:A,'pivot '!G:G, "NF")</f>
        <v>1.7092515429804536</v>
      </c>
      <c r="I291" s="115">
        <f>Table1[[#This Row],[Tiyaar/gaz]]/1.0936</f>
        <v>995.79370885149967</v>
      </c>
      <c r="J291" s="115"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9">
        <f>Table1[[#This Row],[billing]]/Table1[[#This Row],[tiyar/meters]]</f>
        <v>10</v>
      </c>
    </row>
    <row r="292" spans="1:11" hidden="1" x14ac:dyDescent="0.3">
      <c r="A292" s="118">
        <v>46221</v>
      </c>
      <c r="B292" s="116" t="s">
        <v>21</v>
      </c>
      <c r="C292" s="113">
        <v>1823</v>
      </c>
      <c r="D292" s="113" t="s">
        <v>85</v>
      </c>
      <c r="E292" s="11" t="s">
        <v>612</v>
      </c>
      <c r="F292" s="11"/>
      <c r="G292" s="11">
        <v>2266</v>
      </c>
      <c r="H292" s="114" t="e">
        <f>_xlfn.XLOOKUP(Table1[[#This Row],[Shipment Number]], 'pivot '!A:A,'pivot '!G:G, "NF")</f>
        <v>#DIV/0!</v>
      </c>
      <c r="I292" s="115">
        <f>Table1[[#This Row],[Tiyaar/gaz]]/1.0936</f>
        <v>2072.0555961960499</v>
      </c>
      <c r="J292" s="115"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9">
        <f>Table1[[#This Row],[billing]]/Table1[[#This Row],[tiyar/meters]]</f>
        <v>10</v>
      </c>
    </row>
    <row r="293" spans="1:11" hidden="1" x14ac:dyDescent="0.3">
      <c r="A293" s="118">
        <v>46221</v>
      </c>
      <c r="B293" s="116" t="s">
        <v>176</v>
      </c>
      <c r="C293" s="113">
        <v>1824</v>
      </c>
      <c r="D293" s="113" t="s">
        <v>447</v>
      </c>
      <c r="E293" s="11">
        <v>2264</v>
      </c>
      <c r="F293" s="11">
        <v>10346</v>
      </c>
      <c r="G293" s="11">
        <v>10516</v>
      </c>
      <c r="H293" s="114">
        <f>_xlfn.XLOOKUP(Table1[[#This Row],[Shipment Number]], 'pivot '!A:A,'pivot '!G:G, "NF")</f>
        <v>7.0563760881545363</v>
      </c>
      <c r="I293" s="115">
        <f>Table1[[#This Row],[Tiyaar/gaz]]/1.0936</f>
        <v>9615.9473299195324</v>
      </c>
      <c r="J293" s="115"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9">
        <f>Table1[[#This Row],[billing]]/Table1[[#This Row],[tiyar/meters]]</f>
        <v>35</v>
      </c>
    </row>
    <row r="294" spans="1:11" hidden="1" x14ac:dyDescent="0.3">
      <c r="A294" s="118">
        <v>46221</v>
      </c>
      <c r="B294" s="116" t="s">
        <v>176</v>
      </c>
      <c r="C294" s="113">
        <v>1825</v>
      </c>
      <c r="D294" s="113" t="s">
        <v>86</v>
      </c>
      <c r="E294" s="11">
        <v>2272</v>
      </c>
      <c r="F294" s="11">
        <v>1641</v>
      </c>
      <c r="G294" s="11">
        <v>1730</v>
      </c>
      <c r="H294" s="114">
        <f>_xlfn.XLOOKUP(Table1[[#This Row],[Shipment Number]], 'pivot '!A:A,'pivot '!G:G, "NF")</f>
        <v>3.5995590320637803</v>
      </c>
      <c r="I294" s="115">
        <f>Table1[[#This Row],[Tiyaar/gaz]]/1.0936</f>
        <v>1581.9312362838334</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9">
        <f>Table1[[#This Row],[billing]]/Table1[[#This Row],[tiyar/meters]]</f>
        <v>12</v>
      </c>
    </row>
    <row r="295" spans="1:11" hidden="1" x14ac:dyDescent="0.3">
      <c r="A295" s="118">
        <v>46221</v>
      </c>
      <c r="B295" s="116" t="s">
        <v>21</v>
      </c>
      <c r="C295" s="113">
        <v>1826</v>
      </c>
      <c r="D295" s="113" t="s">
        <v>231</v>
      </c>
      <c r="E295" s="11">
        <v>2268</v>
      </c>
      <c r="F295" s="11">
        <v>2492</v>
      </c>
      <c r="G295" s="11">
        <v>2582</v>
      </c>
      <c r="H295" s="114">
        <f>_xlfn.XLOOKUP(Table1[[#This Row],[Shipment Number]], 'pivot '!A:A,'pivot '!G:G, "NF")</f>
        <v>5.256440213658081</v>
      </c>
      <c r="I295" s="115">
        <f>Table1[[#This Row],[Tiyaar/gaz]]/1.0936</f>
        <v>2361.0095098756401</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9">
        <f>Table1[[#This Row],[billing]]/Table1[[#This Row],[tiyar/meters]]</f>
        <v>10</v>
      </c>
    </row>
    <row r="296" spans="1:11" hidden="1" x14ac:dyDescent="0.3">
      <c r="A296" s="118">
        <v>46221</v>
      </c>
      <c r="B296" s="116" t="s">
        <v>1000</v>
      </c>
      <c r="C296" s="113">
        <v>1827</v>
      </c>
      <c r="D296" s="113" t="s">
        <v>998</v>
      </c>
      <c r="E296" s="11">
        <v>2277</v>
      </c>
      <c r="F296" s="11">
        <v>7310</v>
      </c>
      <c r="G296" s="11">
        <v>7534</v>
      </c>
      <c r="H296" s="114">
        <f>_xlfn.XLOOKUP(Table1[[#This Row],[Shipment Number]], 'pivot '!A:A,'pivot '!G:G, "NF")</f>
        <v>5.7568622113788166</v>
      </c>
      <c r="I296" s="115">
        <f>Table1[[#This Row],[Tiyaar/gaz]]/1.0936</f>
        <v>6889.1733723482084</v>
      </c>
      <c r="J296" s="115"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9">
        <f>Table1[[#This Row],[billing]]/Table1[[#This Row],[tiyar/meters]]</f>
        <v>15</v>
      </c>
    </row>
    <row r="297" spans="1:11" hidden="1" x14ac:dyDescent="0.3">
      <c r="A297" s="118">
        <v>46235</v>
      </c>
      <c r="B297" s="116" t="s">
        <v>21</v>
      </c>
      <c r="C297" s="113">
        <v>1828</v>
      </c>
      <c r="D297" s="113" t="s">
        <v>231</v>
      </c>
      <c r="E297" s="11">
        <v>2271</v>
      </c>
      <c r="F297" s="11"/>
      <c r="G297" s="11">
        <v>1311</v>
      </c>
      <c r="H297" s="114" t="e">
        <f>_xlfn.XLOOKUP(Table1[[#This Row],[Shipment Number]], 'pivot '!A:A,'pivot '!G:G, "NF")</f>
        <v>#DIV/0!</v>
      </c>
      <c r="I297" s="115">
        <f>Table1[[#This Row],[Tiyaar/gaz]]/1.0936</f>
        <v>1198.7929773226044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9">
        <f>Table1[[#This Row],[billing]]/Table1[[#This Row],[tiyar/meters]]</f>
        <v>10</v>
      </c>
    </row>
    <row r="298" spans="1:11" hidden="1" x14ac:dyDescent="0.3">
      <c r="A298" s="118">
        <v>46235</v>
      </c>
      <c r="B298" s="116" t="s">
        <v>21</v>
      </c>
      <c r="C298" s="113">
        <v>1829</v>
      </c>
      <c r="D298" s="113" t="s">
        <v>231</v>
      </c>
      <c r="E298" s="11">
        <v>2266</v>
      </c>
      <c r="F298" s="11">
        <v>13467</v>
      </c>
      <c r="G298" s="11">
        <v>13975</v>
      </c>
      <c r="H298" s="114">
        <f>_xlfn.XLOOKUP(Table1[[#This Row],[Shipment Number]], 'pivot '!A:A,'pivot '!G:G, "NF")</f>
        <v>5.1095612135742243</v>
      </c>
      <c r="I298" s="115">
        <f>Table1[[#This Row],[Tiyaar/gaz]]/1.0936</f>
        <v>12778.89539136796</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9">
        <f>Table1[[#This Row],[billing]]/Table1[[#This Row],[tiyar/meters]]</f>
        <v>10</v>
      </c>
    </row>
    <row r="299" spans="1:11" hidden="1" x14ac:dyDescent="0.3">
      <c r="A299" s="118">
        <v>46238</v>
      </c>
      <c r="B299" s="116" t="s">
        <v>258</v>
      </c>
      <c r="C299" s="113">
        <v>1830</v>
      </c>
      <c r="D299" s="113" t="s">
        <v>86</v>
      </c>
      <c r="E299" s="11">
        <v>2283</v>
      </c>
      <c r="F299" s="11">
        <v>28109</v>
      </c>
      <c r="G299" s="11">
        <v>29828</v>
      </c>
      <c r="H299" s="114">
        <f>_xlfn.XLOOKUP(Table1[[#This Row],[Shipment Number]], 'pivot '!A:A,'pivot '!G:G, "NF")</f>
        <v>2.966826053338238</v>
      </c>
      <c r="I299" s="115">
        <f>Table1[[#This Row],[Tiyaar/gaz]]/1.0936</f>
        <v>27275.054864667156</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9">
        <f>Table1[[#This Row],[billing]]/Table1[[#This Row],[tiyar/meters]]</f>
        <v>13</v>
      </c>
    </row>
    <row r="300" spans="1:11" hidden="1" x14ac:dyDescent="0.3">
      <c r="A300" s="118">
        <v>46238</v>
      </c>
      <c r="B300" s="116" t="s">
        <v>258</v>
      </c>
      <c r="C300" s="113">
        <v>1831</v>
      </c>
      <c r="D300" s="113" t="s">
        <v>86</v>
      </c>
      <c r="E300" s="11">
        <v>2289</v>
      </c>
      <c r="F300" s="11">
        <v>46027</v>
      </c>
      <c r="G300" s="11">
        <v>29491</v>
      </c>
      <c r="H300" s="114">
        <f>_xlfn.XLOOKUP(Table1[[#This Row],[Shipment Number]], 'pivot '!A:A,'pivot '!G:G, "NF")</f>
        <v>3.192854154543582</v>
      </c>
      <c r="I300" s="115">
        <f>Table1[[#This Row],[Tiyaar/gaz]]/1.0936</f>
        <v>26966.898317483541</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9">
        <f>Table1[[#This Row],[billing]]/Table1[[#This Row],[tiyar/meters]]</f>
        <v>13</v>
      </c>
    </row>
    <row r="301" spans="1:11" hidden="1" x14ac:dyDescent="0.3">
      <c r="A301" s="118">
        <v>46239</v>
      </c>
      <c r="B301" s="116" t="s">
        <v>258</v>
      </c>
      <c r="C301" s="113">
        <v>1832</v>
      </c>
      <c r="D301" s="113" t="s">
        <v>998</v>
      </c>
      <c r="E301" s="11">
        <v>2282</v>
      </c>
      <c r="F301" s="11">
        <v>8855</v>
      </c>
      <c r="G301" s="11">
        <v>9093</v>
      </c>
      <c r="H301" s="114">
        <f>_xlfn.XLOOKUP(Table1[[#This Row],[Shipment Number]], 'pivot '!A:A,'pivot '!G:G, "NF")</f>
        <v>6.1011823010487092</v>
      </c>
      <c r="I301" s="115">
        <f>Table1[[#This Row],[Tiyaar/gaz]]/1.0936</f>
        <v>8314.7403072421366</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9">
        <f>Table1[[#This Row],[billing]]/Table1[[#This Row],[tiyar/meters]]</f>
        <v>16</v>
      </c>
    </row>
    <row r="302" spans="1:11" hidden="1" x14ac:dyDescent="0.3">
      <c r="A302" s="118">
        <v>46239</v>
      </c>
      <c r="B302" s="116" t="s">
        <v>258</v>
      </c>
      <c r="C302" s="113">
        <v>1833</v>
      </c>
      <c r="D302" s="113" t="s">
        <v>86</v>
      </c>
      <c r="E302" s="11">
        <v>2289</v>
      </c>
      <c r="F302" s="11">
        <v>46027</v>
      </c>
      <c r="G302" s="11">
        <v>19237</v>
      </c>
      <c r="H302" s="114">
        <f>_xlfn.XLOOKUP(Table1[[#This Row],[Shipment Number]], 'pivot '!A:A,'pivot '!G:G, "NF")</f>
        <v>3.192854154543582</v>
      </c>
      <c r="I302" s="115">
        <f>Table1[[#This Row],[Tiyaar/gaz]]/1.0936</f>
        <v>17590.526700804683</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9">
        <f>Table1[[#This Row],[billing]]/Table1[[#This Row],[tiyar/meters]]</f>
        <v>13</v>
      </c>
    </row>
    <row r="303" spans="1:11" hidden="1" x14ac:dyDescent="0.3">
      <c r="A303" s="118">
        <v>46239</v>
      </c>
      <c r="B303" s="116" t="s">
        <v>21</v>
      </c>
      <c r="C303" s="113">
        <v>1834</v>
      </c>
      <c r="D303" s="113" t="s">
        <v>86</v>
      </c>
      <c r="E303" s="11">
        <v>2288</v>
      </c>
      <c r="F303" s="11">
        <v>40084</v>
      </c>
      <c r="G303" s="11">
        <v>37597</v>
      </c>
      <c r="H303" s="114">
        <f>_xlfn.XLOOKUP(Table1[[#This Row],[Shipment Number]], 'pivot '!A:A,'pivot '!G:G, "NF")</f>
        <v>2.3311105201388642</v>
      </c>
      <c r="I303" s="115">
        <f>Table1[[#This Row],[Tiyaar/gaz]]/1.0936</f>
        <v>34379.114850036582</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9">
        <f>Table1[[#This Row],[billing]]/Table1[[#This Row],[tiyar/meters]]</f>
        <v>12</v>
      </c>
    </row>
    <row r="304" spans="1:11" hidden="1" x14ac:dyDescent="0.3">
      <c r="A304" s="118">
        <v>46239</v>
      </c>
      <c r="B304" s="116" t="s">
        <v>21</v>
      </c>
      <c r="C304" s="113">
        <v>1835</v>
      </c>
      <c r="D304" s="113" t="s">
        <v>86</v>
      </c>
      <c r="E304" s="11">
        <v>2288</v>
      </c>
      <c r="F304" s="11">
        <v>40084</v>
      </c>
      <c r="G304" s="11">
        <v>5217</v>
      </c>
      <c r="H304" s="114">
        <f>_xlfn.XLOOKUP(Table1[[#This Row],[Shipment Number]], 'pivot '!A:A,'pivot '!G:G, "NF")</f>
        <v>2.3311105201388642</v>
      </c>
      <c r="I304" s="115">
        <f>Table1[[#This Row],[Tiyaar/gaz]]/1.0936</f>
        <v>4770.4828090709589</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9">
        <f>Table1[[#This Row],[billing]]/Table1[[#This Row],[tiyar/meters]]</f>
        <v>12</v>
      </c>
    </row>
    <row r="305" spans="1:13" hidden="1" x14ac:dyDescent="0.3">
      <c r="A305" s="118">
        <v>46239</v>
      </c>
      <c r="B305" s="116" t="s">
        <v>441</v>
      </c>
      <c r="C305" s="113">
        <v>1836</v>
      </c>
      <c r="D305" s="113" t="s">
        <v>447</v>
      </c>
      <c r="E305" s="11">
        <v>2280</v>
      </c>
      <c r="F305" s="11">
        <v>15066</v>
      </c>
      <c r="G305" s="11">
        <v>3752</v>
      </c>
      <c r="H305" s="114">
        <f>_xlfn.XLOOKUP(Table1[[#This Row],[Shipment Number]], 'pivot '!A:A,'pivot '!G:G, "NF")</f>
        <v>6.9444359473279746</v>
      </c>
      <c r="I305" s="115">
        <f>Table1[[#This Row],[Tiyaar/gaz]]/1.0936</f>
        <v>3430.8705193855162</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9">
        <f>Table1[[#This Row],[billing]]/Table1[[#This Row],[tiyar/meters]]</f>
        <v>15.000000000000002</v>
      </c>
    </row>
    <row r="306" spans="1:13" hidden="1" x14ac:dyDescent="0.3">
      <c r="A306" s="118">
        <v>46241</v>
      </c>
      <c r="B306" s="116" t="s">
        <v>176</v>
      </c>
      <c r="C306" s="113">
        <v>1837</v>
      </c>
      <c r="D306" s="113" t="s">
        <v>206</v>
      </c>
      <c r="E306" s="11">
        <v>2273</v>
      </c>
      <c r="F306" s="11">
        <v>21375</v>
      </c>
      <c r="G306" s="11">
        <v>22868</v>
      </c>
      <c r="H306" s="114">
        <f>_xlfn.XLOOKUP(Table1[[#This Row],[Shipment Number]], 'pivot '!A:A,'pivot '!G:G, "NF")</f>
        <v>2.1719135683637205</v>
      </c>
      <c r="I306" s="115">
        <f>Table1[[#This Row],[Tiyaar/gaz]]/1.0936</f>
        <v>20910.753474762256</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9">
        <f>Table1[[#This Row],[billing]]/Table1[[#This Row],[tiyar/meters]]</f>
        <v>11</v>
      </c>
    </row>
    <row r="307" spans="1:13" hidden="1" x14ac:dyDescent="0.3">
      <c r="A307" s="167">
        <v>46241</v>
      </c>
      <c r="B307" s="168" t="s">
        <v>441</v>
      </c>
      <c r="C307" s="169">
        <v>1838</v>
      </c>
      <c r="D307" s="169" t="s">
        <v>447</v>
      </c>
      <c r="E307" s="11">
        <v>2280</v>
      </c>
      <c r="F307" s="11">
        <v>15066</v>
      </c>
      <c r="G307" s="11">
        <v>11580</v>
      </c>
      <c r="H307" s="114">
        <f>_xlfn.XLOOKUP(Table1[[#This Row],[Shipment Number]], 'pivot '!A:A,'pivot '!G:G, "NF")</f>
        <v>6.9444359473279746</v>
      </c>
      <c r="I307" s="115">
        <f>Table1[[#This Row],[Tiyaar/gaz]]/1.0936</f>
        <v>10588.880760790053</v>
      </c>
      <c r="J307" s="115"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9">
        <f>Table1[[#This Row],[billing]]/Table1[[#This Row],[tiyar/meters]]</f>
        <v>15</v>
      </c>
    </row>
    <row r="308" spans="1:13" hidden="1" x14ac:dyDescent="0.3">
      <c r="A308" s="118">
        <v>46266</v>
      </c>
      <c r="B308" s="116" t="s">
        <v>258</v>
      </c>
      <c r="C308" s="113">
        <v>1839</v>
      </c>
      <c r="D308" s="113" t="s">
        <v>86</v>
      </c>
      <c r="E308" s="11">
        <v>2290</v>
      </c>
      <c r="F308" s="11">
        <v>24824</v>
      </c>
      <c r="G308" s="11">
        <v>26279</v>
      </c>
      <c r="H308" s="114">
        <f>_xlfn.XLOOKUP(Table1[[#This Row],[Shipment Number]], 'pivot '!A:A,'pivot '!G:G, "NF")</f>
        <v>3.1992837476345528</v>
      </c>
      <c r="I308" s="115">
        <f>Table1[[#This Row],[Tiyaar/gaz]]/1.0936</f>
        <v>24029.809802487202</v>
      </c>
      <c r="J308" s="115"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9">
        <f>Table1[[#This Row],[billing]]/Table1[[#This Row],[tiyar/meters]]</f>
        <v>13</v>
      </c>
    </row>
    <row r="309" spans="1:13" hidden="1" x14ac:dyDescent="0.3">
      <c r="A309" s="118">
        <v>46266</v>
      </c>
      <c r="B309" s="116" t="s">
        <v>258</v>
      </c>
      <c r="C309" s="113">
        <v>1840</v>
      </c>
      <c r="D309" s="113" t="s">
        <v>86</v>
      </c>
      <c r="E309" s="11">
        <v>2295</v>
      </c>
      <c r="F309" s="11">
        <v>52998</v>
      </c>
      <c r="G309" s="11">
        <v>23318</v>
      </c>
      <c r="H309" s="114">
        <f>_xlfn.XLOOKUP(Table1[[#This Row],[Shipment Number]], 'pivot '!A:A,'pivot '!G:G, "NF")</f>
        <v>59.767843166874414</v>
      </c>
      <c r="I309" s="115">
        <f>Table1[[#This Row],[Tiyaar/gaz]]/1.0936</f>
        <v>21322.238478419898</v>
      </c>
      <c r="J309" s="115"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9">
        <f>Table1[[#This Row],[billing]]/Table1[[#This Row],[tiyar/meters]]</f>
        <v>13</v>
      </c>
    </row>
    <row r="310" spans="1:13" hidden="1" x14ac:dyDescent="0.3">
      <c r="A310" s="118">
        <v>46266</v>
      </c>
      <c r="B310" s="116" t="s">
        <v>21</v>
      </c>
      <c r="C310" s="113">
        <v>1841</v>
      </c>
      <c r="D310" s="113" t="s">
        <v>85</v>
      </c>
      <c r="E310" s="11">
        <v>2303</v>
      </c>
      <c r="F310" s="11">
        <v>7917</v>
      </c>
      <c r="G310" s="11">
        <v>4180</v>
      </c>
      <c r="H310" s="114">
        <f>_xlfn.XLOOKUP(Table1[[#This Row],[Shipment Number]], 'pivot '!A:A,'pivot '!G:G, "NF")</f>
        <v>3.4422513977542621</v>
      </c>
      <c r="I310" s="115">
        <f>Table1[[#This Row],[Tiyaar/gaz]]/1.0936</f>
        <v>3822.238478419898</v>
      </c>
      <c r="J310" s="115"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0" s="119">
        <f>Table1[[#This Row],[billing]]/Table1[[#This Row],[tiyar/meters]]</f>
        <v>10</v>
      </c>
    </row>
    <row r="311" spans="1:13" hidden="1" x14ac:dyDescent="0.3">
      <c r="A311" s="118">
        <v>46266</v>
      </c>
      <c r="B311" s="116" t="s">
        <v>21</v>
      </c>
      <c r="C311" s="113">
        <v>1842</v>
      </c>
      <c r="D311" s="113" t="s">
        <v>86</v>
      </c>
      <c r="E311" s="11">
        <v>2226</v>
      </c>
      <c r="F311" s="11"/>
      <c r="G311" s="11">
        <v>22541</v>
      </c>
      <c r="H311" s="114" t="e">
        <f>_xlfn.XLOOKUP(Table1[[#This Row],[Shipment Number]], 'pivot '!A:A,'pivot '!G:G, "NF")</f>
        <v>#DIV/0!</v>
      </c>
      <c r="I311" s="115">
        <f>Table1[[#This Row],[Tiyaar/gaz]]/1.0936</f>
        <v>20611.741038771033</v>
      </c>
      <c r="J311" s="115"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1" s="119">
        <f>Table1[[#This Row],[billing]]/Table1[[#This Row],[tiyar/meters]]</f>
        <v>12</v>
      </c>
    </row>
    <row r="312" spans="1:13" hidden="1" x14ac:dyDescent="0.3">
      <c r="A312" s="118">
        <v>46266</v>
      </c>
      <c r="B312" s="116" t="s">
        <v>1187</v>
      </c>
      <c r="C312" s="113">
        <v>1843</v>
      </c>
      <c r="D312" s="113" t="s">
        <v>85</v>
      </c>
      <c r="E312" s="11">
        <v>2233</v>
      </c>
      <c r="F312" s="11">
        <v>50645</v>
      </c>
      <c r="G312" s="11">
        <v>53747</v>
      </c>
      <c r="H312" s="114">
        <f>_xlfn.XLOOKUP(Table1[[#This Row],[Shipment Number]], 'pivot '!A:A,'pivot '!G:G, "NF")</f>
        <v>-10.660988247943877</v>
      </c>
      <c r="I312" s="115">
        <f>Table1[[#This Row],[Tiyaar/gaz]]/1.0936</f>
        <v>49146.854425749822</v>
      </c>
      <c r="J312" s="115"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2" s="119">
        <f>Table1[[#This Row],[billing]]/Table1[[#This Row],[tiyar/meters]]</f>
        <v>10</v>
      </c>
    </row>
    <row r="313" spans="1:13" hidden="1" x14ac:dyDescent="0.3">
      <c r="A313" s="118">
        <v>46266</v>
      </c>
      <c r="B313" s="116" t="s">
        <v>9</v>
      </c>
      <c r="C313" s="113">
        <v>1844</v>
      </c>
      <c r="D313" s="113" t="s">
        <v>85</v>
      </c>
      <c r="E313" s="11">
        <v>2294</v>
      </c>
      <c r="F313" s="11">
        <v>30026</v>
      </c>
      <c r="G313" s="11">
        <v>23007</v>
      </c>
      <c r="H313" s="114">
        <f>_xlfn.XLOOKUP(Table1[[#This Row],[Shipment Number]], 'pivot '!A:A,'pivot '!G:G, "NF")</f>
        <v>29.934534668831986</v>
      </c>
      <c r="I313" s="115">
        <f>Table1[[#This Row],[Tiyaar/gaz]]/1.0936</f>
        <v>21037.856620336504</v>
      </c>
      <c r="J313" s="115"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210378.56620336504</v>
      </c>
      <c r="K313" s="119">
        <f>Table1[[#This Row],[billing]]/Table1[[#This Row],[tiyar/meters]]</f>
        <v>10</v>
      </c>
    </row>
    <row r="314" spans="1:13" hidden="1" x14ac:dyDescent="0.3">
      <c r="A314" s="118">
        <v>46266</v>
      </c>
      <c r="B314" s="116" t="s">
        <v>21</v>
      </c>
      <c r="C314" s="113">
        <v>1845</v>
      </c>
      <c r="D314" s="113" t="s">
        <v>85</v>
      </c>
      <c r="E314" s="11">
        <v>2235</v>
      </c>
      <c r="F314" s="11">
        <v>55950</v>
      </c>
      <c r="G314" s="11">
        <v>7686</v>
      </c>
      <c r="H314" s="114">
        <f>_xlfn.XLOOKUP(Table1[[#This Row],[Shipment Number]], 'pivot '!A:A,'pivot '!G:G, "NF")</f>
        <v>-54.361422343206698</v>
      </c>
      <c r="I314" s="115">
        <f>Table1[[#This Row],[Tiyaar/gaz]]/1.0936</f>
        <v>7028.1638624725683</v>
      </c>
      <c r="J314" s="115"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4" s="119">
        <f>Table1[[#This Row],[billing]]/Table1[[#This Row],[tiyar/meters]]</f>
        <v>10</v>
      </c>
    </row>
    <row r="315" spans="1:13" hidden="1" x14ac:dyDescent="0.3">
      <c r="A315" s="118">
        <v>46266</v>
      </c>
      <c r="B315" s="116" t="s">
        <v>21</v>
      </c>
      <c r="C315" s="113">
        <v>1846</v>
      </c>
      <c r="D315" s="113" t="s">
        <v>86</v>
      </c>
      <c r="E315" s="11">
        <v>2600</v>
      </c>
      <c r="F315" s="11"/>
      <c r="G315" s="11">
        <v>9103</v>
      </c>
      <c r="H315" s="114">
        <f>_xlfn.XLOOKUP(Table1[[#This Row],[Shipment Number]], 'pivot '!A:A,'pivot '!G:G, "NF")</f>
        <v>5.9334469576428575</v>
      </c>
      <c r="I315" s="115">
        <f>Table1[[#This Row],[Tiyaar/gaz]]/1.0936</f>
        <v>8323.8844184345289</v>
      </c>
      <c r="J315" s="115"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5" s="119">
        <f>Table1[[#This Row],[billing]]/Table1[[#This Row],[tiyar/meters]]</f>
        <v>12</v>
      </c>
    </row>
    <row r="316" spans="1:13" hidden="1" x14ac:dyDescent="0.3">
      <c r="A316" s="118">
        <v>46266</v>
      </c>
      <c r="B316" s="116" t="s">
        <v>21</v>
      </c>
      <c r="C316" s="113">
        <v>1847</v>
      </c>
      <c r="D316" s="113" t="s">
        <v>85</v>
      </c>
      <c r="E316" s="11">
        <v>2235</v>
      </c>
      <c r="F316" s="11">
        <v>55950</v>
      </c>
      <c r="G316" s="11">
        <v>25142</v>
      </c>
      <c r="H316" s="114">
        <f>_xlfn.XLOOKUP(Table1[[#This Row],[Shipment Number]], 'pivot '!A:A,'pivot '!G:G, "NF")</f>
        <v>-54.361422343206698</v>
      </c>
      <c r="I316" s="115">
        <f>Table1[[#This Row],[Tiyaar/gaz]]/1.0936</f>
        <v>22990.124359912217</v>
      </c>
      <c r="J316" s="115"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6" s="119">
        <f>Table1[[#This Row],[billing]]/Table1[[#This Row],[tiyar/meters]]</f>
        <v>10</v>
      </c>
      <c r="M316" s="10">
        <v>339955</v>
      </c>
    </row>
    <row r="317" spans="1:13" hidden="1" x14ac:dyDescent="0.3">
      <c r="A317" s="118">
        <v>46266</v>
      </c>
      <c r="B317" s="116" t="s">
        <v>21</v>
      </c>
      <c r="C317" s="113">
        <v>1848</v>
      </c>
      <c r="D317" s="113" t="s">
        <v>85</v>
      </c>
      <c r="E317" s="11">
        <v>2225</v>
      </c>
      <c r="F317" s="11">
        <v>52646</v>
      </c>
      <c r="G317" s="11">
        <v>12683</v>
      </c>
      <c r="H317" s="114">
        <f>_xlfn.XLOOKUP(Table1[[#This Row],[Shipment Number]], 'pivot '!A:A,'pivot '!G:G, "NF")</f>
        <v>2.2400269056344229</v>
      </c>
      <c r="I317" s="115">
        <f>Table1[[#This Row],[Tiyaar/gaz]]/1.0936</f>
        <v>11597.4762253109</v>
      </c>
      <c r="J317" s="115"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7" s="119">
        <f>Table1[[#This Row],[billing]]/Table1[[#This Row],[tiyar/meters]]</f>
        <v>10</v>
      </c>
    </row>
    <row r="318" spans="1:13" hidden="1" x14ac:dyDescent="0.3">
      <c r="A318" s="118">
        <v>46266</v>
      </c>
      <c r="B318" s="116" t="s">
        <v>21</v>
      </c>
      <c r="C318" s="113">
        <v>1849</v>
      </c>
      <c r="D318" s="113" t="s">
        <v>85</v>
      </c>
      <c r="E318" s="11">
        <v>2233</v>
      </c>
      <c r="F318" s="11">
        <v>50645</v>
      </c>
      <c r="G318" s="11">
        <v>3159</v>
      </c>
      <c r="H318" s="114">
        <f>_xlfn.XLOOKUP(Table1[[#This Row],[Shipment Number]], 'pivot '!A:A,'pivot '!G:G, "NF")</f>
        <v>-10.660988247943877</v>
      </c>
      <c r="I318" s="115">
        <f>Table1[[#This Row],[Tiyaar/gaz]]/1.0936</f>
        <v>2888.6247256766646</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8" s="119">
        <f>Table1[[#This Row],[billing]]/Table1[[#This Row],[tiyar/meters]]</f>
        <v>10</v>
      </c>
      <c r="M318" s="10">
        <v>847224</v>
      </c>
    </row>
    <row r="319" spans="1:13" hidden="1" x14ac:dyDescent="0.3">
      <c r="A319" s="118">
        <v>46266</v>
      </c>
      <c r="B319" s="116" t="s">
        <v>21</v>
      </c>
      <c r="C319" s="113">
        <v>1850</v>
      </c>
      <c r="D319" s="113" t="s">
        <v>85</v>
      </c>
      <c r="E319" s="11">
        <v>2291</v>
      </c>
      <c r="F319" s="11">
        <v>2007</v>
      </c>
      <c r="G319" s="11">
        <v>2140</v>
      </c>
      <c r="H319" s="114">
        <f>_xlfn.XLOOKUP(Table1[[#This Row],[Shipment Number]], 'pivot '!A:A,'pivot '!G:G, "NF")</f>
        <v>2.4992628215291859</v>
      </c>
      <c r="I319" s="115">
        <f>Table1[[#This Row],[Tiyaar/gaz]]/1.0936</f>
        <v>1956.8397951719094</v>
      </c>
      <c r="J319" s="115"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19" s="119">
        <f>Table1[[#This Row],[billing]]/Table1[[#This Row],[tiyar/meters]]</f>
        <v>10</v>
      </c>
    </row>
    <row r="320" spans="1:13" hidden="1" x14ac:dyDescent="0.3">
      <c r="A320" s="118">
        <v>46266</v>
      </c>
      <c r="B320" s="116" t="s">
        <v>21</v>
      </c>
      <c r="C320" s="113">
        <v>1851</v>
      </c>
      <c r="D320" s="113" t="s">
        <v>86</v>
      </c>
      <c r="E320" s="11">
        <v>2600</v>
      </c>
      <c r="F320" s="11"/>
      <c r="G320" s="11">
        <v>2035</v>
      </c>
      <c r="H320" s="114">
        <f>_xlfn.XLOOKUP(Table1[[#This Row],[Shipment Number]], 'pivot '!A:A,'pivot '!G:G, "NF")</f>
        <v>5.9334469576428575</v>
      </c>
      <c r="I320" s="115">
        <f>Table1[[#This Row],[Tiyaar/gaz]]/1.0936</f>
        <v>1860.8266276517925</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0" s="119">
        <f>Table1[[#This Row],[billing]]/Table1[[#This Row],[tiyar/meters]]</f>
        <v>12</v>
      </c>
    </row>
    <row r="321" spans="1:11" hidden="1" x14ac:dyDescent="0.3">
      <c r="A321" s="118">
        <v>46266</v>
      </c>
      <c r="B321" s="116" t="s">
        <v>24</v>
      </c>
      <c r="C321" s="113">
        <v>1852</v>
      </c>
      <c r="D321" s="113" t="s">
        <v>998</v>
      </c>
      <c r="E321" s="11">
        <v>2293</v>
      </c>
      <c r="F321" s="11">
        <v>25044</v>
      </c>
      <c r="G321" s="11">
        <v>17178</v>
      </c>
      <c r="H321" s="114">
        <f>_xlfn.XLOOKUP(Table1[[#This Row],[Shipment Number]], 'pivot '!A:A,'pivot '!G:G, "NF")</f>
        <v>6.0979669198450637</v>
      </c>
      <c r="I321" s="115">
        <f>Table1[[#This Row],[Tiyaar/gaz]]/1.0936</f>
        <v>15707.754206291151</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1" s="119">
        <f>Table1[[#This Row],[billing]]/Table1[[#This Row],[tiyar/meters]]</f>
        <v>15</v>
      </c>
    </row>
    <row r="322" spans="1:11" hidden="1" x14ac:dyDescent="0.3">
      <c r="A322" s="118">
        <v>46266</v>
      </c>
      <c r="B322" s="116" t="s">
        <v>21</v>
      </c>
      <c r="C322" s="113">
        <v>1853</v>
      </c>
      <c r="D322" s="113" t="s">
        <v>85</v>
      </c>
      <c r="E322" s="11">
        <v>2225</v>
      </c>
      <c r="F322" s="11"/>
      <c r="G322" s="11">
        <v>16246</v>
      </c>
      <c r="H322" s="114">
        <f>_xlfn.XLOOKUP(Table1[[#This Row],[Shipment Number]], 'pivot '!A:A,'pivot '!G:G, "NF")</f>
        <v>2.2400269056344229</v>
      </c>
      <c r="I322" s="115">
        <f>Table1[[#This Row],[Tiyaar/gaz]]/1.0936</f>
        <v>14855.523043160207</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2" s="119">
        <f>Table1[[#This Row],[billing]]/Table1[[#This Row],[tiyar/meters]]</f>
        <v>10</v>
      </c>
    </row>
    <row r="323" spans="1:11" hidden="1" x14ac:dyDescent="0.3">
      <c r="A323" s="118">
        <v>46266</v>
      </c>
      <c r="B323" s="116" t="s">
        <v>21</v>
      </c>
      <c r="C323" s="113">
        <v>1854</v>
      </c>
      <c r="D323" s="113" t="s">
        <v>86</v>
      </c>
      <c r="E323" s="11">
        <v>2600</v>
      </c>
      <c r="F323" s="11"/>
      <c r="G323" s="11">
        <v>1044</v>
      </c>
      <c r="H323" s="114">
        <f>_xlfn.XLOOKUP(Table1[[#This Row],[Shipment Number]], 'pivot '!A:A,'pivot '!G:G, "NF")</f>
        <v>5.9334469576428575</v>
      </c>
      <c r="I323" s="115">
        <f>Table1[[#This Row],[Tiyaar/gaz]]/1.0936</f>
        <v>954.64520848573522</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3" s="119">
        <f>Table1[[#This Row],[billing]]/Table1[[#This Row],[tiyar/meters]]</f>
        <v>12</v>
      </c>
    </row>
    <row r="324" spans="1:11" hidden="1" x14ac:dyDescent="0.3">
      <c r="A324" s="118">
        <v>46266</v>
      </c>
      <c r="B324" s="116" t="s">
        <v>21</v>
      </c>
      <c r="C324" s="113">
        <v>1855</v>
      </c>
      <c r="D324" s="113" t="s">
        <v>85</v>
      </c>
      <c r="E324" s="11">
        <v>2225</v>
      </c>
      <c r="F324" s="11"/>
      <c r="G324" s="11">
        <v>20441</v>
      </c>
      <c r="H324" s="114">
        <f>_xlfn.XLOOKUP(Table1[[#This Row],[Shipment Number]], 'pivot '!A:A,'pivot '!G:G, "NF")</f>
        <v>2.2400269056344229</v>
      </c>
      <c r="I324" s="115">
        <f>Table1[[#This Row],[Tiyaar/gaz]]/1.0936</f>
        <v>18691.477688368694</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4" s="119">
        <f>Table1[[#This Row],[billing]]/Table1[[#This Row],[tiyar/meters]]</f>
        <v>10</v>
      </c>
    </row>
    <row r="325" spans="1:11" hidden="1" x14ac:dyDescent="0.3">
      <c r="A325" s="118">
        <v>46266</v>
      </c>
      <c r="B325" s="116" t="s">
        <v>1275</v>
      </c>
      <c r="C325" s="113">
        <v>1856</v>
      </c>
      <c r="D325" s="113" t="s">
        <v>86</v>
      </c>
      <c r="E325" s="11">
        <v>2307</v>
      </c>
      <c r="F325" s="11">
        <v>33339</v>
      </c>
      <c r="G325" s="11">
        <v>35292</v>
      </c>
      <c r="H325" s="114">
        <f>_xlfn.XLOOKUP(Table1[[#This Row],[Shipment Number]], 'pivot '!A:A,'pivot '!G:G, "NF")</f>
        <v>3.2022639545571252</v>
      </c>
      <c r="I325" s="115">
        <f>Table1[[#This Row],[Tiyaar/gaz]]/1.0936</f>
        <v>32271.3972201902</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5" s="119">
        <f>Table1[[#This Row],[billing]]/Table1[[#This Row],[tiyar/meters]]</f>
        <v>11.999999999999998</v>
      </c>
    </row>
    <row r="326" spans="1:11" hidden="1" x14ac:dyDescent="0.3">
      <c r="A326" s="118">
        <v>46266</v>
      </c>
      <c r="B326" s="116" t="s">
        <v>21</v>
      </c>
      <c r="C326" s="113">
        <v>1857</v>
      </c>
      <c r="D326" s="113" t="s">
        <v>86</v>
      </c>
      <c r="E326" s="11">
        <v>2600</v>
      </c>
      <c r="F326" s="11"/>
      <c r="G326" s="11">
        <v>16195</v>
      </c>
      <c r="H326" s="114">
        <f>_xlfn.XLOOKUP(Table1[[#This Row],[Shipment Number]], 'pivot '!A:A,'pivot '!G:G, "NF")</f>
        <v>5.9334469576428575</v>
      </c>
      <c r="I326" s="115">
        <f>Table1[[#This Row],[Tiyaar/gaz]]/1.0936</f>
        <v>14808.888076079007</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6" s="119">
        <f>Table1[[#This Row],[billing]]/Table1[[#This Row],[tiyar/meters]]</f>
        <v>12</v>
      </c>
    </row>
    <row r="327" spans="1:11" hidden="1" x14ac:dyDescent="0.3">
      <c r="A327" s="118">
        <v>46266</v>
      </c>
      <c r="B327" s="116" t="s">
        <v>21</v>
      </c>
      <c r="C327" s="113">
        <v>1858</v>
      </c>
      <c r="D327" s="113" t="s">
        <v>86</v>
      </c>
      <c r="E327" s="11">
        <v>2600</v>
      </c>
      <c r="F327" s="11">
        <v>45382</v>
      </c>
      <c r="G327" s="11">
        <v>18308</v>
      </c>
      <c r="H327" s="114">
        <f>_xlfn.XLOOKUP(Table1[[#This Row],[Shipment Number]], 'pivot '!A:A,'pivot '!G:G, "NF")</f>
        <v>5.9334469576428575</v>
      </c>
      <c r="I327" s="115">
        <f>Table1[[#This Row],[Tiyaar/gaz]]/1.0936</f>
        <v>16741.038771031457</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7" s="119">
        <f>Table1[[#This Row],[billing]]/Table1[[#This Row],[tiyar/meters]]</f>
        <v>12</v>
      </c>
    </row>
    <row r="328" spans="1:11" hidden="1" x14ac:dyDescent="0.3">
      <c r="A328" s="118">
        <v>46266</v>
      </c>
      <c r="B328" s="124" t="s">
        <v>1304</v>
      </c>
      <c r="C328" s="113">
        <v>1859</v>
      </c>
      <c r="D328" s="125" t="s">
        <v>86</v>
      </c>
      <c r="E328" s="126">
        <v>2299</v>
      </c>
      <c r="F328" s="126">
        <v>21723</v>
      </c>
      <c r="G328" s="126">
        <v>22990</v>
      </c>
      <c r="H328" s="114">
        <f>_xlfn.XLOOKUP(Table1[[#This Row],[Shipment Number]], 'pivot '!A:A,'pivot '!G:G, "NF")</f>
        <v>3.225559861393748</v>
      </c>
      <c r="I328" s="115">
        <f>Table1[[#This Row],[Tiyaar/gaz]]/1.0936</f>
        <v>21022.31163130944</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28" s="119">
        <f>Table1[[#This Row],[billing]]/Table1[[#This Row],[tiyar/meters]]</f>
        <v>12</v>
      </c>
    </row>
    <row r="329" spans="1:11" hidden="1" x14ac:dyDescent="0.3">
      <c r="A329" s="118">
        <v>46266</v>
      </c>
      <c r="B329" s="116" t="s">
        <v>1304</v>
      </c>
      <c r="C329" s="113">
        <v>1860</v>
      </c>
      <c r="D329" s="113" t="s">
        <v>86</v>
      </c>
      <c r="E329" s="11">
        <v>2300</v>
      </c>
      <c r="F329" s="11">
        <v>3281</v>
      </c>
      <c r="G329" s="11">
        <v>3564</v>
      </c>
      <c r="H329" s="114">
        <f>_xlfn.XLOOKUP(Table1[[#This Row],[Shipment Number]], 'pivot '!A:A,'pivot '!G:G, "NF")</f>
        <v>0.67170896164142846</v>
      </c>
      <c r="I329" s="115">
        <f>Table1[[#This Row],[Tiyaar/gaz]]/1.0936</f>
        <v>3258.9612289685447</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29" s="119">
        <f>Table1[[#This Row],[billing]]/Table1[[#This Row],[tiyar/meters]]</f>
        <v>12</v>
      </c>
    </row>
    <row r="330" spans="1:11" hidden="1" x14ac:dyDescent="0.3">
      <c r="A330" s="118">
        <v>46266</v>
      </c>
      <c r="B330" s="116" t="s">
        <v>24</v>
      </c>
      <c r="C330" s="113">
        <v>1861</v>
      </c>
      <c r="D330" s="113" t="s">
        <v>998</v>
      </c>
      <c r="E330" s="11">
        <v>2298</v>
      </c>
      <c r="F330" s="11">
        <v>15382</v>
      </c>
      <c r="G330" s="11">
        <v>10269</v>
      </c>
      <c r="H330" s="114">
        <f>_xlfn.XLOOKUP(Table1[[#This Row],[Shipment Number]], 'pivot '!A:A,'pivot '!G:G, "NF")</f>
        <v>6.4544703396943959</v>
      </c>
      <c r="I330" s="115">
        <f>Table1[[#This Row],[Tiyaar/gaz]]/1.0936</f>
        <v>9390.0877834674484</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0" s="119">
        <f>Table1[[#This Row],[billing]]/Table1[[#This Row],[tiyar/meters]]</f>
        <v>14.999999999999998</v>
      </c>
    </row>
    <row r="331" spans="1:11" hidden="1" x14ac:dyDescent="0.3">
      <c r="A331" s="118">
        <v>46266</v>
      </c>
      <c r="B331" s="116" t="s">
        <v>24</v>
      </c>
      <c r="C331" s="113">
        <v>1862</v>
      </c>
      <c r="D331" s="113" t="s">
        <v>998</v>
      </c>
      <c r="E331" s="11">
        <v>2302</v>
      </c>
      <c r="F331" s="11">
        <v>14134</v>
      </c>
      <c r="G331" s="11">
        <v>7050</v>
      </c>
      <c r="H331" s="114">
        <f>_xlfn.XLOOKUP(Table1[[#This Row],[Shipment Number]], 'pivot '!A:A,'pivot '!G:G, "NF")</f>
        <v>5.2593998150630199</v>
      </c>
      <c r="I331" s="115">
        <f>Table1[[#This Row],[Tiyaar/gaz]]/1.0936</f>
        <v>6446.5983906364308</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1" s="119">
        <f>Table1[[#This Row],[billing]]/Table1[[#This Row],[tiyar/meters]]</f>
        <v>15</v>
      </c>
    </row>
    <row r="332" spans="1:11" hidden="1" x14ac:dyDescent="0.3">
      <c r="A332" s="118">
        <v>46266</v>
      </c>
      <c r="B332" s="116" t="s">
        <v>24</v>
      </c>
      <c r="C332" s="113">
        <v>1863</v>
      </c>
      <c r="D332" s="113" t="s">
        <v>998</v>
      </c>
      <c r="E332" s="11">
        <v>2293</v>
      </c>
      <c r="F332" s="11">
        <v>25044</v>
      </c>
      <c r="G332" s="11">
        <v>8540</v>
      </c>
      <c r="H332" s="114">
        <f>_xlfn.XLOOKUP(Table1[[#This Row],[Shipment Number]], 'pivot '!A:A,'pivot '!G:G, "NF")</f>
        <v>6.0979669198450637</v>
      </c>
      <c r="I332" s="115">
        <f>Table1[[#This Row],[Tiyaar/gaz]]/1.0936</f>
        <v>7809.0709583028538</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2" s="119">
        <f>Table1[[#This Row],[billing]]/Table1[[#This Row],[tiyar/meters]]</f>
        <v>15</v>
      </c>
    </row>
    <row r="333" spans="1:11" hidden="1" x14ac:dyDescent="0.3">
      <c r="A333" s="118">
        <v>46266</v>
      </c>
      <c r="B333" s="116" t="s">
        <v>1305</v>
      </c>
      <c r="C333" s="113">
        <v>1864</v>
      </c>
      <c r="D333" s="113" t="s">
        <v>86</v>
      </c>
      <c r="E333" s="11">
        <v>2301</v>
      </c>
      <c r="F333" s="11">
        <v>50416</v>
      </c>
      <c r="G333" s="11">
        <v>38700</v>
      </c>
      <c r="H333" s="114">
        <f>_xlfn.XLOOKUP(Table1[[#This Row],[Shipment Number]], 'pivot '!A:A,'pivot '!G:G, "NF")</f>
        <v>2.6896513618254119</v>
      </c>
      <c r="I333" s="115">
        <f>Table1[[#This Row],[Tiyaar/gaz]]/1.0936</f>
        <v>35387.710314557429</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3" s="119">
        <f>Table1[[#This Row],[billing]]/Table1[[#This Row],[tiyar/meters]]</f>
        <v>11</v>
      </c>
    </row>
    <row r="334" spans="1:11" hidden="1" x14ac:dyDescent="0.3">
      <c r="A334" s="118">
        <v>46266</v>
      </c>
      <c r="B334" s="116" t="s">
        <v>1305</v>
      </c>
      <c r="C334" s="113">
        <v>1865</v>
      </c>
      <c r="D334" s="113" t="s">
        <v>86</v>
      </c>
      <c r="E334" s="11">
        <v>2301</v>
      </c>
      <c r="F334" s="11">
        <v>50416</v>
      </c>
      <c r="G334" s="11">
        <v>14952</v>
      </c>
      <c r="H334" s="114">
        <f>_xlfn.XLOOKUP(Table1[[#This Row],[Shipment Number]], 'pivot '!A:A,'pivot '!G:G, "NF")</f>
        <v>2.6896513618254119</v>
      </c>
      <c r="I334" s="115">
        <f>Table1[[#This Row],[Tiyaar/gaz]]/1.0936</f>
        <v>13672.275054864669</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4" s="119">
        <f>Table1[[#This Row],[billing]]/Table1[[#This Row],[tiyar/meters]]</f>
        <v>11</v>
      </c>
    </row>
    <row r="335" spans="1:11" hidden="1" x14ac:dyDescent="0.3">
      <c r="A335" s="118">
        <v>46266</v>
      </c>
      <c r="B335" s="116" t="s">
        <v>1222</v>
      </c>
      <c r="C335" s="113">
        <v>1866</v>
      </c>
      <c r="D335" s="113" t="s">
        <v>274</v>
      </c>
      <c r="E335" s="11" t="s">
        <v>1306</v>
      </c>
      <c r="F335" s="11"/>
      <c r="G335" s="11">
        <v>8229</v>
      </c>
      <c r="H335" s="114" t="e">
        <f>_xlfn.XLOOKUP(Table1[[#This Row],[Shipment Number]], 'pivot '!A:A,'pivot '!G:G, "NF")</f>
        <v>#DIV/0!</v>
      </c>
      <c r="I335" s="115">
        <f>Table1[[#This Row],[Tiyaar/gaz]]/1.0936</f>
        <v>7524.6891002194598</v>
      </c>
      <c r="J335" s="115">
        <f>Table1[[#This Row],[Tiyaar/gaz]]*13</f>
        <v>106977</v>
      </c>
      <c r="K335" s="119">
        <f>Table1[[#This Row],[billing]]/Table1[[#This Row],[tiyar/meters]]</f>
        <v>14.216799999999997</v>
      </c>
    </row>
    <row r="336" spans="1:11" hidden="1" x14ac:dyDescent="0.3">
      <c r="A336" s="118">
        <v>46266</v>
      </c>
      <c r="B336" s="116" t="s">
        <v>21</v>
      </c>
      <c r="C336" s="113" t="s">
        <v>1308</v>
      </c>
      <c r="D336" s="113" t="s">
        <v>85</v>
      </c>
      <c r="E336" s="11">
        <v>2303</v>
      </c>
      <c r="F336" s="11"/>
      <c r="G336" s="11">
        <v>4180</v>
      </c>
      <c r="H336" s="114">
        <f>_xlfn.XLOOKUP(Table1[[#This Row],[Shipment Number]], 'pivot '!A:A,'pivot '!G:G, "NF")</f>
        <v>3.4422513977542621</v>
      </c>
      <c r="I336" s="115">
        <f>Table1[[#This Row],[Tiyaar/gaz]]/1.0936</f>
        <v>3822.238478419898</v>
      </c>
      <c r="J336" s="115" cm="1">
        <f t="array" ref="J33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6" s="119">
        <f>Table1[[#This Row],[billing]]/Table1[[#This Row],[tiyar/meters]]</f>
        <v>10</v>
      </c>
    </row>
    <row r="337" spans="1:13" hidden="1" x14ac:dyDescent="0.3">
      <c r="A337" s="118">
        <v>46266</v>
      </c>
      <c r="B337" s="116" t="s">
        <v>21</v>
      </c>
      <c r="C337" s="113" t="s">
        <v>1307</v>
      </c>
      <c r="D337" s="113" t="s">
        <v>85</v>
      </c>
      <c r="E337" s="11">
        <v>2309</v>
      </c>
      <c r="F337" s="11">
        <v>9937</v>
      </c>
      <c r="G337" s="11">
        <f>14799-4180</f>
        <v>10619</v>
      </c>
      <c r="H337" s="114">
        <f>_xlfn.XLOOKUP(Table1[[#This Row],[Shipment Number]], 'pivot '!A:A,'pivot '!G:G, "NF")</f>
        <v>2.2830665673626811</v>
      </c>
      <c r="I337" s="115">
        <f>Table1[[#This Row],[Tiyaar/gaz]]/1.0936</f>
        <v>9710.1316752011717</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7" s="119">
        <f>Table1[[#This Row],[billing]]/Table1[[#This Row],[tiyar/meters]]</f>
        <v>10</v>
      </c>
    </row>
    <row r="338" spans="1:13" hidden="1" x14ac:dyDescent="0.3">
      <c r="A338" s="118">
        <v>46266</v>
      </c>
      <c r="B338" s="116" t="s">
        <v>21</v>
      </c>
      <c r="C338" s="113">
        <v>1868</v>
      </c>
      <c r="D338" s="113" t="s">
        <v>85</v>
      </c>
      <c r="E338" s="11">
        <v>2233</v>
      </c>
      <c r="F338" s="11"/>
      <c r="G338" s="11">
        <v>4384</v>
      </c>
      <c r="H338" s="114">
        <f>_xlfn.XLOOKUP(Table1[[#This Row],[Shipment Number]], 'pivot '!A:A,'pivot '!G:G, "NF")</f>
        <v>-10.660988247943877</v>
      </c>
      <c r="I338" s="115">
        <f>Table1[[#This Row],[Tiyaar/gaz]]/1.0936</f>
        <v>4008.7783467446966</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8" s="119">
        <f>Table1[[#This Row],[billing]]/Table1[[#This Row],[tiyar/meters]]</f>
        <v>10</v>
      </c>
    </row>
    <row r="339" spans="1:13" hidden="1" x14ac:dyDescent="0.3">
      <c r="A339" s="118">
        <v>46266</v>
      </c>
      <c r="B339" s="116" t="s">
        <v>1309</v>
      </c>
      <c r="C339" s="113">
        <v>1869</v>
      </c>
      <c r="D339" s="113" t="s">
        <v>85</v>
      </c>
      <c r="E339" s="11">
        <v>2234</v>
      </c>
      <c r="F339" s="11">
        <v>52646</v>
      </c>
      <c r="G339" s="11">
        <v>12905</v>
      </c>
      <c r="H339" s="114">
        <f>_xlfn.XLOOKUP(Table1[[#This Row],[Shipment Number]], 'pivot '!A:A,'pivot '!G:G, "NF")</f>
        <v>2.6221460528300895</v>
      </c>
      <c r="I339" s="115">
        <f>Table1[[#This Row],[Tiyaar/gaz]]/1.0936</f>
        <v>11800.475493782005</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39" s="119">
        <f>Table1[[#This Row],[billing]]/Table1[[#This Row],[tiyar/meters]]</f>
        <v>10</v>
      </c>
    </row>
    <row r="340" spans="1:13" hidden="1" x14ac:dyDescent="0.3">
      <c r="A340" s="118">
        <v>46266</v>
      </c>
      <c r="B340" s="116" t="s">
        <v>1309</v>
      </c>
      <c r="C340" s="113">
        <v>1870</v>
      </c>
      <c r="D340" s="113" t="s">
        <v>85</v>
      </c>
      <c r="E340" s="11">
        <v>2234</v>
      </c>
      <c r="F340" s="11"/>
      <c r="G340" s="11">
        <v>29995</v>
      </c>
      <c r="H340" s="114">
        <f>_xlfn.XLOOKUP(Table1[[#This Row],[Shipment Number]], 'pivot '!A:A,'pivot '!G:G, "NF")</f>
        <v>2.6221460528300895</v>
      </c>
      <c r="I340" s="115">
        <f>Table1[[#This Row],[Tiyaar/gaz]]/1.0936</f>
        <v>27427.761521580105</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0" s="119">
        <f>Table1[[#This Row],[billing]]/Table1[[#This Row],[tiyar/meters]]</f>
        <v>10</v>
      </c>
    </row>
    <row r="341" spans="1:13" hidden="1" x14ac:dyDescent="0.3">
      <c r="A341" s="118">
        <v>46266</v>
      </c>
      <c r="B341" s="116" t="s">
        <v>1309</v>
      </c>
      <c r="C341" s="113">
        <v>1871</v>
      </c>
      <c r="D341" s="113" t="s">
        <v>85</v>
      </c>
      <c r="E341" s="11">
        <v>2235</v>
      </c>
      <c r="F341" s="11">
        <v>55950</v>
      </c>
      <c r="G341" s="11">
        <v>18433</v>
      </c>
      <c r="H341" s="114">
        <f>_xlfn.XLOOKUP(Table1[[#This Row],[Shipment Number]], 'pivot '!A:A,'pivot '!G:G, "NF")</f>
        <v>-54.361422343206698</v>
      </c>
      <c r="I341" s="115">
        <f>Table1[[#This Row],[Tiyaar/gaz]]/1.0936</f>
        <v>16855.340160936357</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1" s="119">
        <f>Table1[[#This Row],[billing]]/Table1[[#This Row],[tiyar/meters]]</f>
        <v>10</v>
      </c>
    </row>
    <row r="342" spans="1:13" hidden="1" x14ac:dyDescent="0.3">
      <c r="A342" s="118">
        <v>46266</v>
      </c>
      <c r="B342" s="116" t="s">
        <v>1309</v>
      </c>
      <c r="C342" s="113">
        <v>1872</v>
      </c>
      <c r="D342" s="113" t="s">
        <v>85</v>
      </c>
      <c r="E342" s="11">
        <v>2235</v>
      </c>
      <c r="F342" s="11">
        <v>55950</v>
      </c>
      <c r="G342" s="11">
        <v>25650</v>
      </c>
      <c r="H342" s="114">
        <f>_xlfn.XLOOKUP(Table1[[#This Row],[Shipment Number]], 'pivot '!A:A,'pivot '!G:G, "NF")</f>
        <v>-54.361422343206698</v>
      </c>
      <c r="I342" s="115">
        <f>Table1[[#This Row],[Tiyaar/gaz]]/1.0936</f>
        <v>23454.645208485737</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2" s="119">
        <f>Table1[[#This Row],[billing]]/Table1[[#This Row],[tiyar/meters]]</f>
        <v>10</v>
      </c>
    </row>
    <row r="343" spans="1:13" hidden="1" x14ac:dyDescent="0.3">
      <c r="A343" s="118">
        <v>46266</v>
      </c>
      <c r="B343" s="116" t="s">
        <v>21</v>
      </c>
      <c r="C343" s="113" t="s">
        <v>1311</v>
      </c>
      <c r="D343" s="113" t="s">
        <v>85</v>
      </c>
      <c r="E343" s="11">
        <v>2235</v>
      </c>
      <c r="F343" s="11"/>
      <c r="G343" s="11">
        <v>2206</v>
      </c>
      <c r="H343" s="114">
        <f>_xlfn.XLOOKUP(Table1[[#This Row],[Shipment Number]], 'pivot '!A:A,'pivot '!G:G, "NF")</f>
        <v>-54.361422343206698</v>
      </c>
      <c r="I343" s="115">
        <f>Table1[[#This Row],[Tiyaar/gaz]]/1.0936</f>
        <v>2017.1909290416972</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3" s="119">
        <f>Table1[[#This Row],[billing]]/Table1[[#This Row],[tiyar/meters]]</f>
        <v>10</v>
      </c>
    </row>
    <row r="344" spans="1:13" hidden="1" x14ac:dyDescent="0.3">
      <c r="A344" s="118">
        <v>46266</v>
      </c>
      <c r="B344" s="116" t="s">
        <v>21</v>
      </c>
      <c r="C344" s="113" t="s">
        <v>1310</v>
      </c>
      <c r="D344" s="113" t="s">
        <v>85</v>
      </c>
      <c r="E344" s="11">
        <v>2234</v>
      </c>
      <c r="F344" s="11"/>
      <c r="G344" s="11">
        <v>13164</v>
      </c>
      <c r="H344" s="114">
        <f>_xlfn.XLOOKUP(Table1[[#This Row],[Shipment Number]], 'pivot '!A:A,'pivot '!G:G, "NF")</f>
        <v>2.6221460528300895</v>
      </c>
      <c r="I344" s="115">
        <f>Table1[[#This Row],[Tiyaar/gaz]]/1.0936</f>
        <v>12037.307973664962</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4" s="119">
        <f>Table1[[#This Row],[billing]]/Table1[[#This Row],[tiyar/meters]]</f>
        <v>10</v>
      </c>
    </row>
    <row r="345" spans="1:13" hidden="1" x14ac:dyDescent="0.3">
      <c r="A345" s="118">
        <v>46266</v>
      </c>
      <c r="B345" s="116" t="s">
        <v>997</v>
      </c>
      <c r="C345" s="113">
        <v>1874</v>
      </c>
      <c r="D345" s="113" t="s">
        <v>86</v>
      </c>
      <c r="E345" s="11">
        <v>2304</v>
      </c>
      <c r="F345" s="11">
        <v>2056</v>
      </c>
      <c r="G345" s="11">
        <v>2165</v>
      </c>
      <c r="H345" s="114">
        <f>_xlfn.XLOOKUP(Table1[[#This Row],[Shipment Number]], 'pivot '!A:A,'pivot '!G:G, "NF")</f>
        <v>3.7110859361434905</v>
      </c>
      <c r="I345" s="115">
        <f>Table1[[#This Row],[Tiyaar/gaz]]/1.0936</f>
        <v>1979.7000731528897</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5" s="119">
        <f>Table1[[#This Row],[billing]]/Table1[[#This Row],[tiyar/meters]]</f>
        <v>12</v>
      </c>
      <c r="M345" s="10">
        <v>956460</v>
      </c>
    </row>
    <row r="346" spans="1:13" hidden="1" x14ac:dyDescent="0.3">
      <c r="A346" s="118">
        <v>46266</v>
      </c>
      <c r="B346" s="116"/>
      <c r="C346" s="132">
        <v>1875</v>
      </c>
      <c r="D346" s="132"/>
      <c r="E346" s="11"/>
      <c r="F346" s="11"/>
      <c r="G346" s="11"/>
      <c r="H346" s="114" t="e">
        <f>_xlfn.XLOOKUP(Table1[[#This Row],[Shipment Number]], 'pivot '!A:A,'pivot '!G:G, "NF")</f>
        <v>#DIV/0!</v>
      </c>
      <c r="I346" s="115"/>
      <c r="J346" s="115"/>
      <c r="K346" s="119" t="e">
        <f>Table1[[#This Row],[billing]]/Table1[[#This Row],[tiyar/meters]]</f>
        <v>#DIV/0!</v>
      </c>
      <c r="M346" s="10">
        <v>153675</v>
      </c>
    </row>
    <row r="347" spans="1:13" hidden="1" x14ac:dyDescent="0.3">
      <c r="A347" s="142">
        <v>46277</v>
      </c>
      <c r="B347" s="119" t="s">
        <v>1316</v>
      </c>
      <c r="C347" s="202">
        <v>1876</v>
      </c>
      <c r="D347" s="202" t="s">
        <v>86</v>
      </c>
      <c r="E347" s="203">
        <v>2312</v>
      </c>
      <c r="F347" s="203">
        <v>26349</v>
      </c>
      <c r="G347" s="203">
        <v>28033</v>
      </c>
      <c r="H347" s="120">
        <f>_xlfn.XLOOKUP(Table1[[#This Row],[Shipment Number]], 'pivot '!A:A,'pivot '!G:G, "NF")</f>
        <v>2.7147637267722615</v>
      </c>
      <c r="I347" s="115">
        <f>Table1[[#This Row],[Tiyaar/gaz]]/1.0936</f>
        <v>25633.686905632774</v>
      </c>
      <c r="J347" s="115"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9">
        <f>Table1[[#This Row],[billing]]/Table1[[#This Row],[tiyar/meters]]</f>
        <v>12</v>
      </c>
      <c r="M347" s="10">
        <v>216750</v>
      </c>
    </row>
    <row r="348" spans="1:13" hidden="1" x14ac:dyDescent="0.3">
      <c r="A348" s="142">
        <v>46277</v>
      </c>
      <c r="B348" s="116" t="s">
        <v>441</v>
      </c>
      <c r="C348" s="113">
        <v>1877</v>
      </c>
      <c r="D348" s="202" t="s">
        <v>447</v>
      </c>
      <c r="E348" s="83" t="s">
        <v>1313</v>
      </c>
      <c r="F348" s="83">
        <v>9961</v>
      </c>
      <c r="G348" s="83">
        <v>9950</v>
      </c>
      <c r="H348" s="120">
        <f>_xlfn.XLOOKUP(Table1[[#This Row],[Shipment Number]], 'pivot '!A:A,'pivot '!G:G, "NF")</f>
        <v>8.6598671174566846</v>
      </c>
      <c r="I348" s="115">
        <f>Table1[[#This Row],[Tiyaar/gaz]]/1.0936</f>
        <v>9098.3906364301401</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9">
        <f>Table1[[#This Row],[billing]]/Table1[[#This Row],[tiyar/meters]]</f>
        <v>14.999999999999998</v>
      </c>
      <c r="M348" s="10">
        <v>210285</v>
      </c>
    </row>
    <row r="349" spans="1:13" hidden="1" x14ac:dyDescent="0.3">
      <c r="A349" s="142">
        <v>46277</v>
      </c>
      <c r="B349" s="116" t="s">
        <v>1309</v>
      </c>
      <c r="C349" s="202">
        <v>1878</v>
      </c>
      <c r="D349" s="202" t="s">
        <v>85</v>
      </c>
      <c r="E349" s="83">
        <v>2235</v>
      </c>
      <c r="F349" s="83">
        <v>55950</v>
      </c>
      <c r="G349" s="83">
        <v>15332</v>
      </c>
      <c r="H349" s="120">
        <f>_xlfn.XLOOKUP(Table1[[#This Row],[Shipment Number]], 'pivot '!A:A,'pivot '!G:G, "NF")</f>
        <v>-54.361422343206698</v>
      </c>
      <c r="I349" s="115">
        <f>Table1[[#This Row],[Tiyaar/gaz]]/1.0936</f>
        <v>14019.751280175567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9">
        <f>Table1[[#This Row],[billing]]/Table1[[#This Row],[tiyar/meters]]</f>
        <v>10</v>
      </c>
      <c r="M349" s="10">
        <v>54480</v>
      </c>
    </row>
    <row r="350" spans="1:13" hidden="1" x14ac:dyDescent="0.3">
      <c r="A350" s="142">
        <v>46277</v>
      </c>
      <c r="B350" s="119" t="s">
        <v>24</v>
      </c>
      <c r="C350" s="113">
        <v>1879</v>
      </c>
      <c r="D350" s="202" t="s">
        <v>86</v>
      </c>
      <c r="E350" s="203">
        <v>2287</v>
      </c>
      <c r="F350" s="83">
        <v>25204</v>
      </c>
      <c r="G350" s="83">
        <v>24082</v>
      </c>
      <c r="H350" s="120">
        <f>_xlfn.XLOOKUP(Table1[[#This Row],[Shipment Number]], 'pivot '!A:A,'pivot '!G:G, "NF")</f>
        <v>2.8229573527129048</v>
      </c>
      <c r="I350" s="115">
        <f>Table1[[#This Row],[Tiyaar/gaz]]/1.0936</f>
        <v>22020.848573518655</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9">
        <f>Table1[[#This Row],[billing]]/Table1[[#This Row],[tiyar/meters]]</f>
        <v>11</v>
      </c>
      <c r="M350" s="10">
        <v>17000</v>
      </c>
    </row>
    <row r="351" spans="1:13" hidden="1" x14ac:dyDescent="0.3">
      <c r="A351" s="142">
        <v>46279</v>
      </c>
      <c r="B351" s="116" t="s">
        <v>24</v>
      </c>
      <c r="C351" s="202">
        <v>1880</v>
      </c>
      <c r="D351" s="202" t="s">
        <v>86</v>
      </c>
      <c r="E351" s="83">
        <v>2286</v>
      </c>
      <c r="F351" s="83">
        <v>45382</v>
      </c>
      <c r="G351" s="83">
        <v>40303</v>
      </c>
      <c r="H351" s="120">
        <f>_xlfn.XLOOKUP(Table1[[#This Row],[Shipment Number]], 'pivot '!A:A,'pivot '!G:G, "NF")</f>
        <v>8.4037392148974277</v>
      </c>
      <c r="I351" s="115">
        <f>Table1[[#This Row],[Tiyaar/gaz]]/1.0936</f>
        <v>36853.511338697885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9">
        <f>Table1[[#This Row],[billing]]/Table1[[#This Row],[tiyar/meters]]</f>
        <v>11</v>
      </c>
    </row>
    <row r="352" spans="1:13" hidden="1" x14ac:dyDescent="0.3">
      <c r="A352" s="142">
        <v>46279</v>
      </c>
      <c r="B352" s="116" t="s">
        <v>24</v>
      </c>
      <c r="C352" s="113">
        <v>1881</v>
      </c>
      <c r="D352" s="113" t="s">
        <v>86</v>
      </c>
      <c r="E352" s="11">
        <v>2286</v>
      </c>
      <c r="F352" s="11">
        <v>45382</v>
      </c>
      <c r="G352" s="11">
        <v>5156</v>
      </c>
      <c r="H352" s="120">
        <f>_xlfn.XLOOKUP(Table1[[#This Row],[Shipment Number]], 'pivot '!A:A,'pivot '!G:G, "NF")</f>
        <v>8.4037392148974277</v>
      </c>
      <c r="I352" s="115">
        <f>Table1[[#This Row],[Tiyaar/gaz]]/1.0936</f>
        <v>4714.7037307973669</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9">
        <f>Table1[[#This Row],[billing]]/Table1[[#This Row],[tiyar/meters]]</f>
        <v>11</v>
      </c>
    </row>
    <row r="353" spans="1:11" hidden="1" x14ac:dyDescent="0.3">
      <c r="A353" s="142">
        <v>46279</v>
      </c>
      <c r="B353" s="116" t="s">
        <v>24</v>
      </c>
      <c r="C353" s="202">
        <v>1882</v>
      </c>
      <c r="D353" s="113" t="s">
        <v>86</v>
      </c>
      <c r="E353" s="11">
        <v>2287</v>
      </c>
      <c r="F353" s="11">
        <v>25204</v>
      </c>
      <c r="G353" s="11">
        <v>2703</v>
      </c>
      <c r="H353" s="120">
        <f>_xlfn.XLOOKUP(Table1[[#This Row],[Shipment Number]], 'pivot '!A:A,'pivot '!G:G, "NF")</f>
        <v>2.8229573527129048</v>
      </c>
      <c r="I353" s="115">
        <f>Table1[[#This Row],[Tiyaar/gaz]]/1.0936</f>
        <v>2471.6532553035845</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9">
        <f>Table1[[#This Row],[billing]]/Table1[[#This Row],[tiyar/meters]]</f>
        <v>11</v>
      </c>
    </row>
    <row r="354" spans="1:11" hidden="1" x14ac:dyDescent="0.3">
      <c r="A354" s="142">
        <v>46279</v>
      </c>
      <c r="B354" s="116" t="s">
        <v>24</v>
      </c>
      <c r="C354" s="113">
        <v>1883</v>
      </c>
      <c r="D354" s="113" t="s">
        <v>86</v>
      </c>
      <c r="E354" s="11">
        <v>2464</v>
      </c>
      <c r="F354" s="11">
        <v>2643</v>
      </c>
      <c r="G354" s="11">
        <v>2811</v>
      </c>
      <c r="H354" s="120">
        <f>_xlfn.XLOOKUP(Table1[[#This Row],[Shipment Number]], 'pivot '!A:A,'pivot '!G:G, "NF")</f>
        <v>2.7465131978274968</v>
      </c>
      <c r="I354" s="115">
        <f>Table1[[#This Row],[Tiyaar/gaz]]/1.0936</f>
        <v>2570.4096561814195</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9">
        <f>Table1[[#This Row],[billing]]/Table1[[#This Row],[tiyar/meters]]</f>
        <v>11</v>
      </c>
    </row>
    <row r="355" spans="1:11" hidden="1" x14ac:dyDescent="0.3">
      <c r="A355" s="142">
        <v>46279</v>
      </c>
      <c r="B355" s="116" t="s">
        <v>258</v>
      </c>
      <c r="C355" s="202">
        <v>1884</v>
      </c>
      <c r="D355" s="113" t="s">
        <v>86</v>
      </c>
      <c r="E355" s="11">
        <v>2311</v>
      </c>
      <c r="F355" s="11">
        <v>47453</v>
      </c>
      <c r="G355" s="11">
        <v>38834</v>
      </c>
      <c r="H355" s="120">
        <f>_xlfn.XLOOKUP(Table1[[#This Row],[Shipment Number]], 'pivot '!A:A,'pivot '!G:G, "NF")</f>
        <v>2.500454343990242</v>
      </c>
      <c r="I355" s="115">
        <f>Table1[[#This Row],[Tiyaar/gaz]]/1.0936</f>
        <v>35510.241404535482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9">
        <f>Table1[[#This Row],[billing]]/Table1[[#This Row],[tiyar/meters]]</f>
        <v>13</v>
      </c>
    </row>
    <row r="356" spans="1:11" hidden="1" x14ac:dyDescent="0.3">
      <c r="A356" s="142">
        <v>46279</v>
      </c>
      <c r="B356" s="116" t="s">
        <v>258</v>
      </c>
      <c r="C356" s="113">
        <v>1885</v>
      </c>
      <c r="D356" s="113" t="s">
        <v>86</v>
      </c>
      <c r="E356" s="11">
        <v>2311</v>
      </c>
      <c r="F356" s="11">
        <v>47453</v>
      </c>
      <c r="G356" s="11">
        <v>11763</v>
      </c>
      <c r="H356" s="120">
        <f>_xlfn.XLOOKUP(Table1[[#This Row],[Shipment Number]], 'pivot '!A:A,'pivot '!G:G, "NF")</f>
        <v>2.500454343990242</v>
      </c>
      <c r="I356" s="115">
        <f>Table1[[#This Row],[Tiyaar/gaz]]/1.0936</f>
        <v>10756.217995610828</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9">
        <f>Table1[[#This Row],[billing]]/Table1[[#This Row],[tiyar/meters]]</f>
        <v>13</v>
      </c>
    </row>
    <row r="357" spans="1:11" hidden="1" x14ac:dyDescent="0.3">
      <c r="A357" s="142">
        <v>46279</v>
      </c>
      <c r="B357" s="116" t="s">
        <v>24</v>
      </c>
      <c r="C357" s="202">
        <v>1886</v>
      </c>
      <c r="D357" s="113" t="s">
        <v>86</v>
      </c>
      <c r="E357" s="11">
        <v>2279</v>
      </c>
      <c r="F357" s="11">
        <v>32210</v>
      </c>
      <c r="G357" s="11">
        <v>34147</v>
      </c>
      <c r="H357" s="120">
        <f>_xlfn.XLOOKUP(Table1[[#This Row],[Shipment Number]], 'pivot '!A:A,'pivot '!G:G, "NF")</f>
        <v>3.0599301811198245</v>
      </c>
      <c r="I357" s="115">
        <f>Table1[[#This Row],[Tiyaar/gaz]]/1.0936</f>
        <v>31224.396488661303</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9">
        <f>Table1[[#This Row],[billing]]/Table1[[#This Row],[tiyar/meters]]</f>
        <v>11</v>
      </c>
    </row>
    <row r="358" spans="1:11" x14ac:dyDescent="0.3">
      <c r="A358" s="118">
        <v>46280</v>
      </c>
      <c r="B358" s="116" t="s">
        <v>176</v>
      </c>
      <c r="C358" s="113">
        <v>1887</v>
      </c>
      <c r="D358" s="113" t="s">
        <v>85</v>
      </c>
      <c r="E358" s="11">
        <v>2313</v>
      </c>
      <c r="F358" s="11">
        <v>42978</v>
      </c>
      <c r="G358" s="11">
        <v>42500</v>
      </c>
      <c r="H358" s="120">
        <f>_xlfn.XLOOKUP(Table1[[#This Row],[Shipment Number]], 'pivot '!A:A,'pivot '!G:G, "NF")</f>
        <v>2.3930278137232932</v>
      </c>
      <c r="I358" s="115">
        <f>Table1[[#This Row],[Tiyaar/gaz]]/1.0936</f>
        <v>38862.472567666424</v>
      </c>
      <c r="J358" s="115"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388624.72567666427</v>
      </c>
      <c r="K358" s="119">
        <f>Table1[[#This Row],[billing]]/Table1[[#This Row],[tiyar/meters]]</f>
        <v>10</v>
      </c>
    </row>
    <row r="359" spans="1:11" hidden="1" x14ac:dyDescent="0.3">
      <c r="A359" s="118">
        <v>46280</v>
      </c>
      <c r="B359" s="116" t="s">
        <v>176</v>
      </c>
      <c r="C359" s="202">
        <v>1888</v>
      </c>
      <c r="D359" s="113" t="s">
        <v>86</v>
      </c>
      <c r="E359" s="11">
        <v>2285</v>
      </c>
      <c r="F359" s="11">
        <v>10305</v>
      </c>
      <c r="G359" s="11">
        <v>10853</v>
      </c>
      <c r="H359" s="120">
        <f>_xlfn.XLOOKUP(Table1[[#This Row],[Shipment Number]], 'pivot '!A:A,'pivot '!G:G, "NF")</f>
        <v>3.696226326024771</v>
      </c>
      <c r="I359" s="115">
        <f>Table1[[#This Row],[Tiyaar/gaz]]/1.0936</f>
        <v>9924.1038771031472</v>
      </c>
      <c r="J359" s="115" cm="1">
        <f t="array" ref="J35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119089.24652523777</v>
      </c>
      <c r="K359" s="119">
        <f>Table1[[#This Row],[billing]]/Table1[[#This Row],[tiyar/meters]]</f>
        <v>12</v>
      </c>
    </row>
    <row r="360" spans="1:11" hidden="1" x14ac:dyDescent="0.3">
      <c r="A360" s="118">
        <v>46280</v>
      </c>
      <c r="B360" s="116" t="s">
        <v>176</v>
      </c>
      <c r="C360" s="113">
        <v>1889</v>
      </c>
      <c r="D360" s="113" t="s">
        <v>206</v>
      </c>
      <c r="E360" s="11">
        <v>2284</v>
      </c>
      <c r="F360" s="11">
        <v>37255</v>
      </c>
      <c r="G360" s="11">
        <v>39253</v>
      </c>
      <c r="H360" s="120">
        <f>_xlfn.XLOOKUP(Table1[[#This Row],[Shipment Number]], 'pivot '!A:A,'pivot '!G:G, "NF")</f>
        <v>3.6548660220192914</v>
      </c>
      <c r="I360" s="115">
        <f>Table1[[#This Row],[Tiyaar/gaz]]/1.0936</f>
        <v>35893.379663496715</v>
      </c>
      <c r="J360" s="115"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9">
        <f>Table1[[#This Row],[billing]]/Table1[[#This Row],[tiyar/meters]]</f>
        <v>11</v>
      </c>
    </row>
    <row r="361" spans="1:11" hidden="1" x14ac:dyDescent="0.3">
      <c r="A361" s="118">
        <v>46280</v>
      </c>
      <c r="B361" s="116" t="s">
        <v>21</v>
      </c>
      <c r="C361" s="202">
        <v>1890</v>
      </c>
      <c r="D361" s="113" t="s">
        <v>86</v>
      </c>
      <c r="E361" s="11" t="s">
        <v>1315</v>
      </c>
      <c r="F361" s="11">
        <v>52169</v>
      </c>
      <c r="G361" s="11">
        <v>39357</v>
      </c>
      <c r="H361" s="120">
        <f>_xlfn.XLOOKUP(Table1[[#This Row],[Shipment Number]], 'pivot '!A:A,'pivot '!G:G, "NF")</f>
        <v>31.015586996305103</v>
      </c>
      <c r="I361" s="115">
        <f>Table1[[#This Row],[Tiyaar/gaz]]/1.0936</f>
        <v>35988.47841989759</v>
      </c>
      <c r="J361" s="115"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9">
        <f>Table1[[#This Row],[billing]]/Table1[[#This Row],[tiyar/meters]]</f>
        <v>12</v>
      </c>
    </row>
    <row r="362" spans="1:11" hidden="1" x14ac:dyDescent="0.3">
      <c r="A362" s="118">
        <v>46280</v>
      </c>
      <c r="B362" s="116" t="s">
        <v>24</v>
      </c>
      <c r="C362" s="113">
        <v>1891</v>
      </c>
      <c r="D362" s="113" t="s">
        <v>998</v>
      </c>
      <c r="E362" s="11">
        <v>2298</v>
      </c>
      <c r="F362" s="11">
        <v>15382</v>
      </c>
      <c r="G362" s="11">
        <v>5467</v>
      </c>
      <c r="H362" s="120">
        <f>_xlfn.XLOOKUP(Table1[[#This Row],[Shipment Number]], 'pivot '!A:A,'pivot '!G:G, "NF")</f>
        <v>6.4544703396943959</v>
      </c>
      <c r="I362" s="115">
        <f>Table1[[#This Row],[Tiyaar/gaz]]/1.0936</f>
        <v>4999.085588880761</v>
      </c>
      <c r="J362" s="115"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9">
        <f>Table1[[#This Row],[billing]]/Table1[[#This Row],[tiyar/meters]]</f>
        <v>15.000000000000002</v>
      </c>
    </row>
    <row r="363" spans="1:11" hidden="1" x14ac:dyDescent="0.3">
      <c r="A363" s="118">
        <v>46280</v>
      </c>
      <c r="B363" s="116" t="s">
        <v>24</v>
      </c>
      <c r="C363" s="202">
        <v>1892</v>
      </c>
      <c r="D363" s="113" t="s">
        <v>998</v>
      </c>
      <c r="E363" s="11">
        <v>2302</v>
      </c>
      <c r="F363" s="11">
        <v>14134</v>
      </c>
      <c r="G363" s="11">
        <v>7594</v>
      </c>
      <c r="H363" s="120">
        <f>_xlfn.XLOOKUP(Table1[[#This Row],[Shipment Number]], 'pivot '!A:A,'pivot '!G:G, "NF")</f>
        <v>5.2593998150630199</v>
      </c>
      <c r="I363" s="115">
        <f>Table1[[#This Row],[Tiyaar/gaz]]/1.0936</f>
        <v>6944.0380395025613</v>
      </c>
      <c r="J363" s="115"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9">
        <f>Table1[[#This Row],[billing]]/Table1[[#This Row],[tiyar/meters]]</f>
        <v>15</v>
      </c>
    </row>
    <row r="364" spans="1:11" hidden="1" x14ac:dyDescent="0.3">
      <c r="A364" s="118">
        <v>46280</v>
      </c>
      <c r="B364" s="116" t="s">
        <v>24</v>
      </c>
      <c r="C364" s="113">
        <v>1893</v>
      </c>
      <c r="D364" s="113" t="s">
        <v>998</v>
      </c>
      <c r="E364" s="11">
        <v>2315</v>
      </c>
      <c r="F364" s="11">
        <v>10736</v>
      </c>
      <c r="G364" s="11">
        <v>10564</v>
      </c>
      <c r="H364" s="120">
        <f>_xlfn.XLOOKUP(Table1[[#This Row],[Shipment Number]], 'pivot '!A:A,'pivot '!G:G, "NF")</f>
        <v>10.023853729107529</v>
      </c>
      <c r="I364" s="115">
        <f>Table1[[#This Row],[Tiyaar/gaz]]/1.0936</f>
        <v>9659.839063643014</v>
      </c>
      <c r="J364" s="115"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9">
        <f>Table1[[#This Row],[billing]]/Table1[[#This Row],[tiyar/meters]]</f>
        <v>15</v>
      </c>
    </row>
    <row r="365" spans="1:11" x14ac:dyDescent="0.3">
      <c r="A365" s="118">
        <v>46280</v>
      </c>
      <c r="B365" s="116" t="s">
        <v>176</v>
      </c>
      <c r="C365" s="202">
        <v>1894</v>
      </c>
      <c r="D365" s="113" t="s">
        <v>85</v>
      </c>
      <c r="E365" s="11">
        <v>2313</v>
      </c>
      <c r="F365" s="11">
        <v>42978</v>
      </c>
      <c r="G365" s="11">
        <v>3376</v>
      </c>
      <c r="H365" s="120">
        <f>_xlfn.XLOOKUP(Table1[[#This Row],[Shipment Number]], 'pivot '!A:A,'pivot '!G:G, "NF")</f>
        <v>2.3930278137232932</v>
      </c>
      <c r="I365" s="115">
        <f>Table1[[#This Row],[Tiyaar/gaz]]/1.0936</f>
        <v>3087.0519385515731</v>
      </c>
      <c r="J365" s="115"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30870.51938551573</v>
      </c>
      <c r="K365" s="119">
        <f>Table1[[#This Row],[billing]]/Table1[[#This Row],[tiyar/meters]]</f>
        <v>10</v>
      </c>
    </row>
    <row r="366" spans="1:11" hidden="1" x14ac:dyDescent="0.3">
      <c r="A366" s="118">
        <v>46282</v>
      </c>
      <c r="B366" s="116" t="s">
        <v>21</v>
      </c>
      <c r="C366" s="113">
        <v>1895</v>
      </c>
      <c r="D366" s="113" t="s">
        <v>86</v>
      </c>
      <c r="E366" s="11" t="s">
        <v>1314</v>
      </c>
      <c r="F366" s="11">
        <v>52169</v>
      </c>
      <c r="G366" s="11">
        <v>15828</v>
      </c>
      <c r="H366" s="120">
        <f>_xlfn.XLOOKUP(Table1[[#This Row],[Shipment Number]], 'pivot '!A:A,'pivot '!G:G, "NF")</f>
        <v>72.256897400145263</v>
      </c>
      <c r="I366" s="115">
        <f>Table1[[#This Row],[Tiyaar/gaz]]/1.0936</f>
        <v>14473.299195318215</v>
      </c>
      <c r="J366" s="115"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9">
        <f>Table1[[#This Row],[billing]]/Table1[[#This Row],[tiyar/meters]]</f>
        <v>12</v>
      </c>
    </row>
    <row r="367" spans="1:11" hidden="1" x14ac:dyDescent="0.3">
      <c r="A367" s="118">
        <v>46280</v>
      </c>
      <c r="B367" s="116" t="s">
        <v>21</v>
      </c>
      <c r="C367" s="202">
        <v>1896</v>
      </c>
      <c r="D367" s="113" t="s">
        <v>274</v>
      </c>
      <c r="E367" s="11">
        <v>2314</v>
      </c>
      <c r="F367" s="11">
        <v>1567</v>
      </c>
      <c r="G367" s="11">
        <v>1641</v>
      </c>
      <c r="H367" s="120">
        <f>_xlfn.XLOOKUP(Table1[[#This Row],[Shipment Number]], 'pivot '!A:A,'pivot '!G:G, "NF")</f>
        <v>4.2406734734177576</v>
      </c>
      <c r="I367" s="115">
        <f>Table1[[#This Row],[Tiyaar/gaz]]/1.0936</f>
        <v>1500.5486466715436</v>
      </c>
      <c r="J367" s="115"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9">
        <f>Table1[[#This Row],[billing]]/Table1[[#This Row],[tiyar/meters]]</f>
        <v>12</v>
      </c>
    </row>
    <row r="368" spans="1:11" hidden="1" x14ac:dyDescent="0.3">
      <c r="A368" s="118">
        <v>46280</v>
      </c>
      <c r="B368" s="116" t="s">
        <v>997</v>
      </c>
      <c r="C368" s="113">
        <v>1897</v>
      </c>
      <c r="D368" s="113" t="s">
        <v>998</v>
      </c>
      <c r="E368" s="11">
        <v>2318</v>
      </c>
      <c r="F368" s="11">
        <v>27476</v>
      </c>
      <c r="G368" s="11">
        <v>6754</v>
      </c>
      <c r="H368" s="120">
        <f>_xlfn.XLOOKUP(Table1[[#This Row],[Shipment Number]], 'pivot '!A:A,'pivot '!G:G, "NF")</f>
        <v>77.522446137204739</v>
      </c>
      <c r="I368" s="115">
        <f>Table1[[#This Row],[Tiyaar/gaz]]/1.0936</f>
        <v>6175.9326993416244</v>
      </c>
      <c r="J368" s="115"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9">
        <f>Table1[[#This Row],[billing]]/Table1[[#This Row],[tiyar/meters]]</f>
        <v>15.000000000000002</v>
      </c>
    </row>
    <row r="369" spans="1:11" hidden="1" x14ac:dyDescent="0.3">
      <c r="A369" s="118">
        <v>46280</v>
      </c>
      <c r="B369" s="116" t="s">
        <v>176</v>
      </c>
      <c r="C369" s="202">
        <v>1898</v>
      </c>
      <c r="D369" s="113" t="s">
        <v>206</v>
      </c>
      <c r="E369" s="11">
        <v>2292</v>
      </c>
      <c r="F369" s="11">
        <v>49260</v>
      </c>
      <c r="G369" s="11">
        <v>41188</v>
      </c>
      <c r="H369" s="120">
        <f>_xlfn.XLOOKUP(Table1[[#This Row],[Shipment Number]], 'pivot '!A:A,'pivot '!G:G, "NF")</f>
        <v>3.2016195212183476</v>
      </c>
      <c r="I369" s="115">
        <f>Table1[[#This Row],[Tiyaar/gaz]]/1.0936</f>
        <v>37662.765179224582</v>
      </c>
      <c r="J369" s="115">
        <f>Table1[[#This Row],[tiyar/meters]]*12</f>
        <v>451953.18215069501</v>
      </c>
      <c r="K369" s="119">
        <f>Table1[[#This Row],[billing]]/Table1[[#This Row],[tiyar/meters]]</f>
        <v>12</v>
      </c>
    </row>
    <row r="370" spans="1:11" hidden="1" x14ac:dyDescent="0.3">
      <c r="A370" s="118">
        <v>46280</v>
      </c>
      <c r="B370" s="116" t="s">
        <v>176</v>
      </c>
      <c r="C370" s="113">
        <v>1899</v>
      </c>
      <c r="D370" s="113" t="s">
        <v>206</v>
      </c>
      <c r="E370" s="11">
        <v>2292</v>
      </c>
      <c r="F370" s="11">
        <v>49260</v>
      </c>
      <c r="G370" s="11">
        <v>10958</v>
      </c>
      <c r="H370" s="120">
        <f>_xlfn.XLOOKUP(Table1[[#This Row],[Shipment Number]], 'pivot '!A:A,'pivot '!G:G, "NF")</f>
        <v>3.2016195212183476</v>
      </c>
      <c r="I370" s="115">
        <f>Table1[[#This Row],[Tiyaar/gaz]]/1.0936</f>
        <v>10020.117044623263</v>
      </c>
      <c r="J370" s="115">
        <f>Table1[[#This Row],[tiyar/meters]]*12</f>
        <v>120241.40453547915</v>
      </c>
      <c r="K370" s="119">
        <f>Table1[[#This Row],[billing]]/Table1[[#This Row],[tiyar/meters]]</f>
        <v>12</v>
      </c>
    </row>
    <row r="371" spans="1:11" hidden="1" x14ac:dyDescent="0.3">
      <c r="A371" s="118">
        <v>46280</v>
      </c>
      <c r="B371" s="116" t="s">
        <v>997</v>
      </c>
      <c r="C371" s="202">
        <v>1900</v>
      </c>
      <c r="D371" s="113"/>
      <c r="E371" s="11"/>
      <c r="F371" s="11"/>
      <c r="G371" s="11"/>
      <c r="H371" s="120" t="e">
        <f>_xlfn.XLOOKUP(Table1[[#This Row],[Shipment Number]], 'pivot '!A:A,'pivot '!G:G, "NF")</f>
        <v>#DIV/0!</v>
      </c>
      <c r="I371" s="170"/>
      <c r="J371" s="115"/>
      <c r="K371" s="113"/>
    </row>
    <row r="372" spans="1:11" hidden="1" x14ac:dyDescent="0.3">
      <c r="A372" s="118">
        <v>46280</v>
      </c>
      <c r="B372" s="116" t="s">
        <v>997</v>
      </c>
      <c r="C372" s="113">
        <v>1901</v>
      </c>
      <c r="D372" s="113" t="s">
        <v>998</v>
      </c>
      <c r="E372" s="11"/>
      <c r="F372" s="11">
        <v>27467</v>
      </c>
      <c r="G372" s="11"/>
      <c r="H372" s="120" t="e">
        <f>_xlfn.XLOOKUP(Table1[[#This Row],[Shipment Number]], 'pivot '!A:A,'pivot '!G:G, "NF")</f>
        <v>#DIV/0!</v>
      </c>
      <c r="I372" s="170"/>
      <c r="J372" s="115"/>
      <c r="K372" s="113"/>
    </row>
    <row r="373" spans="1:11" hidden="1" x14ac:dyDescent="0.3">
      <c r="A373" s="118">
        <v>46280</v>
      </c>
      <c r="B373" s="116" t="s">
        <v>997</v>
      </c>
      <c r="C373" s="113">
        <v>1902</v>
      </c>
      <c r="D373" s="113" t="s">
        <v>998</v>
      </c>
      <c r="E373" s="11"/>
      <c r="F373" s="11"/>
      <c r="G373" s="11"/>
      <c r="H373" s="120" t="e">
        <f>_xlfn.XLOOKUP(Table1[[#This Row],[Shipment Number]], 'pivot '!A:A,'pivot '!G:G, "NF")</f>
        <v>#DIV/0!</v>
      </c>
      <c r="I373" s="170"/>
      <c r="J373" s="115"/>
      <c r="K373" s="113"/>
    </row>
    <row r="374" spans="1:11" x14ac:dyDescent="0.3">
      <c r="A374"/>
      <c r="B374"/>
      <c r="C374"/>
      <c r="D374"/>
      <c r="E374" s="14"/>
      <c r="F374" s="14"/>
      <c r="G374" s="14"/>
      <c r="H374" s="43"/>
      <c r="I374" s="93" cm="1">
        <f t="array" aca="1" ref="I374" ca="1">SUMPRODUCT( SUBTOTAL(109, OFFSET(Table1[tiyar/meters], ROW(Table1[tiyar/meters])-MIN(ROW(Table1[tiyar/meters])), 0, 1)), --(Table1[Bill Number]&lt;&gt;"Closing CF"),--(Table1[Shipment Number]&lt;&gt;"RD") )</f>
        <v>41949.524506217997</v>
      </c>
      <c r="J374" s="43" cm="1">
        <f t="array" aca="1" ref="J374" ca="1">SUMPRODUCT( SUBTOTAL(109, OFFSET(Table1[billing], ROW(Table1[billing])-MIN(ROW(Table1[billing])), 0, 1)), --(Table1[Bill Number]&lt;&gt;"Closing CF"),--(Table1[Shipment Number]&lt;&gt;"RD") )</f>
        <v>419495.24506217998</v>
      </c>
      <c r="K374" s="14">
        <f>SUMIFS(Table1[billing], Table1[Bill Number], "&lt;&gt;January Closing CF")</f>
        <v>187330300.55837601</v>
      </c>
    </row>
  </sheetData>
  <phoneticPr fontId="7" alignment="center"/>
  <conditionalFormatting sqref="H2:H374">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908</v>
      </c>
      <c r="I1" t="s">
        <v>909</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7"/>
  <sheetViews>
    <sheetView topLeftCell="A89" zoomScale="107" zoomScaleNormal="115" workbookViewId="0">
      <selection activeCell="A111" sqref="A11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20690405</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826</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960</v>
      </c>
      <c r="F106" s="11"/>
      <c r="G106" s="11">
        <f t="shared" si="7"/>
        <v>224640</v>
      </c>
      <c r="H106" s="11"/>
      <c r="I106" s="11">
        <f>(D106*E106)-Table3[[#This Row],[Paid]]</f>
        <v>224640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469615</v>
      </c>
      <c r="O109" s="14"/>
      <c r="P109" s="14">
        <v>469615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469615</v>
      </c>
      <c r="O110" s="14"/>
      <c r="P110" s="14">
        <v>469615</v>
      </c>
    </row>
    <row r="111" spans="1:16" x14ac:dyDescent="0.3">
      <c r="A111" s="1"/>
      <c r="D111" s="14"/>
      <c r="E111" s="14"/>
      <c r="F111" s="14"/>
      <c r="G111" s="14">
        <f>SUBTOTAL(109,Table3[Total])</f>
        <v>20690405</v>
      </c>
      <c r="H111" s="14">
        <f>SUBTOTAL(109,Table3[Paid])</f>
        <v>0</v>
      </c>
      <c r="I111" s="14">
        <f>SUBTOTAL(109,Table3[balance])</f>
        <v>24702479</v>
      </c>
      <c r="L111" s="26">
        <v>46278</v>
      </c>
      <c r="M111" s="14">
        <v>377</v>
      </c>
      <c r="N111" s="14">
        <v>377000</v>
      </c>
      <c r="O111" s="14"/>
      <c r="P111" s="14">
        <v>377000</v>
      </c>
    </row>
    <row r="112" spans="1:16" x14ac:dyDescent="0.3">
      <c r="L112" s="42" t="s">
        <v>103</v>
      </c>
      <c r="M112" s="14">
        <v>377</v>
      </c>
      <c r="N112" s="14">
        <v>377000</v>
      </c>
      <c r="O112" s="14"/>
      <c r="P112" s="14">
        <v>377000</v>
      </c>
    </row>
    <row r="113" spans="12:16" x14ac:dyDescent="0.3">
      <c r="L113" s="26">
        <v>46280</v>
      </c>
      <c r="M113" s="14">
        <v>448</v>
      </c>
      <c r="N113" s="14">
        <v>439560</v>
      </c>
      <c r="O113" s="14"/>
      <c r="P113" s="14">
        <v>439560</v>
      </c>
    </row>
    <row r="114" spans="12:16" x14ac:dyDescent="0.3">
      <c r="L114" s="42" t="s">
        <v>103</v>
      </c>
      <c r="M114" s="14">
        <v>448</v>
      </c>
      <c r="N114" s="14">
        <v>439560</v>
      </c>
      <c r="O114" s="14"/>
      <c r="P114" s="14">
        <v>439560</v>
      </c>
    </row>
    <row r="115" spans="12:16" x14ac:dyDescent="0.3">
      <c r="L115" s="26">
        <v>46281</v>
      </c>
      <c r="M115" s="14">
        <v>215</v>
      </c>
      <c r="N115" s="14">
        <v>206400</v>
      </c>
      <c r="O115" s="14"/>
      <c r="P115" s="14">
        <v>206400</v>
      </c>
    </row>
    <row r="116" spans="12:16" x14ac:dyDescent="0.3">
      <c r="L116" s="42" t="s">
        <v>103</v>
      </c>
      <c r="M116" s="14">
        <v>215</v>
      </c>
      <c r="N116" s="14">
        <v>206400</v>
      </c>
      <c r="O116" s="14"/>
      <c r="P116" s="14">
        <v>206400</v>
      </c>
    </row>
    <row r="117" spans="12:16" x14ac:dyDescent="0.3">
      <c r="L117" s="26" t="s">
        <v>28</v>
      </c>
      <c r="M117" s="14">
        <v>22037</v>
      </c>
      <c r="N117" s="14">
        <v>20690405</v>
      </c>
      <c r="O117" s="14">
        <v>0</v>
      </c>
      <c r="P117" s="14">
        <v>24702479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006"/>
  <sheetViews>
    <sheetView tabSelected="1" zoomScale="123" zoomScaleNormal="70" workbookViewId="0">
      <selection activeCell="A13" sqref="A1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68635685.680000007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68655345.229517192</v>
      </c>
      <c r="M5" s="45" t="s">
        <v>108</v>
      </c>
      <c r="N5" s="46">
        <f>(SUMIFS(Table14[Credit],Table14[Mode],"Bank")-SUMIFS(Table14[Debit],Table14[Mode],"Bank")-SUMIFS(Table14[Withdrawal],Table14[Mode],"Transfer"))</f>
        <v>2215308.5495171919</v>
      </c>
      <c r="O5">
        <v>360000</v>
      </c>
    </row>
    <row r="6" spans="1:16" x14ac:dyDescent="0.3">
      <c r="A6" s="85">
        <v>46111</v>
      </c>
      <c r="B6" s="80" t="s">
        <v>220</v>
      </c>
      <c r="C6" s="11">
        <v>949282</v>
      </c>
      <c r="D6" s="86"/>
      <c r="E6" s="80" t="s">
        <v>618</v>
      </c>
      <c r="F6" s="87" t="s">
        <v>108</v>
      </c>
      <c r="J6" s="52" t="s">
        <v>43</v>
      </c>
      <c r="K6" s="53">
        <f>(K5-K4)</f>
        <v>19659.549517184496</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1604392.5495171919</v>
      </c>
      <c r="O7" s="89">
        <f>SUM(O5,O6)</f>
        <v>410000</v>
      </c>
      <c r="P7" s="14">
        <f>Table18[[#Totals],[amount]]-Table18[[#Totals],[Actual]]</f>
        <v>1194392.5495171919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204">
        <v>46111</v>
      </c>
      <c r="B11" s="80" t="s">
        <v>654</v>
      </c>
      <c r="C11" s="11"/>
      <c r="D11" s="86">
        <v>357</v>
      </c>
      <c r="E11" s="80" t="s">
        <v>1323</v>
      </c>
      <c r="F11" s="87" t="s">
        <v>108</v>
      </c>
    </row>
    <row r="12" spans="1:16" x14ac:dyDescent="0.3">
      <c r="A12" s="204">
        <v>46111</v>
      </c>
      <c r="B12" s="80" t="s">
        <v>290</v>
      </c>
      <c r="C12" s="11">
        <v>357</v>
      </c>
      <c r="D12" s="86"/>
      <c r="E12" s="80" t="s">
        <v>654</v>
      </c>
      <c r="F12" s="87" t="s">
        <v>108</v>
      </c>
    </row>
    <row r="13" spans="1:16" x14ac:dyDescent="0.3">
      <c r="A13" s="111">
        <v>46113</v>
      </c>
      <c r="B13" t="s">
        <v>223</v>
      </c>
      <c r="C13" s="11"/>
      <c r="D13" s="11">
        <v>100000</v>
      </c>
      <c r="E13" t="s">
        <v>292</v>
      </c>
      <c r="F13" s="108" t="s">
        <v>108</v>
      </c>
    </row>
    <row r="14" spans="1:16" x14ac:dyDescent="0.3">
      <c r="A14" s="111">
        <v>46113</v>
      </c>
      <c r="B14" t="s">
        <v>55</v>
      </c>
      <c r="C14" s="95">
        <v>30000</v>
      </c>
      <c r="D14" s="95"/>
      <c r="E14" t="s">
        <v>293</v>
      </c>
      <c r="F14" s="108" t="s">
        <v>108</v>
      </c>
    </row>
    <row r="15" spans="1:16" x14ac:dyDescent="0.3">
      <c r="A15" s="111">
        <v>46113</v>
      </c>
      <c r="B15" t="s">
        <v>269</v>
      </c>
      <c r="C15" s="95">
        <v>40000</v>
      </c>
      <c r="D15" s="95"/>
      <c r="E15" t="s">
        <v>252</v>
      </c>
      <c r="F15" s="108" t="s">
        <v>108</v>
      </c>
    </row>
    <row r="16" spans="1:16" x14ac:dyDescent="0.3">
      <c r="A16" s="111">
        <v>46113</v>
      </c>
      <c r="B16" t="s">
        <v>244</v>
      </c>
      <c r="C16" s="95">
        <v>2000</v>
      </c>
      <c r="D16" s="95"/>
      <c r="E16" t="s">
        <v>294</v>
      </c>
      <c r="F16" s="108" t="s">
        <v>108</v>
      </c>
    </row>
    <row r="17" spans="1:6" x14ac:dyDescent="0.3">
      <c r="A17" s="111">
        <v>46113</v>
      </c>
      <c r="B17" t="s">
        <v>55</v>
      </c>
      <c r="C17" s="95">
        <v>2625</v>
      </c>
      <c r="D17" s="95"/>
      <c r="F17" s="108" t="s">
        <v>108</v>
      </c>
    </row>
    <row r="18" spans="1:6" x14ac:dyDescent="0.3">
      <c r="A18" s="111">
        <v>46113</v>
      </c>
      <c r="B18" t="s">
        <v>94</v>
      </c>
      <c r="C18" s="95">
        <v>150000</v>
      </c>
      <c r="D18" s="11"/>
      <c r="E18" t="s">
        <v>295</v>
      </c>
      <c r="F18" s="108" t="s">
        <v>108</v>
      </c>
    </row>
    <row r="19" spans="1:6" x14ac:dyDescent="0.3">
      <c r="A19" s="111">
        <v>46113</v>
      </c>
      <c r="B19" t="s">
        <v>211</v>
      </c>
      <c r="C19" s="95">
        <v>250000</v>
      </c>
      <c r="D19" s="95"/>
      <c r="E19" t="s">
        <v>296</v>
      </c>
      <c r="F19" s="108" t="s">
        <v>108</v>
      </c>
    </row>
    <row r="20" spans="1:6" x14ac:dyDescent="0.3">
      <c r="A20" s="111">
        <v>46113</v>
      </c>
      <c r="B20" t="s">
        <v>211</v>
      </c>
      <c r="C20" s="95"/>
      <c r="D20" s="95">
        <v>5000</v>
      </c>
      <c r="E20" t="s">
        <v>297</v>
      </c>
      <c r="F20" s="108" t="s">
        <v>108</v>
      </c>
    </row>
    <row r="21" spans="1:6" x14ac:dyDescent="0.3">
      <c r="A21" s="111">
        <v>46113</v>
      </c>
      <c r="B21" t="s">
        <v>298</v>
      </c>
      <c r="C21" s="95">
        <v>5000</v>
      </c>
      <c r="D21" s="95"/>
      <c r="F21" s="108" t="s">
        <v>108</v>
      </c>
    </row>
    <row r="22" spans="1:6" x14ac:dyDescent="0.3">
      <c r="A22" s="111">
        <v>46113</v>
      </c>
      <c r="B22" t="s">
        <v>246</v>
      </c>
      <c r="C22" s="95"/>
      <c r="D22" s="95"/>
      <c r="F22" s="108" t="s">
        <v>108</v>
      </c>
    </row>
    <row r="23" spans="1:6" x14ac:dyDescent="0.3">
      <c r="A23" s="111">
        <v>46113</v>
      </c>
      <c r="B23" t="s">
        <v>253</v>
      </c>
      <c r="C23" s="95"/>
      <c r="D23" s="95"/>
      <c r="E23" t="s">
        <v>299</v>
      </c>
      <c r="F23" s="108" t="s">
        <v>108</v>
      </c>
    </row>
    <row r="24" spans="1:6" x14ac:dyDescent="0.3">
      <c r="A24" s="111">
        <v>46113</v>
      </c>
      <c r="B24" t="s">
        <v>55</v>
      </c>
      <c r="C24" s="95">
        <v>3400</v>
      </c>
      <c r="D24" s="95"/>
      <c r="E24" t="s">
        <v>300</v>
      </c>
      <c r="F24" s="108" t="s">
        <v>108</v>
      </c>
    </row>
    <row r="25" spans="1:6" x14ac:dyDescent="0.3">
      <c r="A25" s="111">
        <v>46114</v>
      </c>
      <c r="B25" t="s">
        <v>211</v>
      </c>
      <c r="C25" s="95">
        <v>100000</v>
      </c>
      <c r="D25" s="95"/>
      <c r="E25" t="s">
        <v>301</v>
      </c>
      <c r="F25" s="108" t="s">
        <v>108</v>
      </c>
    </row>
    <row r="26" spans="1:6" x14ac:dyDescent="0.3">
      <c r="A26" s="111">
        <v>46114</v>
      </c>
      <c r="B26" t="s">
        <v>246</v>
      </c>
      <c r="C26" s="95"/>
      <c r="D26" s="95"/>
      <c r="E26" t="s">
        <v>282</v>
      </c>
      <c r="F26" s="108" t="s">
        <v>108</v>
      </c>
    </row>
    <row r="27" spans="1:6" x14ac:dyDescent="0.3">
      <c r="A27" s="38">
        <v>46114</v>
      </c>
      <c r="B27" t="s">
        <v>223</v>
      </c>
      <c r="C27" s="95"/>
      <c r="D27" s="95">
        <v>60635</v>
      </c>
      <c r="E27" t="s">
        <v>302</v>
      </c>
      <c r="F27" s="108" t="s">
        <v>108</v>
      </c>
    </row>
    <row r="28" spans="1:6" x14ac:dyDescent="0.3">
      <c r="A28" s="38">
        <v>46114</v>
      </c>
      <c r="B28" t="s">
        <v>253</v>
      </c>
      <c r="C28" s="95"/>
      <c r="D28" s="95"/>
      <c r="E28" t="s">
        <v>261</v>
      </c>
      <c r="F28" s="108" t="s">
        <v>108</v>
      </c>
    </row>
    <row r="29" spans="1:6" x14ac:dyDescent="0.3">
      <c r="A29" s="38">
        <v>46114</v>
      </c>
      <c r="B29" t="s">
        <v>9</v>
      </c>
      <c r="C29" s="95"/>
      <c r="D29" s="95">
        <v>100000</v>
      </c>
      <c r="E29" t="s">
        <v>303</v>
      </c>
      <c r="F29" s="108" t="s">
        <v>108</v>
      </c>
    </row>
    <row r="30" spans="1:6" x14ac:dyDescent="0.3">
      <c r="A30" s="38">
        <v>46114</v>
      </c>
      <c r="B30" t="s">
        <v>168</v>
      </c>
      <c r="C30" s="95">
        <v>150100</v>
      </c>
      <c r="D30" s="95"/>
      <c r="E30" t="s">
        <v>304</v>
      </c>
      <c r="F30" s="108" t="s">
        <v>108</v>
      </c>
    </row>
    <row r="31" spans="1:6" x14ac:dyDescent="0.3">
      <c r="A31" s="38">
        <v>46114</v>
      </c>
      <c r="B31" t="s">
        <v>54</v>
      </c>
      <c r="C31" s="95">
        <v>12038</v>
      </c>
      <c r="D31" s="95"/>
      <c r="F31" s="108" t="s">
        <v>108</v>
      </c>
    </row>
    <row r="32" spans="1:6" x14ac:dyDescent="0.3">
      <c r="A32" s="38">
        <v>46114</v>
      </c>
      <c r="B32" t="s">
        <v>211</v>
      </c>
      <c r="C32" s="95">
        <f>620+1470+1470+481+2711+760</f>
        <v>7512</v>
      </c>
      <c r="D32" s="95"/>
      <c r="F32" s="108" t="s">
        <v>108</v>
      </c>
    </row>
    <row r="33" spans="1:6" x14ac:dyDescent="0.3">
      <c r="A33" s="38">
        <v>46114</v>
      </c>
      <c r="B33" t="s">
        <v>220</v>
      </c>
      <c r="C33" s="95">
        <f>9714-5500</f>
        <v>4214</v>
      </c>
      <c r="D33" s="95"/>
      <c r="E33" t="s">
        <v>305</v>
      </c>
      <c r="F33" s="108" t="s">
        <v>108</v>
      </c>
    </row>
    <row r="34" spans="1:6" x14ac:dyDescent="0.3">
      <c r="A34" s="38">
        <v>46115</v>
      </c>
      <c r="B34" t="s">
        <v>220</v>
      </c>
      <c r="C34" s="11">
        <v>5615</v>
      </c>
      <c r="D34" s="11"/>
      <c r="E34" t="s">
        <v>306</v>
      </c>
      <c r="F34" s="108" t="s">
        <v>108</v>
      </c>
    </row>
    <row r="35" spans="1:6" x14ac:dyDescent="0.3">
      <c r="A35" s="38">
        <v>46115</v>
      </c>
      <c r="B35" t="s">
        <v>219</v>
      </c>
      <c r="C35" s="11"/>
      <c r="D35" s="11">
        <f>71000+50000</f>
        <v>121000</v>
      </c>
      <c r="E35" t="s">
        <v>285</v>
      </c>
      <c r="F35" s="108" t="s">
        <v>108</v>
      </c>
    </row>
    <row r="36" spans="1:6" x14ac:dyDescent="0.3">
      <c r="A36" s="38">
        <v>46115</v>
      </c>
      <c r="B36" t="s">
        <v>257</v>
      </c>
      <c r="C36" s="95">
        <v>60214</v>
      </c>
      <c r="D36" s="95"/>
      <c r="E36" t="s">
        <v>307</v>
      </c>
      <c r="F36" s="108" t="s">
        <v>108</v>
      </c>
    </row>
    <row r="37" spans="1:6" x14ac:dyDescent="0.3">
      <c r="A37" s="38">
        <v>46116</v>
      </c>
      <c r="B37" t="s">
        <v>115</v>
      </c>
      <c r="C37" s="95">
        <v>100000</v>
      </c>
      <c r="D37" s="95"/>
      <c r="F37" s="108" t="s">
        <v>108</v>
      </c>
    </row>
    <row r="38" spans="1:6" x14ac:dyDescent="0.3">
      <c r="A38" s="38">
        <v>46116</v>
      </c>
      <c r="B38" t="s">
        <v>219</v>
      </c>
      <c r="C38" s="11"/>
      <c r="D38" s="11">
        <v>100000</v>
      </c>
      <c r="E38" t="s">
        <v>308</v>
      </c>
      <c r="F38" s="108" t="s">
        <v>108</v>
      </c>
    </row>
    <row r="39" spans="1:6" x14ac:dyDescent="0.3">
      <c r="A39" s="38">
        <v>46116</v>
      </c>
      <c r="B39" t="s">
        <v>220</v>
      </c>
      <c r="C39" s="11">
        <v>8000</v>
      </c>
      <c r="D39" s="11"/>
      <c r="E39" t="s">
        <v>309</v>
      </c>
      <c r="F39" s="108" t="s">
        <v>108</v>
      </c>
    </row>
    <row r="40" spans="1:6" x14ac:dyDescent="0.3">
      <c r="A40" s="38">
        <v>46116</v>
      </c>
      <c r="B40" t="s">
        <v>244</v>
      </c>
      <c r="C40" s="11">
        <v>5000</v>
      </c>
      <c r="D40" s="11"/>
      <c r="E40" t="s">
        <v>310</v>
      </c>
      <c r="F40" s="108" t="s">
        <v>108</v>
      </c>
    </row>
    <row r="41" spans="1:6" x14ac:dyDescent="0.3">
      <c r="A41" s="38">
        <v>46116</v>
      </c>
      <c r="B41" t="s">
        <v>253</v>
      </c>
      <c r="C41" s="11"/>
      <c r="D41" s="11"/>
      <c r="E41" t="s">
        <v>299</v>
      </c>
      <c r="F41" s="108" t="s">
        <v>108</v>
      </c>
    </row>
    <row r="42" spans="1:6" x14ac:dyDescent="0.3">
      <c r="A42" s="111">
        <v>46116</v>
      </c>
      <c r="B42" t="s">
        <v>244</v>
      </c>
      <c r="C42" s="11">
        <v>15000</v>
      </c>
      <c r="D42" s="11"/>
      <c r="E42" t="s">
        <v>346</v>
      </c>
      <c r="F42" s="108" t="s">
        <v>108</v>
      </c>
    </row>
    <row r="43" spans="1:6" x14ac:dyDescent="0.3">
      <c r="A43" s="38">
        <v>46116</v>
      </c>
      <c r="B43" t="s">
        <v>298</v>
      </c>
      <c r="C43" s="11">
        <v>6000</v>
      </c>
      <c r="D43" s="11"/>
      <c r="E43" t="s">
        <v>347</v>
      </c>
      <c r="F43" s="108" t="s">
        <v>108</v>
      </c>
    </row>
    <row r="44" spans="1:6" x14ac:dyDescent="0.3">
      <c r="A44" s="38">
        <v>46116</v>
      </c>
      <c r="B44" t="s">
        <v>54</v>
      </c>
      <c r="C44" s="11">
        <v>400</v>
      </c>
      <c r="D44" s="11"/>
      <c r="F44" s="108" t="s">
        <v>108</v>
      </c>
    </row>
    <row r="45" spans="1:6" x14ac:dyDescent="0.3">
      <c r="A45" s="38">
        <v>46116</v>
      </c>
      <c r="B45" t="s">
        <v>246</v>
      </c>
      <c r="C45" s="11">
        <v>17200</v>
      </c>
      <c r="D45" s="11"/>
      <c r="E45" t="s">
        <v>348</v>
      </c>
      <c r="F45" s="108" t="s">
        <v>108</v>
      </c>
    </row>
    <row r="46" spans="1:6" x14ac:dyDescent="0.3">
      <c r="A46" s="38">
        <v>46116</v>
      </c>
      <c r="B46" t="s">
        <v>244</v>
      </c>
      <c r="C46" s="95">
        <f>780+700</f>
        <v>1480</v>
      </c>
      <c r="D46" s="95"/>
      <c r="E46" t="s">
        <v>349</v>
      </c>
      <c r="F46" s="108" t="s">
        <v>108</v>
      </c>
    </row>
    <row r="47" spans="1:6" x14ac:dyDescent="0.3">
      <c r="A47" s="38">
        <v>46116</v>
      </c>
      <c r="B47" t="s">
        <v>244</v>
      </c>
      <c r="C47" s="95">
        <f>1500+10600</f>
        <v>12100</v>
      </c>
      <c r="D47" s="95"/>
      <c r="E47" t="s">
        <v>350</v>
      </c>
      <c r="F47" s="108" t="s">
        <v>108</v>
      </c>
    </row>
    <row r="48" spans="1:6" x14ac:dyDescent="0.3">
      <c r="A48" s="111">
        <v>46118</v>
      </c>
      <c r="B48" s="117" t="s">
        <v>54</v>
      </c>
      <c r="C48" s="11">
        <v>4400</v>
      </c>
      <c r="D48" s="11"/>
      <c r="E48" t="s">
        <v>287</v>
      </c>
      <c r="F48" s="108" t="s">
        <v>108</v>
      </c>
    </row>
    <row r="49" spans="1:6" x14ac:dyDescent="0.3">
      <c r="A49" s="111">
        <v>46118</v>
      </c>
      <c r="B49" t="s">
        <v>243</v>
      </c>
      <c r="C49" s="11"/>
      <c r="D49" s="11">
        <v>100000</v>
      </c>
      <c r="E49" t="s">
        <v>311</v>
      </c>
      <c r="F49" s="108" t="s">
        <v>108</v>
      </c>
    </row>
    <row r="50" spans="1:6" x14ac:dyDescent="0.3">
      <c r="A50" s="38">
        <v>46118</v>
      </c>
      <c r="B50" t="s">
        <v>246</v>
      </c>
      <c r="C50" s="11">
        <v>11340</v>
      </c>
      <c r="D50" s="11"/>
      <c r="E50" t="s">
        <v>312</v>
      </c>
      <c r="F50" s="108" t="s">
        <v>108</v>
      </c>
    </row>
    <row r="51" spans="1:6" x14ac:dyDescent="0.3">
      <c r="A51" s="38">
        <v>46118</v>
      </c>
      <c r="B51" t="s">
        <v>168</v>
      </c>
      <c r="C51" s="11">
        <v>100000</v>
      </c>
      <c r="D51" s="11"/>
      <c r="E51" t="s">
        <v>314</v>
      </c>
      <c r="F51" s="108" t="s">
        <v>108</v>
      </c>
    </row>
    <row r="52" spans="1:6" x14ac:dyDescent="0.3">
      <c r="A52" s="111">
        <v>46118</v>
      </c>
      <c r="B52" t="s">
        <v>253</v>
      </c>
      <c r="C52" s="11"/>
      <c r="D52" s="11"/>
      <c r="E52" t="s">
        <v>286</v>
      </c>
      <c r="F52" s="108" t="s">
        <v>108</v>
      </c>
    </row>
    <row r="53" spans="1:6" x14ac:dyDescent="0.3">
      <c r="A53" s="111">
        <v>46118</v>
      </c>
      <c r="B53" t="s">
        <v>211</v>
      </c>
      <c r="C53" s="11"/>
      <c r="D53" s="11">
        <v>20000</v>
      </c>
      <c r="E53" t="s">
        <v>345</v>
      </c>
      <c r="F53" s="108" t="s">
        <v>108</v>
      </c>
    </row>
    <row r="54" spans="1:6" x14ac:dyDescent="0.3">
      <c r="A54" s="111">
        <v>46118</v>
      </c>
      <c r="B54" t="s">
        <v>211</v>
      </c>
      <c r="C54" s="95"/>
      <c r="D54" s="95">
        <v>2000</v>
      </c>
      <c r="E54" t="s">
        <v>252</v>
      </c>
      <c r="F54" s="108" t="s">
        <v>108</v>
      </c>
    </row>
    <row r="55" spans="1:6" x14ac:dyDescent="0.3">
      <c r="A55" s="111">
        <v>46118</v>
      </c>
      <c r="B55" t="s">
        <v>269</v>
      </c>
      <c r="C55" s="95">
        <v>2000</v>
      </c>
      <c r="D55" s="95"/>
      <c r="E55" t="s">
        <v>252</v>
      </c>
      <c r="F55" s="108" t="s">
        <v>108</v>
      </c>
    </row>
    <row r="56" spans="1:6" x14ac:dyDescent="0.3">
      <c r="A56" s="111">
        <v>46119</v>
      </c>
      <c r="B56" t="s">
        <v>211</v>
      </c>
      <c r="C56" s="11"/>
      <c r="D56" s="11">
        <v>12000</v>
      </c>
      <c r="E56" t="s">
        <v>313</v>
      </c>
      <c r="F56" s="108" t="s">
        <v>108</v>
      </c>
    </row>
    <row r="57" spans="1:6" x14ac:dyDescent="0.3">
      <c r="A57" s="111">
        <v>46119</v>
      </c>
      <c r="B57" t="s">
        <v>315</v>
      </c>
      <c r="C57" s="11">
        <v>312000</v>
      </c>
      <c r="D57" s="11"/>
      <c r="E57" t="s">
        <v>316</v>
      </c>
      <c r="F57" s="108" t="s">
        <v>108</v>
      </c>
    </row>
    <row r="58" spans="1:6" x14ac:dyDescent="0.3">
      <c r="A58" s="111">
        <v>46119</v>
      </c>
      <c r="B58" t="s">
        <v>211</v>
      </c>
      <c r="C58" s="11"/>
      <c r="D58" s="11">
        <v>12000</v>
      </c>
      <c r="E58" t="s">
        <v>343</v>
      </c>
      <c r="F58" s="108" t="s">
        <v>108</v>
      </c>
    </row>
    <row r="59" spans="1:6" x14ac:dyDescent="0.3">
      <c r="A59" s="111">
        <v>46119</v>
      </c>
      <c r="B59" t="s">
        <v>219</v>
      </c>
      <c r="C59" s="11"/>
      <c r="D59" s="11">
        <v>300000</v>
      </c>
      <c r="E59" t="s">
        <v>317</v>
      </c>
      <c r="F59" s="108" t="s">
        <v>108</v>
      </c>
    </row>
    <row r="60" spans="1:6" x14ac:dyDescent="0.3">
      <c r="A60" s="111">
        <v>46119</v>
      </c>
      <c r="B60" t="s">
        <v>219</v>
      </c>
      <c r="C60" s="95"/>
      <c r="D60" s="95">
        <v>20000</v>
      </c>
      <c r="E60" t="s">
        <v>318</v>
      </c>
      <c r="F60" s="108" t="s">
        <v>108</v>
      </c>
    </row>
    <row r="61" spans="1:6" x14ac:dyDescent="0.3">
      <c r="A61" s="111">
        <v>46119</v>
      </c>
      <c r="B61" t="s">
        <v>253</v>
      </c>
      <c r="C61" s="95"/>
      <c r="D61" s="95"/>
      <c r="E61" t="s">
        <v>288</v>
      </c>
      <c r="F61" s="108" t="s">
        <v>108</v>
      </c>
    </row>
    <row r="62" spans="1:6" x14ac:dyDescent="0.3">
      <c r="A62" s="111">
        <v>46119</v>
      </c>
      <c r="B62" t="s">
        <v>253</v>
      </c>
      <c r="C62" s="95"/>
      <c r="D62" s="95"/>
      <c r="E62" t="s">
        <v>278</v>
      </c>
      <c r="F62" s="108" t="s">
        <v>108</v>
      </c>
    </row>
    <row r="63" spans="1:6" x14ac:dyDescent="0.3">
      <c r="A63" s="111">
        <v>46120</v>
      </c>
      <c r="B63" t="s">
        <v>219</v>
      </c>
      <c r="C63" s="95"/>
      <c r="D63" s="95">
        <v>150000</v>
      </c>
      <c r="E63" t="s">
        <v>319</v>
      </c>
      <c r="F63" s="108" t="s">
        <v>108</v>
      </c>
    </row>
    <row r="64" spans="1:6" x14ac:dyDescent="0.3">
      <c r="A64" s="111">
        <v>46120</v>
      </c>
      <c r="B64" t="s">
        <v>221</v>
      </c>
      <c r="C64" s="95">
        <v>150000</v>
      </c>
      <c r="D64" s="95"/>
      <c r="E64" t="s">
        <v>319</v>
      </c>
      <c r="F64" s="108" t="s">
        <v>108</v>
      </c>
    </row>
    <row r="65" spans="1:6" x14ac:dyDescent="0.3">
      <c r="A65" s="38">
        <v>46120</v>
      </c>
      <c r="B65" t="s">
        <v>219</v>
      </c>
      <c r="C65" s="95"/>
      <c r="D65" s="95">
        <v>30000</v>
      </c>
      <c r="E65" t="s">
        <v>320</v>
      </c>
      <c r="F65" s="108" t="s">
        <v>108</v>
      </c>
    </row>
    <row r="66" spans="1:6" x14ac:dyDescent="0.3">
      <c r="A66" s="38">
        <v>46120</v>
      </c>
      <c r="B66" t="s">
        <v>55</v>
      </c>
      <c r="C66" s="95">
        <v>1600</v>
      </c>
      <c r="D66" s="95"/>
      <c r="F66" s="108" t="s">
        <v>108</v>
      </c>
    </row>
    <row r="67" spans="1:6" x14ac:dyDescent="0.3">
      <c r="A67" s="38">
        <v>46120</v>
      </c>
      <c r="B67" t="s">
        <v>54</v>
      </c>
      <c r="C67" s="95">
        <v>5305</v>
      </c>
      <c r="D67" s="95"/>
      <c r="E67" t="s">
        <v>321</v>
      </c>
      <c r="F67" s="108" t="s">
        <v>108</v>
      </c>
    </row>
    <row r="68" spans="1:6" x14ac:dyDescent="0.3">
      <c r="A68" s="38">
        <v>46120</v>
      </c>
      <c r="B68" t="s">
        <v>55</v>
      </c>
      <c r="C68" s="95">
        <v>15673</v>
      </c>
      <c r="D68" s="95"/>
      <c r="E68" t="s">
        <v>322</v>
      </c>
      <c r="F68" s="108" t="s">
        <v>108</v>
      </c>
    </row>
    <row r="69" spans="1:6" x14ac:dyDescent="0.3">
      <c r="A69" s="38">
        <v>46120</v>
      </c>
      <c r="B69" t="s">
        <v>55</v>
      </c>
      <c r="C69" s="95">
        <v>400</v>
      </c>
      <c r="D69" s="95"/>
      <c r="F69" s="108" t="s">
        <v>108</v>
      </c>
    </row>
    <row r="70" spans="1:6" x14ac:dyDescent="0.3">
      <c r="A70" s="38">
        <v>46120</v>
      </c>
      <c r="B70" t="s">
        <v>219</v>
      </c>
      <c r="C70" s="95"/>
      <c r="D70" s="95">
        <v>74380</v>
      </c>
      <c r="E70" t="s">
        <v>175</v>
      </c>
      <c r="F70" s="108" t="s">
        <v>108</v>
      </c>
    </row>
    <row r="71" spans="1:6" x14ac:dyDescent="0.3">
      <c r="A71" s="38">
        <v>46120</v>
      </c>
      <c r="B71" t="s">
        <v>175</v>
      </c>
      <c r="C71" s="11">
        <v>74380</v>
      </c>
      <c r="D71" s="11"/>
      <c r="E71" t="s">
        <v>256</v>
      </c>
      <c r="F71" s="108" t="s">
        <v>108</v>
      </c>
    </row>
    <row r="72" spans="1:6" x14ac:dyDescent="0.3">
      <c r="A72" s="38">
        <v>46120</v>
      </c>
      <c r="B72" t="s">
        <v>54</v>
      </c>
      <c r="C72" s="11">
        <v>2800</v>
      </c>
      <c r="D72" s="11"/>
      <c r="E72" t="s">
        <v>323</v>
      </c>
      <c r="F72" s="108" t="s">
        <v>108</v>
      </c>
    </row>
    <row r="73" spans="1:6" x14ac:dyDescent="0.3">
      <c r="A73" s="38">
        <v>46120</v>
      </c>
      <c r="B73" t="s">
        <v>55</v>
      </c>
      <c r="C73" s="11">
        <v>6800</v>
      </c>
      <c r="D73" s="11"/>
      <c r="E73" t="s">
        <v>325</v>
      </c>
      <c r="F73" s="108" t="s">
        <v>108</v>
      </c>
    </row>
    <row r="74" spans="1:6" x14ac:dyDescent="0.3">
      <c r="A74" s="38">
        <v>46120</v>
      </c>
      <c r="B74" t="s">
        <v>246</v>
      </c>
      <c r="C74" s="11">
        <v>15000</v>
      </c>
      <c r="D74" s="11"/>
      <c r="E74" t="s">
        <v>326</v>
      </c>
      <c r="F74" s="108" t="s">
        <v>108</v>
      </c>
    </row>
    <row r="75" spans="1:6" x14ac:dyDescent="0.3">
      <c r="A75" s="38">
        <v>46120</v>
      </c>
      <c r="B75" t="s">
        <v>221</v>
      </c>
      <c r="C75" s="11">
        <v>50000</v>
      </c>
      <c r="D75" s="11"/>
      <c r="E75" t="s">
        <v>328</v>
      </c>
      <c r="F75" s="108" t="s">
        <v>108</v>
      </c>
    </row>
    <row r="76" spans="1:6" x14ac:dyDescent="0.3">
      <c r="A76" s="38">
        <v>46120</v>
      </c>
      <c r="B76" t="s">
        <v>219</v>
      </c>
      <c r="C76" s="11"/>
      <c r="D76" s="11">
        <v>50000</v>
      </c>
      <c r="E76" t="s">
        <v>328</v>
      </c>
      <c r="F76" s="108" t="s">
        <v>108</v>
      </c>
    </row>
    <row r="77" spans="1:6" x14ac:dyDescent="0.3">
      <c r="A77" s="38">
        <v>46121</v>
      </c>
      <c r="B77" t="s">
        <v>55</v>
      </c>
      <c r="C77" s="11">
        <v>1300</v>
      </c>
      <c r="D77" s="11"/>
      <c r="F77" s="108" t="s">
        <v>108</v>
      </c>
    </row>
    <row r="78" spans="1:6" x14ac:dyDescent="0.3">
      <c r="A78" s="38">
        <v>46121</v>
      </c>
      <c r="B78" t="s">
        <v>251</v>
      </c>
      <c r="C78" s="11">
        <v>34336</v>
      </c>
      <c r="D78" s="11"/>
      <c r="E78" t="s">
        <v>324</v>
      </c>
      <c r="F78" s="108" t="s">
        <v>108</v>
      </c>
    </row>
    <row r="79" spans="1:6" x14ac:dyDescent="0.3">
      <c r="A79" s="38">
        <v>46121</v>
      </c>
      <c r="B79" t="s">
        <v>244</v>
      </c>
      <c r="C79" s="11">
        <v>3500</v>
      </c>
      <c r="D79" s="11"/>
      <c r="F79" s="108" t="s">
        <v>108</v>
      </c>
    </row>
    <row r="80" spans="1:6" x14ac:dyDescent="0.3">
      <c r="A80" s="38">
        <v>46121</v>
      </c>
      <c r="B80" t="s">
        <v>211</v>
      </c>
      <c r="C80" s="11"/>
      <c r="D80" s="11">
        <v>34336</v>
      </c>
      <c r="E80" t="s">
        <v>251</v>
      </c>
      <c r="F80" s="108" t="s">
        <v>108</v>
      </c>
    </row>
    <row r="81" spans="1:6" x14ac:dyDescent="0.3">
      <c r="A81" s="38">
        <v>46121</v>
      </c>
      <c r="B81" t="s">
        <v>175</v>
      </c>
      <c r="C81" s="11">
        <v>27000</v>
      </c>
      <c r="D81" s="11"/>
      <c r="E81" t="s">
        <v>327</v>
      </c>
      <c r="F81" s="108" t="s">
        <v>108</v>
      </c>
    </row>
    <row r="82" spans="1:6" x14ac:dyDescent="0.3">
      <c r="A82" s="38">
        <v>46121</v>
      </c>
      <c r="B82" t="s">
        <v>219</v>
      </c>
      <c r="C82" s="11"/>
      <c r="D82" s="11">
        <v>27000</v>
      </c>
      <c r="E82" t="s">
        <v>175</v>
      </c>
      <c r="F82" s="108" t="s">
        <v>108</v>
      </c>
    </row>
    <row r="83" spans="1:6" x14ac:dyDescent="0.3">
      <c r="A83" s="38">
        <v>46121</v>
      </c>
      <c r="B83" t="s">
        <v>219</v>
      </c>
      <c r="C83" s="11"/>
      <c r="D83" s="11">
        <v>1000000</v>
      </c>
      <c r="E83" t="s">
        <v>271</v>
      </c>
      <c r="F83" s="108" t="s">
        <v>108</v>
      </c>
    </row>
    <row r="84" spans="1:6" x14ac:dyDescent="0.3">
      <c r="A84" s="38">
        <v>46121</v>
      </c>
      <c r="B84" t="s">
        <v>219</v>
      </c>
      <c r="C84" s="11"/>
      <c r="D84" s="11">
        <v>45000</v>
      </c>
      <c r="E84" t="s">
        <v>271</v>
      </c>
      <c r="F84" s="108" t="s">
        <v>108</v>
      </c>
    </row>
    <row r="85" spans="1:6" x14ac:dyDescent="0.3">
      <c r="A85" s="38">
        <v>46121</v>
      </c>
      <c r="B85" t="s">
        <v>253</v>
      </c>
      <c r="C85" s="11"/>
      <c r="D85" s="11"/>
      <c r="E85" t="s">
        <v>353</v>
      </c>
      <c r="F85" s="108" t="s">
        <v>108</v>
      </c>
    </row>
    <row r="86" spans="1:6" x14ac:dyDescent="0.3">
      <c r="A86" s="38">
        <v>46121</v>
      </c>
      <c r="B86" t="s">
        <v>253</v>
      </c>
      <c r="C86" s="11"/>
      <c r="D86" s="11"/>
      <c r="E86" t="s">
        <v>262</v>
      </c>
      <c r="F86" s="108" t="s">
        <v>108</v>
      </c>
    </row>
    <row r="87" spans="1:6" x14ac:dyDescent="0.3">
      <c r="A87" s="111">
        <v>46121</v>
      </c>
      <c r="B87" t="s">
        <v>253</v>
      </c>
      <c r="C87" s="11"/>
      <c r="D87" s="11"/>
      <c r="E87" t="s">
        <v>288</v>
      </c>
      <c r="F87" s="108" t="s">
        <v>108</v>
      </c>
    </row>
    <row r="88" spans="1:6" x14ac:dyDescent="0.3">
      <c r="A88" s="111">
        <v>46122</v>
      </c>
      <c r="B88" t="s">
        <v>219</v>
      </c>
      <c r="C88" s="11"/>
      <c r="D88" s="11">
        <v>62000</v>
      </c>
      <c r="E88" t="s">
        <v>329</v>
      </c>
      <c r="F88" s="108" t="s">
        <v>108</v>
      </c>
    </row>
    <row r="89" spans="1:6" x14ac:dyDescent="0.3">
      <c r="A89" s="111">
        <v>46122</v>
      </c>
      <c r="B89" t="s">
        <v>55</v>
      </c>
      <c r="C89" s="11">
        <v>2200</v>
      </c>
      <c r="D89" s="11"/>
      <c r="F89" s="108" t="s">
        <v>108</v>
      </c>
    </row>
    <row r="90" spans="1:6" x14ac:dyDescent="0.3">
      <c r="A90" s="111">
        <v>46122</v>
      </c>
      <c r="B90" t="s">
        <v>55</v>
      </c>
      <c r="C90" s="11">
        <v>30000</v>
      </c>
      <c r="D90" s="11"/>
      <c r="E90" t="s">
        <v>330</v>
      </c>
      <c r="F90" s="108" t="s">
        <v>108</v>
      </c>
    </row>
    <row r="91" spans="1:6" x14ac:dyDescent="0.3">
      <c r="A91" s="111">
        <v>46122</v>
      </c>
      <c r="B91" t="s">
        <v>331</v>
      </c>
      <c r="C91" s="11">
        <v>50000</v>
      </c>
      <c r="D91" s="11"/>
      <c r="E91" t="s">
        <v>332</v>
      </c>
      <c r="F91" s="108" t="s">
        <v>108</v>
      </c>
    </row>
    <row r="92" spans="1:6" x14ac:dyDescent="0.3">
      <c r="A92" s="111">
        <v>46122</v>
      </c>
      <c r="B92" t="s">
        <v>219</v>
      </c>
      <c r="C92" s="11"/>
      <c r="D92" s="11">
        <v>77000</v>
      </c>
      <c r="E92" t="s">
        <v>320</v>
      </c>
      <c r="F92" s="108" t="s">
        <v>108</v>
      </c>
    </row>
    <row r="93" spans="1:6" x14ac:dyDescent="0.3">
      <c r="A93" s="111">
        <v>46122</v>
      </c>
      <c r="B93" t="s">
        <v>54</v>
      </c>
      <c r="C93" s="11">
        <v>3044</v>
      </c>
      <c r="D93" s="11"/>
      <c r="E93" t="s">
        <v>333</v>
      </c>
      <c r="F93" s="108" t="s">
        <v>108</v>
      </c>
    </row>
    <row r="94" spans="1:6" x14ac:dyDescent="0.3">
      <c r="A94" s="111">
        <v>46122</v>
      </c>
      <c r="B94" t="s">
        <v>253</v>
      </c>
      <c r="C94" s="11"/>
      <c r="D94" s="11"/>
      <c r="E94" t="s">
        <v>334</v>
      </c>
      <c r="F94" s="108" t="s">
        <v>108</v>
      </c>
    </row>
    <row r="95" spans="1:6" x14ac:dyDescent="0.3">
      <c r="A95" s="111">
        <v>46122</v>
      </c>
      <c r="B95" t="s">
        <v>55</v>
      </c>
      <c r="C95" s="11">
        <v>1200</v>
      </c>
      <c r="D95" s="11"/>
      <c r="F95" s="108" t="s">
        <v>108</v>
      </c>
    </row>
    <row r="96" spans="1:6" x14ac:dyDescent="0.3">
      <c r="A96" s="111">
        <v>46122</v>
      </c>
      <c r="B96" t="s">
        <v>244</v>
      </c>
      <c r="C96" s="11">
        <v>600</v>
      </c>
      <c r="D96" s="11"/>
      <c r="F96" s="108" t="s">
        <v>108</v>
      </c>
    </row>
    <row r="97" spans="1:13" x14ac:dyDescent="0.3">
      <c r="A97" s="111">
        <v>46122</v>
      </c>
      <c r="B97" t="s">
        <v>54</v>
      </c>
      <c r="C97" s="95">
        <v>7636.4</v>
      </c>
      <c r="D97" s="95"/>
      <c r="E97" t="s">
        <v>254</v>
      </c>
      <c r="F97" s="108" t="s">
        <v>108</v>
      </c>
    </row>
    <row r="98" spans="1:13" x14ac:dyDescent="0.3">
      <c r="A98" s="111">
        <v>46122</v>
      </c>
      <c r="B98" t="s">
        <v>219</v>
      </c>
      <c r="C98" s="95"/>
      <c r="D98" s="95">
        <v>50000</v>
      </c>
      <c r="E98" t="s">
        <v>285</v>
      </c>
      <c r="F98" s="108" t="s">
        <v>108</v>
      </c>
    </row>
    <row r="99" spans="1:13" x14ac:dyDescent="0.3">
      <c r="A99" s="111">
        <v>46122</v>
      </c>
      <c r="B99" t="s">
        <v>253</v>
      </c>
      <c r="C99" s="95"/>
      <c r="D99" s="95"/>
      <c r="E99" t="s">
        <v>270</v>
      </c>
      <c r="F99" s="108" t="s">
        <v>108</v>
      </c>
    </row>
    <row r="100" spans="1:13" x14ac:dyDescent="0.3">
      <c r="A100" s="111">
        <v>46122</v>
      </c>
      <c r="B100" t="s">
        <v>253</v>
      </c>
      <c r="C100" s="95"/>
      <c r="D100" s="95"/>
      <c r="E100" t="s">
        <v>351</v>
      </c>
      <c r="F100" s="108" t="s">
        <v>108</v>
      </c>
    </row>
    <row r="101" spans="1:13" x14ac:dyDescent="0.3">
      <c r="A101" s="111">
        <v>46123</v>
      </c>
      <c r="B101" t="s">
        <v>367</v>
      </c>
      <c r="C101" s="95"/>
      <c r="D101" s="95">
        <v>5965</v>
      </c>
      <c r="E101" t="s">
        <v>54</v>
      </c>
      <c r="F101" s="108" t="s">
        <v>108</v>
      </c>
    </row>
    <row r="102" spans="1:13" x14ac:dyDescent="0.3">
      <c r="A102" s="111">
        <v>46123</v>
      </c>
      <c r="B102" t="s">
        <v>54</v>
      </c>
      <c r="C102" s="95">
        <v>5965</v>
      </c>
      <c r="D102" s="95"/>
      <c r="E102" t="s">
        <v>174</v>
      </c>
      <c r="F102" s="108" t="s">
        <v>108</v>
      </c>
    </row>
    <row r="103" spans="1:13" x14ac:dyDescent="0.3">
      <c r="A103" s="111">
        <v>46123</v>
      </c>
      <c r="B103" t="s">
        <v>220</v>
      </c>
      <c r="C103" s="11">
        <v>4471</v>
      </c>
      <c r="D103" s="11"/>
      <c r="E103" t="s">
        <v>283</v>
      </c>
      <c r="F103" s="108" t="s">
        <v>108</v>
      </c>
    </row>
    <row r="104" spans="1:13" x14ac:dyDescent="0.3">
      <c r="A104" s="111">
        <v>46123</v>
      </c>
      <c r="B104" t="s">
        <v>54</v>
      </c>
      <c r="C104" s="11">
        <v>1500</v>
      </c>
      <c r="D104" s="11"/>
      <c r="E104" t="s">
        <v>323</v>
      </c>
      <c r="F104" s="108" t="s">
        <v>108</v>
      </c>
    </row>
    <row r="105" spans="1:13" x14ac:dyDescent="0.3">
      <c r="A105" s="111">
        <v>46123</v>
      </c>
      <c r="B105" t="s">
        <v>35</v>
      </c>
      <c r="C105" s="11"/>
      <c r="D105" s="11">
        <v>400000</v>
      </c>
      <c r="E105" t="s">
        <v>335</v>
      </c>
      <c r="F105" s="108" t="s">
        <v>108</v>
      </c>
      <c r="I105">
        <v>15400</v>
      </c>
      <c r="K105">
        <v>4300</v>
      </c>
      <c r="L105">
        <v>4300</v>
      </c>
      <c r="M105">
        <v>4300</v>
      </c>
    </row>
    <row r="106" spans="1:13" x14ac:dyDescent="0.3">
      <c r="A106" s="111">
        <v>46123</v>
      </c>
      <c r="B106" t="s">
        <v>168</v>
      </c>
      <c r="C106" s="11">
        <v>200200</v>
      </c>
      <c r="D106" s="11"/>
      <c r="E106" t="s">
        <v>336</v>
      </c>
      <c r="F106" s="108" t="s">
        <v>108</v>
      </c>
      <c r="I106">
        <v>4300</v>
      </c>
      <c r="K106">
        <v>1200</v>
      </c>
      <c r="L106">
        <v>1200</v>
      </c>
      <c r="M106">
        <v>1200</v>
      </c>
    </row>
    <row r="107" spans="1:13" x14ac:dyDescent="0.3">
      <c r="A107" s="111">
        <v>46123</v>
      </c>
      <c r="B107" t="s">
        <v>253</v>
      </c>
      <c r="C107" s="11"/>
      <c r="D107" s="11"/>
      <c r="E107" t="s">
        <v>252</v>
      </c>
      <c r="F107" s="108" t="s">
        <v>108</v>
      </c>
      <c r="I107">
        <v>13400</v>
      </c>
      <c r="K107">
        <v>22700</v>
      </c>
      <c r="L107">
        <v>22700</v>
      </c>
      <c r="M107">
        <v>22700</v>
      </c>
    </row>
    <row r="108" spans="1:13" x14ac:dyDescent="0.3">
      <c r="A108" s="111">
        <v>46123</v>
      </c>
      <c r="B108" t="s">
        <v>54</v>
      </c>
      <c r="C108" s="11">
        <v>6000</v>
      </c>
      <c r="D108" s="11"/>
      <c r="E108" t="s">
        <v>337</v>
      </c>
      <c r="F108" s="108" t="s">
        <v>108</v>
      </c>
      <c r="I108">
        <v>14900</v>
      </c>
      <c r="K108">
        <v>15000</v>
      </c>
      <c r="L108">
        <v>15000</v>
      </c>
      <c r="M108">
        <v>15000</v>
      </c>
    </row>
    <row r="109" spans="1:13" x14ac:dyDescent="0.3">
      <c r="A109" s="111">
        <v>46123</v>
      </c>
      <c r="B109" t="s">
        <v>211</v>
      </c>
      <c r="C109" s="11">
        <v>1490</v>
      </c>
      <c r="D109" s="11"/>
      <c r="F109" s="108" t="s">
        <v>108</v>
      </c>
      <c r="I109">
        <v>15000</v>
      </c>
      <c r="K109">
        <v>15150</v>
      </c>
      <c r="L109">
        <v>15150</v>
      </c>
      <c r="M109">
        <v>15150</v>
      </c>
    </row>
    <row r="110" spans="1:13" x14ac:dyDescent="0.3">
      <c r="A110" s="111">
        <v>46124</v>
      </c>
      <c r="B110" t="s">
        <v>55</v>
      </c>
      <c r="C110" s="11">
        <v>4500</v>
      </c>
      <c r="D110" s="11"/>
      <c r="F110" s="108" t="s">
        <v>108</v>
      </c>
      <c r="I110">
        <v>11650</v>
      </c>
      <c r="K110">
        <v>22400</v>
      </c>
      <c r="L110">
        <v>22400</v>
      </c>
      <c r="M110">
        <v>22400</v>
      </c>
    </row>
    <row r="111" spans="1:13" x14ac:dyDescent="0.3">
      <c r="A111" s="111">
        <v>46124</v>
      </c>
      <c r="B111" t="s">
        <v>331</v>
      </c>
      <c r="C111" s="11">
        <v>100000</v>
      </c>
      <c r="D111" s="11"/>
      <c r="E111" t="s">
        <v>338</v>
      </c>
      <c r="F111" s="108" t="s">
        <v>108</v>
      </c>
      <c r="I111">
        <v>22700</v>
      </c>
      <c r="K111">
        <v>25000</v>
      </c>
      <c r="L111">
        <v>25000</v>
      </c>
      <c r="M111">
        <v>25000</v>
      </c>
    </row>
    <row r="112" spans="1:13" x14ac:dyDescent="0.3">
      <c r="A112" s="111">
        <v>46124</v>
      </c>
      <c r="B112" t="s">
        <v>219</v>
      </c>
      <c r="C112" s="11"/>
      <c r="D112" s="11">
        <v>40000</v>
      </c>
      <c r="E112" t="s">
        <v>339</v>
      </c>
      <c r="F112" s="108" t="s">
        <v>108</v>
      </c>
      <c r="I112">
        <v>17000</v>
      </c>
      <c r="K112">
        <v>20880</v>
      </c>
      <c r="L112">
        <v>20880</v>
      </c>
      <c r="M112">
        <v>20880</v>
      </c>
    </row>
    <row r="113" spans="1:13" x14ac:dyDescent="0.3">
      <c r="A113" s="111">
        <v>46124</v>
      </c>
      <c r="B113" t="s">
        <v>221</v>
      </c>
      <c r="C113" s="11">
        <v>100000</v>
      </c>
      <c r="D113" s="11"/>
      <c r="E113" t="s">
        <v>340</v>
      </c>
      <c r="F113" s="108" t="s">
        <v>108</v>
      </c>
      <c r="I113">
        <v>15000</v>
      </c>
      <c r="K113">
        <v>20000</v>
      </c>
      <c r="L113">
        <v>20000</v>
      </c>
      <c r="M113">
        <v>20000</v>
      </c>
    </row>
    <row r="114" spans="1:13" x14ac:dyDescent="0.3">
      <c r="A114" s="111">
        <v>46124</v>
      </c>
      <c r="B114" t="s">
        <v>55</v>
      </c>
      <c r="C114" s="11">
        <v>1600</v>
      </c>
      <c r="D114" s="11"/>
      <c r="F114" s="108" t="s">
        <v>108</v>
      </c>
      <c r="I114">
        <v>1200</v>
      </c>
      <c r="K114">
        <v>150000</v>
      </c>
      <c r="L114">
        <v>150000</v>
      </c>
      <c r="M114">
        <v>150000</v>
      </c>
    </row>
    <row r="115" spans="1:13" x14ac:dyDescent="0.3">
      <c r="A115" s="38">
        <v>46124</v>
      </c>
      <c r="B115" t="s">
        <v>55</v>
      </c>
      <c r="C115" s="11">
        <v>5040</v>
      </c>
      <c r="D115" s="11"/>
      <c r="F115" s="108" t="s">
        <v>108</v>
      </c>
      <c r="I115">
        <v>25600</v>
      </c>
      <c r="K115">
        <v>45200</v>
      </c>
      <c r="L115">
        <v>45200</v>
      </c>
      <c r="M115">
        <v>45200</v>
      </c>
    </row>
    <row r="116" spans="1:13" x14ac:dyDescent="0.3">
      <c r="A116" s="38">
        <v>46124</v>
      </c>
      <c r="B116" t="s">
        <v>211</v>
      </c>
      <c r="C116" s="11"/>
      <c r="D116" s="11">
        <v>5040</v>
      </c>
      <c r="E116" t="s">
        <v>344</v>
      </c>
      <c r="F116" s="108" t="s">
        <v>108</v>
      </c>
      <c r="I116">
        <v>15300</v>
      </c>
      <c r="K116">
        <v>44800</v>
      </c>
      <c r="L116">
        <v>44800</v>
      </c>
      <c r="M116">
        <v>44800</v>
      </c>
    </row>
    <row r="117" spans="1:13" x14ac:dyDescent="0.3">
      <c r="A117" s="111">
        <v>46124</v>
      </c>
      <c r="B117" t="s">
        <v>219</v>
      </c>
      <c r="C117" s="11"/>
      <c r="D117" s="11">
        <v>10000</v>
      </c>
      <c r="E117" t="s">
        <v>341</v>
      </c>
      <c r="F117" s="108" t="s">
        <v>108</v>
      </c>
      <c r="I117">
        <v>16650</v>
      </c>
      <c r="K117">
        <v>5200</v>
      </c>
      <c r="L117">
        <v>5200</v>
      </c>
      <c r="M117">
        <v>5200</v>
      </c>
    </row>
    <row r="118" spans="1:13" x14ac:dyDescent="0.3">
      <c r="A118" s="111">
        <v>46124</v>
      </c>
      <c r="B118" t="s">
        <v>54</v>
      </c>
      <c r="C118" s="11">
        <v>7392</v>
      </c>
      <c r="D118" s="11"/>
      <c r="E118" t="s">
        <v>342</v>
      </c>
      <c r="F118" s="108" t="s">
        <v>108</v>
      </c>
      <c r="I118">
        <v>20000</v>
      </c>
      <c r="K118">
        <v>39400</v>
      </c>
      <c r="L118">
        <v>39400</v>
      </c>
      <c r="M118">
        <v>39400</v>
      </c>
    </row>
    <row r="119" spans="1:13" x14ac:dyDescent="0.3">
      <c r="A119" s="111">
        <v>46125</v>
      </c>
      <c r="B119" t="s">
        <v>9</v>
      </c>
      <c r="C119" s="11"/>
      <c r="D119" s="11">
        <v>100000</v>
      </c>
      <c r="E119" t="s">
        <v>356</v>
      </c>
      <c r="F119" s="108" t="s">
        <v>108</v>
      </c>
      <c r="I119">
        <v>5200</v>
      </c>
      <c r="K119">
        <v>21600</v>
      </c>
      <c r="L119">
        <v>21600</v>
      </c>
      <c r="M119">
        <v>21600</v>
      </c>
    </row>
    <row r="120" spans="1:13" x14ac:dyDescent="0.3">
      <c r="A120" s="111">
        <v>46125</v>
      </c>
      <c r="B120" t="s">
        <v>55</v>
      </c>
      <c r="C120" s="11">
        <v>1000</v>
      </c>
      <c r="D120" s="11"/>
      <c r="F120" s="108" t="s">
        <v>108</v>
      </c>
      <c r="I120">
        <v>46400</v>
      </c>
      <c r="K120">
        <v>46400</v>
      </c>
      <c r="L120">
        <v>46400</v>
      </c>
      <c r="M120">
        <v>46400</v>
      </c>
    </row>
    <row r="121" spans="1:13" x14ac:dyDescent="0.3">
      <c r="A121" s="111">
        <v>46125</v>
      </c>
      <c r="B121" t="s">
        <v>357</v>
      </c>
      <c r="C121" s="95">
        <v>65310</v>
      </c>
      <c r="D121" s="95"/>
      <c r="E121" t="s">
        <v>358</v>
      </c>
      <c r="F121" s="108" t="s">
        <v>108</v>
      </c>
      <c r="I121">
        <v>16300</v>
      </c>
      <c r="K121">
        <v>8400</v>
      </c>
      <c r="L121">
        <v>8400</v>
      </c>
      <c r="M121">
        <v>8400</v>
      </c>
    </row>
    <row r="122" spans="1:13" x14ac:dyDescent="0.3">
      <c r="A122" s="38">
        <v>46125</v>
      </c>
      <c r="B122" t="s">
        <v>211</v>
      </c>
      <c r="C122" s="95"/>
      <c r="D122" s="95">
        <v>70000</v>
      </c>
      <c r="E122" t="s">
        <v>359</v>
      </c>
      <c r="F122" s="108" t="s">
        <v>108</v>
      </c>
      <c r="I122">
        <v>21700</v>
      </c>
      <c r="K122">
        <v>35000</v>
      </c>
      <c r="L122">
        <v>35000</v>
      </c>
      <c r="M122">
        <v>35000</v>
      </c>
    </row>
    <row r="123" spans="1:13" x14ac:dyDescent="0.3">
      <c r="A123" s="38">
        <v>46125</v>
      </c>
      <c r="B123" t="s">
        <v>221</v>
      </c>
      <c r="C123" s="95">
        <v>100000</v>
      </c>
      <c r="D123" s="95"/>
      <c r="E123" t="s">
        <v>360</v>
      </c>
      <c r="F123" s="108" t="s">
        <v>108</v>
      </c>
      <c r="I123">
        <v>6000</v>
      </c>
      <c r="K123">
        <v>80000</v>
      </c>
      <c r="L123">
        <v>80000</v>
      </c>
      <c r="M123">
        <v>80000</v>
      </c>
    </row>
    <row r="124" spans="1:13" x14ac:dyDescent="0.3">
      <c r="A124" s="38">
        <v>46125</v>
      </c>
      <c r="B124" t="s">
        <v>54</v>
      </c>
      <c r="C124" s="95">
        <v>3920</v>
      </c>
      <c r="D124" s="95"/>
      <c r="F124" s="108" t="s">
        <v>108</v>
      </c>
      <c r="I124">
        <v>45000</v>
      </c>
      <c r="K124">
        <v>9500</v>
      </c>
      <c r="L124">
        <v>9500</v>
      </c>
      <c r="M124">
        <v>9500</v>
      </c>
    </row>
    <row r="125" spans="1:13" x14ac:dyDescent="0.3">
      <c r="A125" s="38">
        <v>46125</v>
      </c>
      <c r="B125" t="s">
        <v>168</v>
      </c>
      <c r="C125" s="95">
        <v>1000</v>
      </c>
      <c r="D125" s="95"/>
      <c r="E125" t="s">
        <v>265</v>
      </c>
      <c r="F125" s="108" t="s">
        <v>108</v>
      </c>
      <c r="I125">
        <v>21600</v>
      </c>
      <c r="K125">
        <v>34000</v>
      </c>
      <c r="L125">
        <v>34000</v>
      </c>
      <c r="M125">
        <v>34000</v>
      </c>
    </row>
    <row r="126" spans="1:13" x14ac:dyDescent="0.3">
      <c r="A126" s="38">
        <v>46125</v>
      </c>
      <c r="B126" t="s">
        <v>168</v>
      </c>
      <c r="C126" s="95">
        <v>10000</v>
      </c>
      <c r="D126" s="95"/>
      <c r="E126" t="s">
        <v>361</v>
      </c>
      <c r="F126" s="108" t="s">
        <v>108</v>
      </c>
      <c r="I126">
        <v>39400</v>
      </c>
      <c r="K126">
        <v>21700</v>
      </c>
      <c r="L126">
        <v>21700</v>
      </c>
      <c r="M126">
        <v>21700</v>
      </c>
    </row>
    <row r="127" spans="1:13" x14ac:dyDescent="0.3">
      <c r="A127" s="38">
        <v>46125</v>
      </c>
      <c r="B127" t="s">
        <v>191</v>
      </c>
      <c r="C127" s="95"/>
      <c r="D127" s="95">
        <v>28000</v>
      </c>
      <c r="E127" t="s">
        <v>380</v>
      </c>
      <c r="F127" s="108" t="s">
        <v>108</v>
      </c>
      <c r="I127">
        <v>8400</v>
      </c>
      <c r="K127">
        <v>17000</v>
      </c>
      <c r="L127">
        <v>17000</v>
      </c>
      <c r="M127">
        <v>17000</v>
      </c>
    </row>
    <row r="128" spans="1:13" x14ac:dyDescent="0.3">
      <c r="A128" s="38">
        <v>46125</v>
      </c>
      <c r="B128" t="s">
        <v>54</v>
      </c>
      <c r="C128" s="95">
        <v>1700</v>
      </c>
      <c r="D128" s="95"/>
      <c r="E128" t="s">
        <v>362</v>
      </c>
      <c r="F128" s="108" t="s">
        <v>108</v>
      </c>
      <c r="I128">
        <v>45200</v>
      </c>
      <c r="K128">
        <v>25600</v>
      </c>
      <c r="L128">
        <v>25600</v>
      </c>
      <c r="M128">
        <v>25600</v>
      </c>
    </row>
    <row r="129" spans="1:13" x14ac:dyDescent="0.3">
      <c r="A129" s="38">
        <v>46125</v>
      </c>
      <c r="B129" t="s">
        <v>175</v>
      </c>
      <c r="C129" s="95">
        <v>98950</v>
      </c>
      <c r="D129" s="95"/>
      <c r="E129" t="s">
        <v>363</v>
      </c>
      <c r="F129" s="108" t="s">
        <v>108</v>
      </c>
      <c r="I129">
        <v>34000</v>
      </c>
      <c r="K129">
        <v>14900</v>
      </c>
      <c r="L129">
        <v>14900</v>
      </c>
      <c r="M129">
        <v>14900</v>
      </c>
    </row>
    <row r="130" spans="1:13" x14ac:dyDescent="0.3">
      <c r="A130" s="38">
        <v>46125</v>
      </c>
      <c r="B130" t="s">
        <v>219</v>
      </c>
      <c r="C130" s="95"/>
      <c r="D130" s="95">
        <v>100000</v>
      </c>
      <c r="E130" t="s">
        <v>175</v>
      </c>
      <c r="F130" s="108" t="s">
        <v>108</v>
      </c>
      <c r="I130">
        <v>22400</v>
      </c>
      <c r="K130">
        <v>11650</v>
      </c>
      <c r="L130">
        <v>11650</v>
      </c>
      <c r="M130">
        <v>11650</v>
      </c>
    </row>
    <row r="131" spans="1:13" x14ac:dyDescent="0.3">
      <c r="A131" s="111">
        <v>46126</v>
      </c>
      <c r="B131" t="s">
        <v>55</v>
      </c>
      <c r="C131" s="11">
        <v>2600</v>
      </c>
      <c r="D131" s="11"/>
      <c r="F131" s="108" t="s">
        <v>108</v>
      </c>
      <c r="I131">
        <v>5700</v>
      </c>
      <c r="K131">
        <v>15300</v>
      </c>
      <c r="L131">
        <v>15400</v>
      </c>
      <c r="M131">
        <v>15400</v>
      </c>
    </row>
    <row r="132" spans="1:13" x14ac:dyDescent="0.3">
      <c r="A132" s="111">
        <v>46126</v>
      </c>
      <c r="B132" t="s">
        <v>244</v>
      </c>
      <c r="C132" s="11">
        <v>500</v>
      </c>
      <c r="D132" s="11"/>
      <c r="F132" s="108"/>
      <c r="I132">
        <v>80000</v>
      </c>
      <c r="K132">
        <v>15000</v>
      </c>
      <c r="L132">
        <v>16300</v>
      </c>
      <c r="M132">
        <v>16300</v>
      </c>
    </row>
    <row r="133" spans="1:13" x14ac:dyDescent="0.3">
      <c r="A133" s="111">
        <v>46126</v>
      </c>
      <c r="B133" t="s">
        <v>35</v>
      </c>
      <c r="C133" s="95"/>
      <c r="D133" s="95">
        <v>200000</v>
      </c>
      <c r="E133" t="s">
        <v>355</v>
      </c>
      <c r="F133" s="108" t="s">
        <v>108</v>
      </c>
      <c r="I133">
        <v>2500</v>
      </c>
      <c r="K133">
        <v>6000</v>
      </c>
      <c r="L133">
        <v>15300</v>
      </c>
      <c r="M133">
        <v>15300</v>
      </c>
    </row>
    <row r="134" spans="1:13" x14ac:dyDescent="0.3">
      <c r="A134" s="111">
        <v>46126</v>
      </c>
      <c r="B134" t="s">
        <v>221</v>
      </c>
      <c r="C134" s="95">
        <v>85000</v>
      </c>
      <c r="D134" s="95"/>
      <c r="E134" t="s">
        <v>364</v>
      </c>
      <c r="F134" s="108" t="s">
        <v>108</v>
      </c>
      <c r="I134">
        <v>9500</v>
      </c>
      <c r="K134">
        <v>16550</v>
      </c>
      <c r="L134">
        <v>15000</v>
      </c>
      <c r="M134">
        <v>15000</v>
      </c>
    </row>
    <row r="135" spans="1:13" x14ac:dyDescent="0.3">
      <c r="A135" s="111">
        <v>46126</v>
      </c>
      <c r="B135" t="s">
        <v>219</v>
      </c>
      <c r="C135" s="95"/>
      <c r="D135" s="95">
        <v>85000</v>
      </c>
      <c r="E135" t="s">
        <v>365</v>
      </c>
      <c r="F135" s="108" t="s">
        <v>108</v>
      </c>
      <c r="I135">
        <v>20880</v>
      </c>
      <c r="K135">
        <v>13400</v>
      </c>
      <c r="L135">
        <v>6000</v>
      </c>
      <c r="M135">
        <v>6000</v>
      </c>
    </row>
    <row r="136" spans="1:13" x14ac:dyDescent="0.3">
      <c r="A136" s="111">
        <v>46126</v>
      </c>
      <c r="B136" t="s">
        <v>244</v>
      </c>
      <c r="C136" s="95">
        <v>2020</v>
      </c>
      <c r="D136" s="95"/>
      <c r="E136" t="s">
        <v>366</v>
      </c>
      <c r="F136" s="108" t="s">
        <v>108</v>
      </c>
      <c r="I136">
        <v>150000</v>
      </c>
      <c r="K136">
        <v>11650</v>
      </c>
      <c r="L136">
        <v>16550</v>
      </c>
      <c r="M136">
        <v>16550</v>
      </c>
    </row>
    <row r="137" spans="1:13" x14ac:dyDescent="0.3">
      <c r="A137" s="111">
        <v>46126</v>
      </c>
      <c r="B137" t="s">
        <v>367</v>
      </c>
      <c r="C137" s="95"/>
      <c r="D137" s="95">
        <v>500000</v>
      </c>
      <c r="E137" t="s">
        <v>368</v>
      </c>
      <c r="F137" s="108" t="s">
        <v>108</v>
      </c>
      <c r="K137">
        <v>2500</v>
      </c>
      <c r="L137">
        <v>13400</v>
      </c>
      <c r="M137">
        <v>13400</v>
      </c>
    </row>
    <row r="138" spans="1:13" x14ac:dyDescent="0.3">
      <c r="A138" s="111">
        <v>46126</v>
      </c>
      <c r="B138" t="s">
        <v>219</v>
      </c>
      <c r="C138" s="95">
        <v>200000</v>
      </c>
      <c r="D138" s="95"/>
      <c r="E138" t="s">
        <v>369</v>
      </c>
      <c r="F138" s="108" t="s">
        <v>108</v>
      </c>
      <c r="K138">
        <v>5700</v>
      </c>
      <c r="L138">
        <v>11650</v>
      </c>
      <c r="M138">
        <v>11650</v>
      </c>
    </row>
    <row r="139" spans="1:13" x14ac:dyDescent="0.3">
      <c r="A139" s="111">
        <v>46126</v>
      </c>
      <c r="B139" t="s">
        <v>372</v>
      </c>
      <c r="C139" s="95">
        <v>4000</v>
      </c>
      <c r="D139" s="95"/>
      <c r="E139" t="s">
        <v>289</v>
      </c>
      <c r="F139" s="108" t="s">
        <v>108</v>
      </c>
      <c r="L139">
        <v>2500</v>
      </c>
      <c r="M139">
        <v>2500</v>
      </c>
    </row>
    <row r="140" spans="1:13" x14ac:dyDescent="0.3">
      <c r="A140" s="38">
        <v>46126</v>
      </c>
      <c r="B140" t="s">
        <v>246</v>
      </c>
      <c r="C140" s="95">
        <v>3900</v>
      </c>
      <c r="D140" s="95"/>
      <c r="F140" s="108" t="s">
        <v>108</v>
      </c>
      <c r="L140">
        <v>5700</v>
      </c>
      <c r="M140">
        <v>5700</v>
      </c>
    </row>
    <row r="141" spans="1:13" x14ac:dyDescent="0.3">
      <c r="A141" s="111">
        <v>46126</v>
      </c>
      <c r="B141" t="s">
        <v>253</v>
      </c>
      <c r="C141" s="95"/>
      <c r="D141" s="95"/>
      <c r="E141" t="s">
        <v>379</v>
      </c>
      <c r="F141" s="108" t="s">
        <v>108</v>
      </c>
      <c r="L141">
        <v>5000</v>
      </c>
      <c r="M141">
        <v>5000</v>
      </c>
    </row>
    <row r="142" spans="1:13" x14ac:dyDescent="0.3">
      <c r="A142" s="38">
        <v>46127</v>
      </c>
      <c r="B142" t="s">
        <v>279</v>
      </c>
      <c r="C142" s="95"/>
      <c r="D142" s="95">
        <v>164000</v>
      </c>
      <c r="F142" s="108" t="s">
        <v>108</v>
      </c>
    </row>
    <row r="143" spans="1:13" x14ac:dyDescent="0.3">
      <c r="A143" s="38">
        <v>46127</v>
      </c>
      <c r="B143" t="s">
        <v>219</v>
      </c>
      <c r="C143" s="95">
        <v>164000</v>
      </c>
      <c r="D143" s="95"/>
      <c r="E143" t="s">
        <v>378</v>
      </c>
      <c r="F143" s="108" t="s">
        <v>108</v>
      </c>
    </row>
    <row r="144" spans="1:13" x14ac:dyDescent="0.3">
      <c r="A144" s="38">
        <v>46127</v>
      </c>
      <c r="B144" t="s">
        <v>227</v>
      </c>
      <c r="C144" s="95">
        <v>400000</v>
      </c>
      <c r="D144" s="95"/>
      <c r="E144" t="s">
        <v>370</v>
      </c>
      <c r="F144" s="108" t="s">
        <v>108</v>
      </c>
    </row>
    <row r="145" spans="1:6" x14ac:dyDescent="0.3">
      <c r="A145" s="38">
        <v>46127</v>
      </c>
      <c r="B145" t="s">
        <v>55</v>
      </c>
      <c r="C145" s="11">
        <v>3210</v>
      </c>
      <c r="D145" s="11"/>
      <c r="E145" t="s">
        <v>373</v>
      </c>
      <c r="F145" s="108" t="s">
        <v>108</v>
      </c>
    </row>
    <row r="146" spans="1:6" x14ac:dyDescent="0.3">
      <c r="A146" s="111">
        <v>46127</v>
      </c>
      <c r="B146" t="s">
        <v>221</v>
      </c>
      <c r="C146" s="11">
        <v>50000</v>
      </c>
      <c r="D146" s="11"/>
      <c r="E146" t="s">
        <v>374</v>
      </c>
      <c r="F146" s="108" t="s">
        <v>108</v>
      </c>
    </row>
    <row r="147" spans="1:6" x14ac:dyDescent="0.3">
      <c r="A147" s="38">
        <v>46127</v>
      </c>
      <c r="B147" t="s">
        <v>211</v>
      </c>
      <c r="C147" s="11">
        <v>2490</v>
      </c>
      <c r="D147" s="11"/>
      <c r="F147" s="108" t="s">
        <v>108</v>
      </c>
    </row>
    <row r="148" spans="1:6" x14ac:dyDescent="0.3">
      <c r="A148" s="111">
        <v>46127</v>
      </c>
      <c r="B148" t="s">
        <v>226</v>
      </c>
      <c r="C148" s="95"/>
      <c r="D148" s="95">
        <v>676071</v>
      </c>
      <c r="E148" t="s">
        <v>445</v>
      </c>
      <c r="F148" s="108" t="s">
        <v>108</v>
      </c>
    </row>
    <row r="149" spans="1:6" x14ac:dyDescent="0.3">
      <c r="A149" s="38">
        <v>46127</v>
      </c>
      <c r="B149" t="s">
        <v>219</v>
      </c>
      <c r="C149" s="95">
        <v>676071</v>
      </c>
      <c r="D149" s="95"/>
      <c r="E149" t="s">
        <v>446</v>
      </c>
      <c r="F149" s="108" t="s">
        <v>108</v>
      </c>
    </row>
    <row r="150" spans="1:6" x14ac:dyDescent="0.3">
      <c r="A150" s="38">
        <v>46128</v>
      </c>
      <c r="B150" t="s">
        <v>55</v>
      </c>
      <c r="C150" s="11">
        <v>27000</v>
      </c>
      <c r="D150" s="11"/>
      <c r="F150" s="108" t="s">
        <v>108</v>
      </c>
    </row>
    <row r="151" spans="1:6" x14ac:dyDescent="0.3">
      <c r="A151" s="38">
        <v>46128</v>
      </c>
      <c r="B151" t="s">
        <v>219</v>
      </c>
      <c r="C151" s="11"/>
      <c r="D151" s="11">
        <v>27000</v>
      </c>
      <c r="E151" t="s">
        <v>55</v>
      </c>
      <c r="F151" s="108" t="s">
        <v>108</v>
      </c>
    </row>
    <row r="152" spans="1:6" x14ac:dyDescent="0.3">
      <c r="A152" s="38">
        <v>46128</v>
      </c>
      <c r="B152" t="s">
        <v>55</v>
      </c>
      <c r="C152" s="95">
        <v>600</v>
      </c>
      <c r="D152" s="95"/>
      <c r="F152" s="108" t="s">
        <v>108</v>
      </c>
    </row>
    <row r="153" spans="1:6" x14ac:dyDescent="0.3">
      <c r="A153" s="38">
        <v>46128</v>
      </c>
      <c r="B153" t="s">
        <v>219</v>
      </c>
      <c r="C153" s="95"/>
      <c r="D153" s="95">
        <v>600</v>
      </c>
      <c r="F153" s="108" t="s">
        <v>108</v>
      </c>
    </row>
    <row r="154" spans="1:6" x14ac:dyDescent="0.3">
      <c r="A154" s="38">
        <v>46128</v>
      </c>
      <c r="B154" t="s">
        <v>55</v>
      </c>
      <c r="C154" s="95">
        <v>3800</v>
      </c>
      <c r="D154" s="95"/>
      <c r="F154" s="108" t="s">
        <v>108</v>
      </c>
    </row>
    <row r="155" spans="1:6" x14ac:dyDescent="0.3">
      <c r="A155" s="38">
        <v>46128</v>
      </c>
      <c r="B155" t="s">
        <v>219</v>
      </c>
      <c r="C155" s="95"/>
      <c r="D155" s="95">
        <v>3800</v>
      </c>
      <c r="F155" s="108" t="s">
        <v>108</v>
      </c>
    </row>
    <row r="156" spans="1:6" x14ac:dyDescent="0.3">
      <c r="A156" s="38">
        <v>46128</v>
      </c>
      <c r="B156" t="s">
        <v>55</v>
      </c>
      <c r="C156" s="95">
        <v>2635</v>
      </c>
      <c r="D156" s="95"/>
      <c r="F156" s="108" t="s">
        <v>108</v>
      </c>
    </row>
    <row r="157" spans="1:6" x14ac:dyDescent="0.3">
      <c r="A157" s="38">
        <v>46128</v>
      </c>
      <c r="B157" t="s">
        <v>367</v>
      </c>
      <c r="C157" s="95"/>
      <c r="D157" s="95">
        <v>400000</v>
      </c>
      <c r="E157" t="s">
        <v>375</v>
      </c>
      <c r="F157" s="108" t="s">
        <v>108</v>
      </c>
    </row>
    <row r="158" spans="1:6" x14ac:dyDescent="0.3">
      <c r="A158" s="38">
        <v>46128</v>
      </c>
      <c r="B158" t="s">
        <v>221</v>
      </c>
      <c r="C158" s="95">
        <v>200125</v>
      </c>
      <c r="D158" s="95"/>
      <c r="E158" t="s">
        <v>376</v>
      </c>
      <c r="F158" s="108" t="s">
        <v>108</v>
      </c>
    </row>
    <row r="159" spans="1:6" x14ac:dyDescent="0.3">
      <c r="A159" s="38">
        <v>46128</v>
      </c>
      <c r="B159" t="s">
        <v>168</v>
      </c>
      <c r="C159" s="95">
        <v>203000</v>
      </c>
      <c r="D159" s="95"/>
      <c r="E159" t="s">
        <v>377</v>
      </c>
      <c r="F159" s="108" t="s">
        <v>108</v>
      </c>
    </row>
    <row r="160" spans="1:6" x14ac:dyDescent="0.3">
      <c r="A160" s="38">
        <v>46128</v>
      </c>
      <c r="B160" t="s">
        <v>9</v>
      </c>
      <c r="C160" s="95"/>
      <c r="D160" s="95">
        <v>100000</v>
      </c>
      <c r="E160" t="s">
        <v>109</v>
      </c>
      <c r="F160" s="108" t="s">
        <v>108</v>
      </c>
    </row>
    <row r="161" spans="1:15" x14ac:dyDescent="0.3">
      <c r="A161" s="111">
        <v>46128</v>
      </c>
      <c r="B161" t="s">
        <v>115</v>
      </c>
      <c r="C161" s="11">
        <v>90000</v>
      </c>
      <c r="D161" s="11"/>
      <c r="F161" s="108" t="s">
        <v>108</v>
      </c>
    </row>
    <row r="162" spans="1:15" x14ac:dyDescent="0.3">
      <c r="A162" s="111">
        <v>46128</v>
      </c>
      <c r="B162" t="s">
        <v>219</v>
      </c>
      <c r="C162" s="11">
        <v>10000</v>
      </c>
      <c r="D162" s="11"/>
      <c r="E162" t="s">
        <v>381</v>
      </c>
      <c r="F162" s="108" t="s">
        <v>108</v>
      </c>
    </row>
    <row r="163" spans="1:15" x14ac:dyDescent="0.3">
      <c r="A163" s="111">
        <v>46128</v>
      </c>
      <c r="B163" t="s">
        <v>54</v>
      </c>
      <c r="C163" s="95">
        <v>7763</v>
      </c>
      <c r="D163" s="95"/>
      <c r="E163" t="s">
        <v>254</v>
      </c>
      <c r="F163" s="108" t="s">
        <v>108</v>
      </c>
      <c r="J163" s="3" t="s">
        <v>6</v>
      </c>
      <c r="K163" t="s">
        <v>117</v>
      </c>
      <c r="L163" t="s">
        <v>118</v>
      </c>
      <c r="N163">
        <v>32600</v>
      </c>
      <c r="O163">
        <v>32600</v>
      </c>
    </row>
    <row r="164" spans="1:15" x14ac:dyDescent="0.3">
      <c r="A164" s="111">
        <v>46128</v>
      </c>
      <c r="B164" t="s">
        <v>116</v>
      </c>
      <c r="C164" s="11">
        <v>38800</v>
      </c>
      <c r="D164" s="11"/>
      <c r="E164" t="s">
        <v>382</v>
      </c>
      <c r="F164" s="108" t="s">
        <v>108</v>
      </c>
      <c r="J164" s="26">
        <v>46111</v>
      </c>
      <c r="K164" s="14">
        <v>689345.22951719165</v>
      </c>
      <c r="L164" s="14">
        <v>1398490</v>
      </c>
      <c r="N164">
        <v>45600</v>
      </c>
      <c r="O164">
        <v>9200</v>
      </c>
    </row>
    <row r="165" spans="1:15" x14ac:dyDescent="0.3">
      <c r="A165" s="111">
        <v>46128</v>
      </c>
      <c r="B165" t="s">
        <v>35</v>
      </c>
      <c r="C165" s="11"/>
      <c r="D165" s="11">
        <v>200000</v>
      </c>
      <c r="E165" t="s">
        <v>383</v>
      </c>
      <c r="F165" s="108" t="s">
        <v>108</v>
      </c>
      <c r="J165" s="26">
        <v>46113</v>
      </c>
      <c r="K165" s="14">
        <v>105000</v>
      </c>
      <c r="L165" s="14">
        <v>483025</v>
      </c>
      <c r="N165">
        <v>49400</v>
      </c>
      <c r="O165">
        <v>45600</v>
      </c>
    </row>
    <row r="166" spans="1:15" x14ac:dyDescent="0.3">
      <c r="A166" s="38">
        <v>46128</v>
      </c>
      <c r="B166" t="s">
        <v>253</v>
      </c>
      <c r="C166" s="11"/>
      <c r="D166" s="11"/>
      <c r="E166" t="s">
        <v>262</v>
      </c>
      <c r="F166" s="108" t="s">
        <v>108</v>
      </c>
      <c r="G166" s="122"/>
      <c r="J166" s="26">
        <v>46114</v>
      </c>
      <c r="K166" s="14">
        <v>160635</v>
      </c>
      <c r="L166" s="14">
        <v>273864</v>
      </c>
      <c r="N166">
        <v>37200</v>
      </c>
      <c r="O166">
        <v>30000</v>
      </c>
    </row>
    <row r="167" spans="1:15" x14ac:dyDescent="0.3">
      <c r="A167" s="38">
        <v>46128</v>
      </c>
      <c r="B167" t="s">
        <v>54</v>
      </c>
      <c r="C167" s="11">
        <v>3943</v>
      </c>
      <c r="D167" s="11"/>
      <c r="E167" t="s">
        <v>384</v>
      </c>
      <c r="F167" s="108" t="s">
        <v>108</v>
      </c>
      <c r="G167" s="122"/>
      <c r="J167" s="26">
        <v>46115</v>
      </c>
      <c r="K167" s="14">
        <v>121000</v>
      </c>
      <c r="L167" s="14">
        <v>65829</v>
      </c>
      <c r="N167">
        <v>9200</v>
      </c>
      <c r="O167">
        <v>37200</v>
      </c>
    </row>
    <row r="168" spans="1:15" x14ac:dyDescent="0.3">
      <c r="A168" s="38">
        <v>46128</v>
      </c>
      <c r="B168" t="s">
        <v>54</v>
      </c>
      <c r="C168" s="11">
        <v>1500</v>
      </c>
      <c r="D168" s="11"/>
      <c r="E168" t="s">
        <v>385</v>
      </c>
      <c r="F168" s="108" t="s">
        <v>108</v>
      </c>
      <c r="G168" s="122"/>
      <c r="J168" s="26">
        <v>46116</v>
      </c>
      <c r="K168" s="14">
        <v>100000</v>
      </c>
      <c r="L168" s="14">
        <v>165180</v>
      </c>
      <c r="N168">
        <v>50000</v>
      </c>
      <c r="O168">
        <v>49400</v>
      </c>
    </row>
    <row r="169" spans="1:15" x14ac:dyDescent="0.3">
      <c r="A169" s="38">
        <v>46129</v>
      </c>
      <c r="B169" t="s">
        <v>386</v>
      </c>
      <c r="C169" s="11">
        <v>1437</v>
      </c>
      <c r="D169" s="11"/>
      <c r="E169" t="s">
        <v>387</v>
      </c>
      <c r="F169" s="108" t="s">
        <v>108</v>
      </c>
      <c r="J169" s="26">
        <v>46118</v>
      </c>
      <c r="K169" s="14">
        <v>122000</v>
      </c>
      <c r="L169" s="14">
        <v>117740</v>
      </c>
      <c r="N169">
        <v>60400</v>
      </c>
      <c r="O169">
        <v>60400</v>
      </c>
    </row>
    <row r="170" spans="1:15" x14ac:dyDescent="0.3">
      <c r="A170" s="38">
        <v>46129</v>
      </c>
      <c r="B170" t="s">
        <v>211</v>
      </c>
      <c r="C170" s="11">
        <v>2880</v>
      </c>
      <c r="D170" s="11"/>
      <c r="F170" s="108" t="s">
        <v>108</v>
      </c>
      <c r="J170" s="26">
        <v>46119</v>
      </c>
      <c r="K170" s="14">
        <v>344000</v>
      </c>
      <c r="L170" s="14">
        <v>312000</v>
      </c>
      <c r="N170">
        <v>30000</v>
      </c>
      <c r="O170">
        <v>50000</v>
      </c>
    </row>
    <row r="171" spans="1:15" x14ac:dyDescent="0.3">
      <c r="A171" s="38">
        <v>46129</v>
      </c>
      <c r="B171" t="s">
        <v>55</v>
      </c>
      <c r="C171" s="11">
        <v>6000</v>
      </c>
      <c r="D171" s="11"/>
      <c r="E171" t="s">
        <v>388</v>
      </c>
      <c r="F171" s="108" t="s">
        <v>108</v>
      </c>
      <c r="J171" s="26">
        <v>46120</v>
      </c>
      <c r="K171" s="14">
        <v>304380</v>
      </c>
      <c r="L171" s="14">
        <v>321958</v>
      </c>
      <c r="N171">
        <v>13670</v>
      </c>
      <c r="O171">
        <v>1000</v>
      </c>
    </row>
    <row r="172" spans="1:15" x14ac:dyDescent="0.3">
      <c r="A172" s="38">
        <v>46129</v>
      </c>
      <c r="B172" t="s">
        <v>221</v>
      </c>
      <c r="C172" s="11">
        <v>50000</v>
      </c>
      <c r="D172" s="11"/>
      <c r="E172" t="s">
        <v>389</v>
      </c>
      <c r="F172" s="108" t="s">
        <v>108</v>
      </c>
      <c r="J172" s="26">
        <v>46121</v>
      </c>
      <c r="K172" s="14">
        <v>1106336</v>
      </c>
      <c r="L172" s="14">
        <v>66136</v>
      </c>
      <c r="N172">
        <v>18120</v>
      </c>
      <c r="O172">
        <v>35000</v>
      </c>
    </row>
    <row r="173" spans="1:15" x14ac:dyDescent="0.3">
      <c r="A173" s="38">
        <v>46129</v>
      </c>
      <c r="B173" t="s">
        <v>54</v>
      </c>
      <c r="C173" s="11">
        <v>2010</v>
      </c>
      <c r="D173" s="11"/>
      <c r="E173" t="s">
        <v>390</v>
      </c>
      <c r="F173" s="108" t="s">
        <v>108</v>
      </c>
      <c r="J173" s="26">
        <v>46122</v>
      </c>
      <c r="K173" s="14">
        <v>189000</v>
      </c>
      <c r="L173" s="14">
        <v>94680.4</v>
      </c>
      <c r="N173">
        <v>7650</v>
      </c>
      <c r="O173">
        <v>29600</v>
      </c>
    </row>
    <row r="174" spans="1:15" x14ac:dyDescent="0.3">
      <c r="A174" s="38">
        <v>46129</v>
      </c>
      <c r="B174" t="s">
        <v>55</v>
      </c>
      <c r="C174" s="11">
        <v>1320</v>
      </c>
      <c r="D174" s="11"/>
      <c r="F174" s="108" t="s">
        <v>108</v>
      </c>
      <c r="J174" s="26">
        <v>46123</v>
      </c>
      <c r="K174" s="14">
        <v>405965</v>
      </c>
      <c r="L174" s="14">
        <v>219626</v>
      </c>
      <c r="N174">
        <v>25000</v>
      </c>
      <c r="O174">
        <v>20000</v>
      </c>
    </row>
    <row r="175" spans="1:15" x14ac:dyDescent="0.3">
      <c r="A175" s="38">
        <v>46129</v>
      </c>
      <c r="B175" t="s">
        <v>54</v>
      </c>
      <c r="C175" s="11">
        <v>1000</v>
      </c>
      <c r="D175" s="11"/>
      <c r="F175" s="108" t="s">
        <v>108</v>
      </c>
      <c r="J175" s="26">
        <v>46124</v>
      </c>
      <c r="K175" s="14">
        <v>55040</v>
      </c>
      <c r="L175" s="14">
        <v>218532</v>
      </c>
      <c r="N175">
        <v>12000</v>
      </c>
      <c r="O175">
        <v>20800</v>
      </c>
    </row>
    <row r="176" spans="1:15" x14ac:dyDescent="0.3">
      <c r="A176" s="38">
        <v>46130</v>
      </c>
      <c r="B176" t="s">
        <v>55</v>
      </c>
      <c r="C176" s="11">
        <v>1370</v>
      </c>
      <c r="D176" s="11"/>
      <c r="E176" t="s">
        <v>284</v>
      </c>
      <c r="F176" s="108" t="s">
        <v>108</v>
      </c>
      <c r="J176" s="26">
        <v>46125</v>
      </c>
      <c r="K176" s="14">
        <v>298000</v>
      </c>
      <c r="L176" s="14">
        <v>281880</v>
      </c>
      <c r="N176">
        <v>22650</v>
      </c>
      <c r="O176">
        <v>19200</v>
      </c>
    </row>
    <row r="177" spans="1:15" x14ac:dyDescent="0.3">
      <c r="A177" s="38">
        <v>46130</v>
      </c>
      <c r="B177" t="s">
        <v>219</v>
      </c>
      <c r="C177" s="11"/>
      <c r="D177" s="11">
        <v>1370</v>
      </c>
      <c r="E177" t="s">
        <v>284</v>
      </c>
      <c r="F177" s="108" t="s">
        <v>108</v>
      </c>
      <c r="J177" s="26">
        <v>46126</v>
      </c>
      <c r="K177" s="14">
        <v>785000</v>
      </c>
      <c r="L177" s="14">
        <v>298020</v>
      </c>
      <c r="N177">
        <v>22650</v>
      </c>
    </row>
    <row r="178" spans="1:15" x14ac:dyDescent="0.3">
      <c r="A178" s="38">
        <v>46130</v>
      </c>
      <c r="B178" t="s">
        <v>269</v>
      </c>
      <c r="C178" s="11">
        <v>5000</v>
      </c>
      <c r="D178" s="11"/>
      <c r="E178" t="s">
        <v>391</v>
      </c>
      <c r="F178" s="108" t="s">
        <v>108</v>
      </c>
      <c r="J178" s="26">
        <v>46127</v>
      </c>
      <c r="K178" s="14">
        <v>840071</v>
      </c>
      <c r="L178" s="14">
        <v>1295771</v>
      </c>
      <c r="N178">
        <v>24400</v>
      </c>
    </row>
    <row r="179" spans="1:15" x14ac:dyDescent="0.3">
      <c r="A179" s="111">
        <v>46130</v>
      </c>
      <c r="B179" t="s">
        <v>357</v>
      </c>
      <c r="C179" s="11">
        <v>10000</v>
      </c>
      <c r="D179" s="11"/>
      <c r="E179" t="s">
        <v>326</v>
      </c>
      <c r="F179" s="108" t="s">
        <v>108</v>
      </c>
      <c r="J179" s="26">
        <v>46128</v>
      </c>
      <c r="K179" s="14">
        <v>731400</v>
      </c>
      <c r="L179" s="14">
        <v>589166</v>
      </c>
      <c r="N179">
        <v>15000</v>
      </c>
      <c r="O179">
        <v>20850</v>
      </c>
    </row>
    <row r="180" spans="1:15" x14ac:dyDescent="0.3">
      <c r="A180" s="38">
        <v>46130</v>
      </c>
      <c r="B180" t="s">
        <v>9</v>
      </c>
      <c r="C180" s="11"/>
      <c r="D180" s="11">
        <v>100000</v>
      </c>
      <c r="E180" t="s">
        <v>109</v>
      </c>
      <c r="F180" s="108" t="s">
        <v>108</v>
      </c>
      <c r="J180" s="26">
        <v>46129</v>
      </c>
      <c r="K180" s="14"/>
      <c r="L180" s="14">
        <v>64647</v>
      </c>
      <c r="N180">
        <v>22650</v>
      </c>
      <c r="O180">
        <v>16630</v>
      </c>
    </row>
    <row r="181" spans="1:15" x14ac:dyDescent="0.3">
      <c r="A181" s="38">
        <v>46130</v>
      </c>
      <c r="B181" t="s">
        <v>115</v>
      </c>
      <c r="C181" s="11">
        <v>100000</v>
      </c>
      <c r="D181" s="11"/>
      <c r="E181" t="s">
        <v>109</v>
      </c>
      <c r="F181" s="108" t="s">
        <v>108</v>
      </c>
      <c r="J181" s="26">
        <v>46130</v>
      </c>
      <c r="K181" s="14">
        <v>273970</v>
      </c>
      <c r="L181" s="14">
        <v>323370</v>
      </c>
      <c r="N181">
        <v>25000</v>
      </c>
      <c r="O181">
        <v>16630</v>
      </c>
    </row>
    <row r="182" spans="1:15" x14ac:dyDescent="0.3">
      <c r="A182" s="38">
        <v>46130</v>
      </c>
      <c r="B182" t="s">
        <v>55</v>
      </c>
      <c r="C182" s="11">
        <v>1100</v>
      </c>
      <c r="D182" s="11"/>
      <c r="F182" s="108" t="s">
        <v>108</v>
      </c>
      <c r="J182" s="26">
        <v>46131</v>
      </c>
      <c r="K182" s="14">
        <v>154500</v>
      </c>
      <c r="L182" s="14">
        <v>192380</v>
      </c>
      <c r="N182">
        <v>20000</v>
      </c>
      <c r="O182">
        <v>7650</v>
      </c>
    </row>
    <row r="183" spans="1:15" x14ac:dyDescent="0.3">
      <c r="A183" s="38">
        <v>46130</v>
      </c>
      <c r="B183" t="s">
        <v>357</v>
      </c>
      <c r="C183" s="11">
        <v>30000</v>
      </c>
      <c r="D183" s="11"/>
      <c r="E183" t="s">
        <v>392</v>
      </c>
      <c r="F183" s="108" t="s">
        <v>108</v>
      </c>
      <c r="J183" s="26">
        <v>46132</v>
      </c>
      <c r="K183" s="14">
        <v>408026</v>
      </c>
      <c r="L183" s="14">
        <v>405525</v>
      </c>
      <c r="N183">
        <v>16650</v>
      </c>
      <c r="O183">
        <v>17000</v>
      </c>
    </row>
    <row r="184" spans="1:15" x14ac:dyDescent="0.3">
      <c r="A184" s="38">
        <v>46130</v>
      </c>
      <c r="B184" t="s">
        <v>55</v>
      </c>
      <c r="C184" s="11">
        <v>1800</v>
      </c>
      <c r="D184" s="11"/>
      <c r="F184" s="108" t="s">
        <v>108</v>
      </c>
      <c r="J184" s="26">
        <v>46133</v>
      </c>
      <c r="K184" s="14">
        <v>2237000</v>
      </c>
      <c r="L184" s="14">
        <v>1938361</v>
      </c>
      <c r="N184">
        <v>29600</v>
      </c>
      <c r="O184">
        <v>16650</v>
      </c>
    </row>
    <row r="185" spans="1:15" x14ac:dyDescent="0.3">
      <c r="A185" s="111">
        <v>46130</v>
      </c>
      <c r="B185" t="s">
        <v>55</v>
      </c>
      <c r="C185" s="11">
        <v>550</v>
      </c>
      <c r="D185" s="11"/>
      <c r="F185" s="108" t="s">
        <v>108</v>
      </c>
      <c r="J185" s="26">
        <v>46134</v>
      </c>
      <c r="K185" s="14">
        <v>477000</v>
      </c>
      <c r="L185" s="14">
        <v>538225</v>
      </c>
      <c r="N185">
        <v>16630</v>
      </c>
      <c r="O185">
        <v>24400</v>
      </c>
    </row>
    <row r="186" spans="1:15" x14ac:dyDescent="0.3">
      <c r="A186" s="38">
        <v>46130</v>
      </c>
      <c r="B186" t="s">
        <v>54</v>
      </c>
      <c r="C186" s="11">
        <v>950</v>
      </c>
      <c r="D186" s="11"/>
      <c r="F186" s="108" t="s">
        <v>108</v>
      </c>
      <c r="J186" s="26">
        <v>46135</v>
      </c>
      <c r="K186" s="14">
        <v>176414</v>
      </c>
      <c r="L186" s="14">
        <v>388044</v>
      </c>
      <c r="N186">
        <v>16650</v>
      </c>
      <c r="O186">
        <v>15000</v>
      </c>
    </row>
    <row r="187" spans="1:15" x14ac:dyDescent="0.3">
      <c r="A187" s="38">
        <v>46130</v>
      </c>
      <c r="B187" t="s">
        <v>221</v>
      </c>
      <c r="C187" s="11">
        <v>48800</v>
      </c>
      <c r="D187" s="11"/>
      <c r="E187" t="s">
        <v>393</v>
      </c>
      <c r="F187" s="108" t="s">
        <v>108</v>
      </c>
      <c r="J187" s="26">
        <v>46136</v>
      </c>
      <c r="K187" s="14">
        <v>79400</v>
      </c>
      <c r="L187" s="14">
        <v>91189</v>
      </c>
      <c r="N187">
        <v>160000</v>
      </c>
      <c r="O187">
        <v>16650</v>
      </c>
    </row>
    <row r="188" spans="1:15" x14ac:dyDescent="0.3">
      <c r="A188" s="38">
        <v>46130</v>
      </c>
      <c r="B188" t="s">
        <v>35</v>
      </c>
      <c r="C188" s="11"/>
      <c r="D188" s="11">
        <v>123800</v>
      </c>
      <c r="F188" s="108" t="s">
        <v>108</v>
      </c>
      <c r="J188" s="26">
        <v>46137</v>
      </c>
      <c r="K188" s="14">
        <v>281600</v>
      </c>
      <c r="L188" s="14">
        <v>280746</v>
      </c>
      <c r="N188">
        <v>17000</v>
      </c>
      <c r="O188">
        <v>13650</v>
      </c>
    </row>
    <row r="189" spans="1:15" x14ac:dyDescent="0.3">
      <c r="A189" s="38">
        <v>46130</v>
      </c>
      <c r="B189" t="s">
        <v>219</v>
      </c>
      <c r="C189" s="11"/>
      <c r="D189" s="11">
        <v>48800</v>
      </c>
      <c r="E189" t="s">
        <v>394</v>
      </c>
      <c r="F189" s="108" t="s">
        <v>108</v>
      </c>
      <c r="J189" s="26">
        <v>46138</v>
      </c>
      <c r="K189" s="14"/>
      <c r="L189" s="14">
        <v>11456</v>
      </c>
      <c r="N189">
        <v>19200</v>
      </c>
      <c r="O189">
        <v>12000</v>
      </c>
    </row>
    <row r="190" spans="1:15" x14ac:dyDescent="0.3">
      <c r="A190" s="38">
        <v>46130</v>
      </c>
      <c r="B190" t="s">
        <v>219</v>
      </c>
      <c r="C190" s="11">
        <v>123800</v>
      </c>
      <c r="D190" s="11"/>
      <c r="E190" t="s">
        <v>395</v>
      </c>
      <c r="F190" s="108" t="s">
        <v>108</v>
      </c>
      <c r="J190" s="26">
        <v>46139</v>
      </c>
      <c r="K190" s="14">
        <v>303721</v>
      </c>
      <c r="L190" s="14">
        <v>313031</v>
      </c>
      <c r="N190">
        <v>20000</v>
      </c>
      <c r="O190">
        <v>14000</v>
      </c>
    </row>
    <row r="191" spans="1:15" x14ac:dyDescent="0.3">
      <c r="A191" s="38">
        <v>46131</v>
      </c>
      <c r="B191" t="s">
        <v>269</v>
      </c>
      <c r="C191" s="11">
        <v>75000</v>
      </c>
      <c r="D191" s="11"/>
      <c r="E191" t="s">
        <v>396</v>
      </c>
      <c r="F191" s="108" t="s">
        <v>108</v>
      </c>
      <c r="J191" s="26">
        <v>46140</v>
      </c>
      <c r="K191" s="14">
        <v>110000</v>
      </c>
      <c r="L191" s="14">
        <v>106240</v>
      </c>
      <c r="N191">
        <v>20850</v>
      </c>
      <c r="O191">
        <v>25000</v>
      </c>
    </row>
    <row r="192" spans="1:15" x14ac:dyDescent="0.3">
      <c r="A192" s="38">
        <v>46131</v>
      </c>
      <c r="B192" t="s">
        <v>219</v>
      </c>
      <c r="C192" s="11"/>
      <c r="D192" s="11">
        <v>75000</v>
      </c>
      <c r="E192" t="s">
        <v>397</v>
      </c>
      <c r="F192" s="108" t="s">
        <v>108</v>
      </c>
      <c r="J192" s="26">
        <v>46141</v>
      </c>
      <c r="K192" s="14">
        <v>736000</v>
      </c>
      <c r="L192" s="14">
        <v>730269</v>
      </c>
      <c r="N192">
        <v>16650</v>
      </c>
      <c r="O192">
        <v>20000</v>
      </c>
    </row>
    <row r="193" spans="1:15" x14ac:dyDescent="0.3">
      <c r="A193" s="38">
        <v>46131</v>
      </c>
      <c r="B193" t="s">
        <v>116</v>
      </c>
      <c r="C193" s="11">
        <v>31000</v>
      </c>
      <c r="D193" s="11"/>
      <c r="E193" t="s">
        <v>61</v>
      </c>
      <c r="F193" s="108" t="s">
        <v>108</v>
      </c>
      <c r="J193" s="26">
        <v>46142</v>
      </c>
      <c r="K193" s="14">
        <v>927500</v>
      </c>
      <c r="L193" s="14">
        <v>223690</v>
      </c>
      <c r="N193">
        <v>14000</v>
      </c>
      <c r="O193">
        <v>25000</v>
      </c>
    </row>
    <row r="194" spans="1:15" x14ac:dyDescent="0.3">
      <c r="A194" s="38">
        <v>46131</v>
      </c>
      <c r="B194" t="s">
        <v>219</v>
      </c>
      <c r="C194" s="11"/>
      <c r="D194" s="11">
        <v>31000</v>
      </c>
      <c r="E194" t="s">
        <v>316</v>
      </c>
      <c r="F194" s="108" t="s">
        <v>108</v>
      </c>
      <c r="J194" s="26">
        <v>46143</v>
      </c>
      <c r="K194" s="14">
        <v>172000</v>
      </c>
      <c r="L194" s="14">
        <v>176000</v>
      </c>
      <c r="N194">
        <v>3900</v>
      </c>
      <c r="O194">
        <v>3900</v>
      </c>
    </row>
    <row r="195" spans="1:15" x14ac:dyDescent="0.3">
      <c r="A195" s="38">
        <v>46131</v>
      </c>
      <c r="B195" t="s">
        <v>219</v>
      </c>
      <c r="C195" s="11"/>
      <c r="D195" s="11">
        <v>48500</v>
      </c>
      <c r="E195" t="s">
        <v>398</v>
      </c>
      <c r="F195" s="108" t="s">
        <v>108</v>
      </c>
      <c r="J195" s="26">
        <v>46144</v>
      </c>
      <c r="K195" s="14">
        <v>1200000</v>
      </c>
      <c r="L195" s="14">
        <v>1879250</v>
      </c>
      <c r="N195">
        <v>35000</v>
      </c>
      <c r="O195">
        <v>18120</v>
      </c>
    </row>
    <row r="196" spans="1:15" x14ac:dyDescent="0.3">
      <c r="A196" s="38">
        <v>46131</v>
      </c>
      <c r="B196" t="s">
        <v>222</v>
      </c>
      <c r="C196" s="11">
        <v>48500</v>
      </c>
      <c r="D196" s="11"/>
      <c r="E196" t="s">
        <v>240</v>
      </c>
      <c r="F196" s="108" t="s">
        <v>108</v>
      </c>
      <c r="J196" s="26">
        <v>46145</v>
      </c>
      <c r="K196" s="14">
        <v>20200</v>
      </c>
      <c r="L196" s="14">
        <v>26970</v>
      </c>
      <c r="O196">
        <v>22650</v>
      </c>
    </row>
    <row r="197" spans="1:15" x14ac:dyDescent="0.3">
      <c r="A197" s="38">
        <v>46131</v>
      </c>
      <c r="B197" t="s">
        <v>386</v>
      </c>
      <c r="C197" s="11">
        <v>3000</v>
      </c>
      <c r="D197" s="11"/>
      <c r="E197" t="s">
        <v>266</v>
      </c>
      <c r="F197" s="108" t="s">
        <v>108</v>
      </c>
      <c r="J197" s="26">
        <v>46146</v>
      </c>
      <c r="K197" s="14">
        <v>378000</v>
      </c>
      <c r="L197" s="14">
        <v>370310</v>
      </c>
      <c r="O197">
        <v>22650</v>
      </c>
    </row>
    <row r="198" spans="1:15" x14ac:dyDescent="0.3">
      <c r="A198" s="38">
        <v>46131</v>
      </c>
      <c r="B198" t="s">
        <v>425</v>
      </c>
      <c r="C198" s="11">
        <v>25000</v>
      </c>
      <c r="D198" s="11"/>
      <c r="E198" t="s">
        <v>240</v>
      </c>
      <c r="F198" s="108" t="s">
        <v>108</v>
      </c>
      <c r="J198" s="26">
        <v>46147</v>
      </c>
      <c r="K198" s="14">
        <v>115000</v>
      </c>
      <c r="L198" s="14">
        <v>169086</v>
      </c>
      <c r="O198">
        <v>160000</v>
      </c>
    </row>
    <row r="199" spans="1:15" x14ac:dyDescent="0.3">
      <c r="A199" s="38">
        <v>46131</v>
      </c>
      <c r="B199" t="s">
        <v>244</v>
      </c>
      <c r="C199" s="11">
        <v>480</v>
      </c>
      <c r="D199" s="11"/>
      <c r="E199" t="s">
        <v>399</v>
      </c>
      <c r="F199" s="108" t="s">
        <v>108</v>
      </c>
      <c r="J199" s="26">
        <v>46148</v>
      </c>
      <c r="K199" s="14">
        <v>356632</v>
      </c>
      <c r="L199" s="14">
        <v>312180</v>
      </c>
    </row>
    <row r="200" spans="1:15" x14ac:dyDescent="0.3">
      <c r="A200" s="38">
        <v>46131</v>
      </c>
      <c r="B200" t="s">
        <v>386</v>
      </c>
      <c r="C200" s="11">
        <v>4000</v>
      </c>
      <c r="D200" s="11" t="s">
        <v>400</v>
      </c>
      <c r="E200" t="s">
        <v>401</v>
      </c>
      <c r="F200" s="108" t="s">
        <v>108</v>
      </c>
      <c r="J200" s="26">
        <v>46149</v>
      </c>
      <c r="K200" s="14">
        <v>125000</v>
      </c>
      <c r="L200" s="14">
        <v>141200</v>
      </c>
    </row>
    <row r="201" spans="1:15" x14ac:dyDescent="0.3">
      <c r="A201" s="38">
        <v>46131</v>
      </c>
      <c r="B201" t="s">
        <v>55</v>
      </c>
      <c r="C201" s="11">
        <v>5400</v>
      </c>
      <c r="D201" s="11"/>
      <c r="E201" t="s">
        <v>402</v>
      </c>
      <c r="F201" s="108" t="s">
        <v>108</v>
      </c>
      <c r="J201" s="26">
        <v>46150</v>
      </c>
      <c r="K201" s="14">
        <v>446000</v>
      </c>
      <c r="L201" s="14">
        <v>435610</v>
      </c>
    </row>
    <row r="202" spans="1:15" x14ac:dyDescent="0.3">
      <c r="A202" s="38">
        <v>46132</v>
      </c>
      <c r="B202" t="s">
        <v>54</v>
      </c>
      <c r="C202" s="11">
        <v>7014</v>
      </c>
      <c r="D202" s="11"/>
      <c r="E202" t="s">
        <v>254</v>
      </c>
      <c r="F202" s="108"/>
      <c r="J202" s="26">
        <v>46151</v>
      </c>
      <c r="K202" s="14">
        <v>600000</v>
      </c>
      <c r="L202" s="14">
        <v>610460</v>
      </c>
    </row>
    <row r="203" spans="1:15" x14ac:dyDescent="0.3">
      <c r="A203" s="38">
        <v>46132</v>
      </c>
      <c r="B203" t="s">
        <v>219</v>
      </c>
      <c r="C203" s="11"/>
      <c r="D203" s="11">
        <v>15000</v>
      </c>
      <c r="E203" t="s">
        <v>403</v>
      </c>
      <c r="F203" s="108" t="s">
        <v>108</v>
      </c>
      <c r="J203" s="26">
        <v>46152</v>
      </c>
      <c r="K203" s="14">
        <v>19000</v>
      </c>
      <c r="L203" s="14">
        <v>10890</v>
      </c>
    </row>
    <row r="204" spans="1:15" x14ac:dyDescent="0.3">
      <c r="A204" s="38">
        <v>46132</v>
      </c>
      <c r="B204" t="s">
        <v>211</v>
      </c>
      <c r="C204" s="11"/>
      <c r="D204" s="11">
        <v>8800</v>
      </c>
      <c r="E204" t="s">
        <v>404</v>
      </c>
      <c r="F204" s="108" t="s">
        <v>108</v>
      </c>
      <c r="J204" s="26">
        <v>46153</v>
      </c>
      <c r="K204" s="14">
        <v>584585</v>
      </c>
      <c r="L204" s="14">
        <v>517801</v>
      </c>
    </row>
    <row r="205" spans="1:15" x14ac:dyDescent="0.3">
      <c r="A205" s="38">
        <v>46132</v>
      </c>
      <c r="B205" t="s">
        <v>386</v>
      </c>
      <c r="C205" s="11">
        <v>8800</v>
      </c>
      <c r="D205" s="11"/>
      <c r="E205" t="s">
        <v>404</v>
      </c>
      <c r="F205" s="108" t="s">
        <v>108</v>
      </c>
      <c r="J205" s="26">
        <v>46154</v>
      </c>
      <c r="K205" s="14">
        <v>458000</v>
      </c>
      <c r="L205" s="14">
        <v>568750</v>
      </c>
    </row>
    <row r="206" spans="1:15" x14ac:dyDescent="0.3">
      <c r="A206" s="38">
        <v>46132</v>
      </c>
      <c r="B206" t="s">
        <v>219</v>
      </c>
      <c r="C206" s="11"/>
      <c r="D206" s="11">
        <v>50000</v>
      </c>
      <c r="E206" t="s">
        <v>405</v>
      </c>
      <c r="F206" s="108" t="s">
        <v>108</v>
      </c>
      <c r="J206" s="26">
        <v>46155</v>
      </c>
      <c r="K206" s="14">
        <v>181900</v>
      </c>
      <c r="L206" s="14">
        <v>178712</v>
      </c>
    </row>
    <row r="207" spans="1:15" x14ac:dyDescent="0.3">
      <c r="A207" s="38">
        <v>46132</v>
      </c>
      <c r="B207" t="s">
        <v>269</v>
      </c>
      <c r="C207" s="11">
        <v>50000</v>
      </c>
      <c r="D207" s="11"/>
      <c r="E207" t="s">
        <v>406</v>
      </c>
      <c r="F207" s="108" t="s">
        <v>108</v>
      </c>
      <c r="J207" s="26">
        <v>46156</v>
      </c>
      <c r="K207" s="14">
        <v>224125</v>
      </c>
      <c r="L207" s="14">
        <v>83325</v>
      </c>
    </row>
    <row r="208" spans="1:15" x14ac:dyDescent="0.3">
      <c r="A208" s="38">
        <v>46132</v>
      </c>
      <c r="B208" t="s">
        <v>55</v>
      </c>
      <c r="C208" s="11">
        <v>4000</v>
      </c>
      <c r="D208" s="11"/>
      <c r="F208" s="108" t="s">
        <v>108</v>
      </c>
      <c r="J208" s="26">
        <v>46157</v>
      </c>
      <c r="K208" s="14">
        <v>806768</v>
      </c>
      <c r="L208" s="14">
        <v>627868</v>
      </c>
    </row>
    <row r="209" spans="1:12" x14ac:dyDescent="0.3">
      <c r="A209" s="38">
        <v>46132</v>
      </c>
      <c r="B209" t="s">
        <v>219</v>
      </c>
      <c r="C209" s="11"/>
      <c r="D209" s="11">
        <v>50000</v>
      </c>
      <c r="E209" t="s">
        <v>407</v>
      </c>
      <c r="F209" s="108" t="s">
        <v>108</v>
      </c>
      <c r="J209" s="26">
        <v>46158</v>
      </c>
      <c r="K209" s="14">
        <v>896000</v>
      </c>
      <c r="L209" s="14">
        <v>1183750</v>
      </c>
    </row>
    <row r="210" spans="1:12" x14ac:dyDescent="0.3">
      <c r="A210" s="38">
        <v>46132</v>
      </c>
      <c r="B210" t="s">
        <v>116</v>
      </c>
      <c r="C210" s="11">
        <v>31200</v>
      </c>
      <c r="D210" s="11"/>
      <c r="E210" t="s">
        <v>61</v>
      </c>
      <c r="F210" s="108" t="s">
        <v>108</v>
      </c>
      <c r="J210" s="26">
        <v>46159</v>
      </c>
      <c r="K210" s="14">
        <v>19500</v>
      </c>
      <c r="L210" s="14">
        <v>19500</v>
      </c>
    </row>
    <row r="211" spans="1:12" x14ac:dyDescent="0.3">
      <c r="A211" s="38">
        <v>46132</v>
      </c>
      <c r="B211" t="s">
        <v>357</v>
      </c>
      <c r="C211" s="11">
        <v>19685</v>
      </c>
      <c r="D211" s="11"/>
      <c r="F211" s="108" t="s">
        <v>108</v>
      </c>
      <c r="J211" s="26">
        <v>46160</v>
      </c>
      <c r="K211" s="14">
        <v>772000</v>
      </c>
      <c r="L211" s="14">
        <v>774260</v>
      </c>
    </row>
    <row r="212" spans="1:12" x14ac:dyDescent="0.3">
      <c r="A212" s="38">
        <v>46132</v>
      </c>
      <c r="B212" t="s">
        <v>54</v>
      </c>
      <c r="C212" s="95">
        <v>600</v>
      </c>
      <c r="D212" s="95"/>
      <c r="E212" t="s">
        <v>289</v>
      </c>
      <c r="F212" s="108" t="s">
        <v>108</v>
      </c>
      <c r="J212" s="26">
        <v>46161</v>
      </c>
      <c r="K212" s="14">
        <v>247020</v>
      </c>
      <c r="L212" s="14">
        <v>236550</v>
      </c>
    </row>
    <row r="213" spans="1:12" x14ac:dyDescent="0.3">
      <c r="A213" s="38">
        <v>46132</v>
      </c>
      <c r="B213" t="s">
        <v>219</v>
      </c>
      <c r="C213" s="11"/>
      <c r="D213" s="11">
        <v>280000</v>
      </c>
      <c r="E213" t="s">
        <v>408</v>
      </c>
      <c r="F213" s="108" t="s">
        <v>108</v>
      </c>
      <c r="J213" s="26">
        <v>46162</v>
      </c>
      <c r="K213" s="14">
        <v>280000</v>
      </c>
      <c r="L213" s="14">
        <v>31200</v>
      </c>
    </row>
    <row r="214" spans="1:12" x14ac:dyDescent="0.3">
      <c r="A214" s="38">
        <v>46132</v>
      </c>
      <c r="B214" t="s">
        <v>168</v>
      </c>
      <c r="C214" s="11">
        <v>150000</v>
      </c>
      <c r="D214" s="11"/>
      <c r="E214" t="s">
        <v>409</v>
      </c>
      <c r="F214" s="108" t="s">
        <v>108</v>
      </c>
      <c r="J214" s="26">
        <v>46163</v>
      </c>
      <c r="K214" s="14">
        <v>1450500</v>
      </c>
      <c r="L214" s="14">
        <v>1704598</v>
      </c>
    </row>
    <row r="215" spans="1:12" x14ac:dyDescent="0.3">
      <c r="A215" s="38">
        <v>46132</v>
      </c>
      <c r="B215" t="s">
        <v>257</v>
      </c>
      <c r="C215" s="95">
        <v>100000</v>
      </c>
      <c r="D215" s="95"/>
      <c r="E215" t="s">
        <v>410</v>
      </c>
      <c r="F215" s="108" t="s">
        <v>108</v>
      </c>
      <c r="J215" s="26">
        <v>46164</v>
      </c>
      <c r="K215" s="14">
        <v>10000</v>
      </c>
      <c r="L215" s="14">
        <v>11200</v>
      </c>
    </row>
    <row r="216" spans="1:12" x14ac:dyDescent="0.3">
      <c r="A216" s="38">
        <v>46132</v>
      </c>
      <c r="B216" t="s">
        <v>386</v>
      </c>
      <c r="C216" s="95">
        <v>20000</v>
      </c>
      <c r="D216" s="95"/>
      <c r="E216" t="s">
        <v>411</v>
      </c>
      <c r="F216" s="108" t="s">
        <v>108</v>
      </c>
      <c r="J216" s="26">
        <v>46165</v>
      </c>
      <c r="K216" s="14">
        <v>397000</v>
      </c>
      <c r="L216" s="14">
        <v>394400</v>
      </c>
    </row>
    <row r="217" spans="1:12" x14ac:dyDescent="0.3">
      <c r="A217" s="38">
        <v>46132</v>
      </c>
      <c r="B217" t="s">
        <v>269</v>
      </c>
      <c r="C217" s="95">
        <v>10000</v>
      </c>
      <c r="D217" s="95"/>
      <c r="E217" t="s">
        <v>252</v>
      </c>
      <c r="F217" s="108" t="s">
        <v>108</v>
      </c>
      <c r="J217" s="26">
        <v>46166</v>
      </c>
      <c r="K217" s="14">
        <v>67010</v>
      </c>
      <c r="L217" s="14">
        <v>67010</v>
      </c>
    </row>
    <row r="218" spans="1:12" x14ac:dyDescent="0.3">
      <c r="A218" s="111">
        <v>46132</v>
      </c>
      <c r="B218" t="s">
        <v>54</v>
      </c>
      <c r="C218" s="95">
        <v>4226</v>
      </c>
      <c r="D218" s="95"/>
      <c r="E218" t="s">
        <v>174</v>
      </c>
      <c r="F218" s="108" t="s">
        <v>108</v>
      </c>
      <c r="J218" s="26">
        <v>46167</v>
      </c>
      <c r="K218" s="14">
        <v>1874000</v>
      </c>
      <c r="L218" s="14">
        <v>1461730</v>
      </c>
    </row>
    <row r="219" spans="1:12" x14ac:dyDescent="0.3">
      <c r="A219" s="38">
        <v>46132</v>
      </c>
      <c r="B219" t="s">
        <v>367</v>
      </c>
      <c r="C219" s="11"/>
      <c r="D219" s="11">
        <v>4226</v>
      </c>
      <c r="E219" t="s">
        <v>54</v>
      </c>
      <c r="F219" s="108" t="s">
        <v>108</v>
      </c>
      <c r="J219" s="26">
        <v>46168</v>
      </c>
      <c r="K219" s="14">
        <v>50000</v>
      </c>
      <c r="L219" s="14">
        <v>392000</v>
      </c>
    </row>
    <row r="220" spans="1:12" x14ac:dyDescent="0.3">
      <c r="A220" s="38">
        <v>46133</v>
      </c>
      <c r="B220" t="s">
        <v>367</v>
      </c>
      <c r="C220" s="11"/>
      <c r="D220" s="11">
        <v>1000000</v>
      </c>
      <c r="E220" t="s">
        <v>413</v>
      </c>
      <c r="F220" s="108" t="s">
        <v>108</v>
      </c>
      <c r="J220" s="26">
        <v>46169</v>
      </c>
      <c r="K220" s="14"/>
      <c r="L220" s="14">
        <v>14500</v>
      </c>
    </row>
    <row r="221" spans="1:12" x14ac:dyDescent="0.3">
      <c r="A221" s="38">
        <v>46133</v>
      </c>
      <c r="B221" t="s">
        <v>55</v>
      </c>
      <c r="C221" s="11">
        <v>4000</v>
      </c>
      <c r="D221" s="11"/>
      <c r="F221" s="108" t="s">
        <v>108</v>
      </c>
      <c r="J221" s="26">
        <v>46171</v>
      </c>
      <c r="K221" s="14"/>
      <c r="L221" s="14">
        <v>21022</v>
      </c>
    </row>
    <row r="222" spans="1:12" x14ac:dyDescent="0.3">
      <c r="A222" s="38">
        <v>46133</v>
      </c>
      <c r="B222" t="s">
        <v>51</v>
      </c>
      <c r="C222" s="11">
        <v>923841</v>
      </c>
      <c r="D222" s="11"/>
      <c r="E222" t="s">
        <v>414</v>
      </c>
      <c r="F222" s="108" t="s">
        <v>108</v>
      </c>
      <c r="J222" s="26">
        <v>46172</v>
      </c>
      <c r="K222" s="14">
        <v>140000</v>
      </c>
      <c r="L222" s="14">
        <v>150513.28</v>
      </c>
    </row>
    <row r="223" spans="1:12" x14ac:dyDescent="0.3">
      <c r="A223" s="38">
        <v>46133</v>
      </c>
      <c r="B223" t="s">
        <v>55</v>
      </c>
      <c r="C223" s="11">
        <v>1560</v>
      </c>
      <c r="D223" s="11"/>
      <c r="E223" t="s">
        <v>281</v>
      </c>
      <c r="F223" s="108" t="s">
        <v>108</v>
      </c>
      <c r="J223" s="26">
        <v>46174</v>
      </c>
      <c r="K223" s="14">
        <v>80000</v>
      </c>
      <c r="L223" s="14">
        <v>89850</v>
      </c>
    </row>
    <row r="224" spans="1:12" x14ac:dyDescent="0.3">
      <c r="A224" s="38">
        <v>46133</v>
      </c>
      <c r="B224" t="s">
        <v>55</v>
      </c>
      <c r="C224" s="11">
        <v>3700</v>
      </c>
      <c r="D224" s="11"/>
      <c r="E224" t="s">
        <v>281</v>
      </c>
      <c r="F224" s="108" t="s">
        <v>108</v>
      </c>
      <c r="J224" s="26">
        <v>46175</v>
      </c>
      <c r="K224" s="14">
        <v>200000</v>
      </c>
      <c r="L224" s="14">
        <v>218060</v>
      </c>
    </row>
    <row r="225" spans="1:12" x14ac:dyDescent="0.3">
      <c r="A225" s="38">
        <v>46133</v>
      </c>
      <c r="B225" t="s">
        <v>55</v>
      </c>
      <c r="C225" s="11">
        <v>2350</v>
      </c>
      <c r="D225" s="11"/>
      <c r="E225" t="s">
        <v>415</v>
      </c>
      <c r="F225" s="108" t="s">
        <v>108</v>
      </c>
      <c r="J225" s="26">
        <v>46176</v>
      </c>
      <c r="K225" s="14">
        <v>70000</v>
      </c>
      <c r="L225" s="14">
        <v>60000</v>
      </c>
    </row>
    <row r="226" spans="1:12" x14ac:dyDescent="0.3">
      <c r="A226" s="111">
        <v>46133</v>
      </c>
      <c r="B226" t="s">
        <v>372</v>
      </c>
      <c r="C226" s="11">
        <v>50000</v>
      </c>
      <c r="D226" s="11"/>
      <c r="E226" t="s">
        <v>416</v>
      </c>
      <c r="F226" s="108" t="s">
        <v>108</v>
      </c>
      <c r="J226" s="26">
        <v>46177</v>
      </c>
      <c r="K226" s="14">
        <v>100000</v>
      </c>
      <c r="L226" s="14">
        <v>103500</v>
      </c>
    </row>
    <row r="227" spans="1:12" x14ac:dyDescent="0.3">
      <c r="A227" s="111">
        <v>46133</v>
      </c>
      <c r="B227" t="s">
        <v>219</v>
      </c>
      <c r="C227" s="11"/>
      <c r="D227" s="11">
        <v>50000</v>
      </c>
      <c r="E227" t="s">
        <v>224</v>
      </c>
      <c r="F227" s="108" t="s">
        <v>108</v>
      </c>
      <c r="J227" s="26">
        <v>46178</v>
      </c>
      <c r="K227" s="14">
        <v>330760</v>
      </c>
      <c r="L227" s="14">
        <v>324370</v>
      </c>
    </row>
    <row r="228" spans="1:12" x14ac:dyDescent="0.3">
      <c r="A228" s="38">
        <v>46133</v>
      </c>
      <c r="B228" t="s">
        <v>269</v>
      </c>
      <c r="C228" s="11">
        <v>25000</v>
      </c>
      <c r="D228" s="11"/>
      <c r="E228" s="127" t="s">
        <v>288</v>
      </c>
      <c r="F228" s="108" t="s">
        <v>108</v>
      </c>
      <c r="J228" s="26">
        <v>46179</v>
      </c>
      <c r="K228" s="14">
        <v>753600</v>
      </c>
      <c r="L228" s="14">
        <v>749025</v>
      </c>
    </row>
    <row r="229" spans="1:12" x14ac:dyDescent="0.3">
      <c r="A229" s="111">
        <v>46133</v>
      </c>
      <c r="B229" t="s">
        <v>219</v>
      </c>
      <c r="C229" s="95"/>
      <c r="D229" s="95">
        <v>800000</v>
      </c>
      <c r="E229" t="s">
        <v>109</v>
      </c>
      <c r="F229" s="108" t="s">
        <v>108</v>
      </c>
      <c r="J229" s="26">
        <v>46180</v>
      </c>
      <c r="K229" s="14">
        <v>154000</v>
      </c>
      <c r="L229" s="14">
        <v>159430</v>
      </c>
    </row>
    <row r="230" spans="1:12" x14ac:dyDescent="0.3">
      <c r="A230" s="111">
        <v>46133</v>
      </c>
      <c r="B230" t="s">
        <v>243</v>
      </c>
      <c r="C230" s="95"/>
      <c r="D230" s="95">
        <v>100000</v>
      </c>
      <c r="E230" t="s">
        <v>109</v>
      </c>
      <c r="F230" s="108" t="s">
        <v>108</v>
      </c>
      <c r="J230" s="26">
        <v>46181</v>
      </c>
      <c r="K230" s="14">
        <v>753900</v>
      </c>
      <c r="L230" s="14">
        <v>762216</v>
      </c>
    </row>
    <row r="231" spans="1:12" x14ac:dyDescent="0.3">
      <c r="A231" s="111">
        <v>46133</v>
      </c>
      <c r="B231" t="s">
        <v>273</v>
      </c>
      <c r="C231" s="11"/>
      <c r="D231" s="11">
        <v>287000</v>
      </c>
      <c r="E231" t="s">
        <v>109</v>
      </c>
      <c r="F231" s="108" t="s">
        <v>108</v>
      </c>
      <c r="J231" s="26">
        <v>46182</v>
      </c>
      <c r="K231" s="14">
        <v>167000</v>
      </c>
      <c r="L231" s="14">
        <v>169150</v>
      </c>
    </row>
    <row r="232" spans="1:12" x14ac:dyDescent="0.3">
      <c r="A232" s="111">
        <v>46133</v>
      </c>
      <c r="B232" t="s">
        <v>219</v>
      </c>
      <c r="C232" s="11">
        <v>387000</v>
      </c>
      <c r="D232" s="11"/>
      <c r="E232" t="s">
        <v>431</v>
      </c>
      <c r="F232" s="108" t="s">
        <v>108</v>
      </c>
      <c r="J232" s="26">
        <v>46183</v>
      </c>
      <c r="K232" s="14">
        <v>188650</v>
      </c>
      <c r="L232" s="14">
        <v>178290</v>
      </c>
    </row>
    <row r="233" spans="1:12" x14ac:dyDescent="0.3">
      <c r="A233" s="165">
        <v>46133</v>
      </c>
      <c r="B233" s="122" t="s">
        <v>253</v>
      </c>
      <c r="C233" s="131">
        <v>495910</v>
      </c>
      <c r="D233" s="131"/>
      <c r="E233" s="122" t="s">
        <v>268</v>
      </c>
      <c r="F233" s="123" t="s">
        <v>108</v>
      </c>
      <c r="G233" s="122"/>
      <c r="J233" s="26">
        <v>46184</v>
      </c>
      <c r="K233" s="14">
        <v>600000</v>
      </c>
      <c r="L233" s="14">
        <v>143682</v>
      </c>
    </row>
    <row r="234" spans="1:12" x14ac:dyDescent="0.3">
      <c r="A234" s="111">
        <v>46133</v>
      </c>
      <c r="B234" t="s">
        <v>253</v>
      </c>
      <c r="C234" s="11">
        <v>45000</v>
      </c>
      <c r="D234" s="11"/>
      <c r="E234" t="s">
        <v>391</v>
      </c>
      <c r="F234" s="108" t="s">
        <v>108</v>
      </c>
      <c r="J234" s="26">
        <v>46186</v>
      </c>
      <c r="K234" s="14">
        <v>203520</v>
      </c>
      <c r="L234" s="14">
        <v>391020</v>
      </c>
    </row>
    <row r="235" spans="1:12" x14ac:dyDescent="0.3">
      <c r="A235" s="111">
        <v>46134</v>
      </c>
      <c r="B235" t="s">
        <v>219</v>
      </c>
      <c r="C235" s="11"/>
      <c r="D235" s="11">
        <v>100000</v>
      </c>
      <c r="E235" t="s">
        <v>417</v>
      </c>
      <c r="F235" s="108" t="s">
        <v>108</v>
      </c>
      <c r="J235" s="26">
        <v>46187</v>
      </c>
      <c r="K235" s="14"/>
      <c r="L235" s="14">
        <v>43290</v>
      </c>
    </row>
    <row r="236" spans="1:12" x14ac:dyDescent="0.3">
      <c r="A236" s="111">
        <v>46134</v>
      </c>
      <c r="B236" t="s">
        <v>175</v>
      </c>
      <c r="C236" s="11">
        <v>136375</v>
      </c>
      <c r="D236" s="11"/>
      <c r="E236" s="117">
        <v>46123</v>
      </c>
      <c r="F236" s="108" t="s">
        <v>108</v>
      </c>
      <c r="J236" s="26">
        <v>46188</v>
      </c>
      <c r="K236" s="14">
        <v>1323328</v>
      </c>
      <c r="L236" s="14">
        <v>1552352</v>
      </c>
    </row>
    <row r="237" spans="1:12" x14ac:dyDescent="0.3">
      <c r="A237" s="111">
        <v>46134</v>
      </c>
      <c r="B237" t="s">
        <v>219</v>
      </c>
      <c r="C237" s="11"/>
      <c r="D237" s="11">
        <v>300000</v>
      </c>
      <c r="E237" t="s">
        <v>419</v>
      </c>
      <c r="F237" s="108" t="s">
        <v>108</v>
      </c>
      <c r="J237" s="26">
        <v>46189</v>
      </c>
      <c r="K237" s="14">
        <v>1204000</v>
      </c>
      <c r="L237" s="14">
        <v>123100</v>
      </c>
    </row>
    <row r="238" spans="1:12" x14ac:dyDescent="0.3">
      <c r="A238" s="111">
        <v>46134</v>
      </c>
      <c r="B238" t="s">
        <v>222</v>
      </c>
      <c r="C238" s="11">
        <v>200000</v>
      </c>
      <c r="D238" s="11"/>
      <c r="E238" t="s">
        <v>420</v>
      </c>
      <c r="F238" s="108" t="s">
        <v>108</v>
      </c>
      <c r="J238" s="26">
        <v>46190</v>
      </c>
      <c r="K238" s="14">
        <v>250740</v>
      </c>
      <c r="L238" s="14">
        <v>1311448</v>
      </c>
    </row>
    <row r="239" spans="1:12" x14ac:dyDescent="0.3">
      <c r="A239" s="111">
        <v>46134</v>
      </c>
      <c r="B239" t="s">
        <v>257</v>
      </c>
      <c r="C239" s="11">
        <v>100000</v>
      </c>
      <c r="D239" s="11"/>
      <c r="E239" t="s">
        <v>421</v>
      </c>
      <c r="F239" s="108" t="s">
        <v>108</v>
      </c>
      <c r="J239" s="26">
        <v>46192</v>
      </c>
      <c r="K239" s="14">
        <v>729150</v>
      </c>
      <c r="L239" s="14">
        <v>748550</v>
      </c>
    </row>
    <row r="240" spans="1:12" x14ac:dyDescent="0.3">
      <c r="A240" s="111">
        <v>46134</v>
      </c>
      <c r="B240" t="s">
        <v>219</v>
      </c>
      <c r="C240" s="95"/>
      <c r="D240" s="95">
        <v>17000</v>
      </c>
      <c r="E240" t="s">
        <v>422</v>
      </c>
      <c r="F240" s="108" t="s">
        <v>108</v>
      </c>
      <c r="J240" s="26">
        <v>46193</v>
      </c>
      <c r="K240" s="14">
        <v>265000</v>
      </c>
      <c r="L240" s="14">
        <v>257950</v>
      </c>
    </row>
    <row r="241" spans="1:12" x14ac:dyDescent="0.3">
      <c r="A241" s="38">
        <v>46134</v>
      </c>
      <c r="B241" t="s">
        <v>253</v>
      </c>
      <c r="C241" s="95">
        <v>16000</v>
      </c>
      <c r="D241" s="95"/>
      <c r="E241" t="s">
        <v>423</v>
      </c>
      <c r="F241" s="108" t="s">
        <v>108</v>
      </c>
      <c r="J241" s="26">
        <v>46194</v>
      </c>
      <c r="K241" s="14">
        <v>24396</v>
      </c>
      <c r="L241" s="14">
        <v>13289</v>
      </c>
    </row>
    <row r="242" spans="1:12" x14ac:dyDescent="0.3">
      <c r="A242" s="38">
        <v>46134</v>
      </c>
      <c r="B242" t="s">
        <v>64</v>
      </c>
      <c r="C242" s="95">
        <v>60000</v>
      </c>
      <c r="D242" s="95"/>
      <c r="E242" t="s">
        <v>424</v>
      </c>
      <c r="F242" s="108" t="s">
        <v>108</v>
      </c>
      <c r="J242" s="26">
        <v>46195</v>
      </c>
      <c r="K242" s="14">
        <v>2172410</v>
      </c>
      <c r="L242" s="14">
        <v>2169256</v>
      </c>
    </row>
    <row r="243" spans="1:12" x14ac:dyDescent="0.3">
      <c r="A243" s="38">
        <v>46134</v>
      </c>
      <c r="B243" t="s">
        <v>219</v>
      </c>
      <c r="C243" s="95"/>
      <c r="D243" s="95">
        <v>60000</v>
      </c>
      <c r="E243" t="s">
        <v>424</v>
      </c>
      <c r="F243" s="108" t="s">
        <v>108</v>
      </c>
      <c r="J243" s="26">
        <v>46197</v>
      </c>
      <c r="K243" s="14">
        <v>343000</v>
      </c>
      <c r="L243" s="14">
        <v>308470</v>
      </c>
    </row>
    <row r="244" spans="1:12" x14ac:dyDescent="0.3">
      <c r="A244" s="38">
        <v>46134</v>
      </c>
      <c r="B244" t="s">
        <v>55</v>
      </c>
      <c r="C244" s="95">
        <v>2400</v>
      </c>
      <c r="D244" s="95"/>
      <c r="E244" t="s">
        <v>432</v>
      </c>
      <c r="F244" s="108" t="s">
        <v>108</v>
      </c>
      <c r="J244" s="26">
        <v>46196</v>
      </c>
      <c r="K244" s="14">
        <v>253306</v>
      </c>
      <c r="L244" s="14">
        <v>272546</v>
      </c>
    </row>
    <row r="245" spans="1:12" x14ac:dyDescent="0.3">
      <c r="A245" s="38">
        <v>46134</v>
      </c>
      <c r="B245" t="s">
        <v>54</v>
      </c>
      <c r="C245" s="11">
        <v>10000</v>
      </c>
      <c r="D245" s="11"/>
      <c r="E245" t="s">
        <v>433</v>
      </c>
      <c r="F245" s="108" t="s">
        <v>108</v>
      </c>
      <c r="J245" s="26">
        <v>46198</v>
      </c>
      <c r="K245" s="14">
        <v>50000</v>
      </c>
      <c r="L245" s="14">
        <v>86461</v>
      </c>
    </row>
    <row r="246" spans="1:12" x14ac:dyDescent="0.3">
      <c r="A246" s="38">
        <v>46134</v>
      </c>
      <c r="B246" t="s">
        <v>244</v>
      </c>
      <c r="C246" s="11">
        <v>400</v>
      </c>
      <c r="D246" s="11"/>
      <c r="E246" t="s">
        <v>434</v>
      </c>
      <c r="F246" s="108" t="s">
        <v>108</v>
      </c>
      <c r="J246" s="26">
        <v>46201</v>
      </c>
      <c r="K246" s="14">
        <v>10000</v>
      </c>
      <c r="L246" s="14">
        <v>10110</v>
      </c>
    </row>
    <row r="247" spans="1:12" x14ac:dyDescent="0.3">
      <c r="A247" s="38">
        <v>46134</v>
      </c>
      <c r="B247" t="s">
        <v>244</v>
      </c>
      <c r="C247" s="11">
        <v>1050</v>
      </c>
      <c r="D247" s="11"/>
      <c r="E247" t="s">
        <v>435</v>
      </c>
      <c r="F247" s="108" t="s">
        <v>108</v>
      </c>
      <c r="J247" s="26">
        <v>46202</v>
      </c>
      <c r="K247" s="14">
        <v>770000</v>
      </c>
      <c r="L247" s="14">
        <v>665420</v>
      </c>
    </row>
    <row r="248" spans="1:12" x14ac:dyDescent="0.3">
      <c r="A248" s="38">
        <v>46134</v>
      </c>
      <c r="B248" t="s">
        <v>221</v>
      </c>
      <c r="C248" s="11">
        <v>6000</v>
      </c>
      <c r="D248" s="11"/>
      <c r="E248" t="s">
        <v>265</v>
      </c>
      <c r="F248" s="108" t="s">
        <v>108</v>
      </c>
      <c r="J248" s="26">
        <v>46200</v>
      </c>
      <c r="K248" s="14">
        <v>10000</v>
      </c>
      <c r="L248" s="14">
        <v>11800</v>
      </c>
    </row>
    <row r="249" spans="1:12" x14ac:dyDescent="0.3">
      <c r="A249" s="38">
        <v>46134</v>
      </c>
      <c r="B249" t="s">
        <v>168</v>
      </c>
      <c r="C249" s="11">
        <v>2000</v>
      </c>
      <c r="D249" s="11"/>
      <c r="E249" t="s">
        <v>265</v>
      </c>
      <c r="F249" s="108" t="s">
        <v>108</v>
      </c>
      <c r="J249" s="26">
        <v>46203</v>
      </c>
      <c r="K249" s="14">
        <v>105000</v>
      </c>
      <c r="L249" s="14">
        <v>141600</v>
      </c>
    </row>
    <row r="250" spans="1:12" x14ac:dyDescent="0.3">
      <c r="A250" s="38">
        <v>46134</v>
      </c>
      <c r="B250" t="s">
        <v>257</v>
      </c>
      <c r="C250" s="11">
        <v>2000</v>
      </c>
      <c r="D250" s="11"/>
      <c r="E250" t="s">
        <v>265</v>
      </c>
      <c r="F250" s="108" t="s">
        <v>108</v>
      </c>
      <c r="J250" s="26">
        <v>46204</v>
      </c>
      <c r="K250" s="14">
        <v>362250</v>
      </c>
      <c r="L250" s="14">
        <v>424250</v>
      </c>
    </row>
    <row r="251" spans="1:12" x14ac:dyDescent="0.3">
      <c r="A251" s="38">
        <v>46134</v>
      </c>
      <c r="B251" t="s">
        <v>222</v>
      </c>
      <c r="C251" s="95">
        <v>1000</v>
      </c>
      <c r="D251" s="95"/>
      <c r="E251" t="s">
        <v>265</v>
      </c>
      <c r="F251" s="108" t="s">
        <v>108</v>
      </c>
      <c r="J251" s="26">
        <v>46205</v>
      </c>
      <c r="K251" s="14">
        <v>1485501</v>
      </c>
      <c r="L251" s="14">
        <v>1391141</v>
      </c>
    </row>
    <row r="252" spans="1:12" x14ac:dyDescent="0.3">
      <c r="A252" s="38">
        <v>46134</v>
      </c>
      <c r="B252" t="s">
        <v>425</v>
      </c>
      <c r="C252" s="95">
        <v>1000</v>
      </c>
      <c r="D252" s="95"/>
      <c r="E252" t="s">
        <v>265</v>
      </c>
      <c r="F252" s="108" t="s">
        <v>108</v>
      </c>
      <c r="J252" s="26">
        <v>46206</v>
      </c>
      <c r="K252" s="14">
        <v>772000</v>
      </c>
      <c r="L252" s="14">
        <v>845040</v>
      </c>
    </row>
    <row r="253" spans="1:12" x14ac:dyDescent="0.3">
      <c r="A253" s="38">
        <v>46135</v>
      </c>
      <c r="B253" t="s">
        <v>219</v>
      </c>
      <c r="C253" s="95"/>
      <c r="D253" s="95">
        <v>30000</v>
      </c>
      <c r="E253" t="s">
        <v>425</v>
      </c>
      <c r="F253" s="108" t="s">
        <v>108</v>
      </c>
      <c r="J253" s="26">
        <v>46208</v>
      </c>
      <c r="K253" s="14">
        <v>129000</v>
      </c>
      <c r="L253" s="14">
        <v>133720</v>
      </c>
    </row>
    <row r="254" spans="1:12" x14ac:dyDescent="0.3">
      <c r="A254" s="38">
        <v>46135</v>
      </c>
      <c r="B254" t="s">
        <v>425</v>
      </c>
      <c r="C254" s="95">
        <v>30000</v>
      </c>
      <c r="D254" s="95"/>
      <c r="E254" t="s">
        <v>240</v>
      </c>
      <c r="F254" s="108" t="s">
        <v>108</v>
      </c>
      <c r="J254" s="26">
        <v>46207</v>
      </c>
      <c r="K254" s="14">
        <v>163300</v>
      </c>
      <c r="L254" s="14">
        <v>155600</v>
      </c>
    </row>
    <row r="255" spans="1:12" x14ac:dyDescent="0.3">
      <c r="A255" s="38">
        <v>46135</v>
      </c>
      <c r="B255" t="s">
        <v>55</v>
      </c>
      <c r="C255" s="95">
        <v>2100</v>
      </c>
      <c r="D255" s="95"/>
      <c r="E255" t="s">
        <v>426</v>
      </c>
      <c r="F255" s="108" t="s">
        <v>108</v>
      </c>
      <c r="J255" s="26">
        <v>46185</v>
      </c>
      <c r="K255" s="14">
        <v>5434</v>
      </c>
      <c r="L255" s="14">
        <v>5434</v>
      </c>
    </row>
    <row r="256" spans="1:12" x14ac:dyDescent="0.3">
      <c r="A256" s="38">
        <v>46135</v>
      </c>
      <c r="B256" t="s">
        <v>55</v>
      </c>
      <c r="C256" s="95">
        <v>2600</v>
      </c>
      <c r="D256" s="95"/>
      <c r="E256" t="s">
        <v>427</v>
      </c>
      <c r="F256" s="108" t="s">
        <v>108</v>
      </c>
      <c r="J256" s="26">
        <v>46209</v>
      </c>
      <c r="K256" s="14">
        <v>615000</v>
      </c>
      <c r="L256" s="14">
        <v>533520</v>
      </c>
    </row>
    <row r="257" spans="1:12" x14ac:dyDescent="0.3">
      <c r="A257" s="111">
        <v>46135</v>
      </c>
      <c r="B257" t="s">
        <v>55</v>
      </c>
      <c r="C257" s="95">
        <v>550</v>
      </c>
      <c r="D257" s="95"/>
      <c r="E257" t="s">
        <v>428</v>
      </c>
      <c r="F257" s="108" t="s">
        <v>108</v>
      </c>
      <c r="J257" s="26">
        <v>46210</v>
      </c>
      <c r="K257" s="14">
        <v>723000</v>
      </c>
      <c r="L257" s="14">
        <v>832960</v>
      </c>
    </row>
    <row r="258" spans="1:12" x14ac:dyDescent="0.3">
      <c r="A258" s="111">
        <v>46135</v>
      </c>
      <c r="B258" t="s">
        <v>175</v>
      </c>
      <c r="C258" s="95">
        <v>30000</v>
      </c>
      <c r="D258" s="95"/>
      <c r="E258" t="s">
        <v>125</v>
      </c>
      <c r="F258" s="108" t="s">
        <v>108</v>
      </c>
      <c r="J258" s="26">
        <v>46211</v>
      </c>
      <c r="K258" s="14">
        <v>184900</v>
      </c>
      <c r="L258" s="14">
        <v>82230</v>
      </c>
    </row>
    <row r="259" spans="1:12" x14ac:dyDescent="0.3">
      <c r="A259" s="111">
        <v>46135</v>
      </c>
      <c r="B259" t="s">
        <v>219</v>
      </c>
      <c r="C259" s="95"/>
      <c r="D259" s="95">
        <v>142000</v>
      </c>
      <c r="E259" t="s">
        <v>429</v>
      </c>
      <c r="F259" s="108" t="s">
        <v>108</v>
      </c>
      <c r="J259" s="26">
        <v>46212</v>
      </c>
      <c r="K259" s="14">
        <v>846350</v>
      </c>
      <c r="L259" s="14">
        <v>958210</v>
      </c>
    </row>
    <row r="260" spans="1:12" x14ac:dyDescent="0.3">
      <c r="A260" s="111">
        <v>46135</v>
      </c>
      <c r="B260" t="s">
        <v>257</v>
      </c>
      <c r="C260" s="95">
        <v>100000</v>
      </c>
      <c r="D260" s="95"/>
      <c r="E260" t="s">
        <v>430</v>
      </c>
      <c r="F260" s="108" t="s">
        <v>108</v>
      </c>
      <c r="J260" s="26">
        <v>46213</v>
      </c>
      <c r="K260" s="14">
        <v>520000</v>
      </c>
      <c r="L260" s="14">
        <v>420480</v>
      </c>
    </row>
    <row r="261" spans="1:12" x14ac:dyDescent="0.3">
      <c r="A261" s="111">
        <v>46135</v>
      </c>
      <c r="B261" t="s">
        <v>253</v>
      </c>
      <c r="C261" s="95">
        <v>43000</v>
      </c>
      <c r="D261" s="95"/>
      <c r="E261" t="s">
        <v>262</v>
      </c>
      <c r="F261" s="108" t="s">
        <v>108</v>
      </c>
      <c r="J261" s="26">
        <v>46214</v>
      </c>
      <c r="K261" s="14">
        <v>588600</v>
      </c>
      <c r="L261" s="14">
        <v>660870</v>
      </c>
    </row>
    <row r="262" spans="1:12" x14ac:dyDescent="0.3">
      <c r="A262" s="111">
        <v>46135</v>
      </c>
      <c r="B262" t="s">
        <v>211</v>
      </c>
      <c r="C262" s="95">
        <f>1133+1490+300</f>
        <v>2923</v>
      </c>
      <c r="D262" s="95"/>
      <c r="F262" s="108" t="s">
        <v>108</v>
      </c>
      <c r="J262" s="26">
        <v>46215</v>
      </c>
      <c r="K262" s="14">
        <v>600000</v>
      </c>
      <c r="L262" s="14">
        <v>602860</v>
      </c>
    </row>
    <row r="263" spans="1:12" x14ac:dyDescent="0.3">
      <c r="A263" s="111">
        <v>46135</v>
      </c>
      <c r="B263" t="s">
        <v>55</v>
      </c>
      <c r="C263" s="95">
        <f>10656*2</f>
        <v>21312</v>
      </c>
      <c r="D263" s="95"/>
      <c r="E263" t="s">
        <v>436</v>
      </c>
      <c r="F263" s="108" t="s">
        <v>108</v>
      </c>
      <c r="J263" s="26">
        <v>46216</v>
      </c>
      <c r="K263" s="14"/>
      <c r="L263" s="14">
        <v>22910</v>
      </c>
    </row>
    <row r="264" spans="1:12" x14ac:dyDescent="0.3">
      <c r="A264" s="111">
        <v>46135</v>
      </c>
      <c r="B264" t="s">
        <v>222</v>
      </c>
      <c r="C264" s="95">
        <v>70000</v>
      </c>
      <c r="D264" s="95"/>
      <c r="E264" t="s">
        <v>240</v>
      </c>
      <c r="F264" s="108" t="s">
        <v>108</v>
      </c>
      <c r="J264" s="26">
        <v>46217</v>
      </c>
      <c r="K264" s="14">
        <v>91000</v>
      </c>
      <c r="L264" s="14">
        <v>91420</v>
      </c>
    </row>
    <row r="265" spans="1:12" x14ac:dyDescent="0.3">
      <c r="A265" s="111">
        <v>46135</v>
      </c>
      <c r="B265" t="s">
        <v>269</v>
      </c>
      <c r="C265" s="95">
        <v>50000</v>
      </c>
      <c r="D265" s="95"/>
      <c r="E265" s="128" t="s">
        <v>437</v>
      </c>
      <c r="F265" s="108" t="s">
        <v>108</v>
      </c>
      <c r="J265" s="26">
        <v>46218</v>
      </c>
      <c r="K265" s="14">
        <v>152500</v>
      </c>
      <c r="L265" s="14">
        <v>158150</v>
      </c>
    </row>
    <row r="266" spans="1:12" x14ac:dyDescent="0.3">
      <c r="A266" s="111">
        <v>46135</v>
      </c>
      <c r="B266" t="s">
        <v>269</v>
      </c>
      <c r="C266" s="95">
        <v>20000</v>
      </c>
      <c r="D266" s="95"/>
      <c r="E266" s="128" t="s">
        <v>288</v>
      </c>
      <c r="F266" s="108" t="s">
        <v>108</v>
      </c>
      <c r="J266" s="26">
        <v>46219</v>
      </c>
      <c r="K266" s="14">
        <v>495300</v>
      </c>
      <c r="L266" s="14">
        <v>494630</v>
      </c>
    </row>
    <row r="267" spans="1:12" x14ac:dyDescent="0.3">
      <c r="A267" s="111">
        <v>46135</v>
      </c>
      <c r="B267" t="s">
        <v>54</v>
      </c>
      <c r="C267" s="95">
        <v>5000</v>
      </c>
      <c r="D267" s="95"/>
      <c r="E267" t="s">
        <v>438</v>
      </c>
      <c r="F267" s="108" t="s">
        <v>108</v>
      </c>
      <c r="J267" s="26">
        <v>46220</v>
      </c>
      <c r="K267" s="14">
        <v>5000</v>
      </c>
      <c r="L267" s="14">
        <v>5370</v>
      </c>
    </row>
    <row r="268" spans="1:12" x14ac:dyDescent="0.3">
      <c r="A268" s="38">
        <v>46135</v>
      </c>
      <c r="B268" t="s">
        <v>55</v>
      </c>
      <c r="C268" s="95">
        <v>5500</v>
      </c>
      <c r="D268" s="95"/>
      <c r="E268" t="s">
        <v>439</v>
      </c>
      <c r="F268" s="108" t="s">
        <v>108</v>
      </c>
      <c r="J268" s="26">
        <v>46221</v>
      </c>
      <c r="K268" s="14">
        <v>270000</v>
      </c>
      <c r="L268" s="14">
        <v>263700</v>
      </c>
    </row>
    <row r="269" spans="1:12" x14ac:dyDescent="0.3">
      <c r="A269" s="38">
        <v>46135</v>
      </c>
      <c r="B269" t="s">
        <v>386</v>
      </c>
      <c r="C269" s="95">
        <f>280+365</f>
        <v>645</v>
      </c>
      <c r="D269" s="95"/>
      <c r="E269" t="s">
        <v>440</v>
      </c>
      <c r="F269" s="108" t="s">
        <v>108</v>
      </c>
      <c r="J269" s="26">
        <v>46222</v>
      </c>
      <c r="K269" s="14">
        <v>12600</v>
      </c>
      <c r="L269" s="14">
        <v>18000</v>
      </c>
    </row>
    <row r="270" spans="1:12" x14ac:dyDescent="0.3">
      <c r="A270" s="38">
        <v>46135</v>
      </c>
      <c r="B270" t="s">
        <v>367</v>
      </c>
      <c r="C270" s="11"/>
      <c r="D270" s="11">
        <v>4414</v>
      </c>
      <c r="E270" t="s">
        <v>54</v>
      </c>
      <c r="F270" s="108" t="s">
        <v>108</v>
      </c>
      <c r="J270" s="26">
        <v>46223</v>
      </c>
      <c r="K270" s="14">
        <v>116760</v>
      </c>
      <c r="L270" s="14">
        <v>24600</v>
      </c>
    </row>
    <row r="271" spans="1:12" x14ac:dyDescent="0.3">
      <c r="A271" s="38">
        <v>46135</v>
      </c>
      <c r="B271" t="s">
        <v>54</v>
      </c>
      <c r="C271" s="95">
        <v>4414</v>
      </c>
      <c r="D271" s="95"/>
      <c r="E271" t="s">
        <v>250</v>
      </c>
      <c r="F271" s="108" t="s">
        <v>108</v>
      </c>
      <c r="J271" s="26">
        <v>46224</v>
      </c>
      <c r="K271" s="14">
        <v>1002100</v>
      </c>
      <c r="L271" s="14">
        <v>1093688</v>
      </c>
    </row>
    <row r="272" spans="1:12" x14ac:dyDescent="0.3">
      <c r="A272" s="38">
        <v>46136</v>
      </c>
      <c r="B272" t="s">
        <v>211</v>
      </c>
      <c r="C272" s="11">
        <v>1133</v>
      </c>
      <c r="D272" s="11"/>
      <c r="F272" s="108" t="s">
        <v>108</v>
      </c>
      <c r="J272" s="26">
        <v>46226</v>
      </c>
      <c r="K272" s="14">
        <v>33000</v>
      </c>
      <c r="L272" s="14">
        <v>33488</v>
      </c>
    </row>
    <row r="273" spans="1:12" x14ac:dyDescent="0.3">
      <c r="A273" s="38">
        <v>46136</v>
      </c>
      <c r="B273" t="s">
        <v>219</v>
      </c>
      <c r="C273" s="11"/>
      <c r="D273" s="11">
        <v>47400</v>
      </c>
      <c r="E273" t="s">
        <v>316</v>
      </c>
      <c r="F273" s="108" t="s">
        <v>108</v>
      </c>
      <c r="J273" s="26">
        <v>46227</v>
      </c>
      <c r="K273" s="14">
        <v>424000</v>
      </c>
      <c r="L273" s="14">
        <v>415490</v>
      </c>
    </row>
    <row r="274" spans="1:12" x14ac:dyDescent="0.3">
      <c r="A274" s="38">
        <v>46136</v>
      </c>
      <c r="B274" t="s">
        <v>116</v>
      </c>
      <c r="C274" s="11">
        <v>47400</v>
      </c>
      <c r="D274" s="11"/>
      <c r="E274" t="s">
        <v>316</v>
      </c>
      <c r="F274" s="108" t="s">
        <v>108</v>
      </c>
      <c r="J274" s="26">
        <v>46228</v>
      </c>
      <c r="K274" s="14">
        <v>372500</v>
      </c>
      <c r="L274" s="14">
        <v>366000</v>
      </c>
    </row>
    <row r="275" spans="1:12" x14ac:dyDescent="0.3">
      <c r="A275" s="38">
        <v>46136</v>
      </c>
      <c r="B275" t="s">
        <v>55</v>
      </c>
      <c r="C275" s="11">
        <v>32000</v>
      </c>
      <c r="D275" s="11"/>
      <c r="E275" t="s">
        <v>330</v>
      </c>
      <c r="F275" s="108" t="s">
        <v>108</v>
      </c>
      <c r="J275" s="26">
        <v>46229</v>
      </c>
      <c r="K275" s="14">
        <v>50000</v>
      </c>
      <c r="L275" s="14">
        <v>63881</v>
      </c>
    </row>
    <row r="276" spans="1:12" x14ac:dyDescent="0.3">
      <c r="A276" s="38">
        <v>46136</v>
      </c>
      <c r="B276" t="s">
        <v>219</v>
      </c>
      <c r="C276" s="11"/>
      <c r="D276" s="11">
        <v>32000</v>
      </c>
      <c r="E276" t="s">
        <v>330</v>
      </c>
      <c r="F276" s="108" t="s">
        <v>108</v>
      </c>
      <c r="J276" s="26">
        <v>46230</v>
      </c>
      <c r="K276" s="14">
        <v>439000</v>
      </c>
      <c r="L276" s="14">
        <v>438200</v>
      </c>
    </row>
    <row r="277" spans="1:12" x14ac:dyDescent="0.3">
      <c r="A277" s="38">
        <v>46136</v>
      </c>
      <c r="B277" t="s">
        <v>55</v>
      </c>
      <c r="C277" s="11">
        <v>10656</v>
      </c>
      <c r="D277" s="11"/>
      <c r="E277" t="s">
        <v>259</v>
      </c>
      <c r="F277" s="108" t="s">
        <v>108</v>
      </c>
      <c r="J277" s="26">
        <v>46231</v>
      </c>
      <c r="K277" s="14">
        <v>22500</v>
      </c>
      <c r="L277" s="14">
        <v>23500</v>
      </c>
    </row>
    <row r="278" spans="1:12" x14ac:dyDescent="0.3">
      <c r="A278" s="38">
        <v>46137</v>
      </c>
      <c r="B278" t="s">
        <v>244</v>
      </c>
      <c r="C278" s="11">
        <v>400</v>
      </c>
      <c r="D278" s="11"/>
      <c r="E278" t="s">
        <v>449</v>
      </c>
      <c r="F278" s="108" t="s">
        <v>108</v>
      </c>
      <c r="J278" s="26">
        <v>46233</v>
      </c>
      <c r="K278" s="14">
        <v>194000</v>
      </c>
      <c r="L278" s="14">
        <v>193100</v>
      </c>
    </row>
    <row r="279" spans="1:12" x14ac:dyDescent="0.3">
      <c r="A279" s="111">
        <v>46137</v>
      </c>
      <c r="B279" t="s">
        <v>55</v>
      </c>
      <c r="C279" s="11">
        <v>690</v>
      </c>
      <c r="D279" s="11"/>
      <c r="E279" t="s">
        <v>448</v>
      </c>
      <c r="F279" s="108" t="s">
        <v>108</v>
      </c>
      <c r="J279" s="26">
        <v>46234</v>
      </c>
      <c r="K279" s="14">
        <v>394000</v>
      </c>
      <c r="L279" s="14">
        <v>142000</v>
      </c>
    </row>
    <row r="280" spans="1:12" x14ac:dyDescent="0.3">
      <c r="A280" s="38">
        <v>46137</v>
      </c>
      <c r="B280" t="s">
        <v>211</v>
      </c>
      <c r="C280" s="11"/>
      <c r="D280" s="11">
        <v>600</v>
      </c>
      <c r="F280" s="108" t="s">
        <v>108</v>
      </c>
      <c r="J280" s="26">
        <v>46235</v>
      </c>
      <c r="K280" s="14">
        <v>152000</v>
      </c>
      <c r="L280" s="14">
        <v>95250</v>
      </c>
    </row>
    <row r="281" spans="1:12" x14ac:dyDescent="0.3">
      <c r="A281" s="111">
        <v>46137</v>
      </c>
      <c r="B281" t="s">
        <v>269</v>
      </c>
      <c r="C281" s="11">
        <v>3000</v>
      </c>
      <c r="D281" s="11"/>
      <c r="E281" s="128" t="s">
        <v>252</v>
      </c>
      <c r="F281" s="108" t="s">
        <v>108</v>
      </c>
      <c r="J281" s="26">
        <v>46236</v>
      </c>
      <c r="K281" s="14">
        <v>100000</v>
      </c>
      <c r="L281" s="14">
        <v>216632</v>
      </c>
    </row>
    <row r="282" spans="1:12" x14ac:dyDescent="0.3">
      <c r="A282" s="111">
        <v>46137</v>
      </c>
      <c r="B282" t="s">
        <v>219</v>
      </c>
      <c r="C282" s="11"/>
      <c r="D282" s="11">
        <v>8000</v>
      </c>
      <c r="E282" t="s">
        <v>318</v>
      </c>
      <c r="F282" s="108" t="s">
        <v>108</v>
      </c>
      <c r="J282" s="26">
        <v>46237</v>
      </c>
      <c r="K282" s="14">
        <v>260000</v>
      </c>
      <c r="L282" s="14">
        <v>454390</v>
      </c>
    </row>
    <row r="283" spans="1:12" x14ac:dyDescent="0.3">
      <c r="A283" s="111">
        <v>46137</v>
      </c>
      <c r="B283" t="s">
        <v>219</v>
      </c>
      <c r="C283" s="11"/>
      <c r="D283" s="11">
        <v>147000</v>
      </c>
      <c r="E283" t="s">
        <v>450</v>
      </c>
      <c r="F283" s="108" t="s">
        <v>108</v>
      </c>
      <c r="J283" s="26">
        <v>46238</v>
      </c>
      <c r="K283" s="14">
        <v>141850</v>
      </c>
      <c r="L283" s="14">
        <v>143090</v>
      </c>
    </row>
    <row r="284" spans="1:12" x14ac:dyDescent="0.3">
      <c r="A284" s="111">
        <v>46137</v>
      </c>
      <c r="B284" t="s">
        <v>116</v>
      </c>
      <c r="C284" s="11">
        <v>55000</v>
      </c>
      <c r="D284" s="11"/>
      <c r="E284" t="s">
        <v>61</v>
      </c>
      <c r="F284" s="108" t="s">
        <v>108</v>
      </c>
      <c r="J284" s="26">
        <v>46239</v>
      </c>
      <c r="K284" s="14">
        <v>600614</v>
      </c>
      <c r="L284" s="14">
        <v>339104</v>
      </c>
    </row>
    <row r="285" spans="1:12" x14ac:dyDescent="0.3">
      <c r="A285" s="111">
        <v>46137</v>
      </c>
      <c r="B285" t="s">
        <v>257</v>
      </c>
      <c r="C285" s="11">
        <v>100000</v>
      </c>
      <c r="D285" s="11"/>
      <c r="E285" t="s">
        <v>451</v>
      </c>
      <c r="F285" s="108" t="s">
        <v>108</v>
      </c>
      <c r="J285" s="26">
        <v>46240</v>
      </c>
      <c r="K285" s="14"/>
      <c r="L285" s="14">
        <v>60840</v>
      </c>
    </row>
    <row r="286" spans="1:12" x14ac:dyDescent="0.3">
      <c r="A286" s="111">
        <v>46137</v>
      </c>
      <c r="B286" t="s">
        <v>386</v>
      </c>
      <c r="C286" s="11">
        <v>8000</v>
      </c>
      <c r="D286" s="11"/>
      <c r="E286" t="s">
        <v>452</v>
      </c>
      <c r="F286" s="108" t="s">
        <v>108</v>
      </c>
      <c r="J286" s="26">
        <v>46241</v>
      </c>
      <c r="K286" s="14">
        <v>10600</v>
      </c>
      <c r="L286" s="14">
        <v>73798</v>
      </c>
    </row>
    <row r="287" spans="1:12" x14ac:dyDescent="0.3">
      <c r="A287" s="111">
        <v>46137</v>
      </c>
      <c r="B287" t="s">
        <v>219</v>
      </c>
      <c r="C287" s="11"/>
      <c r="D287" s="11">
        <v>10000</v>
      </c>
      <c r="E287" t="s">
        <v>453</v>
      </c>
      <c r="F287" s="108" t="s">
        <v>108</v>
      </c>
      <c r="J287" s="26">
        <v>46242</v>
      </c>
      <c r="K287" s="14">
        <v>310000</v>
      </c>
      <c r="L287" s="14">
        <v>310910</v>
      </c>
    </row>
    <row r="288" spans="1:12" x14ac:dyDescent="0.3">
      <c r="A288" s="111">
        <v>46137</v>
      </c>
      <c r="B288" t="s">
        <v>9</v>
      </c>
      <c r="C288" s="11"/>
      <c r="D288" s="11">
        <v>98000</v>
      </c>
      <c r="E288" t="s">
        <v>454</v>
      </c>
      <c r="F288" s="108" t="s">
        <v>108</v>
      </c>
      <c r="J288" s="26">
        <v>46243</v>
      </c>
      <c r="K288" s="14">
        <v>43400</v>
      </c>
      <c r="L288" s="14">
        <v>288200</v>
      </c>
    </row>
    <row r="289" spans="1:12" x14ac:dyDescent="0.3">
      <c r="A289" s="111">
        <v>46137</v>
      </c>
      <c r="B289" t="s">
        <v>269</v>
      </c>
      <c r="C289" s="11">
        <v>10000</v>
      </c>
      <c r="D289" s="11"/>
      <c r="E289" s="128" t="s">
        <v>288</v>
      </c>
      <c r="F289" s="108" t="s">
        <v>108</v>
      </c>
      <c r="J289" s="26">
        <v>46244</v>
      </c>
      <c r="K289" s="14">
        <v>121500</v>
      </c>
      <c r="L289" s="14">
        <v>13690</v>
      </c>
    </row>
    <row r="290" spans="1:12" x14ac:dyDescent="0.3">
      <c r="A290" s="111">
        <v>46137</v>
      </c>
      <c r="B290" t="s">
        <v>55</v>
      </c>
      <c r="C290" s="11">
        <v>10656</v>
      </c>
      <c r="D290" s="11"/>
      <c r="E290" t="s">
        <v>259</v>
      </c>
      <c r="F290" s="108" t="s">
        <v>108</v>
      </c>
      <c r="J290" s="26">
        <v>46245</v>
      </c>
      <c r="K290" s="14">
        <v>464000</v>
      </c>
      <c r="L290" s="14">
        <v>463611</v>
      </c>
    </row>
    <row r="291" spans="1:12" x14ac:dyDescent="0.3">
      <c r="A291" s="111">
        <v>46137</v>
      </c>
      <c r="B291" t="s">
        <v>222</v>
      </c>
      <c r="C291" s="11">
        <v>75000</v>
      </c>
      <c r="D291" s="11"/>
      <c r="E291" t="s">
        <v>455</v>
      </c>
      <c r="F291" s="108" t="s">
        <v>108</v>
      </c>
      <c r="J291" s="26">
        <v>46246</v>
      </c>
      <c r="K291" s="14">
        <v>108300</v>
      </c>
      <c r="L291" s="14">
        <v>86780</v>
      </c>
    </row>
    <row r="292" spans="1:12" x14ac:dyDescent="0.3">
      <c r="A292" s="111">
        <v>46137</v>
      </c>
      <c r="B292" t="s">
        <v>175</v>
      </c>
      <c r="C292" s="11">
        <v>18000</v>
      </c>
      <c r="D292" s="11"/>
      <c r="E292" t="s">
        <v>564</v>
      </c>
      <c r="F292" s="108" t="s">
        <v>108</v>
      </c>
      <c r="J292" s="26">
        <v>46247</v>
      </c>
      <c r="K292" s="14">
        <v>270000</v>
      </c>
      <c r="L292" s="14">
        <v>142580</v>
      </c>
    </row>
    <row r="293" spans="1:12" x14ac:dyDescent="0.3">
      <c r="A293" s="111">
        <v>46137</v>
      </c>
      <c r="B293" t="s">
        <v>219</v>
      </c>
      <c r="C293" s="11"/>
      <c r="D293" s="11">
        <v>18000</v>
      </c>
      <c r="E293" t="s">
        <v>564</v>
      </c>
      <c r="F293" s="108" t="s">
        <v>108</v>
      </c>
      <c r="J293" s="26">
        <v>46248</v>
      </c>
      <c r="K293" s="14"/>
      <c r="L293" s="14">
        <v>780</v>
      </c>
    </row>
    <row r="294" spans="1:12" x14ac:dyDescent="0.3">
      <c r="A294" s="111">
        <v>46138</v>
      </c>
      <c r="B294" t="s">
        <v>55</v>
      </c>
      <c r="C294" s="11">
        <v>11456</v>
      </c>
      <c r="D294" s="11"/>
      <c r="E294" t="s">
        <v>457</v>
      </c>
      <c r="F294" s="108" t="s">
        <v>108</v>
      </c>
      <c r="J294" s="26">
        <v>46249</v>
      </c>
      <c r="K294" s="14">
        <v>257000</v>
      </c>
      <c r="L294" s="14">
        <v>388504</v>
      </c>
    </row>
    <row r="295" spans="1:12" x14ac:dyDescent="0.3">
      <c r="A295" s="111">
        <v>46139</v>
      </c>
      <c r="B295" t="s">
        <v>115</v>
      </c>
      <c r="C295" s="11">
        <v>200000</v>
      </c>
      <c r="D295" s="11"/>
      <c r="E295" t="s">
        <v>458</v>
      </c>
      <c r="F295" s="108" t="s">
        <v>108</v>
      </c>
      <c r="J295" s="26">
        <v>46250</v>
      </c>
      <c r="K295" s="14">
        <v>102000</v>
      </c>
      <c r="L295" s="14">
        <v>51250</v>
      </c>
    </row>
    <row r="296" spans="1:12" x14ac:dyDescent="0.3">
      <c r="A296" s="111">
        <v>46139</v>
      </c>
      <c r="B296" t="s">
        <v>219</v>
      </c>
      <c r="C296" s="11"/>
      <c r="D296" s="11">
        <v>200000</v>
      </c>
      <c r="E296" t="s">
        <v>115</v>
      </c>
      <c r="F296" s="108" t="s">
        <v>108</v>
      </c>
      <c r="J296" s="26">
        <v>46251</v>
      </c>
      <c r="K296" s="14">
        <v>33000</v>
      </c>
      <c r="L296" s="14">
        <v>42233</v>
      </c>
    </row>
    <row r="297" spans="1:12" x14ac:dyDescent="0.3">
      <c r="A297" s="111">
        <v>46139</v>
      </c>
      <c r="B297" t="s">
        <v>243</v>
      </c>
      <c r="C297" s="11"/>
      <c r="D297" s="11">
        <v>86594</v>
      </c>
      <c r="E297" t="s">
        <v>459</v>
      </c>
      <c r="F297" s="108" t="s">
        <v>108</v>
      </c>
      <c r="J297" s="26">
        <v>46252</v>
      </c>
      <c r="K297" s="14">
        <v>2670551</v>
      </c>
      <c r="L297" s="14">
        <v>2197795</v>
      </c>
    </row>
    <row r="298" spans="1:12" x14ac:dyDescent="0.3">
      <c r="A298" s="111">
        <v>46139</v>
      </c>
      <c r="B298" t="s">
        <v>219</v>
      </c>
      <c r="C298" s="11">
        <v>86594</v>
      </c>
      <c r="D298" s="11"/>
      <c r="E298" t="s">
        <v>243</v>
      </c>
      <c r="F298" s="108" t="s">
        <v>108</v>
      </c>
      <c r="I298">
        <v>80000</v>
      </c>
      <c r="J298" s="26">
        <v>46253</v>
      </c>
      <c r="K298" s="14">
        <v>454452</v>
      </c>
      <c r="L298" s="14">
        <v>905142</v>
      </c>
    </row>
    <row r="299" spans="1:12" x14ac:dyDescent="0.3">
      <c r="A299" s="111">
        <v>46139</v>
      </c>
      <c r="B299" t="s">
        <v>55</v>
      </c>
      <c r="C299" s="11">
        <v>6200</v>
      </c>
      <c r="D299" s="11"/>
      <c r="E299" t="s">
        <v>460</v>
      </c>
      <c r="F299" s="108" t="s">
        <v>108</v>
      </c>
      <c r="I299">
        <v>50000</v>
      </c>
      <c r="J299" s="26">
        <v>46254</v>
      </c>
      <c r="K299" s="14">
        <v>241410</v>
      </c>
      <c r="L299" s="14">
        <v>22986</v>
      </c>
    </row>
    <row r="300" spans="1:12" x14ac:dyDescent="0.3">
      <c r="A300" s="111">
        <v>46139</v>
      </c>
      <c r="B300" t="s">
        <v>219</v>
      </c>
      <c r="C300" s="95"/>
      <c r="D300" s="95">
        <v>6200</v>
      </c>
      <c r="E300" t="s">
        <v>460</v>
      </c>
      <c r="F300" s="108" t="s">
        <v>108</v>
      </c>
      <c r="I300">
        <v>6000</v>
      </c>
      <c r="J300" s="26">
        <v>46255</v>
      </c>
      <c r="K300" s="14">
        <v>252300</v>
      </c>
      <c r="L300" s="14">
        <v>257450</v>
      </c>
    </row>
    <row r="301" spans="1:12" x14ac:dyDescent="0.3">
      <c r="A301" s="111">
        <v>46139</v>
      </c>
      <c r="B301" t="s">
        <v>54</v>
      </c>
      <c r="C301" s="11">
        <v>1500</v>
      </c>
      <c r="D301" s="11"/>
      <c r="F301" s="108" t="s">
        <v>108</v>
      </c>
      <c r="I301">
        <v>1000</v>
      </c>
      <c r="J301" s="26">
        <v>46256</v>
      </c>
      <c r="K301" s="14">
        <v>297000</v>
      </c>
      <c r="L301" s="14">
        <v>306850</v>
      </c>
    </row>
    <row r="302" spans="1:12" x14ac:dyDescent="0.3">
      <c r="A302" s="111">
        <v>46139</v>
      </c>
      <c r="B302" t="s">
        <v>55</v>
      </c>
      <c r="C302" s="95">
        <v>1460</v>
      </c>
      <c r="D302" s="95"/>
      <c r="E302" t="s">
        <v>461</v>
      </c>
      <c r="F302" s="108" t="s">
        <v>108</v>
      </c>
      <c r="I302">
        <v>42000</v>
      </c>
      <c r="J302" s="26">
        <v>46257</v>
      </c>
      <c r="K302" s="14">
        <v>18000</v>
      </c>
      <c r="L302" s="14">
        <v>23020</v>
      </c>
    </row>
    <row r="303" spans="1:12" x14ac:dyDescent="0.3">
      <c r="A303" s="111">
        <v>46139</v>
      </c>
      <c r="B303" t="s">
        <v>219</v>
      </c>
      <c r="C303" s="95"/>
      <c r="D303" s="95">
        <v>7000</v>
      </c>
      <c r="E303" t="s">
        <v>422</v>
      </c>
      <c r="F303" s="108" t="s">
        <v>108</v>
      </c>
      <c r="I303">
        <v>22800</v>
      </c>
      <c r="J303" s="26">
        <v>46258</v>
      </c>
      <c r="K303" s="14">
        <v>55000</v>
      </c>
      <c r="L303" s="14">
        <v>59854</v>
      </c>
    </row>
    <row r="304" spans="1:12" x14ac:dyDescent="0.3">
      <c r="A304" s="111">
        <v>46139</v>
      </c>
      <c r="B304" t="s">
        <v>54</v>
      </c>
      <c r="C304" s="95">
        <v>2500</v>
      </c>
      <c r="D304" s="95"/>
      <c r="E304" t="s">
        <v>462</v>
      </c>
      <c r="F304" s="108" t="s">
        <v>108</v>
      </c>
      <c r="I304">
        <v>11600</v>
      </c>
      <c r="J304" s="26">
        <v>46259</v>
      </c>
      <c r="K304" s="14">
        <v>1220759</v>
      </c>
      <c r="L304" s="14">
        <v>1243379</v>
      </c>
    </row>
    <row r="305" spans="1:12" x14ac:dyDescent="0.3">
      <c r="A305" s="111">
        <v>46139</v>
      </c>
      <c r="B305" t="s">
        <v>54</v>
      </c>
      <c r="C305" s="95">
        <v>4500</v>
      </c>
      <c r="D305" s="95"/>
      <c r="E305" t="s">
        <v>463</v>
      </c>
      <c r="F305" s="108" t="s">
        <v>108</v>
      </c>
      <c r="I305">
        <v>20800</v>
      </c>
      <c r="J305" s="26">
        <v>46260</v>
      </c>
      <c r="K305" s="14">
        <v>5000</v>
      </c>
      <c r="L305" s="14">
        <v>250690</v>
      </c>
    </row>
    <row r="306" spans="1:12" x14ac:dyDescent="0.3">
      <c r="A306" s="111">
        <v>46139</v>
      </c>
      <c r="B306" t="s">
        <v>54</v>
      </c>
      <c r="C306" s="95">
        <v>5000</v>
      </c>
      <c r="D306" s="95"/>
      <c r="E306" t="s">
        <v>254</v>
      </c>
      <c r="F306" s="108" t="s">
        <v>108</v>
      </c>
      <c r="I306">
        <v>37000</v>
      </c>
      <c r="J306" s="26">
        <v>46261</v>
      </c>
      <c r="K306" s="14">
        <v>234601</v>
      </c>
      <c r="L306" s="14">
        <v>227601</v>
      </c>
    </row>
    <row r="307" spans="1:12" x14ac:dyDescent="0.3">
      <c r="A307" s="111">
        <v>46139</v>
      </c>
      <c r="B307" t="s">
        <v>211</v>
      </c>
      <c r="C307" s="95">
        <v>1350</v>
      </c>
      <c r="D307" s="95"/>
      <c r="F307" s="108" t="s">
        <v>108</v>
      </c>
      <c r="I307">
        <v>25200</v>
      </c>
      <c r="J307" s="26">
        <v>46262</v>
      </c>
      <c r="K307" s="14">
        <v>2488000</v>
      </c>
      <c r="L307" s="14">
        <v>2234655</v>
      </c>
    </row>
    <row r="308" spans="1:12" x14ac:dyDescent="0.3">
      <c r="A308" s="111">
        <v>46139</v>
      </c>
      <c r="B308" t="s">
        <v>367</v>
      </c>
      <c r="C308" s="95"/>
      <c r="D308" s="95">
        <v>3927</v>
      </c>
      <c r="E308" t="s">
        <v>54</v>
      </c>
      <c r="F308" s="108" t="s">
        <v>108</v>
      </c>
      <c r="I308">
        <v>30000</v>
      </c>
      <c r="J308" s="26">
        <v>46263</v>
      </c>
      <c r="K308" s="14">
        <v>30000</v>
      </c>
      <c r="L308" s="14">
        <v>285236</v>
      </c>
    </row>
    <row r="309" spans="1:12" x14ac:dyDescent="0.3">
      <c r="A309" s="111">
        <v>46139</v>
      </c>
      <c r="B309" t="s">
        <v>54</v>
      </c>
      <c r="C309" s="95">
        <v>3927</v>
      </c>
      <c r="D309" s="95"/>
      <c r="F309" s="108" t="s">
        <v>108</v>
      </c>
      <c r="I309">
        <v>33600</v>
      </c>
      <c r="J309" s="26">
        <v>46264</v>
      </c>
      <c r="K309" s="14">
        <v>10000</v>
      </c>
      <c r="L309" s="14">
        <v>18320</v>
      </c>
    </row>
    <row r="310" spans="1:12" x14ac:dyDescent="0.3">
      <c r="A310" s="111">
        <v>46140</v>
      </c>
      <c r="B310" t="s">
        <v>219</v>
      </c>
      <c r="C310" s="11"/>
      <c r="D310" s="11">
        <v>50000</v>
      </c>
      <c r="E310" t="s">
        <v>464</v>
      </c>
      <c r="F310" s="108" t="s">
        <v>108</v>
      </c>
      <c r="I310">
        <v>13000</v>
      </c>
      <c r="J310" s="26">
        <v>46265</v>
      </c>
      <c r="K310" s="14">
        <v>43000</v>
      </c>
      <c r="L310" s="14">
        <v>29197</v>
      </c>
    </row>
    <row r="311" spans="1:12" x14ac:dyDescent="0.3">
      <c r="A311" s="111">
        <v>46140</v>
      </c>
      <c r="B311" t="s">
        <v>116</v>
      </c>
      <c r="C311" s="11">
        <v>39000</v>
      </c>
      <c r="D311" s="11"/>
      <c r="E311" t="s">
        <v>316</v>
      </c>
      <c r="F311" s="108" t="s">
        <v>108</v>
      </c>
      <c r="I311">
        <v>13650</v>
      </c>
      <c r="J311" s="26">
        <v>46266</v>
      </c>
      <c r="K311" s="14">
        <v>285366</v>
      </c>
      <c r="L311" s="14">
        <v>281587</v>
      </c>
    </row>
    <row r="312" spans="1:12" x14ac:dyDescent="0.3">
      <c r="A312" s="111">
        <v>46140</v>
      </c>
      <c r="B312" t="s">
        <v>54</v>
      </c>
      <c r="C312" s="11">
        <v>600</v>
      </c>
      <c r="D312" s="11"/>
      <c r="E312" t="s">
        <v>465</v>
      </c>
      <c r="F312" s="108" t="s">
        <v>108</v>
      </c>
      <c r="I312">
        <v>20800</v>
      </c>
      <c r="J312" s="26">
        <v>46267</v>
      </c>
      <c r="K312" s="14">
        <v>78500</v>
      </c>
      <c r="L312" s="14">
        <v>90861</v>
      </c>
    </row>
    <row r="313" spans="1:12" x14ac:dyDescent="0.3">
      <c r="A313" s="111">
        <v>46140</v>
      </c>
      <c r="B313" t="s">
        <v>55</v>
      </c>
      <c r="C313" s="11">
        <v>190</v>
      </c>
      <c r="D313" s="11"/>
      <c r="F313" s="108" t="s">
        <v>108</v>
      </c>
      <c r="I313">
        <v>20000</v>
      </c>
      <c r="J313" s="26">
        <v>46268</v>
      </c>
      <c r="K313" s="14">
        <v>544115</v>
      </c>
      <c r="L313" s="14">
        <v>537485</v>
      </c>
    </row>
    <row r="314" spans="1:12" x14ac:dyDescent="0.3">
      <c r="A314" s="111">
        <v>46140</v>
      </c>
      <c r="B314" t="s">
        <v>55</v>
      </c>
      <c r="C314" s="11">
        <v>950</v>
      </c>
      <c r="D314" s="11"/>
      <c r="E314" t="s">
        <v>466</v>
      </c>
      <c r="F314" s="108" t="s">
        <v>108</v>
      </c>
      <c r="I314">
        <v>13300</v>
      </c>
      <c r="J314" s="26">
        <v>46269</v>
      </c>
      <c r="K314" s="14">
        <v>1288695</v>
      </c>
      <c r="L314" s="14">
        <v>1234375</v>
      </c>
    </row>
    <row r="315" spans="1:12" x14ac:dyDescent="0.3">
      <c r="A315" s="38">
        <v>46140</v>
      </c>
      <c r="B315" t="s">
        <v>219</v>
      </c>
      <c r="C315" s="11"/>
      <c r="D315" s="11">
        <v>60000</v>
      </c>
      <c r="E315" t="s">
        <v>467</v>
      </c>
      <c r="F315" s="108" t="s">
        <v>108</v>
      </c>
      <c r="I315">
        <v>13650</v>
      </c>
      <c r="J315" s="26">
        <v>46270</v>
      </c>
      <c r="K315" s="14">
        <v>22000</v>
      </c>
      <c r="L315" s="14">
        <v>22000</v>
      </c>
    </row>
    <row r="316" spans="1:12" x14ac:dyDescent="0.3">
      <c r="A316" s="38">
        <v>46140</v>
      </c>
      <c r="B316" t="s">
        <v>55</v>
      </c>
      <c r="C316" s="11">
        <v>500</v>
      </c>
      <c r="D316" s="11"/>
      <c r="F316" s="108" t="s">
        <v>108</v>
      </c>
      <c r="I316">
        <v>12000</v>
      </c>
      <c r="J316" s="26">
        <v>46271</v>
      </c>
      <c r="K316" s="14"/>
      <c r="L316" s="14">
        <v>39635</v>
      </c>
    </row>
    <row r="317" spans="1:12" x14ac:dyDescent="0.3">
      <c r="A317" s="111">
        <v>46140</v>
      </c>
      <c r="B317" t="s">
        <v>269</v>
      </c>
      <c r="C317" s="11">
        <v>60000</v>
      </c>
      <c r="D317" s="11"/>
      <c r="E317" s="128" t="s">
        <v>406</v>
      </c>
      <c r="F317" s="108" t="s">
        <v>108</v>
      </c>
      <c r="I317">
        <v>11650</v>
      </c>
      <c r="J317" s="26">
        <v>46272</v>
      </c>
      <c r="K317" s="14">
        <v>1027119</v>
      </c>
      <c r="L317" s="14">
        <v>1032284</v>
      </c>
    </row>
    <row r="318" spans="1:12" x14ac:dyDescent="0.3">
      <c r="A318" s="111">
        <v>46140</v>
      </c>
      <c r="B318" t="s">
        <v>269</v>
      </c>
      <c r="C318" s="95">
        <v>5000</v>
      </c>
      <c r="D318" s="95"/>
      <c r="E318" t="s">
        <v>391</v>
      </c>
      <c r="F318" s="108" t="s">
        <v>108</v>
      </c>
      <c r="I318">
        <v>20200</v>
      </c>
      <c r="J318" s="26">
        <v>46273</v>
      </c>
      <c r="K318" s="14">
        <v>807856</v>
      </c>
      <c r="L318" s="14">
        <v>758606</v>
      </c>
    </row>
    <row r="319" spans="1:12" x14ac:dyDescent="0.3">
      <c r="A319" s="111">
        <v>46141</v>
      </c>
      <c r="B319" t="s">
        <v>244</v>
      </c>
      <c r="C319" s="95">
        <v>800</v>
      </c>
      <c r="D319" s="95"/>
      <c r="F319" s="108" t="s">
        <v>108</v>
      </c>
      <c r="I319">
        <v>22650</v>
      </c>
      <c r="J319" s="26">
        <v>46274</v>
      </c>
      <c r="K319" s="14">
        <v>2243193</v>
      </c>
      <c r="L319" s="14">
        <v>2253735</v>
      </c>
    </row>
    <row r="320" spans="1:12" x14ac:dyDescent="0.3">
      <c r="A320" s="111">
        <v>46141</v>
      </c>
      <c r="B320" t="s">
        <v>55</v>
      </c>
      <c r="C320" s="11">
        <v>34369</v>
      </c>
      <c r="D320" s="11"/>
      <c r="E320" t="s">
        <v>468</v>
      </c>
      <c r="F320" s="108" t="s">
        <v>108</v>
      </c>
      <c r="I320">
        <v>14650</v>
      </c>
      <c r="J320" s="26">
        <v>46275</v>
      </c>
      <c r="K320" s="14">
        <v>1604892</v>
      </c>
      <c r="L320" s="14">
        <v>1593192</v>
      </c>
    </row>
    <row r="321" spans="1:12" x14ac:dyDescent="0.3">
      <c r="A321" s="111">
        <v>46141</v>
      </c>
      <c r="B321" t="s">
        <v>219</v>
      </c>
      <c r="C321" s="11"/>
      <c r="D321" s="11">
        <v>40000</v>
      </c>
      <c r="E321" t="s">
        <v>469</v>
      </c>
      <c r="F321" s="108" t="s">
        <v>108</v>
      </c>
      <c r="I321">
        <v>24800</v>
      </c>
      <c r="J321" s="26">
        <v>46276</v>
      </c>
      <c r="K321" s="14">
        <v>173000</v>
      </c>
      <c r="L321" s="14">
        <v>204094</v>
      </c>
    </row>
    <row r="322" spans="1:12" x14ac:dyDescent="0.3">
      <c r="A322" s="111">
        <v>46141</v>
      </c>
      <c r="B322" t="s">
        <v>219</v>
      </c>
      <c r="C322" s="11"/>
      <c r="D322" s="11">
        <v>200000</v>
      </c>
      <c r="E322" t="s">
        <v>470</v>
      </c>
      <c r="F322" s="108" t="s">
        <v>108</v>
      </c>
      <c r="I322">
        <v>10650</v>
      </c>
      <c r="J322" s="26">
        <v>46277</v>
      </c>
      <c r="K322" s="14">
        <v>662501</v>
      </c>
      <c r="L322" s="14">
        <v>602026</v>
      </c>
    </row>
    <row r="323" spans="1:12" x14ac:dyDescent="0.3">
      <c r="A323" s="111">
        <v>46141</v>
      </c>
      <c r="B323" t="s">
        <v>222</v>
      </c>
      <c r="C323" s="11">
        <v>200500</v>
      </c>
      <c r="D323" s="11"/>
      <c r="E323" t="s">
        <v>471</v>
      </c>
      <c r="F323" s="108" t="s">
        <v>108</v>
      </c>
      <c r="I323">
        <v>14400</v>
      </c>
      <c r="J323" s="26">
        <v>46278</v>
      </c>
      <c r="K323" s="14">
        <v>10000</v>
      </c>
      <c r="L323" s="14">
        <v>94950</v>
      </c>
    </row>
    <row r="324" spans="1:12" x14ac:dyDescent="0.3">
      <c r="A324" s="111">
        <v>46141</v>
      </c>
      <c r="B324" t="s">
        <v>219</v>
      </c>
      <c r="C324" s="11"/>
      <c r="D324" s="11">
        <v>300000</v>
      </c>
      <c r="E324" t="s">
        <v>472</v>
      </c>
      <c r="F324" s="108" t="s">
        <v>108</v>
      </c>
      <c r="I324">
        <v>14800</v>
      </c>
      <c r="J324" s="26">
        <v>46279</v>
      </c>
      <c r="K324" s="14">
        <v>545000</v>
      </c>
      <c r="L324" s="14">
        <v>551428</v>
      </c>
    </row>
    <row r="325" spans="1:12" x14ac:dyDescent="0.3">
      <c r="A325" s="38">
        <v>46141</v>
      </c>
      <c r="B325" t="s">
        <v>257</v>
      </c>
      <c r="C325" s="11">
        <v>150000</v>
      </c>
      <c r="D325" s="11"/>
      <c r="E325" t="s">
        <v>473</v>
      </c>
      <c r="F325" s="108" t="s">
        <v>108</v>
      </c>
      <c r="I325">
        <v>12800</v>
      </c>
      <c r="J325" s="26">
        <v>46280</v>
      </c>
      <c r="K325" s="14">
        <v>934516</v>
      </c>
      <c r="L325" s="14">
        <v>926861</v>
      </c>
    </row>
    <row r="326" spans="1:12" x14ac:dyDescent="0.3">
      <c r="A326" s="38">
        <v>46141</v>
      </c>
      <c r="B326" t="s">
        <v>221</v>
      </c>
      <c r="C326" s="11">
        <v>150000</v>
      </c>
      <c r="D326" s="11"/>
      <c r="E326" t="s">
        <v>474</v>
      </c>
      <c r="F326" s="108" t="s">
        <v>108</v>
      </c>
      <c r="I326">
        <v>18000</v>
      </c>
      <c r="J326" s="26" t="s">
        <v>103</v>
      </c>
      <c r="K326" s="14"/>
      <c r="L326" s="14"/>
    </row>
    <row r="327" spans="1:12" x14ac:dyDescent="0.3">
      <c r="A327" s="111">
        <v>46141</v>
      </c>
      <c r="B327" t="s">
        <v>456</v>
      </c>
      <c r="C327" s="11">
        <v>3000</v>
      </c>
      <c r="D327" s="11"/>
      <c r="E327" t="s">
        <v>488</v>
      </c>
      <c r="F327" s="108" t="s">
        <v>108</v>
      </c>
      <c r="I327">
        <v>14000</v>
      </c>
      <c r="J327" s="26" t="s">
        <v>28</v>
      </c>
      <c r="K327" s="14">
        <v>67814988.229517192</v>
      </c>
      <c r="L327" s="14">
        <v>67795328.680000007</v>
      </c>
    </row>
    <row r="328" spans="1:12" x14ac:dyDescent="0.3">
      <c r="A328" s="38">
        <v>46141</v>
      </c>
      <c r="B328" t="s">
        <v>357</v>
      </c>
      <c r="C328" s="11">
        <v>5000</v>
      </c>
      <c r="D328" s="11"/>
      <c r="F328" s="108" t="s">
        <v>108</v>
      </c>
      <c r="I328">
        <v>14000</v>
      </c>
    </row>
    <row r="329" spans="1:12" x14ac:dyDescent="0.3">
      <c r="A329" s="111">
        <v>46141</v>
      </c>
      <c r="B329" t="s">
        <v>55</v>
      </c>
      <c r="C329" s="11">
        <v>600</v>
      </c>
      <c r="D329" s="11"/>
      <c r="F329" s="108" t="s">
        <v>108</v>
      </c>
      <c r="I329">
        <v>55000</v>
      </c>
    </row>
    <row r="330" spans="1:12" x14ac:dyDescent="0.3">
      <c r="A330" s="38">
        <v>46141</v>
      </c>
      <c r="B330" t="s">
        <v>219</v>
      </c>
      <c r="C330" s="11"/>
      <c r="D330" s="11">
        <v>176000</v>
      </c>
      <c r="E330" t="s">
        <v>475</v>
      </c>
      <c r="F330" s="108" t="s">
        <v>108</v>
      </c>
      <c r="I330">
        <v>35000</v>
      </c>
    </row>
    <row r="331" spans="1:12" x14ac:dyDescent="0.3">
      <c r="A331" s="111">
        <v>46141</v>
      </c>
      <c r="B331" t="s">
        <v>476</v>
      </c>
      <c r="C331" s="11">
        <v>26000</v>
      </c>
      <c r="D331" s="11"/>
      <c r="E331" t="s">
        <v>240</v>
      </c>
      <c r="F331" s="108" t="s">
        <v>108</v>
      </c>
      <c r="I331">
        <v>14650</v>
      </c>
    </row>
    <row r="332" spans="1:12" x14ac:dyDescent="0.3">
      <c r="A332" s="38">
        <v>46141</v>
      </c>
      <c r="B332" t="s">
        <v>168</v>
      </c>
      <c r="C332" s="11">
        <v>150000</v>
      </c>
      <c r="D332" s="11"/>
      <c r="E332" t="s">
        <v>477</v>
      </c>
      <c r="F332" s="108" t="s">
        <v>108</v>
      </c>
      <c r="I332">
        <v>23000</v>
      </c>
    </row>
    <row r="333" spans="1:12" x14ac:dyDescent="0.3">
      <c r="A333" s="111">
        <v>46141</v>
      </c>
      <c r="B333" t="s">
        <v>219</v>
      </c>
      <c r="C333" s="11"/>
      <c r="D333" s="11">
        <v>20000</v>
      </c>
      <c r="E333" t="s">
        <v>479</v>
      </c>
      <c r="F333" s="108" t="s">
        <v>108</v>
      </c>
      <c r="I333">
        <v>2650</v>
      </c>
    </row>
    <row r="334" spans="1:12" x14ac:dyDescent="0.3">
      <c r="A334" s="38">
        <v>46141</v>
      </c>
      <c r="B334" t="s">
        <v>253</v>
      </c>
      <c r="C334" s="11">
        <v>10000</v>
      </c>
      <c r="D334" s="11"/>
      <c r="E334" t="s">
        <v>478</v>
      </c>
      <c r="F334" s="108" t="s">
        <v>108</v>
      </c>
      <c r="I334">
        <v>17060</v>
      </c>
    </row>
    <row r="335" spans="1:12" x14ac:dyDescent="0.3">
      <c r="A335" s="111">
        <v>46142</v>
      </c>
      <c r="B335" s="80" t="s">
        <v>211</v>
      </c>
      <c r="C335" s="11"/>
      <c r="D335" s="86">
        <v>100000</v>
      </c>
      <c r="E335" s="80" t="s">
        <v>1078</v>
      </c>
      <c r="F335" s="87" t="s">
        <v>108</v>
      </c>
      <c r="I335">
        <v>10000</v>
      </c>
    </row>
    <row r="336" spans="1:12" x14ac:dyDescent="0.3">
      <c r="A336" s="38">
        <v>46142</v>
      </c>
      <c r="B336" s="80" t="s">
        <v>290</v>
      </c>
      <c r="C336" s="11">
        <v>100000</v>
      </c>
      <c r="D336" s="86"/>
      <c r="E336" s="80" t="s">
        <v>1082</v>
      </c>
      <c r="F336" s="87" t="s">
        <v>108</v>
      </c>
      <c r="I336">
        <v>154000</v>
      </c>
    </row>
    <row r="337" spans="1:6" x14ac:dyDescent="0.3">
      <c r="A337" s="111">
        <v>46142</v>
      </c>
      <c r="B337" t="s">
        <v>55</v>
      </c>
      <c r="C337" s="11">
        <v>590</v>
      </c>
      <c r="D337" s="11"/>
      <c r="F337" s="108" t="s">
        <v>108</v>
      </c>
    </row>
    <row r="338" spans="1:6" x14ac:dyDescent="0.3">
      <c r="A338" s="38">
        <v>46142</v>
      </c>
      <c r="B338" t="s">
        <v>219</v>
      </c>
      <c r="C338" s="11"/>
      <c r="D338" s="11">
        <v>12500</v>
      </c>
      <c r="E338" t="s">
        <v>391</v>
      </c>
      <c r="F338" s="108" t="s">
        <v>108</v>
      </c>
    </row>
    <row r="339" spans="1:6" x14ac:dyDescent="0.3">
      <c r="A339" s="111">
        <v>46142</v>
      </c>
      <c r="B339" t="s">
        <v>244</v>
      </c>
      <c r="C339" s="11">
        <v>12500</v>
      </c>
      <c r="D339" s="11"/>
      <c r="E339" t="s">
        <v>391</v>
      </c>
      <c r="F339" s="108" t="s">
        <v>108</v>
      </c>
    </row>
    <row r="340" spans="1:6" x14ac:dyDescent="0.3">
      <c r="A340" s="38">
        <v>46142</v>
      </c>
      <c r="B340" t="s">
        <v>386</v>
      </c>
      <c r="C340" s="11">
        <v>12000</v>
      </c>
      <c r="D340" s="11"/>
      <c r="E340" t="s">
        <v>480</v>
      </c>
      <c r="F340" s="108" t="s">
        <v>108</v>
      </c>
    </row>
    <row r="341" spans="1:6" x14ac:dyDescent="0.3">
      <c r="A341" s="111">
        <v>46142</v>
      </c>
      <c r="B341" t="s">
        <v>493</v>
      </c>
      <c r="C341" s="11"/>
      <c r="D341" s="11">
        <v>100000</v>
      </c>
      <c r="E341" t="s">
        <v>271</v>
      </c>
      <c r="F341" s="108" t="s">
        <v>108</v>
      </c>
    </row>
    <row r="342" spans="1:6" x14ac:dyDescent="0.3">
      <c r="A342" s="38">
        <v>46142</v>
      </c>
      <c r="B342" t="s">
        <v>222</v>
      </c>
      <c r="C342" s="11">
        <v>82600</v>
      </c>
      <c r="D342" s="11"/>
      <c r="E342" t="s">
        <v>240</v>
      </c>
      <c r="F342" s="108" t="s">
        <v>108</v>
      </c>
    </row>
    <row r="343" spans="1:6" x14ac:dyDescent="0.3">
      <c r="A343" s="38">
        <v>46142</v>
      </c>
      <c r="B343" t="s">
        <v>219</v>
      </c>
      <c r="C343" s="95"/>
      <c r="D343" s="95">
        <v>715000</v>
      </c>
      <c r="E343" t="s">
        <v>109</v>
      </c>
      <c r="F343" s="108" t="s">
        <v>108</v>
      </c>
    </row>
    <row r="344" spans="1:6" x14ac:dyDescent="0.3">
      <c r="A344" s="38">
        <v>46142</v>
      </c>
      <c r="B344" t="s">
        <v>253</v>
      </c>
      <c r="C344" s="11">
        <v>16000</v>
      </c>
      <c r="D344" s="11"/>
      <c r="E344" t="s">
        <v>423</v>
      </c>
      <c r="F344" s="108" t="s">
        <v>108</v>
      </c>
    </row>
    <row r="345" spans="1:6" x14ac:dyDescent="0.3">
      <c r="A345" s="38">
        <v>46143</v>
      </c>
      <c r="B345" t="s">
        <v>54</v>
      </c>
      <c r="C345" s="95">
        <v>1500</v>
      </c>
      <c r="D345" s="95"/>
      <c r="F345" s="108" t="s">
        <v>108</v>
      </c>
    </row>
    <row r="346" spans="1:6" x14ac:dyDescent="0.3">
      <c r="A346" s="38">
        <v>46143</v>
      </c>
      <c r="B346" t="s">
        <v>54</v>
      </c>
      <c r="C346" s="95">
        <v>14000</v>
      </c>
      <c r="D346" s="95"/>
      <c r="E346" t="s">
        <v>254</v>
      </c>
      <c r="F346" s="108" t="s">
        <v>108</v>
      </c>
    </row>
    <row r="347" spans="1:6" x14ac:dyDescent="0.3">
      <c r="A347" s="38">
        <v>46143</v>
      </c>
      <c r="B347" t="s">
        <v>244</v>
      </c>
      <c r="C347" s="95">
        <v>2000</v>
      </c>
      <c r="D347" s="95"/>
      <c r="E347" t="s">
        <v>481</v>
      </c>
      <c r="F347" s="108" t="s">
        <v>108</v>
      </c>
    </row>
    <row r="348" spans="1:6" x14ac:dyDescent="0.3">
      <c r="A348" s="38">
        <v>46143</v>
      </c>
      <c r="B348" t="s">
        <v>219</v>
      </c>
      <c r="C348" s="95"/>
      <c r="D348" s="95">
        <v>42000</v>
      </c>
      <c r="E348" t="s">
        <v>320</v>
      </c>
      <c r="F348" s="108" t="s">
        <v>108</v>
      </c>
    </row>
    <row r="349" spans="1:6" x14ac:dyDescent="0.3">
      <c r="A349" s="38">
        <v>46143</v>
      </c>
      <c r="B349" t="s">
        <v>386</v>
      </c>
      <c r="C349" s="95">
        <v>43000</v>
      </c>
      <c r="D349" s="95"/>
      <c r="E349" t="s">
        <v>482</v>
      </c>
      <c r="F349" s="108" t="s">
        <v>108</v>
      </c>
    </row>
    <row r="350" spans="1:6" x14ac:dyDescent="0.3">
      <c r="A350" s="38">
        <v>46143</v>
      </c>
      <c r="B350" t="s">
        <v>253</v>
      </c>
      <c r="C350" s="95">
        <v>15000</v>
      </c>
      <c r="D350" s="95"/>
      <c r="E350" t="s">
        <v>483</v>
      </c>
      <c r="F350" s="108" t="s">
        <v>108</v>
      </c>
    </row>
    <row r="351" spans="1:6" x14ac:dyDescent="0.3">
      <c r="A351" s="38">
        <v>46143</v>
      </c>
      <c r="B351" t="s">
        <v>219</v>
      </c>
      <c r="C351" s="95"/>
      <c r="D351" s="95">
        <v>30000</v>
      </c>
      <c r="E351" t="s">
        <v>484</v>
      </c>
      <c r="F351" s="108" t="s">
        <v>108</v>
      </c>
    </row>
    <row r="352" spans="1:6" x14ac:dyDescent="0.3">
      <c r="A352" s="38">
        <v>46143</v>
      </c>
      <c r="B352" t="s">
        <v>116</v>
      </c>
      <c r="C352" s="95">
        <v>39000</v>
      </c>
      <c r="D352" s="95"/>
      <c r="E352" t="s">
        <v>61</v>
      </c>
      <c r="F352" s="108" t="s">
        <v>108</v>
      </c>
    </row>
    <row r="353" spans="1:6" x14ac:dyDescent="0.3">
      <c r="A353" s="38">
        <v>46143</v>
      </c>
      <c r="B353" t="s">
        <v>54</v>
      </c>
      <c r="C353" s="11">
        <v>600</v>
      </c>
      <c r="D353" s="11"/>
      <c r="F353" s="108" t="s">
        <v>108</v>
      </c>
    </row>
    <row r="354" spans="1:6" x14ac:dyDescent="0.3">
      <c r="A354" s="38">
        <v>46143</v>
      </c>
      <c r="B354" t="s">
        <v>493</v>
      </c>
      <c r="C354" s="11"/>
      <c r="D354" s="11">
        <v>100000</v>
      </c>
      <c r="E354" t="s">
        <v>494</v>
      </c>
      <c r="F354" s="108" t="s">
        <v>108</v>
      </c>
    </row>
    <row r="355" spans="1:6" x14ac:dyDescent="0.3">
      <c r="A355" s="38">
        <v>46143</v>
      </c>
      <c r="B355" t="s">
        <v>222</v>
      </c>
      <c r="C355" s="11">
        <v>60900</v>
      </c>
      <c r="D355" s="11"/>
      <c r="E355" t="s">
        <v>240</v>
      </c>
      <c r="F355" s="108" t="s">
        <v>108</v>
      </c>
    </row>
    <row r="356" spans="1:6" x14ac:dyDescent="0.3">
      <c r="A356" s="38">
        <v>46144</v>
      </c>
      <c r="B356" t="s">
        <v>367</v>
      </c>
      <c r="C356" s="11"/>
      <c r="D356" s="11">
        <v>800000</v>
      </c>
      <c r="E356" t="s">
        <v>485</v>
      </c>
      <c r="F356" s="108" t="s">
        <v>108</v>
      </c>
    </row>
    <row r="357" spans="1:6" x14ac:dyDescent="0.3">
      <c r="A357" s="38">
        <v>46144</v>
      </c>
      <c r="B357" t="s">
        <v>55</v>
      </c>
      <c r="C357" s="11">
        <v>4500</v>
      </c>
      <c r="D357" s="11"/>
      <c r="E357" t="s">
        <v>426</v>
      </c>
      <c r="F357" s="108" t="s">
        <v>108</v>
      </c>
    </row>
    <row r="358" spans="1:6" x14ac:dyDescent="0.3">
      <c r="A358" s="111">
        <v>46144</v>
      </c>
      <c r="B358" t="s">
        <v>175</v>
      </c>
      <c r="C358" s="11">
        <v>56000</v>
      </c>
      <c r="D358" s="11"/>
      <c r="E358" t="s">
        <v>486</v>
      </c>
      <c r="F358" s="108" t="s">
        <v>108</v>
      </c>
    </row>
    <row r="359" spans="1:6" x14ac:dyDescent="0.3">
      <c r="A359" s="111">
        <v>46144</v>
      </c>
      <c r="B359" t="s">
        <v>116</v>
      </c>
      <c r="C359" s="11">
        <f>104000-56000</f>
        <v>48000</v>
      </c>
      <c r="D359" s="11"/>
      <c r="E359" t="s">
        <v>487</v>
      </c>
      <c r="F359" s="108" t="s">
        <v>108</v>
      </c>
    </row>
    <row r="360" spans="1:6" x14ac:dyDescent="0.3">
      <c r="A360" s="111">
        <v>46144</v>
      </c>
      <c r="B360" t="s">
        <v>116</v>
      </c>
      <c r="C360" s="95">
        <v>4400</v>
      </c>
      <c r="D360" s="95"/>
      <c r="E360" t="s">
        <v>489</v>
      </c>
      <c r="F360" s="108" t="s">
        <v>108</v>
      </c>
    </row>
    <row r="361" spans="1:6" x14ac:dyDescent="0.3">
      <c r="A361" s="111">
        <v>46144</v>
      </c>
      <c r="B361" t="s">
        <v>55</v>
      </c>
      <c r="C361" s="95">
        <v>10620</v>
      </c>
      <c r="D361" s="95"/>
      <c r="E361" t="s">
        <v>490</v>
      </c>
      <c r="F361" s="108" t="s">
        <v>108</v>
      </c>
    </row>
    <row r="362" spans="1:6" x14ac:dyDescent="0.3">
      <c r="A362" s="111">
        <v>46144</v>
      </c>
      <c r="B362" t="s">
        <v>222</v>
      </c>
      <c r="C362" s="95">
        <v>200500</v>
      </c>
      <c r="D362" s="95"/>
      <c r="E362" t="s">
        <v>491</v>
      </c>
      <c r="F362" s="108" t="s">
        <v>108</v>
      </c>
    </row>
    <row r="363" spans="1:6" x14ac:dyDescent="0.3">
      <c r="A363" s="111">
        <v>46144</v>
      </c>
      <c r="B363" t="s">
        <v>222</v>
      </c>
      <c r="C363" s="95">
        <v>4000</v>
      </c>
      <c r="D363" s="95"/>
      <c r="E363" t="s">
        <v>265</v>
      </c>
      <c r="F363" s="108" t="s">
        <v>108</v>
      </c>
    </row>
    <row r="364" spans="1:6" x14ac:dyDescent="0.3">
      <c r="A364" s="111">
        <v>46144</v>
      </c>
      <c r="B364" t="s">
        <v>476</v>
      </c>
      <c r="C364" s="95">
        <v>1000</v>
      </c>
      <c r="D364" s="95"/>
      <c r="E364" t="s">
        <v>265</v>
      </c>
      <c r="F364" s="108" t="s">
        <v>108</v>
      </c>
    </row>
    <row r="365" spans="1:6" x14ac:dyDescent="0.3">
      <c r="A365" s="38">
        <v>46144</v>
      </c>
      <c r="B365" t="s">
        <v>425</v>
      </c>
      <c r="C365" s="95">
        <v>1000</v>
      </c>
      <c r="D365" s="95"/>
      <c r="E365" t="s">
        <v>265</v>
      </c>
      <c r="F365" s="108" t="s">
        <v>108</v>
      </c>
    </row>
    <row r="366" spans="1:6" x14ac:dyDescent="0.3">
      <c r="A366" s="38">
        <v>46144</v>
      </c>
      <c r="B366" t="s">
        <v>257</v>
      </c>
      <c r="C366" s="95">
        <v>2000</v>
      </c>
      <c r="D366" s="95"/>
      <c r="E366" t="s">
        <v>265</v>
      </c>
      <c r="F366" s="108" t="s">
        <v>108</v>
      </c>
    </row>
    <row r="367" spans="1:6" x14ac:dyDescent="0.3">
      <c r="A367" s="38">
        <v>46144</v>
      </c>
      <c r="B367" t="s">
        <v>253</v>
      </c>
      <c r="C367" s="95">
        <v>27600</v>
      </c>
      <c r="D367" s="95"/>
      <c r="E367" t="s">
        <v>288</v>
      </c>
      <c r="F367" s="108" t="s">
        <v>108</v>
      </c>
    </row>
    <row r="368" spans="1:6" x14ac:dyDescent="0.3">
      <c r="A368" s="111">
        <v>46144</v>
      </c>
      <c r="B368" t="s">
        <v>253</v>
      </c>
      <c r="C368" s="95">
        <v>1019630</v>
      </c>
      <c r="D368" s="95"/>
      <c r="E368" t="s">
        <v>268</v>
      </c>
      <c r="F368" s="108" t="s">
        <v>108</v>
      </c>
    </row>
    <row r="369" spans="1:6" x14ac:dyDescent="0.3">
      <c r="A369" s="111">
        <v>46144</v>
      </c>
      <c r="B369" t="s">
        <v>219</v>
      </c>
      <c r="C369" s="95">
        <v>500000</v>
      </c>
      <c r="D369" s="95"/>
      <c r="E369" t="s">
        <v>492</v>
      </c>
      <c r="F369" s="108" t="s">
        <v>108</v>
      </c>
    </row>
    <row r="370" spans="1:6" x14ac:dyDescent="0.3">
      <c r="A370" s="111">
        <v>46144</v>
      </c>
      <c r="B370" t="s">
        <v>219</v>
      </c>
      <c r="C370" s="95"/>
      <c r="D370" s="95">
        <v>400000</v>
      </c>
      <c r="E370" t="s">
        <v>109</v>
      </c>
      <c r="F370" s="108" t="s">
        <v>108</v>
      </c>
    </row>
    <row r="371" spans="1:6" x14ac:dyDescent="0.3">
      <c r="A371" s="111">
        <v>46145</v>
      </c>
      <c r="B371" t="s">
        <v>55</v>
      </c>
      <c r="C371" s="95">
        <v>1160</v>
      </c>
      <c r="D371" s="95"/>
      <c r="E371" t="s">
        <v>272</v>
      </c>
      <c r="F371" s="108" t="s">
        <v>108</v>
      </c>
    </row>
    <row r="372" spans="1:6" x14ac:dyDescent="0.3">
      <c r="A372" s="111">
        <v>46145</v>
      </c>
      <c r="B372" t="s">
        <v>55</v>
      </c>
      <c r="C372" s="95">
        <v>10200</v>
      </c>
      <c r="D372" s="95"/>
      <c r="E372" t="s">
        <v>426</v>
      </c>
      <c r="F372" s="108" t="s">
        <v>108</v>
      </c>
    </row>
    <row r="373" spans="1:6" x14ac:dyDescent="0.3">
      <c r="A373" s="111">
        <v>46145</v>
      </c>
      <c r="B373" t="s">
        <v>219</v>
      </c>
      <c r="C373" s="95"/>
      <c r="D373" s="95">
        <v>10200</v>
      </c>
      <c r="E373" t="s">
        <v>426</v>
      </c>
      <c r="F373" s="108" t="s">
        <v>108</v>
      </c>
    </row>
    <row r="374" spans="1:6" x14ac:dyDescent="0.3">
      <c r="A374" s="38">
        <v>46145</v>
      </c>
      <c r="B374" t="s">
        <v>55</v>
      </c>
      <c r="C374" s="95">
        <v>10000</v>
      </c>
      <c r="D374" s="95"/>
      <c r="E374" t="s">
        <v>259</v>
      </c>
      <c r="F374" s="108" t="s">
        <v>108</v>
      </c>
    </row>
    <row r="375" spans="1:6" x14ac:dyDescent="0.3">
      <c r="A375" s="38">
        <v>46145</v>
      </c>
      <c r="B375" t="s">
        <v>219</v>
      </c>
      <c r="C375" s="95"/>
      <c r="D375" s="95">
        <v>10000</v>
      </c>
      <c r="E375" t="s">
        <v>259</v>
      </c>
      <c r="F375" s="108" t="s">
        <v>108</v>
      </c>
    </row>
    <row r="376" spans="1:6" x14ac:dyDescent="0.3">
      <c r="A376" s="38">
        <v>46145</v>
      </c>
      <c r="B376" t="s">
        <v>211</v>
      </c>
      <c r="C376" s="95">
        <f>1970+780+780+1300+780</f>
        <v>5610</v>
      </c>
      <c r="D376" s="95"/>
      <c r="F376" s="108" t="s">
        <v>108</v>
      </c>
    </row>
    <row r="377" spans="1:6" x14ac:dyDescent="0.3">
      <c r="A377" s="38">
        <v>46146</v>
      </c>
      <c r="B377" t="s">
        <v>211</v>
      </c>
      <c r="C377" s="95">
        <f>750+1860+760</f>
        <v>3370</v>
      </c>
      <c r="D377" s="95"/>
      <c r="F377" s="108" t="s">
        <v>108</v>
      </c>
    </row>
    <row r="378" spans="1:6" x14ac:dyDescent="0.3">
      <c r="A378" s="38">
        <v>46146</v>
      </c>
      <c r="B378" t="s">
        <v>298</v>
      </c>
      <c r="C378" s="11">
        <v>5000</v>
      </c>
      <c r="D378" s="11"/>
      <c r="E378" t="s">
        <v>347</v>
      </c>
      <c r="F378" s="108" t="s">
        <v>108</v>
      </c>
    </row>
    <row r="379" spans="1:6" x14ac:dyDescent="0.3">
      <c r="A379" s="38">
        <v>46146</v>
      </c>
      <c r="B379" t="s">
        <v>55</v>
      </c>
      <c r="C379" s="11">
        <v>52160</v>
      </c>
      <c r="D379" s="11"/>
      <c r="E379" t="s">
        <v>259</v>
      </c>
      <c r="F379" s="108" t="s">
        <v>108</v>
      </c>
    </row>
    <row r="380" spans="1:6" x14ac:dyDescent="0.3">
      <c r="A380" s="38">
        <v>46146</v>
      </c>
      <c r="B380" t="s">
        <v>54</v>
      </c>
      <c r="C380" s="11">
        <v>2000</v>
      </c>
      <c r="D380" s="11"/>
      <c r="E380" t="s">
        <v>495</v>
      </c>
      <c r="F380" s="108" t="s">
        <v>108</v>
      </c>
    </row>
    <row r="381" spans="1:6" x14ac:dyDescent="0.3">
      <c r="A381" s="38">
        <v>46146</v>
      </c>
      <c r="B381" t="s">
        <v>54</v>
      </c>
      <c r="C381" s="11">
        <v>3000</v>
      </c>
      <c r="D381" s="11"/>
      <c r="E381" t="s">
        <v>496</v>
      </c>
      <c r="F381" s="108" t="s">
        <v>108</v>
      </c>
    </row>
    <row r="382" spans="1:6" x14ac:dyDescent="0.3">
      <c r="A382" s="38">
        <v>46146</v>
      </c>
      <c r="B382" t="s">
        <v>54</v>
      </c>
      <c r="C382" s="11">
        <v>5000</v>
      </c>
      <c r="D382" s="11"/>
      <c r="E382" t="s">
        <v>463</v>
      </c>
      <c r="F382" s="108" t="s">
        <v>108</v>
      </c>
    </row>
    <row r="383" spans="1:6" x14ac:dyDescent="0.3">
      <c r="A383" s="111">
        <v>46146</v>
      </c>
      <c r="B383" t="s">
        <v>55</v>
      </c>
      <c r="C383" s="11">
        <v>10000</v>
      </c>
      <c r="D383" s="11"/>
      <c r="E383" t="s">
        <v>497</v>
      </c>
      <c r="F383" s="108" t="s">
        <v>108</v>
      </c>
    </row>
    <row r="384" spans="1:6" x14ac:dyDescent="0.3">
      <c r="A384" s="38">
        <v>46146</v>
      </c>
      <c r="B384" t="s">
        <v>35</v>
      </c>
      <c r="C384" s="11"/>
      <c r="D384" s="11">
        <v>178000</v>
      </c>
      <c r="E384" t="s">
        <v>109</v>
      </c>
      <c r="F384" s="108" t="s">
        <v>108</v>
      </c>
    </row>
    <row r="385" spans="1:6" x14ac:dyDescent="0.3">
      <c r="A385" s="111">
        <v>46146</v>
      </c>
      <c r="B385" t="s">
        <v>9</v>
      </c>
      <c r="C385" s="11"/>
      <c r="D385" s="11">
        <v>100000</v>
      </c>
      <c r="E385" t="s">
        <v>498</v>
      </c>
      <c r="F385" s="108" t="s">
        <v>108</v>
      </c>
    </row>
    <row r="386" spans="1:6" x14ac:dyDescent="0.3">
      <c r="A386" s="38">
        <v>46146</v>
      </c>
      <c r="B386" t="s">
        <v>386</v>
      </c>
      <c r="C386" s="11">
        <v>9000</v>
      </c>
      <c r="D386" s="11"/>
      <c r="E386" t="s">
        <v>480</v>
      </c>
      <c r="F386" s="108" t="s">
        <v>108</v>
      </c>
    </row>
    <row r="387" spans="1:6" x14ac:dyDescent="0.3">
      <c r="A387" s="111">
        <v>46146</v>
      </c>
      <c r="B387" t="s">
        <v>257</v>
      </c>
      <c r="C387" s="11">
        <v>150000</v>
      </c>
      <c r="D387" s="11"/>
      <c r="E387" t="s">
        <v>499</v>
      </c>
      <c r="F387" s="108" t="s">
        <v>108</v>
      </c>
    </row>
    <row r="388" spans="1:6" x14ac:dyDescent="0.3">
      <c r="A388" s="38">
        <v>46146</v>
      </c>
      <c r="B388" t="s">
        <v>357</v>
      </c>
      <c r="C388" s="11">
        <v>18000</v>
      </c>
      <c r="D388" s="11"/>
      <c r="E388" t="s">
        <v>113</v>
      </c>
      <c r="F388" s="108" t="s">
        <v>108</v>
      </c>
    </row>
    <row r="389" spans="1:6" x14ac:dyDescent="0.3">
      <c r="A389" s="111">
        <v>46146</v>
      </c>
      <c r="B389" t="s">
        <v>116</v>
      </c>
      <c r="C389" s="11">
        <v>39000</v>
      </c>
      <c r="D389" s="11"/>
      <c r="E389" t="s">
        <v>316</v>
      </c>
      <c r="F389" s="108" t="s">
        <v>108</v>
      </c>
    </row>
    <row r="390" spans="1:6" x14ac:dyDescent="0.3">
      <c r="A390" s="38">
        <v>46146</v>
      </c>
      <c r="B390" t="s">
        <v>54</v>
      </c>
      <c r="C390" s="95">
        <v>700</v>
      </c>
      <c r="D390" s="95"/>
      <c r="E390" t="s">
        <v>289</v>
      </c>
      <c r="F390" s="108" t="s">
        <v>108</v>
      </c>
    </row>
    <row r="391" spans="1:6" x14ac:dyDescent="0.3">
      <c r="A391" s="111">
        <v>46146</v>
      </c>
      <c r="B391" t="s">
        <v>191</v>
      </c>
      <c r="C391" s="11"/>
      <c r="D391" s="11">
        <v>100000</v>
      </c>
      <c r="E391" t="s">
        <v>271</v>
      </c>
      <c r="F391" s="108" t="s">
        <v>108</v>
      </c>
    </row>
    <row r="392" spans="1:6" x14ac:dyDescent="0.3">
      <c r="A392" s="38">
        <v>46146</v>
      </c>
      <c r="B392" t="s">
        <v>55</v>
      </c>
      <c r="C392" s="11">
        <v>24080</v>
      </c>
      <c r="D392" s="11"/>
      <c r="E392" t="s">
        <v>259</v>
      </c>
      <c r="F392" s="108" t="s">
        <v>108</v>
      </c>
    </row>
    <row r="393" spans="1:6" x14ac:dyDescent="0.3">
      <c r="A393" s="111">
        <v>46146</v>
      </c>
      <c r="B393" t="s">
        <v>517</v>
      </c>
      <c r="C393" s="11">
        <v>25000</v>
      </c>
      <c r="D393" s="11"/>
      <c r="E393" t="s">
        <v>240</v>
      </c>
      <c r="F393" s="108" t="s">
        <v>108</v>
      </c>
    </row>
    <row r="394" spans="1:6" x14ac:dyDescent="0.3">
      <c r="A394" s="38">
        <v>46146</v>
      </c>
      <c r="B394" t="s">
        <v>517</v>
      </c>
      <c r="C394" s="11">
        <v>24000</v>
      </c>
      <c r="D394" s="11"/>
      <c r="E394" t="s">
        <v>240</v>
      </c>
      <c r="F394" s="108" t="s">
        <v>108</v>
      </c>
    </row>
    <row r="395" spans="1:6" x14ac:dyDescent="0.3">
      <c r="A395" s="111">
        <v>46147</v>
      </c>
      <c r="B395" t="s">
        <v>222</v>
      </c>
      <c r="C395" s="11">
        <v>105000</v>
      </c>
      <c r="D395" s="11"/>
      <c r="E395" t="s">
        <v>240</v>
      </c>
      <c r="F395" s="108" t="s">
        <v>108</v>
      </c>
    </row>
    <row r="396" spans="1:6" x14ac:dyDescent="0.3">
      <c r="A396" s="38">
        <v>46147</v>
      </c>
      <c r="B396" t="s">
        <v>456</v>
      </c>
      <c r="C396" s="11">
        <v>32000</v>
      </c>
      <c r="D396" s="11"/>
      <c r="F396" s="108" t="s">
        <v>108</v>
      </c>
    </row>
    <row r="397" spans="1:6" x14ac:dyDescent="0.3">
      <c r="A397" s="111">
        <v>46147</v>
      </c>
      <c r="B397" t="s">
        <v>191</v>
      </c>
      <c r="C397" s="11"/>
      <c r="D397" s="11">
        <v>50000</v>
      </c>
      <c r="F397" s="108" t="s">
        <v>108</v>
      </c>
    </row>
    <row r="398" spans="1:6" x14ac:dyDescent="0.3">
      <c r="A398" s="111">
        <v>46147</v>
      </c>
      <c r="B398" t="s">
        <v>244</v>
      </c>
      <c r="C398" s="11">
        <v>3000</v>
      </c>
      <c r="D398" s="11"/>
      <c r="F398" s="108" t="s">
        <v>108</v>
      </c>
    </row>
    <row r="399" spans="1:6" x14ac:dyDescent="0.3">
      <c r="A399" s="38">
        <v>46147</v>
      </c>
      <c r="B399" t="s">
        <v>55</v>
      </c>
      <c r="C399" s="95">
        <v>300</v>
      </c>
      <c r="D399" s="95"/>
      <c r="E399" t="s">
        <v>518</v>
      </c>
      <c r="F399" s="108" t="s">
        <v>108</v>
      </c>
    </row>
    <row r="400" spans="1:6" x14ac:dyDescent="0.3">
      <c r="A400" s="111">
        <v>46147</v>
      </c>
      <c r="B400" t="s">
        <v>54</v>
      </c>
      <c r="C400" s="95">
        <v>1606</v>
      </c>
      <c r="D400" s="95"/>
      <c r="F400" s="108" t="s">
        <v>108</v>
      </c>
    </row>
    <row r="401" spans="1:15" x14ac:dyDescent="0.3">
      <c r="A401" s="111">
        <v>46147</v>
      </c>
      <c r="B401" t="s">
        <v>493</v>
      </c>
      <c r="C401" s="95"/>
      <c r="D401" s="95">
        <v>65000</v>
      </c>
      <c r="F401" s="108" t="s">
        <v>108</v>
      </c>
    </row>
    <row r="402" spans="1:15" x14ac:dyDescent="0.3">
      <c r="A402" s="111">
        <v>46147</v>
      </c>
      <c r="B402" t="s">
        <v>55</v>
      </c>
      <c r="C402" s="95">
        <v>1180</v>
      </c>
      <c r="D402" s="95"/>
      <c r="F402" s="108" t="s">
        <v>108</v>
      </c>
    </row>
    <row r="403" spans="1:15" x14ac:dyDescent="0.3">
      <c r="A403" s="111">
        <v>46147</v>
      </c>
      <c r="B403" t="s">
        <v>244</v>
      </c>
      <c r="C403" s="95">
        <v>15000</v>
      </c>
      <c r="D403" s="95"/>
      <c r="E403" t="s">
        <v>519</v>
      </c>
      <c r="F403" s="108" t="s">
        <v>108</v>
      </c>
    </row>
    <row r="404" spans="1:15" x14ac:dyDescent="0.3">
      <c r="A404" s="38">
        <v>46147</v>
      </c>
      <c r="B404" t="s">
        <v>525</v>
      </c>
      <c r="C404" s="95">
        <v>3600</v>
      </c>
      <c r="D404" s="95"/>
      <c r="F404" s="108" t="s">
        <v>108</v>
      </c>
    </row>
    <row r="405" spans="1:15" x14ac:dyDescent="0.3">
      <c r="A405" s="38">
        <v>46147</v>
      </c>
      <c r="B405" t="s">
        <v>54</v>
      </c>
      <c r="C405" s="95">
        <v>600</v>
      </c>
      <c r="D405" s="95"/>
      <c r="F405" s="108" t="s">
        <v>108</v>
      </c>
    </row>
    <row r="406" spans="1:15" x14ac:dyDescent="0.3">
      <c r="A406" s="38">
        <v>46147</v>
      </c>
      <c r="B406" t="s">
        <v>244</v>
      </c>
      <c r="C406" s="95">
        <f>11000-3600-600</f>
        <v>6800</v>
      </c>
      <c r="D406" s="95"/>
      <c r="E406" t="s">
        <v>526</v>
      </c>
      <c r="F406" s="108" t="s">
        <v>108</v>
      </c>
    </row>
    <row r="407" spans="1:15" x14ac:dyDescent="0.3">
      <c r="A407" s="38">
        <v>46148</v>
      </c>
      <c r="B407" t="s">
        <v>35</v>
      </c>
      <c r="C407" s="95"/>
      <c r="D407" s="95">
        <v>100000</v>
      </c>
      <c r="F407" s="108" t="s">
        <v>108</v>
      </c>
    </row>
    <row r="408" spans="1:15" x14ac:dyDescent="0.3">
      <c r="A408" s="38">
        <v>46148</v>
      </c>
      <c r="B408" t="s">
        <v>116</v>
      </c>
      <c r="C408" s="95">
        <v>58500</v>
      </c>
      <c r="D408" s="95"/>
      <c r="E408" t="s">
        <v>520</v>
      </c>
      <c r="F408" s="108" t="s">
        <v>108</v>
      </c>
    </row>
    <row r="409" spans="1:15" x14ac:dyDescent="0.3">
      <c r="A409" s="38">
        <v>46148</v>
      </c>
      <c r="B409" t="s">
        <v>55</v>
      </c>
      <c r="C409" s="95">
        <v>1200</v>
      </c>
      <c r="D409" s="95"/>
      <c r="F409" s="108" t="s">
        <v>108</v>
      </c>
    </row>
    <row r="410" spans="1:15" x14ac:dyDescent="0.3">
      <c r="A410" s="38">
        <v>46148</v>
      </c>
      <c r="B410" t="s">
        <v>55</v>
      </c>
      <c r="C410" s="95">
        <v>4280</v>
      </c>
      <c r="D410" s="95"/>
      <c r="F410" s="108" t="s">
        <v>108</v>
      </c>
    </row>
    <row r="411" spans="1:15" x14ac:dyDescent="0.3">
      <c r="A411" s="38">
        <v>46148</v>
      </c>
      <c r="B411" t="s">
        <v>244</v>
      </c>
      <c r="C411" s="95">
        <v>550</v>
      </c>
      <c r="D411" s="95"/>
      <c r="E411" t="s">
        <v>366</v>
      </c>
      <c r="F411" s="108" t="s">
        <v>108</v>
      </c>
    </row>
    <row r="412" spans="1:15" x14ac:dyDescent="0.3">
      <c r="A412" s="38">
        <v>46148</v>
      </c>
      <c r="B412" t="s">
        <v>493</v>
      </c>
      <c r="C412" s="95"/>
      <c r="D412" s="95">
        <v>70000</v>
      </c>
      <c r="E412" t="s">
        <v>109</v>
      </c>
      <c r="F412" s="108" t="s">
        <v>108</v>
      </c>
    </row>
    <row r="413" spans="1:15" x14ac:dyDescent="0.3">
      <c r="A413" s="38">
        <v>46148</v>
      </c>
      <c r="B413" t="s">
        <v>55</v>
      </c>
      <c r="C413" s="95">
        <v>2550</v>
      </c>
      <c r="D413" s="95"/>
      <c r="E413" t="s">
        <v>521</v>
      </c>
      <c r="F413" s="108" t="s">
        <v>108</v>
      </c>
    </row>
    <row r="414" spans="1:15" x14ac:dyDescent="0.3">
      <c r="A414" s="38">
        <v>46148</v>
      </c>
      <c r="B414" t="s">
        <v>244</v>
      </c>
      <c r="C414" s="95">
        <v>2600</v>
      </c>
      <c r="D414" s="95"/>
      <c r="E414" t="s">
        <v>522</v>
      </c>
      <c r="F414" s="108" t="s">
        <v>108</v>
      </c>
    </row>
    <row r="415" spans="1:15" x14ac:dyDescent="0.3">
      <c r="A415" s="38">
        <v>46148</v>
      </c>
      <c r="B415" t="s">
        <v>476</v>
      </c>
      <c r="C415" s="95">
        <v>29500</v>
      </c>
      <c r="D415" s="95"/>
      <c r="E415" t="s">
        <v>240</v>
      </c>
      <c r="F415" s="108" t="s">
        <v>108</v>
      </c>
      <c r="J415">
        <v>30000</v>
      </c>
      <c r="L415">
        <v>10000</v>
      </c>
      <c r="M415">
        <v>16300</v>
      </c>
      <c r="O415">
        <v>5100</v>
      </c>
    </row>
    <row r="416" spans="1:15" x14ac:dyDescent="0.3">
      <c r="A416" s="38">
        <v>46148</v>
      </c>
      <c r="B416" t="s">
        <v>517</v>
      </c>
      <c r="C416" s="95">
        <v>28000</v>
      </c>
      <c r="D416" s="95"/>
      <c r="E416" t="s">
        <v>240</v>
      </c>
      <c r="F416" s="108" t="s">
        <v>108</v>
      </c>
      <c r="J416">
        <v>119760</v>
      </c>
      <c r="L416">
        <v>3200</v>
      </c>
      <c r="M416">
        <v>12800</v>
      </c>
      <c r="O416">
        <v>12300</v>
      </c>
    </row>
    <row r="417" spans="1:15" x14ac:dyDescent="0.3">
      <c r="A417" s="38">
        <v>46148</v>
      </c>
      <c r="B417" t="s">
        <v>219</v>
      </c>
      <c r="C417" s="95"/>
      <c r="D417" s="95">
        <v>56632</v>
      </c>
      <c r="E417" t="s">
        <v>285</v>
      </c>
      <c r="F417" s="108" t="s">
        <v>108</v>
      </c>
      <c r="J417">
        <v>35000</v>
      </c>
      <c r="L417">
        <v>22800</v>
      </c>
      <c r="M417">
        <v>22650</v>
      </c>
      <c r="O417">
        <v>10810</v>
      </c>
    </row>
    <row r="418" spans="1:15" x14ac:dyDescent="0.3">
      <c r="A418" s="38">
        <v>46148</v>
      </c>
      <c r="B418" t="s">
        <v>219</v>
      </c>
      <c r="C418" s="95"/>
      <c r="D418" s="95">
        <v>100000</v>
      </c>
      <c r="E418" t="s">
        <v>523</v>
      </c>
      <c r="F418" s="108" t="s">
        <v>108</v>
      </c>
      <c r="J418">
        <v>29600</v>
      </c>
      <c r="L418">
        <v>29600</v>
      </c>
      <c r="M418">
        <v>22800</v>
      </c>
      <c r="O418">
        <v>12000</v>
      </c>
    </row>
    <row r="419" spans="1:15" x14ac:dyDescent="0.3">
      <c r="A419" s="38">
        <v>46148</v>
      </c>
      <c r="B419" t="s">
        <v>517</v>
      </c>
      <c r="C419" s="95">
        <v>150000</v>
      </c>
      <c r="D419" s="95"/>
      <c r="E419" t="s">
        <v>524</v>
      </c>
      <c r="F419" s="108" t="s">
        <v>108</v>
      </c>
      <c r="J419">
        <v>46600</v>
      </c>
      <c r="L419">
        <v>46600</v>
      </c>
      <c r="M419">
        <v>15000</v>
      </c>
      <c r="O419">
        <v>11650</v>
      </c>
    </row>
    <row r="420" spans="1:15" x14ac:dyDescent="0.3">
      <c r="A420" s="38">
        <v>46148</v>
      </c>
      <c r="B420" t="s">
        <v>269</v>
      </c>
      <c r="C420" s="95">
        <v>5000</v>
      </c>
      <c r="D420" s="95"/>
      <c r="E420" t="s">
        <v>252</v>
      </c>
      <c r="F420" s="108" t="s">
        <v>108</v>
      </c>
      <c r="J420">
        <v>22800</v>
      </c>
      <c r="L420">
        <v>20800</v>
      </c>
      <c r="M420">
        <v>18450</v>
      </c>
      <c r="O420">
        <v>16300</v>
      </c>
    </row>
    <row r="421" spans="1:15" x14ac:dyDescent="0.3">
      <c r="A421" s="38">
        <v>46148</v>
      </c>
      <c r="B421" t="s">
        <v>493</v>
      </c>
      <c r="C421" s="95"/>
      <c r="D421" s="95">
        <v>30000</v>
      </c>
      <c r="F421" s="108" t="s">
        <v>108</v>
      </c>
      <c r="J421">
        <v>3200</v>
      </c>
      <c r="L421">
        <v>20000</v>
      </c>
      <c r="M421">
        <v>24600</v>
      </c>
      <c r="O421">
        <v>17300</v>
      </c>
    </row>
    <row r="422" spans="1:15" x14ac:dyDescent="0.3">
      <c r="A422" s="38">
        <v>46148</v>
      </c>
      <c r="B422" t="s">
        <v>219</v>
      </c>
      <c r="C422" s="95">
        <v>30000</v>
      </c>
      <c r="D422" s="95"/>
      <c r="E422" t="s">
        <v>529</v>
      </c>
      <c r="F422" s="108" t="s">
        <v>108</v>
      </c>
      <c r="J422">
        <v>11640</v>
      </c>
      <c r="L422">
        <v>80000</v>
      </c>
      <c r="M422">
        <v>15000</v>
      </c>
      <c r="O422">
        <v>17460</v>
      </c>
    </row>
    <row r="423" spans="1:15" x14ac:dyDescent="0.3">
      <c r="A423" s="38">
        <v>46149</v>
      </c>
      <c r="B423" t="s">
        <v>219</v>
      </c>
      <c r="C423" s="95"/>
      <c r="D423" s="95">
        <v>55000</v>
      </c>
      <c r="F423" s="108" t="s">
        <v>108</v>
      </c>
      <c r="J423">
        <v>17500</v>
      </c>
      <c r="L423">
        <v>30000</v>
      </c>
      <c r="M423">
        <v>12000</v>
      </c>
      <c r="O423">
        <v>18450</v>
      </c>
    </row>
    <row r="424" spans="1:15" x14ac:dyDescent="0.3">
      <c r="A424" s="38">
        <v>46149</v>
      </c>
      <c r="B424" t="s">
        <v>527</v>
      </c>
      <c r="C424" s="95">
        <v>55000</v>
      </c>
      <c r="D424" s="95"/>
      <c r="E424" t="s">
        <v>215</v>
      </c>
      <c r="F424" s="108" t="s">
        <v>108</v>
      </c>
      <c r="J424">
        <v>20800</v>
      </c>
      <c r="L424">
        <v>15600</v>
      </c>
      <c r="M424">
        <v>18300</v>
      </c>
      <c r="O424">
        <v>12800</v>
      </c>
    </row>
    <row r="425" spans="1:15" x14ac:dyDescent="0.3">
      <c r="A425" s="38">
        <v>46149</v>
      </c>
      <c r="B425" t="s">
        <v>386</v>
      </c>
      <c r="C425" s="95">
        <v>9000</v>
      </c>
      <c r="D425" s="95"/>
      <c r="E425" t="s">
        <v>528</v>
      </c>
      <c r="F425" s="108" t="s">
        <v>108</v>
      </c>
      <c r="J425">
        <v>15600</v>
      </c>
      <c r="L425">
        <v>15000</v>
      </c>
      <c r="M425">
        <v>20000</v>
      </c>
      <c r="O425">
        <v>24600</v>
      </c>
    </row>
    <row r="426" spans="1:15" x14ac:dyDescent="0.3">
      <c r="A426" s="38">
        <v>46149</v>
      </c>
      <c r="B426" t="s">
        <v>219</v>
      </c>
      <c r="C426" s="95"/>
      <c r="D426" s="95">
        <v>50000</v>
      </c>
      <c r="E426" t="s">
        <v>532</v>
      </c>
      <c r="F426" s="108" t="s">
        <v>108</v>
      </c>
      <c r="J426">
        <v>11000</v>
      </c>
      <c r="L426">
        <v>14300</v>
      </c>
      <c r="M426">
        <v>20000</v>
      </c>
      <c r="O426">
        <v>22800</v>
      </c>
    </row>
    <row r="427" spans="1:15" x14ac:dyDescent="0.3">
      <c r="A427" s="38">
        <v>46149</v>
      </c>
      <c r="B427" t="s">
        <v>517</v>
      </c>
      <c r="C427" s="11">
        <v>24500</v>
      </c>
      <c r="D427" s="11"/>
      <c r="E427" t="s">
        <v>240</v>
      </c>
      <c r="F427" s="108" t="s">
        <v>108</v>
      </c>
      <c r="J427">
        <v>17000</v>
      </c>
      <c r="L427">
        <v>16500</v>
      </c>
      <c r="M427">
        <v>38400</v>
      </c>
      <c r="O427">
        <v>20000</v>
      </c>
    </row>
    <row r="428" spans="1:15" x14ac:dyDescent="0.3">
      <c r="A428" s="38">
        <v>46149</v>
      </c>
      <c r="B428" t="s">
        <v>517</v>
      </c>
      <c r="C428" s="11">
        <v>25000</v>
      </c>
      <c r="D428" s="11"/>
      <c r="E428" t="s">
        <v>240</v>
      </c>
      <c r="F428" s="108" t="s">
        <v>108</v>
      </c>
      <c r="J428">
        <v>10000</v>
      </c>
      <c r="L428">
        <v>17500</v>
      </c>
      <c r="M428">
        <v>12300</v>
      </c>
      <c r="O428">
        <v>18300</v>
      </c>
    </row>
    <row r="429" spans="1:15" x14ac:dyDescent="0.3">
      <c r="A429" s="38">
        <v>46149</v>
      </c>
      <c r="B429" t="s">
        <v>211</v>
      </c>
      <c r="C429" s="11">
        <v>500</v>
      </c>
      <c r="D429" s="11"/>
      <c r="F429" s="108" t="s">
        <v>108</v>
      </c>
      <c r="J429">
        <v>80000</v>
      </c>
      <c r="L429">
        <v>17500</v>
      </c>
      <c r="M429">
        <v>17300</v>
      </c>
      <c r="O429">
        <v>15000</v>
      </c>
    </row>
    <row r="430" spans="1:15" x14ac:dyDescent="0.3">
      <c r="A430" s="38">
        <v>46149</v>
      </c>
      <c r="B430" t="s">
        <v>219</v>
      </c>
      <c r="C430" s="11"/>
      <c r="D430" s="11">
        <v>20000</v>
      </c>
      <c r="E430" t="s">
        <v>263</v>
      </c>
      <c r="F430" s="108" t="s">
        <v>108</v>
      </c>
      <c r="J430">
        <v>20000</v>
      </c>
      <c r="L430">
        <v>17500</v>
      </c>
      <c r="M430">
        <v>5100</v>
      </c>
      <c r="O430">
        <v>11000</v>
      </c>
    </row>
    <row r="431" spans="1:15" x14ac:dyDescent="0.3">
      <c r="A431" s="38">
        <v>46149</v>
      </c>
      <c r="B431" t="s">
        <v>269</v>
      </c>
      <c r="C431" s="11">
        <v>25000</v>
      </c>
      <c r="D431" s="11"/>
      <c r="E431" t="s">
        <v>406</v>
      </c>
      <c r="F431" s="108" t="s">
        <v>108</v>
      </c>
      <c r="L431">
        <v>3300</v>
      </c>
      <c r="M431">
        <v>8350</v>
      </c>
      <c r="O431">
        <v>35000</v>
      </c>
    </row>
    <row r="432" spans="1:15" x14ac:dyDescent="0.3">
      <c r="A432" s="111">
        <v>46149</v>
      </c>
      <c r="B432" t="s">
        <v>357</v>
      </c>
      <c r="C432" s="95">
        <v>2200</v>
      </c>
      <c r="D432" s="95"/>
      <c r="F432" s="108" t="s">
        <v>108</v>
      </c>
      <c r="L432">
        <v>5830</v>
      </c>
      <c r="M432">
        <v>9850</v>
      </c>
      <c r="O432">
        <v>7000</v>
      </c>
    </row>
    <row r="433" spans="1:15" x14ac:dyDescent="0.3">
      <c r="A433" s="111">
        <v>46150</v>
      </c>
      <c r="B433" t="s">
        <v>55</v>
      </c>
      <c r="C433" s="11">
        <v>1600</v>
      </c>
      <c r="D433" s="11"/>
      <c r="F433" s="108" t="s">
        <v>108</v>
      </c>
      <c r="L433">
        <v>7000</v>
      </c>
      <c r="M433">
        <v>20000</v>
      </c>
      <c r="O433">
        <v>5850</v>
      </c>
    </row>
    <row r="434" spans="1:15" x14ac:dyDescent="0.3">
      <c r="A434" s="111">
        <v>46150</v>
      </c>
      <c r="B434" t="s">
        <v>219</v>
      </c>
      <c r="C434" s="95"/>
      <c r="D434" s="95">
        <v>60000</v>
      </c>
      <c r="E434" t="s">
        <v>533</v>
      </c>
      <c r="F434" s="108" t="s">
        <v>108</v>
      </c>
      <c r="L434">
        <v>5332</v>
      </c>
      <c r="O434">
        <v>3300</v>
      </c>
    </row>
    <row r="435" spans="1:15" x14ac:dyDescent="0.3">
      <c r="A435" s="111">
        <v>46150</v>
      </c>
      <c r="B435" t="s">
        <v>55</v>
      </c>
      <c r="C435" s="95">
        <v>2520</v>
      </c>
      <c r="D435" s="95"/>
      <c r="E435" t="s">
        <v>448</v>
      </c>
      <c r="F435" s="108" t="s">
        <v>108</v>
      </c>
      <c r="L435">
        <v>35000</v>
      </c>
      <c r="O435">
        <v>17500</v>
      </c>
    </row>
    <row r="436" spans="1:15" x14ac:dyDescent="0.3">
      <c r="A436" s="111">
        <v>46150</v>
      </c>
      <c r="B436" t="s">
        <v>116</v>
      </c>
      <c r="C436" s="95">
        <v>46800</v>
      </c>
      <c r="D436" s="95"/>
      <c r="E436" t="s">
        <v>534</v>
      </c>
      <c r="F436" s="108" t="s">
        <v>108</v>
      </c>
      <c r="L436">
        <v>11000</v>
      </c>
      <c r="M436">
        <v>17000</v>
      </c>
      <c r="O436">
        <v>17500</v>
      </c>
    </row>
    <row r="437" spans="1:15" x14ac:dyDescent="0.3">
      <c r="A437" s="111">
        <v>46150</v>
      </c>
      <c r="B437" t="s">
        <v>54</v>
      </c>
      <c r="C437" s="95">
        <v>700</v>
      </c>
      <c r="D437" s="95"/>
      <c r="E437" t="s">
        <v>289</v>
      </c>
      <c r="F437" s="108" t="s">
        <v>108</v>
      </c>
      <c r="L437">
        <v>17460</v>
      </c>
      <c r="M437">
        <v>22000</v>
      </c>
      <c r="O437">
        <v>17500</v>
      </c>
    </row>
    <row r="438" spans="1:15" x14ac:dyDescent="0.3">
      <c r="A438" s="38">
        <v>46150</v>
      </c>
      <c r="B438" t="s">
        <v>357</v>
      </c>
      <c r="C438" s="95">
        <v>2200</v>
      </c>
      <c r="D438" s="95"/>
      <c r="E438" t="s">
        <v>535</v>
      </c>
      <c r="F438" s="108" t="s">
        <v>108</v>
      </c>
      <c r="L438">
        <v>11640</v>
      </c>
      <c r="O438">
        <v>16500</v>
      </c>
    </row>
    <row r="439" spans="1:15" x14ac:dyDescent="0.3">
      <c r="A439" s="38">
        <v>46150</v>
      </c>
      <c r="B439" t="s">
        <v>219</v>
      </c>
      <c r="C439" s="95"/>
      <c r="D439" s="95">
        <v>250000</v>
      </c>
      <c r="E439" t="s">
        <v>536</v>
      </c>
      <c r="F439" s="108" t="s">
        <v>108</v>
      </c>
      <c r="L439">
        <v>10800</v>
      </c>
      <c r="O439">
        <v>14300</v>
      </c>
    </row>
    <row r="440" spans="1:15" x14ac:dyDescent="0.3">
      <c r="A440" s="38">
        <v>46150</v>
      </c>
      <c r="B440" t="s">
        <v>493</v>
      </c>
      <c r="C440" s="95"/>
      <c r="D440" s="95">
        <v>100000</v>
      </c>
      <c r="E440" t="s">
        <v>109</v>
      </c>
      <c r="F440" s="108" t="s">
        <v>108</v>
      </c>
      <c r="L440">
        <v>17000</v>
      </c>
      <c r="O440">
        <v>15000</v>
      </c>
    </row>
    <row r="441" spans="1:15" x14ac:dyDescent="0.3">
      <c r="A441" s="38">
        <v>46150</v>
      </c>
      <c r="B441" t="s">
        <v>219</v>
      </c>
      <c r="C441" s="95">
        <v>100000</v>
      </c>
      <c r="D441" s="95"/>
      <c r="E441" t="s">
        <v>529</v>
      </c>
      <c r="F441" s="108" t="s">
        <v>108</v>
      </c>
      <c r="O441">
        <v>22650</v>
      </c>
    </row>
    <row r="442" spans="1:15" x14ac:dyDescent="0.3">
      <c r="A442" s="38">
        <v>46150</v>
      </c>
      <c r="B442" t="s">
        <v>257</v>
      </c>
      <c r="C442" s="95">
        <v>100000</v>
      </c>
      <c r="D442" s="95"/>
      <c r="E442" t="s">
        <v>537</v>
      </c>
      <c r="F442" s="108" t="s">
        <v>108</v>
      </c>
      <c r="O442">
        <v>20000</v>
      </c>
    </row>
    <row r="443" spans="1:15" x14ac:dyDescent="0.3">
      <c r="A443" s="38">
        <v>46150</v>
      </c>
      <c r="B443" t="s">
        <v>221</v>
      </c>
      <c r="C443" s="95">
        <v>100000</v>
      </c>
      <c r="D443" s="95"/>
      <c r="E443" t="s">
        <v>537</v>
      </c>
      <c r="F443" s="108" t="s">
        <v>108</v>
      </c>
      <c r="O443">
        <v>15600</v>
      </c>
    </row>
    <row r="444" spans="1:15" x14ac:dyDescent="0.3">
      <c r="A444" s="38">
        <v>46150</v>
      </c>
      <c r="B444" t="s">
        <v>253</v>
      </c>
      <c r="C444" s="95">
        <v>45000</v>
      </c>
      <c r="D444" s="95"/>
      <c r="E444" t="s">
        <v>538</v>
      </c>
      <c r="F444" s="108" t="s">
        <v>108</v>
      </c>
      <c r="O444">
        <v>15000</v>
      </c>
    </row>
    <row r="445" spans="1:15" x14ac:dyDescent="0.3">
      <c r="A445" s="38">
        <v>46150</v>
      </c>
      <c r="B445" t="s">
        <v>211</v>
      </c>
      <c r="C445" s="95">
        <v>790</v>
      </c>
      <c r="D445" s="95"/>
      <c r="E445" t="s">
        <v>255</v>
      </c>
      <c r="F445" s="108" t="s">
        <v>108</v>
      </c>
      <c r="O445">
        <v>400</v>
      </c>
    </row>
    <row r="446" spans="1:15" x14ac:dyDescent="0.3">
      <c r="A446" s="38">
        <v>46150</v>
      </c>
      <c r="B446" t="s">
        <v>175</v>
      </c>
      <c r="C446" s="11">
        <v>36000</v>
      </c>
      <c r="D446" s="11"/>
      <c r="E446" t="s">
        <v>564</v>
      </c>
      <c r="F446" s="108" t="s">
        <v>108</v>
      </c>
      <c r="O446">
        <v>20000</v>
      </c>
    </row>
    <row r="447" spans="1:15" x14ac:dyDescent="0.3">
      <c r="A447" s="38">
        <v>46150</v>
      </c>
      <c r="B447" t="s">
        <v>219</v>
      </c>
      <c r="C447" s="11"/>
      <c r="D447" s="11">
        <v>36000</v>
      </c>
      <c r="E447" t="s">
        <v>564</v>
      </c>
      <c r="F447" s="108" t="s">
        <v>108</v>
      </c>
      <c r="O447">
        <v>30000</v>
      </c>
    </row>
    <row r="448" spans="1:15" x14ac:dyDescent="0.3">
      <c r="A448" s="38">
        <v>46151</v>
      </c>
      <c r="B448" t="s">
        <v>539</v>
      </c>
      <c r="C448" s="95"/>
      <c r="D448" s="95">
        <v>500000</v>
      </c>
      <c r="E448" t="s">
        <v>540</v>
      </c>
      <c r="F448" s="108" t="s">
        <v>108</v>
      </c>
      <c r="O448">
        <v>8350</v>
      </c>
    </row>
    <row r="449" spans="1:16" x14ac:dyDescent="0.3">
      <c r="A449" s="38">
        <v>46151</v>
      </c>
      <c r="B449" t="s">
        <v>175</v>
      </c>
      <c r="C449" s="95">
        <v>55000</v>
      </c>
      <c r="D449" s="95"/>
      <c r="E449" t="s">
        <v>486</v>
      </c>
      <c r="F449" s="108" t="s">
        <v>108</v>
      </c>
      <c r="O449">
        <v>9850</v>
      </c>
      <c r="P449">
        <v>17000</v>
      </c>
    </row>
    <row r="450" spans="1:16" x14ac:dyDescent="0.3">
      <c r="A450" s="38">
        <v>46151</v>
      </c>
      <c r="B450" t="s">
        <v>54</v>
      </c>
      <c r="C450" s="95">
        <v>2000</v>
      </c>
      <c r="D450" s="95"/>
      <c r="E450" t="s">
        <v>541</v>
      </c>
      <c r="F450" s="108" t="s">
        <v>108</v>
      </c>
      <c r="O450">
        <v>80000</v>
      </c>
    </row>
    <row r="451" spans="1:16" x14ac:dyDescent="0.3">
      <c r="A451" s="38">
        <v>46151</v>
      </c>
      <c r="B451" t="s">
        <v>222</v>
      </c>
      <c r="C451" s="95">
        <v>100000</v>
      </c>
      <c r="D451" s="95"/>
      <c r="E451" t="s">
        <v>240</v>
      </c>
      <c r="F451" s="108" t="s">
        <v>108</v>
      </c>
      <c r="O451">
        <v>20000</v>
      </c>
    </row>
    <row r="452" spans="1:16" x14ac:dyDescent="0.3">
      <c r="A452" s="38">
        <v>46151</v>
      </c>
      <c r="B452" t="s">
        <v>357</v>
      </c>
      <c r="C452" s="95">
        <v>30000</v>
      </c>
      <c r="D452" s="95"/>
      <c r="E452" t="s">
        <v>542</v>
      </c>
      <c r="F452" s="108" t="s">
        <v>108</v>
      </c>
      <c r="O452">
        <v>20800</v>
      </c>
    </row>
    <row r="453" spans="1:16" x14ac:dyDescent="0.3">
      <c r="A453" s="38">
        <v>46151</v>
      </c>
      <c r="B453" t="s">
        <v>476</v>
      </c>
      <c r="C453" s="95">
        <v>198400</v>
      </c>
      <c r="D453" s="95"/>
      <c r="E453" t="s">
        <v>543</v>
      </c>
      <c r="F453" s="108" t="s">
        <v>108</v>
      </c>
      <c r="O453">
        <v>46600</v>
      </c>
    </row>
    <row r="454" spans="1:16" x14ac:dyDescent="0.3">
      <c r="A454" s="38">
        <v>46151</v>
      </c>
      <c r="B454" t="s">
        <v>168</v>
      </c>
      <c r="C454" s="95">
        <v>100000</v>
      </c>
      <c r="D454" s="95"/>
      <c r="E454" t="s">
        <v>544</v>
      </c>
      <c r="F454" s="108" t="s">
        <v>108</v>
      </c>
      <c r="L454" s="19">
        <v>48600</v>
      </c>
      <c r="N454" s="19">
        <v>27400</v>
      </c>
      <c r="O454">
        <v>29600</v>
      </c>
    </row>
    <row r="455" spans="1:16" x14ac:dyDescent="0.3">
      <c r="A455" s="38">
        <v>46151</v>
      </c>
      <c r="B455" t="s">
        <v>55</v>
      </c>
      <c r="C455" s="95">
        <v>2800</v>
      </c>
      <c r="D455" s="95"/>
      <c r="E455" t="s">
        <v>427</v>
      </c>
      <c r="F455" s="108" t="s">
        <v>108</v>
      </c>
      <c r="L455">
        <v>49200</v>
      </c>
      <c r="N455">
        <v>3400</v>
      </c>
      <c r="O455">
        <v>22800</v>
      </c>
    </row>
    <row r="456" spans="1:16" x14ac:dyDescent="0.3">
      <c r="A456" s="38">
        <v>46151</v>
      </c>
      <c r="B456" t="s">
        <v>269</v>
      </c>
      <c r="C456" s="95">
        <v>10000</v>
      </c>
      <c r="D456" s="95"/>
      <c r="E456" t="s">
        <v>478</v>
      </c>
      <c r="F456" s="108" t="s">
        <v>108</v>
      </c>
      <c r="L456">
        <v>52000</v>
      </c>
      <c r="N456" s="19">
        <v>6200</v>
      </c>
      <c r="O456">
        <v>3200</v>
      </c>
    </row>
    <row r="457" spans="1:16" x14ac:dyDescent="0.3">
      <c r="A457" s="38">
        <v>46151</v>
      </c>
      <c r="B457" t="s">
        <v>269</v>
      </c>
      <c r="C457" s="95">
        <v>10000</v>
      </c>
      <c r="D457" s="95"/>
      <c r="E457" t="s">
        <v>288</v>
      </c>
      <c r="F457" s="108" t="s">
        <v>108</v>
      </c>
      <c r="L457">
        <v>42800</v>
      </c>
      <c r="N457">
        <v>3400</v>
      </c>
      <c r="O457">
        <v>48400</v>
      </c>
    </row>
    <row r="458" spans="1:16" x14ac:dyDescent="0.3">
      <c r="A458" s="38">
        <v>46151</v>
      </c>
      <c r="B458" t="s">
        <v>211</v>
      </c>
      <c r="C458" s="95">
        <v>2260</v>
      </c>
      <c r="D458" s="95"/>
      <c r="F458" s="108" t="s">
        <v>108</v>
      </c>
      <c r="L458">
        <v>25200</v>
      </c>
      <c r="N458" s="19">
        <v>25200</v>
      </c>
      <c r="O458">
        <v>5330</v>
      </c>
    </row>
    <row r="459" spans="1:16" x14ac:dyDescent="0.3">
      <c r="A459" s="38">
        <v>46151</v>
      </c>
      <c r="B459" t="s">
        <v>493</v>
      </c>
      <c r="C459" s="95"/>
      <c r="D459" s="95">
        <v>100000</v>
      </c>
      <c r="E459" t="s">
        <v>109</v>
      </c>
      <c r="F459" s="108" t="s">
        <v>108</v>
      </c>
      <c r="L459">
        <v>37600</v>
      </c>
      <c r="N459" s="19">
        <v>19500</v>
      </c>
      <c r="O459">
        <v>17000</v>
      </c>
    </row>
    <row r="460" spans="1:16" x14ac:dyDescent="0.3">
      <c r="A460" s="38">
        <v>46151</v>
      </c>
      <c r="B460" t="s">
        <v>219</v>
      </c>
      <c r="C460" s="95">
        <v>100000</v>
      </c>
      <c r="D460" s="95"/>
      <c r="E460" t="s">
        <v>529</v>
      </c>
      <c r="F460" s="108" t="s">
        <v>108</v>
      </c>
      <c r="L460">
        <v>23000</v>
      </c>
      <c r="N460" s="19">
        <v>20300</v>
      </c>
    </row>
    <row r="461" spans="1:16" x14ac:dyDescent="0.3">
      <c r="A461" s="38">
        <v>46152</v>
      </c>
      <c r="B461" t="s">
        <v>219</v>
      </c>
      <c r="C461" s="95"/>
      <c r="D461" s="95">
        <v>18000</v>
      </c>
      <c r="F461" s="108" t="s">
        <v>108</v>
      </c>
      <c r="L461">
        <v>6200</v>
      </c>
      <c r="N461" s="19">
        <v>21000</v>
      </c>
    </row>
    <row r="462" spans="1:16" x14ac:dyDescent="0.3">
      <c r="A462" s="38">
        <v>46152</v>
      </c>
      <c r="B462" t="s">
        <v>386</v>
      </c>
      <c r="C462" s="95">
        <v>4500</v>
      </c>
      <c r="D462" s="95"/>
      <c r="E462" t="s">
        <v>283</v>
      </c>
      <c r="F462" s="108" t="s">
        <v>108</v>
      </c>
      <c r="L462">
        <v>3400</v>
      </c>
      <c r="N462" s="19">
        <v>40000</v>
      </c>
    </row>
    <row r="463" spans="1:16" x14ac:dyDescent="0.3">
      <c r="A463" s="38">
        <v>46152</v>
      </c>
      <c r="B463" t="s">
        <v>211</v>
      </c>
      <c r="C463" s="95">
        <v>780</v>
      </c>
      <c r="D463" s="95"/>
      <c r="F463" s="108" t="s">
        <v>108</v>
      </c>
      <c r="L463">
        <v>19800</v>
      </c>
      <c r="N463" s="19">
        <v>3000</v>
      </c>
    </row>
    <row r="464" spans="1:16" x14ac:dyDescent="0.3">
      <c r="A464" s="38">
        <v>46152</v>
      </c>
      <c r="B464" t="s">
        <v>55</v>
      </c>
      <c r="C464" s="95">
        <v>1560</v>
      </c>
      <c r="D464" s="95"/>
      <c r="F464" s="108" t="s">
        <v>108</v>
      </c>
      <c r="L464">
        <v>3400</v>
      </c>
      <c r="N464" s="19">
        <v>20600</v>
      </c>
    </row>
    <row r="465" spans="1:14" x14ac:dyDescent="0.3">
      <c r="A465" s="38">
        <v>46152</v>
      </c>
      <c r="B465" t="s">
        <v>55</v>
      </c>
      <c r="C465" s="95">
        <v>2500</v>
      </c>
      <c r="D465" s="95"/>
      <c r="F465" s="108" t="s">
        <v>108</v>
      </c>
      <c r="L465">
        <v>31150</v>
      </c>
      <c r="N465" s="19">
        <v>12750</v>
      </c>
    </row>
    <row r="466" spans="1:14" x14ac:dyDescent="0.3">
      <c r="A466" s="38">
        <v>46152</v>
      </c>
      <c r="B466" t="s">
        <v>55</v>
      </c>
      <c r="C466" s="95">
        <v>550</v>
      </c>
      <c r="D466" s="95"/>
      <c r="F466" s="108" t="s">
        <v>108</v>
      </c>
      <c r="L466">
        <v>12750</v>
      </c>
      <c r="N466" s="19">
        <v>14400</v>
      </c>
    </row>
    <row r="467" spans="1:14" x14ac:dyDescent="0.3">
      <c r="A467" s="38">
        <v>46152</v>
      </c>
      <c r="B467" t="s">
        <v>55</v>
      </c>
      <c r="C467" s="95">
        <v>1000</v>
      </c>
      <c r="D467" s="95"/>
      <c r="F467" s="108" t="s">
        <v>108</v>
      </c>
      <c r="L467">
        <v>27400</v>
      </c>
      <c r="N467" s="19">
        <v>9000</v>
      </c>
    </row>
    <row r="468" spans="1:14" x14ac:dyDescent="0.3">
      <c r="A468" s="38">
        <v>46152</v>
      </c>
      <c r="B468" t="s">
        <v>211</v>
      </c>
      <c r="C468" s="95"/>
      <c r="D468" s="95">
        <v>1000</v>
      </c>
      <c r="F468" s="108" t="s">
        <v>108</v>
      </c>
      <c r="L468">
        <v>15700</v>
      </c>
      <c r="N468" s="19">
        <v>17400</v>
      </c>
    </row>
    <row r="469" spans="1:14" x14ac:dyDescent="0.3">
      <c r="A469" s="38">
        <v>46153</v>
      </c>
      <c r="B469" t="s">
        <v>191</v>
      </c>
      <c r="C469" s="95"/>
      <c r="D469" s="95">
        <v>60000</v>
      </c>
      <c r="F469" s="108" t="s">
        <v>108</v>
      </c>
      <c r="L469">
        <v>12550</v>
      </c>
      <c r="N469" s="19">
        <v>19782</v>
      </c>
    </row>
    <row r="470" spans="1:14" x14ac:dyDescent="0.3">
      <c r="A470" s="38">
        <v>46153</v>
      </c>
      <c r="B470" t="s">
        <v>219</v>
      </c>
      <c r="C470" s="95">
        <v>60000</v>
      </c>
      <c r="D470" s="95"/>
      <c r="E470" t="s">
        <v>191</v>
      </c>
      <c r="F470" s="108" t="s">
        <v>108</v>
      </c>
      <c r="L470">
        <v>14800</v>
      </c>
      <c r="N470" s="19">
        <v>23000</v>
      </c>
    </row>
    <row r="471" spans="1:14" x14ac:dyDescent="0.3">
      <c r="A471" s="38">
        <v>46153</v>
      </c>
      <c r="B471" t="s">
        <v>55</v>
      </c>
      <c r="C471" s="95">
        <v>3500</v>
      </c>
      <c r="D471" s="95"/>
      <c r="E471" t="s">
        <v>546</v>
      </c>
      <c r="F471" s="108" t="s">
        <v>108</v>
      </c>
      <c r="L471">
        <v>14350</v>
      </c>
      <c r="N471" s="19">
        <v>15700</v>
      </c>
    </row>
    <row r="472" spans="1:14" x14ac:dyDescent="0.3">
      <c r="A472" s="38">
        <v>46153</v>
      </c>
      <c r="B472" t="s">
        <v>55</v>
      </c>
      <c r="C472" s="95">
        <v>1560</v>
      </c>
      <c r="D472" s="95"/>
      <c r="E472" t="s">
        <v>546</v>
      </c>
      <c r="F472" s="108" t="s">
        <v>108</v>
      </c>
      <c r="L472">
        <v>40000</v>
      </c>
      <c r="N472" s="19">
        <v>14800</v>
      </c>
    </row>
    <row r="473" spans="1:14" x14ac:dyDescent="0.3">
      <c r="A473" s="38">
        <v>46153</v>
      </c>
      <c r="B473" t="s">
        <v>219</v>
      </c>
      <c r="C473" s="95"/>
      <c r="D473" s="95">
        <v>3500</v>
      </c>
      <c r="F473" s="108" t="s">
        <v>108</v>
      </c>
      <c r="L473">
        <v>17400</v>
      </c>
      <c r="N473" s="19">
        <v>12550</v>
      </c>
    </row>
    <row r="474" spans="1:14" x14ac:dyDescent="0.3">
      <c r="A474" s="38">
        <v>46153</v>
      </c>
      <c r="B474" t="s">
        <v>55</v>
      </c>
      <c r="C474" s="95">
        <v>2500</v>
      </c>
      <c r="D474" s="95"/>
      <c r="E474" t="s">
        <v>291</v>
      </c>
      <c r="F474" s="108" t="s">
        <v>108</v>
      </c>
      <c r="L474">
        <v>19500</v>
      </c>
      <c r="N474" s="19">
        <v>31150</v>
      </c>
    </row>
    <row r="475" spans="1:14" x14ac:dyDescent="0.3">
      <c r="A475" s="38">
        <v>46153</v>
      </c>
      <c r="B475" t="s">
        <v>55</v>
      </c>
      <c r="C475" s="95">
        <v>550</v>
      </c>
      <c r="D475" s="95"/>
      <c r="F475" s="108" t="s">
        <v>108</v>
      </c>
      <c r="L475">
        <v>3000</v>
      </c>
      <c r="N475" s="19">
        <v>27500</v>
      </c>
    </row>
    <row r="476" spans="1:14" x14ac:dyDescent="0.3">
      <c r="A476" s="38">
        <v>46153</v>
      </c>
      <c r="B476" t="s">
        <v>115</v>
      </c>
      <c r="C476" s="95">
        <v>100000</v>
      </c>
      <c r="D476" s="95"/>
      <c r="E476" t="s">
        <v>547</v>
      </c>
      <c r="F476" s="108" t="s">
        <v>108</v>
      </c>
      <c r="L476">
        <v>1000</v>
      </c>
      <c r="N476" s="19">
        <v>20000</v>
      </c>
    </row>
    <row r="477" spans="1:14" x14ac:dyDescent="0.3">
      <c r="A477" s="38">
        <v>46153</v>
      </c>
      <c r="B477" t="s">
        <v>219</v>
      </c>
      <c r="C477" s="95"/>
      <c r="D477" s="95">
        <v>100000</v>
      </c>
      <c r="E477" t="s">
        <v>548</v>
      </c>
      <c r="F477" s="108" t="s">
        <v>108</v>
      </c>
      <c r="L477">
        <v>9000</v>
      </c>
      <c r="N477" s="19">
        <v>52000</v>
      </c>
    </row>
    <row r="478" spans="1:14" x14ac:dyDescent="0.3">
      <c r="A478" s="38">
        <v>46153</v>
      </c>
      <c r="B478" t="s">
        <v>9</v>
      </c>
      <c r="C478" s="95"/>
      <c r="D478" s="95">
        <v>37085</v>
      </c>
      <c r="E478" t="s">
        <v>215</v>
      </c>
      <c r="F478" s="108" t="s">
        <v>108</v>
      </c>
      <c r="L478">
        <v>21000</v>
      </c>
      <c r="N478" s="19">
        <v>49200</v>
      </c>
    </row>
    <row r="479" spans="1:14" x14ac:dyDescent="0.3">
      <c r="A479" s="38">
        <v>46153</v>
      </c>
      <c r="B479" t="s">
        <v>55</v>
      </c>
      <c r="C479" s="95">
        <v>28500</v>
      </c>
      <c r="D479" s="95"/>
      <c r="E479" t="s">
        <v>549</v>
      </c>
      <c r="F479" s="108" t="s">
        <v>108</v>
      </c>
      <c r="L479">
        <v>20300</v>
      </c>
      <c r="N479" s="19">
        <v>37600</v>
      </c>
    </row>
    <row r="480" spans="1:14" x14ac:dyDescent="0.3">
      <c r="A480" s="38">
        <v>46153</v>
      </c>
      <c r="B480" t="s">
        <v>219</v>
      </c>
      <c r="C480" s="95"/>
      <c r="D480" s="95">
        <v>250000</v>
      </c>
      <c r="E480" t="s">
        <v>550</v>
      </c>
      <c r="F480" s="108" t="s">
        <v>108</v>
      </c>
      <c r="L480">
        <v>27500</v>
      </c>
      <c r="N480" s="19">
        <v>48600</v>
      </c>
    </row>
    <row r="481" spans="1:14" x14ac:dyDescent="0.3">
      <c r="A481" s="38">
        <v>46153</v>
      </c>
      <c r="B481" t="s">
        <v>219</v>
      </c>
      <c r="C481" s="95"/>
      <c r="D481" s="95">
        <v>134000</v>
      </c>
      <c r="E481" t="s">
        <v>551</v>
      </c>
      <c r="F481" s="108" t="s">
        <v>108</v>
      </c>
      <c r="L481">
        <v>20000</v>
      </c>
      <c r="N481" s="19">
        <v>42800</v>
      </c>
    </row>
    <row r="482" spans="1:14" x14ac:dyDescent="0.3">
      <c r="A482" s="38">
        <v>46153</v>
      </c>
      <c r="B482" t="s">
        <v>517</v>
      </c>
      <c r="C482" s="95">
        <v>300000</v>
      </c>
      <c r="D482" s="95"/>
      <c r="E482" t="s">
        <v>552</v>
      </c>
      <c r="F482" s="108" t="s">
        <v>108</v>
      </c>
      <c r="L482">
        <v>20600</v>
      </c>
    </row>
    <row r="483" spans="1:14" x14ac:dyDescent="0.3">
      <c r="A483" s="38">
        <v>46153</v>
      </c>
      <c r="B483" t="s">
        <v>54</v>
      </c>
      <c r="C483" s="95">
        <v>3500</v>
      </c>
      <c r="D483" s="95"/>
      <c r="E483" t="s">
        <v>553</v>
      </c>
      <c r="F483" s="108" t="s">
        <v>108</v>
      </c>
      <c r="L483">
        <v>3400</v>
      </c>
    </row>
    <row r="484" spans="1:14" x14ac:dyDescent="0.3">
      <c r="A484" s="38">
        <v>46153</v>
      </c>
      <c r="B484" t="s">
        <v>269</v>
      </c>
      <c r="C484" s="95">
        <v>5000</v>
      </c>
      <c r="D484" s="95"/>
      <c r="E484" t="s">
        <v>554</v>
      </c>
      <c r="F484" s="108" t="s">
        <v>108</v>
      </c>
    </row>
    <row r="485" spans="1:14" x14ac:dyDescent="0.3">
      <c r="A485" s="38">
        <v>46153</v>
      </c>
      <c r="B485" t="s">
        <v>211</v>
      </c>
      <c r="C485" s="95">
        <v>200</v>
      </c>
      <c r="D485" s="95"/>
      <c r="F485" s="108" t="s">
        <v>108</v>
      </c>
    </row>
    <row r="486" spans="1:14" x14ac:dyDescent="0.3">
      <c r="A486" s="38">
        <v>46153</v>
      </c>
      <c r="B486" t="s">
        <v>55</v>
      </c>
      <c r="C486" s="95">
        <v>12491</v>
      </c>
      <c r="D486" s="95"/>
      <c r="E486" t="s">
        <v>259</v>
      </c>
      <c r="F486" s="108" t="s">
        <v>108</v>
      </c>
    </row>
    <row r="487" spans="1:14" x14ac:dyDescent="0.3">
      <c r="A487" s="38">
        <v>46154</v>
      </c>
      <c r="B487" t="s">
        <v>493</v>
      </c>
      <c r="C487" s="95"/>
      <c r="D487" s="95">
        <v>50000</v>
      </c>
      <c r="E487" t="s">
        <v>109</v>
      </c>
      <c r="F487" s="108" t="s">
        <v>108</v>
      </c>
    </row>
    <row r="488" spans="1:14" x14ac:dyDescent="0.3">
      <c r="A488" s="38">
        <v>46154</v>
      </c>
      <c r="B488" t="s">
        <v>219</v>
      </c>
      <c r="C488" s="95">
        <v>50000</v>
      </c>
      <c r="D488" s="95"/>
      <c r="E488" t="s">
        <v>545</v>
      </c>
      <c r="F488" s="108" t="s">
        <v>108</v>
      </c>
    </row>
    <row r="489" spans="1:14" x14ac:dyDescent="0.3">
      <c r="A489" s="38">
        <v>46154</v>
      </c>
      <c r="B489" t="s">
        <v>55</v>
      </c>
      <c r="C489" s="95">
        <v>400</v>
      </c>
      <c r="D489" s="95"/>
      <c r="F489" s="108" t="s">
        <v>108</v>
      </c>
    </row>
    <row r="490" spans="1:14" x14ac:dyDescent="0.3">
      <c r="A490" s="38">
        <v>46154</v>
      </c>
      <c r="B490" t="s">
        <v>54</v>
      </c>
      <c r="C490" s="95">
        <v>17000</v>
      </c>
      <c r="D490" s="95"/>
      <c r="E490" t="s">
        <v>555</v>
      </c>
      <c r="F490" s="108" t="s">
        <v>108</v>
      </c>
    </row>
    <row r="491" spans="1:14" x14ac:dyDescent="0.3">
      <c r="A491" s="38">
        <v>46154</v>
      </c>
      <c r="B491" t="s">
        <v>55</v>
      </c>
      <c r="C491" s="11">
        <v>350</v>
      </c>
      <c r="D491" s="11"/>
      <c r="E491" t="s">
        <v>556</v>
      </c>
      <c r="F491" s="108" t="s">
        <v>108</v>
      </c>
    </row>
    <row r="492" spans="1:14" x14ac:dyDescent="0.3">
      <c r="A492" s="38">
        <v>46154</v>
      </c>
      <c r="B492" t="s">
        <v>357</v>
      </c>
      <c r="C492" s="11">
        <v>1800</v>
      </c>
      <c r="D492" s="11"/>
      <c r="F492" s="108" t="s">
        <v>108</v>
      </c>
    </row>
    <row r="493" spans="1:14" x14ac:dyDescent="0.3">
      <c r="A493" s="38">
        <v>46154</v>
      </c>
      <c r="B493" t="s">
        <v>222</v>
      </c>
      <c r="C493" s="11">
        <v>39000</v>
      </c>
      <c r="D493" s="11"/>
      <c r="E493" t="s">
        <v>240</v>
      </c>
      <c r="F493" s="108" t="s">
        <v>108</v>
      </c>
    </row>
    <row r="494" spans="1:14" x14ac:dyDescent="0.3">
      <c r="A494" s="38">
        <v>46154</v>
      </c>
      <c r="B494" t="s">
        <v>386</v>
      </c>
      <c r="C494" s="11">
        <v>6000</v>
      </c>
      <c r="D494" s="11"/>
      <c r="E494" t="s">
        <v>557</v>
      </c>
      <c r="F494" s="108" t="s">
        <v>108</v>
      </c>
    </row>
    <row r="495" spans="1:14" x14ac:dyDescent="0.3">
      <c r="A495" s="38">
        <v>46154</v>
      </c>
      <c r="B495" t="s">
        <v>219</v>
      </c>
      <c r="C495" s="11"/>
      <c r="D495" s="11">
        <v>60000</v>
      </c>
      <c r="E495" t="s">
        <v>558</v>
      </c>
      <c r="F495" s="108" t="s">
        <v>108</v>
      </c>
    </row>
    <row r="496" spans="1:14" x14ac:dyDescent="0.3">
      <c r="A496" s="38">
        <v>46154</v>
      </c>
      <c r="B496" t="s">
        <v>222</v>
      </c>
      <c r="C496" s="11">
        <v>100000</v>
      </c>
      <c r="D496" s="11"/>
      <c r="E496" t="s">
        <v>559</v>
      </c>
      <c r="F496" s="108" t="s">
        <v>108</v>
      </c>
    </row>
    <row r="497" spans="1:10" x14ac:dyDescent="0.3">
      <c r="A497" s="38">
        <v>46154</v>
      </c>
      <c r="B497" t="s">
        <v>219</v>
      </c>
      <c r="C497" s="11"/>
      <c r="D497" s="11">
        <v>135000</v>
      </c>
      <c r="E497" t="s">
        <v>560</v>
      </c>
      <c r="F497" s="108" t="s">
        <v>108</v>
      </c>
    </row>
    <row r="498" spans="1:10" x14ac:dyDescent="0.3">
      <c r="A498" s="38">
        <v>46154</v>
      </c>
      <c r="B498" t="s">
        <v>55</v>
      </c>
      <c r="C498" s="11">
        <v>3700</v>
      </c>
      <c r="D498" s="11"/>
      <c r="E498" t="s">
        <v>561</v>
      </c>
      <c r="F498" s="108" t="s">
        <v>108</v>
      </c>
    </row>
    <row r="499" spans="1:10" x14ac:dyDescent="0.3">
      <c r="A499" s="38">
        <v>46154</v>
      </c>
      <c r="B499" t="s">
        <v>219</v>
      </c>
      <c r="C499" s="11"/>
      <c r="D499" s="11">
        <v>195000</v>
      </c>
      <c r="E499" t="s">
        <v>540</v>
      </c>
      <c r="F499" s="108" t="s">
        <v>108</v>
      </c>
    </row>
    <row r="500" spans="1:10" x14ac:dyDescent="0.3">
      <c r="A500" s="38">
        <v>46154</v>
      </c>
      <c r="B500" t="s">
        <v>219</v>
      </c>
      <c r="C500" s="11"/>
      <c r="D500" s="11">
        <v>18000</v>
      </c>
      <c r="E500" t="s">
        <v>562</v>
      </c>
      <c r="F500" s="108" t="s">
        <v>108</v>
      </c>
      <c r="I500">
        <v>150000</v>
      </c>
      <c r="J500">
        <v>32800</v>
      </c>
    </row>
    <row r="501" spans="1:10" x14ac:dyDescent="0.3">
      <c r="A501" s="38">
        <v>46154</v>
      </c>
      <c r="B501" t="s">
        <v>222</v>
      </c>
      <c r="C501" s="11">
        <v>350000</v>
      </c>
      <c r="D501" s="11"/>
      <c r="E501" t="s">
        <v>563</v>
      </c>
      <c r="F501" s="108" t="s">
        <v>108</v>
      </c>
      <c r="I501">
        <v>17334</v>
      </c>
      <c r="J501">
        <v>22400</v>
      </c>
    </row>
    <row r="502" spans="1:10" x14ac:dyDescent="0.3">
      <c r="A502" s="38">
        <v>46154</v>
      </c>
      <c r="B502" t="s">
        <v>211</v>
      </c>
      <c r="C502" s="11">
        <v>500</v>
      </c>
      <c r="D502" s="11"/>
      <c r="F502" s="108" t="s">
        <v>108</v>
      </c>
      <c r="I502">
        <v>40000</v>
      </c>
      <c r="J502">
        <v>26800</v>
      </c>
    </row>
    <row r="503" spans="1:10" x14ac:dyDescent="0.3">
      <c r="A503" s="111">
        <v>46155</v>
      </c>
      <c r="B503" t="s">
        <v>219</v>
      </c>
      <c r="C503" s="11"/>
      <c r="D503" s="11">
        <v>18000</v>
      </c>
      <c r="E503" t="s">
        <v>564</v>
      </c>
      <c r="F503" s="108" t="s">
        <v>108</v>
      </c>
      <c r="I503">
        <v>55000</v>
      </c>
      <c r="J503">
        <v>24800</v>
      </c>
    </row>
    <row r="504" spans="1:10" x14ac:dyDescent="0.3">
      <c r="A504" s="111">
        <v>46155</v>
      </c>
      <c r="B504" t="s">
        <v>116</v>
      </c>
      <c r="C504" s="11">
        <v>18000</v>
      </c>
      <c r="D504" s="11"/>
      <c r="E504" t="s">
        <v>564</v>
      </c>
      <c r="F504" s="108" t="s">
        <v>108</v>
      </c>
      <c r="I504">
        <v>20000</v>
      </c>
      <c r="J504">
        <v>23600</v>
      </c>
    </row>
    <row r="505" spans="1:10" x14ac:dyDescent="0.3">
      <c r="A505" s="111">
        <v>46155</v>
      </c>
      <c r="B505" t="s">
        <v>269</v>
      </c>
      <c r="C505" s="11">
        <v>5000</v>
      </c>
      <c r="D505" s="11"/>
      <c r="E505" t="s">
        <v>406</v>
      </c>
      <c r="F505" s="108" t="s">
        <v>108</v>
      </c>
      <c r="I505">
        <v>22650</v>
      </c>
      <c r="J505">
        <v>12400</v>
      </c>
    </row>
    <row r="506" spans="1:10" x14ac:dyDescent="0.3">
      <c r="A506" s="111">
        <v>46155</v>
      </c>
      <c r="B506" t="s">
        <v>386</v>
      </c>
      <c r="C506" s="11">
        <v>3240</v>
      </c>
      <c r="D506" s="11"/>
      <c r="E506" t="s">
        <v>565</v>
      </c>
      <c r="F506" s="108" t="s">
        <v>108</v>
      </c>
      <c r="I506">
        <v>20550</v>
      </c>
      <c r="J506">
        <v>21600</v>
      </c>
    </row>
    <row r="507" spans="1:10" x14ac:dyDescent="0.3">
      <c r="A507" s="111">
        <v>46155</v>
      </c>
      <c r="B507" t="s">
        <v>191</v>
      </c>
      <c r="C507" s="11"/>
      <c r="D507" s="11">
        <v>68900</v>
      </c>
      <c r="E507" t="s">
        <v>566</v>
      </c>
      <c r="F507" s="108" t="s">
        <v>108</v>
      </c>
      <c r="I507">
        <v>4000</v>
      </c>
      <c r="J507">
        <v>80000</v>
      </c>
    </row>
    <row r="508" spans="1:10" x14ac:dyDescent="0.3">
      <c r="A508" s="111">
        <v>46155</v>
      </c>
      <c r="B508" t="s">
        <v>55</v>
      </c>
      <c r="C508" s="11">
        <v>51466</v>
      </c>
      <c r="D508" s="11"/>
      <c r="E508" t="s">
        <v>259</v>
      </c>
      <c r="F508" s="108" t="s">
        <v>108</v>
      </c>
      <c r="I508">
        <v>14000</v>
      </c>
      <c r="J508">
        <v>50000</v>
      </c>
    </row>
    <row r="509" spans="1:10" x14ac:dyDescent="0.3">
      <c r="A509" s="111">
        <v>46155</v>
      </c>
      <c r="B509" t="s">
        <v>219</v>
      </c>
      <c r="C509" s="11"/>
      <c r="D509" s="11">
        <v>45000</v>
      </c>
      <c r="E509" t="s">
        <v>320</v>
      </c>
      <c r="F509" s="108" t="s">
        <v>108</v>
      </c>
      <c r="I509">
        <v>12220</v>
      </c>
      <c r="J509">
        <v>60000</v>
      </c>
    </row>
    <row r="510" spans="1:10" x14ac:dyDescent="0.3">
      <c r="A510" s="111">
        <v>46155</v>
      </c>
      <c r="B510" t="s">
        <v>253</v>
      </c>
      <c r="C510" s="11">
        <v>50000</v>
      </c>
      <c r="D510" s="11"/>
      <c r="E510" t="s">
        <v>437</v>
      </c>
      <c r="F510" s="108" t="s">
        <v>108</v>
      </c>
      <c r="I510">
        <v>14213</v>
      </c>
      <c r="J510">
        <v>35000</v>
      </c>
    </row>
    <row r="511" spans="1:10" x14ac:dyDescent="0.3">
      <c r="A511" s="111">
        <v>46155</v>
      </c>
      <c r="B511" t="s">
        <v>211</v>
      </c>
      <c r="C511" s="11">
        <f>226+780</f>
        <v>1006</v>
      </c>
      <c r="D511" s="11"/>
      <c r="F511" s="108" t="s">
        <v>108</v>
      </c>
      <c r="I511">
        <v>17500</v>
      </c>
      <c r="J511">
        <v>19600</v>
      </c>
    </row>
    <row r="512" spans="1:10" x14ac:dyDescent="0.3">
      <c r="A512" s="111">
        <v>46155</v>
      </c>
      <c r="B512" t="s">
        <v>493</v>
      </c>
      <c r="C512" s="11"/>
      <c r="D512" s="11">
        <v>50000</v>
      </c>
      <c r="E512" t="s">
        <v>271</v>
      </c>
      <c r="F512" s="108" t="s">
        <v>108</v>
      </c>
      <c r="I512">
        <v>20800</v>
      </c>
      <c r="J512">
        <v>15600</v>
      </c>
    </row>
    <row r="513" spans="1:10" x14ac:dyDescent="0.3">
      <c r="A513" s="111">
        <v>46155</v>
      </c>
      <c r="B513" t="s">
        <v>219</v>
      </c>
      <c r="C513" s="11">
        <v>50000</v>
      </c>
      <c r="D513" s="11"/>
      <c r="E513" t="s">
        <v>529</v>
      </c>
      <c r="F513" s="108" t="s">
        <v>108</v>
      </c>
      <c r="I513">
        <v>15600</v>
      </c>
      <c r="J513">
        <v>20800</v>
      </c>
    </row>
    <row r="514" spans="1:10" x14ac:dyDescent="0.3">
      <c r="A514" s="111">
        <v>46156</v>
      </c>
      <c r="B514" t="s">
        <v>55</v>
      </c>
      <c r="C514" s="11">
        <v>1600</v>
      </c>
      <c r="D514" s="11"/>
      <c r="E514" t="s">
        <v>466</v>
      </c>
      <c r="F514" s="108" t="s">
        <v>108</v>
      </c>
      <c r="I514">
        <v>19600</v>
      </c>
      <c r="J514">
        <v>17500</v>
      </c>
    </row>
    <row r="515" spans="1:10" x14ac:dyDescent="0.3">
      <c r="A515" s="111">
        <v>46156</v>
      </c>
      <c r="B515" t="s">
        <v>269</v>
      </c>
      <c r="C515" s="11">
        <v>5000</v>
      </c>
      <c r="D515" s="11"/>
      <c r="E515" t="s">
        <v>252</v>
      </c>
      <c r="F515" s="108" t="s">
        <v>108</v>
      </c>
      <c r="I515">
        <v>35000</v>
      </c>
      <c r="J515">
        <v>14220</v>
      </c>
    </row>
    <row r="516" spans="1:10" x14ac:dyDescent="0.3">
      <c r="A516" s="111">
        <v>46156</v>
      </c>
      <c r="B516" t="s">
        <v>244</v>
      </c>
      <c r="C516" s="11">
        <v>2600</v>
      </c>
      <c r="D516" s="11"/>
      <c r="E516" t="s">
        <v>567</v>
      </c>
      <c r="F516" s="108" t="s">
        <v>108</v>
      </c>
      <c r="I516">
        <v>60000</v>
      </c>
      <c r="J516">
        <v>12220</v>
      </c>
    </row>
    <row r="517" spans="1:10" x14ac:dyDescent="0.3">
      <c r="A517" s="111">
        <v>46156</v>
      </c>
      <c r="B517" t="s">
        <v>219</v>
      </c>
      <c r="C517" s="11"/>
      <c r="D517" s="11">
        <v>150000</v>
      </c>
      <c r="E517" t="s">
        <v>285</v>
      </c>
      <c r="F517" s="108" t="s">
        <v>108</v>
      </c>
      <c r="I517">
        <v>50000</v>
      </c>
      <c r="J517">
        <v>14000</v>
      </c>
    </row>
    <row r="518" spans="1:10" x14ac:dyDescent="0.3">
      <c r="A518" s="111">
        <v>46156</v>
      </c>
      <c r="B518" t="s">
        <v>219</v>
      </c>
      <c r="C518" s="11"/>
      <c r="D518" s="11">
        <v>74125</v>
      </c>
      <c r="E518" t="s">
        <v>568</v>
      </c>
      <c r="F518" s="108" t="s">
        <v>108</v>
      </c>
      <c r="I518">
        <v>80000</v>
      </c>
      <c r="J518">
        <v>150000</v>
      </c>
    </row>
    <row r="519" spans="1:10" x14ac:dyDescent="0.3">
      <c r="A519" s="111">
        <v>46156</v>
      </c>
      <c r="B519" t="s">
        <v>175</v>
      </c>
      <c r="C519" s="11">
        <v>74125</v>
      </c>
      <c r="D519" s="11"/>
      <c r="E519" t="s">
        <v>569</v>
      </c>
      <c r="F519" s="108" t="s">
        <v>108</v>
      </c>
      <c r="I519">
        <v>21600</v>
      </c>
      <c r="J519">
        <v>17350</v>
      </c>
    </row>
    <row r="520" spans="1:10" x14ac:dyDescent="0.3">
      <c r="A520" s="111">
        <v>46157</v>
      </c>
      <c r="B520" t="s">
        <v>211</v>
      </c>
      <c r="C520" s="11">
        <f>1500+300+200+2000</f>
        <v>4000</v>
      </c>
      <c r="D520" s="11"/>
      <c r="F520" s="108" t="s">
        <v>108</v>
      </c>
      <c r="I520">
        <v>12400</v>
      </c>
      <c r="J520">
        <v>40000</v>
      </c>
    </row>
    <row r="521" spans="1:10" x14ac:dyDescent="0.3">
      <c r="A521" s="111">
        <v>46157</v>
      </c>
      <c r="B521" t="s">
        <v>269</v>
      </c>
      <c r="C521" s="11">
        <v>35000</v>
      </c>
      <c r="D521" s="11"/>
      <c r="E521" t="s">
        <v>260</v>
      </c>
      <c r="F521" s="108" t="s">
        <v>108</v>
      </c>
      <c r="I521">
        <v>23600</v>
      </c>
      <c r="J521">
        <v>55000</v>
      </c>
    </row>
    <row r="522" spans="1:10" x14ac:dyDescent="0.3">
      <c r="A522" s="111">
        <v>46157</v>
      </c>
      <c r="B522" t="s">
        <v>253</v>
      </c>
      <c r="C522" s="11">
        <v>80000</v>
      </c>
      <c r="D522" s="11"/>
      <c r="E522" t="s">
        <v>570</v>
      </c>
      <c r="F522" s="108" t="s">
        <v>108</v>
      </c>
      <c r="I522">
        <v>24800</v>
      </c>
      <c r="J522">
        <v>20000</v>
      </c>
    </row>
    <row r="523" spans="1:10" x14ac:dyDescent="0.3">
      <c r="A523" s="111">
        <v>46157</v>
      </c>
      <c r="B523" t="s">
        <v>386</v>
      </c>
      <c r="C523" s="11">
        <v>2100</v>
      </c>
      <c r="D523" s="11"/>
      <c r="E523" t="s">
        <v>571</v>
      </c>
      <c r="F523" s="108" t="s">
        <v>108</v>
      </c>
      <c r="I523">
        <v>26800</v>
      </c>
      <c r="J523">
        <v>22650</v>
      </c>
    </row>
    <row r="524" spans="1:10" x14ac:dyDescent="0.3">
      <c r="A524" s="111">
        <v>46157</v>
      </c>
      <c r="B524" t="s">
        <v>367</v>
      </c>
      <c r="C524" s="11"/>
      <c r="D524" s="11">
        <v>800000</v>
      </c>
      <c r="E524" t="s">
        <v>572</v>
      </c>
      <c r="F524" s="108" t="s">
        <v>108</v>
      </c>
      <c r="I524">
        <v>22400</v>
      </c>
      <c r="J524">
        <v>20550</v>
      </c>
    </row>
    <row r="525" spans="1:10" x14ac:dyDescent="0.3">
      <c r="A525" s="111">
        <v>46157</v>
      </c>
      <c r="B525" t="s">
        <v>219</v>
      </c>
      <c r="C525" s="11">
        <v>500000</v>
      </c>
      <c r="D525" s="11"/>
      <c r="E525" t="s">
        <v>573</v>
      </c>
      <c r="F525" s="108" t="s">
        <v>108</v>
      </c>
      <c r="I525">
        <v>32800</v>
      </c>
      <c r="J525">
        <v>4000</v>
      </c>
    </row>
    <row r="526" spans="1:10" x14ac:dyDescent="0.3">
      <c r="A526" s="111">
        <v>46157</v>
      </c>
      <c r="B526" t="s">
        <v>367</v>
      </c>
      <c r="C526" s="95"/>
      <c r="D526" s="95">
        <v>6768</v>
      </c>
      <c r="E526" t="s">
        <v>585</v>
      </c>
      <c r="F526" s="108" t="s">
        <v>108</v>
      </c>
      <c r="I526">
        <v>8400</v>
      </c>
      <c r="J526">
        <v>8400</v>
      </c>
    </row>
    <row r="527" spans="1:10" x14ac:dyDescent="0.3">
      <c r="A527" s="111">
        <v>46157</v>
      </c>
      <c r="B527" t="s">
        <v>54</v>
      </c>
      <c r="C527" s="95">
        <v>6768</v>
      </c>
      <c r="D527" s="95"/>
      <c r="F527" s="108" t="s">
        <v>108</v>
      </c>
    </row>
    <row r="528" spans="1:10" x14ac:dyDescent="0.3">
      <c r="A528" s="111">
        <v>46158</v>
      </c>
      <c r="B528" t="s">
        <v>219</v>
      </c>
      <c r="C528" s="95">
        <v>290000</v>
      </c>
      <c r="D528" s="95"/>
      <c r="E528" t="s">
        <v>575</v>
      </c>
      <c r="F528" s="108" t="s">
        <v>108</v>
      </c>
    </row>
    <row r="529" spans="1:6" x14ac:dyDescent="0.3">
      <c r="A529" s="38">
        <v>46158</v>
      </c>
      <c r="B529" t="s">
        <v>367</v>
      </c>
      <c r="C529" s="95"/>
      <c r="D529" s="95">
        <v>450000</v>
      </c>
      <c r="E529" t="s">
        <v>576</v>
      </c>
      <c r="F529" s="108" t="s">
        <v>108</v>
      </c>
    </row>
    <row r="530" spans="1:6" x14ac:dyDescent="0.3">
      <c r="A530" s="38">
        <v>46158</v>
      </c>
      <c r="B530" t="s">
        <v>219</v>
      </c>
      <c r="C530" s="95">
        <v>110000</v>
      </c>
      <c r="D530" s="95"/>
      <c r="E530" t="s">
        <v>577</v>
      </c>
      <c r="F530" s="108" t="s">
        <v>108</v>
      </c>
    </row>
    <row r="531" spans="1:6" x14ac:dyDescent="0.3">
      <c r="A531" s="38">
        <v>46158</v>
      </c>
      <c r="B531" t="s">
        <v>219</v>
      </c>
      <c r="C531" s="95"/>
      <c r="D531" s="95">
        <v>60000</v>
      </c>
      <c r="E531" t="s">
        <v>578</v>
      </c>
      <c r="F531" s="108" t="s">
        <v>108</v>
      </c>
    </row>
    <row r="532" spans="1:6" x14ac:dyDescent="0.3">
      <c r="A532" s="38">
        <v>46158</v>
      </c>
      <c r="B532" t="s">
        <v>116</v>
      </c>
      <c r="C532" s="95">
        <v>18000</v>
      </c>
      <c r="D532" s="95"/>
      <c r="E532" t="s">
        <v>163</v>
      </c>
      <c r="F532" s="108" t="s">
        <v>108</v>
      </c>
    </row>
    <row r="533" spans="1:6" x14ac:dyDescent="0.3">
      <c r="A533" s="38">
        <v>46158</v>
      </c>
      <c r="B533" t="s">
        <v>219</v>
      </c>
      <c r="C533" s="95"/>
      <c r="D533" s="95">
        <v>56000</v>
      </c>
      <c r="E533" t="s">
        <v>579</v>
      </c>
      <c r="F533" s="108" t="s">
        <v>108</v>
      </c>
    </row>
    <row r="534" spans="1:6" x14ac:dyDescent="0.3">
      <c r="A534" s="38">
        <v>46158</v>
      </c>
      <c r="B534" t="s">
        <v>298</v>
      </c>
      <c r="C534" s="95">
        <v>23000</v>
      </c>
      <c r="D534" s="95"/>
      <c r="F534" s="108" t="s">
        <v>108</v>
      </c>
    </row>
    <row r="535" spans="1:6" x14ac:dyDescent="0.3">
      <c r="A535" s="38">
        <v>46158</v>
      </c>
      <c r="B535" t="s">
        <v>493</v>
      </c>
      <c r="C535" s="95"/>
      <c r="D535" s="95">
        <v>50000</v>
      </c>
      <c r="E535" t="s">
        <v>271</v>
      </c>
      <c r="F535" s="108" t="s">
        <v>108</v>
      </c>
    </row>
    <row r="536" spans="1:6" x14ac:dyDescent="0.3">
      <c r="A536" s="38">
        <v>46158</v>
      </c>
      <c r="B536" t="s">
        <v>269</v>
      </c>
      <c r="C536" s="95">
        <v>5000</v>
      </c>
      <c r="D536" s="95"/>
      <c r="E536" t="s">
        <v>580</v>
      </c>
      <c r="F536" s="108" t="s">
        <v>108</v>
      </c>
    </row>
    <row r="537" spans="1:6" x14ac:dyDescent="0.3">
      <c r="A537" s="38">
        <v>46158</v>
      </c>
      <c r="B537" t="s">
        <v>54</v>
      </c>
      <c r="C537" s="95">
        <v>3000</v>
      </c>
      <c r="D537" s="95"/>
      <c r="E537" t="s">
        <v>463</v>
      </c>
      <c r="F537" s="108" t="s">
        <v>108</v>
      </c>
    </row>
    <row r="538" spans="1:6" x14ac:dyDescent="0.3">
      <c r="A538" s="38">
        <v>46158</v>
      </c>
      <c r="B538" t="s">
        <v>219</v>
      </c>
      <c r="C538" s="95"/>
      <c r="D538" s="95">
        <v>194000</v>
      </c>
      <c r="E538" t="s">
        <v>581</v>
      </c>
      <c r="F538" s="108" t="s">
        <v>108</v>
      </c>
    </row>
    <row r="539" spans="1:6" x14ac:dyDescent="0.3">
      <c r="A539" s="38">
        <v>46158</v>
      </c>
      <c r="B539" t="s">
        <v>219</v>
      </c>
      <c r="C539" s="95"/>
      <c r="D539" s="95">
        <v>70000</v>
      </c>
      <c r="E539" t="s">
        <v>581</v>
      </c>
      <c r="F539" s="108" t="s">
        <v>108</v>
      </c>
    </row>
    <row r="540" spans="1:6" x14ac:dyDescent="0.3">
      <c r="A540" s="38">
        <v>46158</v>
      </c>
      <c r="B540" t="s">
        <v>253</v>
      </c>
      <c r="C540" s="95">
        <v>698250</v>
      </c>
      <c r="D540" s="95"/>
      <c r="E540" t="s">
        <v>268</v>
      </c>
      <c r="F540" s="108" t="s">
        <v>108</v>
      </c>
    </row>
    <row r="541" spans="1:6" x14ac:dyDescent="0.3">
      <c r="A541" s="38">
        <v>46158</v>
      </c>
      <c r="B541" t="s">
        <v>253</v>
      </c>
      <c r="C541" s="95">
        <v>20000</v>
      </c>
      <c r="D541" s="95"/>
      <c r="E541" t="s">
        <v>288</v>
      </c>
      <c r="F541" s="108" t="s">
        <v>108</v>
      </c>
    </row>
    <row r="542" spans="1:6" x14ac:dyDescent="0.3">
      <c r="A542" s="38">
        <v>46158</v>
      </c>
      <c r="B542" t="s">
        <v>219</v>
      </c>
      <c r="C542" s="95"/>
      <c r="D542" s="95">
        <v>16000</v>
      </c>
      <c r="E542" t="s">
        <v>582</v>
      </c>
      <c r="F542" s="108" t="s">
        <v>108</v>
      </c>
    </row>
    <row r="543" spans="1:6" x14ac:dyDescent="0.3">
      <c r="A543" s="38">
        <v>46158</v>
      </c>
      <c r="B543" t="s">
        <v>253</v>
      </c>
      <c r="C543" s="95">
        <v>16000</v>
      </c>
      <c r="D543" s="95"/>
      <c r="E543" t="s">
        <v>423</v>
      </c>
      <c r="F543" s="108" t="s">
        <v>108</v>
      </c>
    </row>
    <row r="544" spans="1:6" x14ac:dyDescent="0.3">
      <c r="A544" s="38">
        <v>46158</v>
      </c>
      <c r="B544" t="s">
        <v>269</v>
      </c>
      <c r="C544" s="95">
        <v>500</v>
      </c>
      <c r="D544" s="95"/>
      <c r="E544" t="s">
        <v>586</v>
      </c>
      <c r="F544" s="108" t="s">
        <v>108</v>
      </c>
    </row>
    <row r="545" spans="1:6" x14ac:dyDescent="0.3">
      <c r="A545" s="38">
        <v>46159</v>
      </c>
      <c r="B545" t="s">
        <v>219</v>
      </c>
      <c r="C545" s="95"/>
      <c r="D545" s="95">
        <v>19500</v>
      </c>
      <c r="E545" t="s">
        <v>583</v>
      </c>
      <c r="F545" s="108" t="s">
        <v>108</v>
      </c>
    </row>
    <row r="546" spans="1:6" x14ac:dyDescent="0.3">
      <c r="A546" s="38">
        <v>46159</v>
      </c>
      <c r="B546" t="s">
        <v>116</v>
      </c>
      <c r="C546" s="95">
        <v>19500</v>
      </c>
      <c r="D546" s="95"/>
      <c r="E546" t="s">
        <v>584</v>
      </c>
      <c r="F546" s="108" t="s">
        <v>108</v>
      </c>
    </row>
    <row r="547" spans="1:6" x14ac:dyDescent="0.3">
      <c r="A547" s="38">
        <v>46160</v>
      </c>
      <c r="B547" t="s">
        <v>357</v>
      </c>
      <c r="C547" s="95">
        <v>1880</v>
      </c>
      <c r="D547" s="95"/>
      <c r="F547" s="108" t="s">
        <v>108</v>
      </c>
    </row>
    <row r="548" spans="1:6" x14ac:dyDescent="0.3">
      <c r="A548" s="38">
        <v>46160</v>
      </c>
      <c r="B548" t="s">
        <v>244</v>
      </c>
      <c r="C548" s="11">
        <v>2800</v>
      </c>
      <c r="D548" s="11"/>
      <c r="E548" t="s">
        <v>588</v>
      </c>
      <c r="F548" s="108" t="s">
        <v>108</v>
      </c>
    </row>
    <row r="549" spans="1:6" x14ac:dyDescent="0.3">
      <c r="A549" s="38">
        <v>46160</v>
      </c>
      <c r="B549" t="s">
        <v>269</v>
      </c>
      <c r="C549" s="11">
        <v>5000</v>
      </c>
      <c r="D549" s="11"/>
      <c r="E549" t="s">
        <v>580</v>
      </c>
      <c r="F549" s="108" t="s">
        <v>108</v>
      </c>
    </row>
    <row r="550" spans="1:6" x14ac:dyDescent="0.3">
      <c r="A550" s="111">
        <v>46160</v>
      </c>
      <c r="B550" t="s">
        <v>55</v>
      </c>
      <c r="C550" s="11">
        <v>1800</v>
      </c>
      <c r="D550" s="11"/>
      <c r="F550" s="108" t="s">
        <v>108</v>
      </c>
    </row>
    <row r="551" spans="1:6" x14ac:dyDescent="0.3">
      <c r="A551" s="111">
        <v>46160</v>
      </c>
      <c r="B551" t="s">
        <v>219</v>
      </c>
      <c r="C551" s="11"/>
      <c r="D551" s="11">
        <v>10000</v>
      </c>
      <c r="E551" t="s">
        <v>263</v>
      </c>
      <c r="F551" s="108" t="s">
        <v>108</v>
      </c>
    </row>
    <row r="552" spans="1:6" x14ac:dyDescent="0.3">
      <c r="A552" s="111">
        <v>46160</v>
      </c>
      <c r="B552" t="s">
        <v>219</v>
      </c>
      <c r="C552" s="11"/>
      <c r="D552" s="11">
        <v>250000</v>
      </c>
      <c r="E552" t="s">
        <v>589</v>
      </c>
      <c r="F552" s="108" t="s">
        <v>108</v>
      </c>
    </row>
    <row r="553" spans="1:6" x14ac:dyDescent="0.3">
      <c r="A553" s="111">
        <v>46160</v>
      </c>
      <c r="B553" t="s">
        <v>219</v>
      </c>
      <c r="C553" s="11"/>
      <c r="D553" s="11">
        <v>47000</v>
      </c>
      <c r="E553" t="s">
        <v>288</v>
      </c>
      <c r="F553" s="108" t="s">
        <v>108</v>
      </c>
    </row>
    <row r="554" spans="1:6" x14ac:dyDescent="0.3">
      <c r="A554" s="38">
        <v>46160</v>
      </c>
      <c r="B554" t="s">
        <v>253</v>
      </c>
      <c r="C554" s="11">
        <v>47000</v>
      </c>
      <c r="D554" s="11"/>
      <c r="E554" t="s">
        <v>288</v>
      </c>
      <c r="F554" s="108" t="s">
        <v>108</v>
      </c>
    </row>
    <row r="555" spans="1:6" x14ac:dyDescent="0.3">
      <c r="A555" s="111">
        <v>46160</v>
      </c>
      <c r="B555" t="s">
        <v>493</v>
      </c>
      <c r="C555" s="11"/>
      <c r="D555" s="11">
        <v>50000</v>
      </c>
      <c r="E555" t="s">
        <v>109</v>
      </c>
      <c r="F555" s="108" t="s">
        <v>108</v>
      </c>
    </row>
    <row r="556" spans="1:6" x14ac:dyDescent="0.3">
      <c r="A556" s="111">
        <v>46160</v>
      </c>
      <c r="B556" t="s">
        <v>539</v>
      </c>
      <c r="C556" s="11"/>
      <c r="D556" s="11">
        <v>300000</v>
      </c>
      <c r="F556" s="108" t="s">
        <v>108</v>
      </c>
    </row>
    <row r="557" spans="1:6" x14ac:dyDescent="0.3">
      <c r="A557" s="111">
        <v>46160</v>
      </c>
      <c r="B557" t="s">
        <v>219</v>
      </c>
      <c r="C557" s="11">
        <v>350000</v>
      </c>
      <c r="D557" s="11"/>
      <c r="E557" t="s">
        <v>590</v>
      </c>
      <c r="F557" s="108" t="s">
        <v>108</v>
      </c>
    </row>
    <row r="558" spans="1:6" x14ac:dyDescent="0.3">
      <c r="A558" s="111">
        <v>46160</v>
      </c>
      <c r="B558" t="s">
        <v>412</v>
      </c>
      <c r="C558" s="11">
        <v>150000</v>
      </c>
      <c r="D558" s="11"/>
      <c r="E558" t="s">
        <v>591</v>
      </c>
      <c r="F558" s="108" t="s">
        <v>108</v>
      </c>
    </row>
    <row r="559" spans="1:6" x14ac:dyDescent="0.3">
      <c r="A559" s="111">
        <v>46160</v>
      </c>
      <c r="B559" t="s">
        <v>257</v>
      </c>
      <c r="C559" s="11">
        <v>100000</v>
      </c>
      <c r="D559" s="11"/>
      <c r="E559" t="s">
        <v>592</v>
      </c>
      <c r="F559" s="108" t="s">
        <v>108</v>
      </c>
    </row>
    <row r="560" spans="1:6" x14ac:dyDescent="0.3">
      <c r="A560" s="111">
        <v>46160</v>
      </c>
      <c r="B560" t="s">
        <v>219</v>
      </c>
      <c r="C560" s="11"/>
      <c r="D560" s="11">
        <v>115000</v>
      </c>
      <c r="E560" t="s">
        <v>593</v>
      </c>
      <c r="F560" s="108" t="s">
        <v>108</v>
      </c>
    </row>
    <row r="561" spans="1:6" x14ac:dyDescent="0.3">
      <c r="A561" s="111">
        <v>46160</v>
      </c>
      <c r="B561" t="s">
        <v>221</v>
      </c>
      <c r="C561" s="11">
        <v>115000</v>
      </c>
      <c r="D561" s="11"/>
      <c r="E561" t="s">
        <v>594</v>
      </c>
      <c r="F561" s="108" t="s">
        <v>108</v>
      </c>
    </row>
    <row r="562" spans="1:6" x14ac:dyDescent="0.3">
      <c r="A562" s="111">
        <v>46160</v>
      </c>
      <c r="B562" t="s">
        <v>211</v>
      </c>
      <c r="C562" s="95">
        <v>780</v>
      </c>
      <c r="D562" s="95"/>
      <c r="F562" s="108" t="s">
        <v>108</v>
      </c>
    </row>
    <row r="563" spans="1:6" x14ac:dyDescent="0.3">
      <c r="A563" s="111">
        <v>46161</v>
      </c>
      <c r="B563" t="s">
        <v>493</v>
      </c>
      <c r="C563" s="11"/>
      <c r="D563" s="11">
        <v>50000</v>
      </c>
      <c r="E563" t="s">
        <v>271</v>
      </c>
      <c r="F563" s="108" t="s">
        <v>108</v>
      </c>
    </row>
    <row r="564" spans="1:6" x14ac:dyDescent="0.3">
      <c r="A564" s="111">
        <v>46161</v>
      </c>
      <c r="B564" t="s">
        <v>219</v>
      </c>
      <c r="C564" s="11">
        <v>50000</v>
      </c>
      <c r="D564" s="11"/>
      <c r="E564" t="s">
        <v>628</v>
      </c>
      <c r="F564" s="108" t="s">
        <v>108</v>
      </c>
    </row>
    <row r="565" spans="1:6" x14ac:dyDescent="0.3">
      <c r="A565" s="111">
        <v>46161</v>
      </c>
      <c r="B565" t="s">
        <v>55</v>
      </c>
      <c r="C565" s="11">
        <v>7020</v>
      </c>
      <c r="D565" s="11"/>
      <c r="E565" t="s">
        <v>595</v>
      </c>
      <c r="F565" s="108" t="s">
        <v>108</v>
      </c>
    </row>
    <row r="566" spans="1:6" x14ac:dyDescent="0.3">
      <c r="A566" s="111">
        <v>46161</v>
      </c>
      <c r="B566" t="s">
        <v>219</v>
      </c>
      <c r="C566" s="95"/>
      <c r="D566" s="95">
        <v>7020</v>
      </c>
      <c r="E566" t="s">
        <v>595</v>
      </c>
      <c r="F566" s="108" t="s">
        <v>108</v>
      </c>
    </row>
    <row r="567" spans="1:6" x14ac:dyDescent="0.3">
      <c r="A567" s="111">
        <v>46161</v>
      </c>
      <c r="B567" t="s">
        <v>219</v>
      </c>
      <c r="C567" s="95"/>
      <c r="D567" s="95">
        <v>10000</v>
      </c>
      <c r="E567" t="s">
        <v>318</v>
      </c>
      <c r="F567" s="108" t="s">
        <v>108</v>
      </c>
    </row>
    <row r="568" spans="1:6" x14ac:dyDescent="0.3">
      <c r="A568" s="111">
        <v>46161</v>
      </c>
      <c r="B568" t="s">
        <v>55</v>
      </c>
      <c r="C568" s="95">
        <v>1500</v>
      </c>
      <c r="D568" s="95"/>
      <c r="F568" s="108" t="s">
        <v>108</v>
      </c>
    </row>
    <row r="569" spans="1:6" x14ac:dyDescent="0.3">
      <c r="A569" s="111">
        <v>46161</v>
      </c>
      <c r="B569" t="s">
        <v>55</v>
      </c>
      <c r="C569" s="95">
        <v>600</v>
      </c>
      <c r="D569" s="95"/>
      <c r="F569" s="108" t="s">
        <v>108</v>
      </c>
    </row>
    <row r="570" spans="1:6" x14ac:dyDescent="0.3">
      <c r="A570" s="111">
        <v>46161</v>
      </c>
      <c r="B570" t="s">
        <v>386</v>
      </c>
      <c r="C570" s="95">
        <v>1650</v>
      </c>
      <c r="D570" s="95"/>
      <c r="E570" t="s">
        <v>596</v>
      </c>
      <c r="F570" s="108" t="s">
        <v>108</v>
      </c>
    </row>
    <row r="571" spans="1:6" x14ac:dyDescent="0.3">
      <c r="A571" s="111">
        <v>46161</v>
      </c>
      <c r="B571" t="s">
        <v>219</v>
      </c>
      <c r="C571" s="95"/>
      <c r="D571" s="95">
        <v>120000</v>
      </c>
      <c r="E571" t="s">
        <v>597</v>
      </c>
      <c r="F571" s="108" t="s">
        <v>108</v>
      </c>
    </row>
    <row r="572" spans="1:6" x14ac:dyDescent="0.3">
      <c r="A572" s="38">
        <v>46161</v>
      </c>
      <c r="B572" t="s">
        <v>253</v>
      </c>
      <c r="C572" s="95">
        <v>115000</v>
      </c>
      <c r="D572" s="95"/>
      <c r="E572" t="s">
        <v>262</v>
      </c>
      <c r="F572" s="108" t="s">
        <v>108</v>
      </c>
    </row>
    <row r="573" spans="1:6" x14ac:dyDescent="0.3">
      <c r="A573" s="38">
        <v>46161</v>
      </c>
      <c r="B573" t="s">
        <v>253</v>
      </c>
      <c r="C573" s="95">
        <v>25000</v>
      </c>
      <c r="D573" s="95"/>
      <c r="E573" t="s">
        <v>598</v>
      </c>
      <c r="F573" s="108" t="s">
        <v>108</v>
      </c>
    </row>
    <row r="574" spans="1:6" x14ac:dyDescent="0.3">
      <c r="A574" s="38">
        <v>46161</v>
      </c>
      <c r="B574" t="s">
        <v>211</v>
      </c>
      <c r="C574" s="95"/>
      <c r="D574" s="95">
        <v>25000</v>
      </c>
      <c r="E574" t="s">
        <v>599</v>
      </c>
      <c r="F574" s="108" t="s">
        <v>108</v>
      </c>
    </row>
    <row r="575" spans="1:6" x14ac:dyDescent="0.3">
      <c r="A575" s="38">
        <v>46161</v>
      </c>
      <c r="B575" t="s">
        <v>219</v>
      </c>
      <c r="C575" s="95"/>
      <c r="D575" s="95">
        <v>35000</v>
      </c>
      <c r="E575" t="s">
        <v>600</v>
      </c>
      <c r="F575" s="108" t="s">
        <v>108</v>
      </c>
    </row>
    <row r="576" spans="1:6" x14ac:dyDescent="0.3">
      <c r="A576" s="38">
        <v>46161</v>
      </c>
      <c r="B576" t="s">
        <v>253</v>
      </c>
      <c r="C576" s="95">
        <v>35000</v>
      </c>
      <c r="D576" s="95"/>
      <c r="E576" t="s">
        <v>252</v>
      </c>
      <c r="F576" s="108" t="s">
        <v>108</v>
      </c>
    </row>
    <row r="577" spans="1:6" x14ac:dyDescent="0.3">
      <c r="A577" s="38">
        <v>46161</v>
      </c>
      <c r="B577" t="s">
        <v>219</v>
      </c>
      <c r="C577" s="95"/>
      <c r="D577" s="95"/>
      <c r="E577" t="s">
        <v>601</v>
      </c>
      <c r="F577" s="108" t="s">
        <v>108</v>
      </c>
    </row>
    <row r="578" spans="1:6" x14ac:dyDescent="0.3">
      <c r="A578" s="38">
        <v>46161</v>
      </c>
      <c r="B578" t="s">
        <v>253</v>
      </c>
      <c r="C578" s="95"/>
      <c r="D578" s="95"/>
      <c r="E578" t="s">
        <v>602</v>
      </c>
      <c r="F578" s="108" t="s">
        <v>108</v>
      </c>
    </row>
    <row r="579" spans="1:6" x14ac:dyDescent="0.3">
      <c r="A579" s="38">
        <v>46161</v>
      </c>
      <c r="B579" t="s">
        <v>269</v>
      </c>
      <c r="C579" s="95"/>
      <c r="D579" s="95"/>
      <c r="E579" t="s">
        <v>603</v>
      </c>
      <c r="F579" s="108" t="s">
        <v>108</v>
      </c>
    </row>
    <row r="580" spans="1:6" x14ac:dyDescent="0.3">
      <c r="A580" s="38">
        <v>46161</v>
      </c>
      <c r="B580" t="s">
        <v>211</v>
      </c>
      <c r="C580" s="95">
        <v>780</v>
      </c>
      <c r="D580" s="95"/>
      <c r="F580" s="108" t="s">
        <v>108</v>
      </c>
    </row>
    <row r="581" spans="1:6" x14ac:dyDescent="0.3">
      <c r="A581" s="38">
        <v>46162</v>
      </c>
      <c r="B581" t="s">
        <v>211</v>
      </c>
      <c r="C581" s="95">
        <v>400</v>
      </c>
      <c r="D581" s="95"/>
      <c r="F581" s="108" t="s">
        <v>108</v>
      </c>
    </row>
    <row r="582" spans="1:6" x14ac:dyDescent="0.3">
      <c r="A582" s="38">
        <v>46162</v>
      </c>
      <c r="B582" t="s">
        <v>219</v>
      </c>
      <c r="C582" s="95"/>
      <c r="D582" s="95">
        <v>20000</v>
      </c>
      <c r="E582" t="s">
        <v>320</v>
      </c>
      <c r="F582" s="108" t="s">
        <v>108</v>
      </c>
    </row>
    <row r="583" spans="1:6" x14ac:dyDescent="0.3">
      <c r="A583" s="38">
        <v>46162</v>
      </c>
      <c r="B583" t="s">
        <v>116</v>
      </c>
      <c r="C583" s="95">
        <v>16000</v>
      </c>
      <c r="D583" s="95"/>
      <c r="E583" t="s">
        <v>604</v>
      </c>
      <c r="F583" s="108" t="s">
        <v>108</v>
      </c>
    </row>
    <row r="584" spans="1:6" x14ac:dyDescent="0.3">
      <c r="A584" s="38">
        <v>46162</v>
      </c>
      <c r="B584" t="s">
        <v>269</v>
      </c>
      <c r="C584" s="95">
        <v>10000</v>
      </c>
      <c r="D584" s="95"/>
      <c r="E584" t="s">
        <v>580</v>
      </c>
      <c r="F584" s="108" t="s">
        <v>108</v>
      </c>
    </row>
    <row r="585" spans="1:6" x14ac:dyDescent="0.3">
      <c r="A585" s="38">
        <v>46162</v>
      </c>
      <c r="B585" t="s">
        <v>211</v>
      </c>
      <c r="C585" s="95"/>
      <c r="D585" s="95"/>
      <c r="F585" s="108" t="s">
        <v>108</v>
      </c>
    </row>
    <row r="586" spans="1:6" x14ac:dyDescent="0.3">
      <c r="A586" s="38">
        <v>46162</v>
      </c>
      <c r="B586" t="s">
        <v>357</v>
      </c>
      <c r="C586" s="95">
        <v>4800</v>
      </c>
      <c r="D586" s="95"/>
      <c r="F586" s="108" t="s">
        <v>108</v>
      </c>
    </row>
    <row r="587" spans="1:6" x14ac:dyDescent="0.3">
      <c r="A587" s="38">
        <v>46162</v>
      </c>
      <c r="B587" t="s">
        <v>219</v>
      </c>
      <c r="C587" s="95"/>
      <c r="D587" s="95">
        <v>260000</v>
      </c>
      <c r="E587" t="s">
        <v>605</v>
      </c>
      <c r="F587" s="108" t="s">
        <v>108</v>
      </c>
    </row>
    <row r="588" spans="1:6" x14ac:dyDescent="0.3">
      <c r="A588" s="38">
        <v>46163</v>
      </c>
      <c r="B588" t="s">
        <v>219</v>
      </c>
      <c r="C588" s="95"/>
      <c r="D588" s="95">
        <v>625000</v>
      </c>
      <c r="E588" t="s">
        <v>540</v>
      </c>
      <c r="F588" s="108" t="s">
        <v>108</v>
      </c>
    </row>
    <row r="589" spans="1:6" x14ac:dyDescent="0.3">
      <c r="A589" s="38">
        <v>46163</v>
      </c>
      <c r="B589" t="s">
        <v>219</v>
      </c>
      <c r="C589" s="95"/>
      <c r="D589" s="95">
        <v>190000</v>
      </c>
      <c r="E589" t="s">
        <v>540</v>
      </c>
      <c r="F589" s="108" t="s">
        <v>108</v>
      </c>
    </row>
    <row r="590" spans="1:6" x14ac:dyDescent="0.3">
      <c r="A590" s="38">
        <v>46163</v>
      </c>
      <c r="B590" t="s">
        <v>219</v>
      </c>
      <c r="C590" s="95"/>
      <c r="D590" s="95">
        <v>100000</v>
      </c>
      <c r="E590" t="s">
        <v>616</v>
      </c>
      <c r="F590" s="108" t="s">
        <v>108</v>
      </c>
    </row>
    <row r="591" spans="1:6" x14ac:dyDescent="0.3">
      <c r="A591" s="38">
        <v>46163</v>
      </c>
      <c r="B591" t="s">
        <v>219</v>
      </c>
      <c r="C591" s="95"/>
      <c r="D591" s="95">
        <v>300000</v>
      </c>
      <c r="F591" s="108" t="s">
        <v>108</v>
      </c>
    </row>
    <row r="592" spans="1:6" x14ac:dyDescent="0.3">
      <c r="A592" s="38">
        <v>46163</v>
      </c>
      <c r="B592" t="s">
        <v>623</v>
      </c>
      <c r="C592" s="95">
        <v>1467298</v>
      </c>
      <c r="D592" s="95"/>
      <c r="E592" t="s">
        <v>624</v>
      </c>
      <c r="F592" s="108" t="s">
        <v>108</v>
      </c>
    </row>
    <row r="593" spans="1:6" x14ac:dyDescent="0.3">
      <c r="A593" s="38">
        <v>46163</v>
      </c>
      <c r="B593" t="s">
        <v>175</v>
      </c>
      <c r="C593" s="95">
        <v>35500</v>
      </c>
      <c r="D593" s="95"/>
      <c r="E593" t="s">
        <v>617</v>
      </c>
      <c r="F593" s="108" t="s">
        <v>108</v>
      </c>
    </row>
    <row r="594" spans="1:6" x14ac:dyDescent="0.3">
      <c r="A594" s="38">
        <v>46163</v>
      </c>
      <c r="B594" t="s">
        <v>219</v>
      </c>
      <c r="C594" s="95"/>
      <c r="D594" s="95">
        <v>35500</v>
      </c>
      <c r="E594" t="s">
        <v>568</v>
      </c>
      <c r="F594" s="108" t="s">
        <v>108</v>
      </c>
    </row>
    <row r="595" spans="1:6" x14ac:dyDescent="0.3">
      <c r="A595" s="38">
        <v>46163</v>
      </c>
      <c r="B595" t="s">
        <v>539</v>
      </c>
      <c r="C595" s="95"/>
      <c r="D595" s="95">
        <v>200000</v>
      </c>
      <c r="E595" t="s">
        <v>21</v>
      </c>
      <c r="F595" s="108" t="s">
        <v>108</v>
      </c>
    </row>
    <row r="596" spans="1:6" x14ac:dyDescent="0.3">
      <c r="A596" s="38">
        <v>46163</v>
      </c>
      <c r="B596" t="s">
        <v>219</v>
      </c>
      <c r="C596" s="11">
        <v>200000</v>
      </c>
      <c r="D596" s="11"/>
      <c r="E596" t="s">
        <v>627</v>
      </c>
      <c r="F596" s="108" t="s">
        <v>108</v>
      </c>
    </row>
    <row r="597" spans="1:6" x14ac:dyDescent="0.3">
      <c r="A597" s="38">
        <v>46163</v>
      </c>
      <c r="B597" t="s">
        <v>211</v>
      </c>
      <c r="C597" s="95">
        <v>1800</v>
      </c>
      <c r="D597" s="95"/>
      <c r="F597" s="108" t="s">
        <v>108</v>
      </c>
    </row>
    <row r="598" spans="1:6" x14ac:dyDescent="0.3">
      <c r="A598" s="38">
        <v>46164</v>
      </c>
      <c r="B598" t="s">
        <v>219</v>
      </c>
      <c r="C598" s="11"/>
      <c r="D598" s="11">
        <v>10000</v>
      </c>
      <c r="E598" t="s">
        <v>629</v>
      </c>
      <c r="F598" s="108" t="s">
        <v>108</v>
      </c>
    </row>
    <row r="599" spans="1:6" x14ac:dyDescent="0.3">
      <c r="A599" s="38">
        <v>46164</v>
      </c>
      <c r="B599" t="s">
        <v>269</v>
      </c>
      <c r="C599" s="11">
        <v>10000</v>
      </c>
      <c r="D599" s="11"/>
      <c r="E599" t="s">
        <v>252</v>
      </c>
      <c r="F599" s="108" t="s">
        <v>108</v>
      </c>
    </row>
    <row r="600" spans="1:6" x14ac:dyDescent="0.3">
      <c r="A600" s="38">
        <v>46164</v>
      </c>
      <c r="B600" t="s">
        <v>55</v>
      </c>
      <c r="C600" s="11">
        <v>1200</v>
      </c>
      <c r="D600" s="11"/>
      <c r="F600" s="108" t="s">
        <v>108</v>
      </c>
    </row>
    <row r="601" spans="1:6" x14ac:dyDescent="0.3">
      <c r="A601" s="38">
        <v>46165</v>
      </c>
      <c r="B601" t="s">
        <v>116</v>
      </c>
      <c r="C601" s="95">
        <v>37000</v>
      </c>
      <c r="D601" s="95"/>
      <c r="E601" t="s">
        <v>564</v>
      </c>
      <c r="F601" s="108" t="s">
        <v>108</v>
      </c>
    </row>
    <row r="602" spans="1:6" x14ac:dyDescent="0.3">
      <c r="A602" s="38">
        <v>46165</v>
      </c>
      <c r="B602" t="s">
        <v>219</v>
      </c>
      <c r="C602" s="95"/>
      <c r="D602" s="95">
        <v>37000</v>
      </c>
      <c r="E602" t="s">
        <v>163</v>
      </c>
      <c r="F602" s="108" t="s">
        <v>108</v>
      </c>
    </row>
    <row r="603" spans="1:6" x14ac:dyDescent="0.3">
      <c r="A603" s="111">
        <v>46165</v>
      </c>
      <c r="B603" t="s">
        <v>55</v>
      </c>
      <c r="C603" s="95">
        <v>30000</v>
      </c>
      <c r="D603" s="95"/>
      <c r="E603" t="s">
        <v>630</v>
      </c>
      <c r="F603" s="108" t="s">
        <v>108</v>
      </c>
    </row>
    <row r="604" spans="1:6" x14ac:dyDescent="0.3">
      <c r="A604" s="38">
        <v>46165</v>
      </c>
      <c r="B604" t="s">
        <v>219</v>
      </c>
      <c r="C604" s="95"/>
      <c r="D604" s="95">
        <v>30000</v>
      </c>
      <c r="E604" t="s">
        <v>631</v>
      </c>
      <c r="F604" s="108" t="s">
        <v>108</v>
      </c>
    </row>
    <row r="605" spans="1:6" x14ac:dyDescent="0.3">
      <c r="A605" s="111">
        <v>46165</v>
      </c>
      <c r="B605" t="s">
        <v>253</v>
      </c>
      <c r="C605" s="95">
        <v>100000</v>
      </c>
      <c r="D605" s="95"/>
      <c r="E605" t="s">
        <v>262</v>
      </c>
      <c r="F605" s="108" t="s">
        <v>108</v>
      </c>
    </row>
    <row r="606" spans="1:6" x14ac:dyDescent="0.3">
      <c r="A606" s="111">
        <v>46165</v>
      </c>
      <c r="B606" t="s">
        <v>219</v>
      </c>
      <c r="C606" s="95"/>
      <c r="D606" s="95">
        <v>100000</v>
      </c>
      <c r="E606" t="s">
        <v>632</v>
      </c>
      <c r="F606" s="108" t="s">
        <v>108</v>
      </c>
    </row>
    <row r="607" spans="1:6" x14ac:dyDescent="0.3">
      <c r="A607" s="111">
        <v>46165</v>
      </c>
      <c r="B607" t="s">
        <v>115</v>
      </c>
      <c r="C607" s="95">
        <v>200000</v>
      </c>
      <c r="D607" s="95"/>
      <c r="E607" t="s">
        <v>633</v>
      </c>
      <c r="F607" s="108" t="s">
        <v>108</v>
      </c>
    </row>
    <row r="608" spans="1:6" x14ac:dyDescent="0.3">
      <c r="A608" s="38">
        <v>46165</v>
      </c>
      <c r="B608" t="s">
        <v>219</v>
      </c>
      <c r="C608" s="95"/>
      <c r="D608" s="95">
        <v>200000</v>
      </c>
      <c r="E608" t="s">
        <v>308</v>
      </c>
      <c r="F608" s="108" t="s">
        <v>108</v>
      </c>
    </row>
    <row r="609" spans="1:6" x14ac:dyDescent="0.3">
      <c r="A609" s="38">
        <v>46165</v>
      </c>
      <c r="B609" t="s">
        <v>219</v>
      </c>
      <c r="C609" s="95"/>
      <c r="D609" s="95">
        <v>30000</v>
      </c>
      <c r="E609" t="s">
        <v>634</v>
      </c>
      <c r="F609" s="108" t="s">
        <v>108</v>
      </c>
    </row>
    <row r="610" spans="1:6" x14ac:dyDescent="0.3">
      <c r="A610" s="38">
        <v>46165</v>
      </c>
      <c r="B610" t="s">
        <v>55</v>
      </c>
      <c r="C610" s="95">
        <v>27400</v>
      </c>
      <c r="D610" s="95"/>
      <c r="E610" t="s">
        <v>259</v>
      </c>
      <c r="F610" s="108" t="s">
        <v>108</v>
      </c>
    </row>
    <row r="611" spans="1:6" x14ac:dyDescent="0.3">
      <c r="A611" s="38">
        <v>46166</v>
      </c>
      <c r="B611" t="s">
        <v>219</v>
      </c>
      <c r="C611" s="95"/>
      <c r="D611" s="95">
        <v>1560</v>
      </c>
      <c r="E611" t="s">
        <v>113</v>
      </c>
      <c r="F611" s="108" t="s">
        <v>108</v>
      </c>
    </row>
    <row r="612" spans="1:6" x14ac:dyDescent="0.3">
      <c r="A612" s="38">
        <v>46166</v>
      </c>
      <c r="B612" t="s">
        <v>357</v>
      </c>
      <c r="C612" s="95">
        <v>1560</v>
      </c>
      <c r="D612" s="95"/>
      <c r="F612" s="108" t="s">
        <v>108</v>
      </c>
    </row>
    <row r="613" spans="1:6" x14ac:dyDescent="0.3">
      <c r="A613" s="38">
        <v>46166</v>
      </c>
      <c r="B613" t="s">
        <v>253</v>
      </c>
      <c r="C613" s="95">
        <v>25000</v>
      </c>
      <c r="D613" s="95"/>
      <c r="E613" t="s">
        <v>580</v>
      </c>
      <c r="F613" s="108" t="s">
        <v>108</v>
      </c>
    </row>
    <row r="614" spans="1:6" x14ac:dyDescent="0.3">
      <c r="A614" s="38">
        <v>46166</v>
      </c>
      <c r="B614" t="s">
        <v>219</v>
      </c>
      <c r="C614" s="95"/>
      <c r="D614" s="95">
        <v>25000</v>
      </c>
      <c r="E614" t="s">
        <v>580</v>
      </c>
      <c r="F614" s="108" t="s">
        <v>108</v>
      </c>
    </row>
    <row r="615" spans="1:6" x14ac:dyDescent="0.3">
      <c r="A615" s="38">
        <v>46166</v>
      </c>
      <c r="B615" t="s">
        <v>55</v>
      </c>
      <c r="C615" s="95">
        <v>1000</v>
      </c>
      <c r="D615" s="95"/>
      <c r="F615" s="108" t="s">
        <v>108</v>
      </c>
    </row>
    <row r="616" spans="1:6" x14ac:dyDescent="0.3">
      <c r="A616" s="38">
        <v>46166</v>
      </c>
      <c r="B616" t="s">
        <v>55</v>
      </c>
      <c r="C616" s="95">
        <v>450</v>
      </c>
      <c r="D616" s="95"/>
      <c r="F616" s="108" t="s">
        <v>108</v>
      </c>
    </row>
    <row r="617" spans="1:6" x14ac:dyDescent="0.3">
      <c r="A617" s="38">
        <v>46166</v>
      </c>
      <c r="B617" t="s">
        <v>219</v>
      </c>
      <c r="C617" s="95"/>
      <c r="D617" s="95">
        <v>1450</v>
      </c>
      <c r="F617" s="108" t="s">
        <v>108</v>
      </c>
    </row>
    <row r="618" spans="1:6" x14ac:dyDescent="0.3">
      <c r="A618" s="38">
        <v>46166</v>
      </c>
      <c r="B618" t="s">
        <v>116</v>
      </c>
      <c r="C618" s="95">
        <v>39000</v>
      </c>
      <c r="D618" s="95"/>
      <c r="E618" t="s">
        <v>61</v>
      </c>
      <c r="F618" s="108" t="s">
        <v>108</v>
      </c>
    </row>
    <row r="619" spans="1:6" x14ac:dyDescent="0.3">
      <c r="A619" s="38">
        <v>46166</v>
      </c>
      <c r="B619" t="s">
        <v>219</v>
      </c>
      <c r="C619" s="95"/>
      <c r="D619" s="95">
        <v>39000</v>
      </c>
      <c r="E619" t="s">
        <v>61</v>
      </c>
      <c r="F619" s="108" t="s">
        <v>108</v>
      </c>
    </row>
    <row r="620" spans="1:6" x14ac:dyDescent="0.3">
      <c r="A620" s="38">
        <v>46167</v>
      </c>
      <c r="B620" t="s">
        <v>55</v>
      </c>
      <c r="C620" s="95">
        <v>170</v>
      </c>
      <c r="D620" s="95"/>
      <c r="F620" s="108" t="s">
        <v>108</v>
      </c>
    </row>
    <row r="621" spans="1:6" x14ac:dyDescent="0.3">
      <c r="A621" s="38">
        <v>46167</v>
      </c>
      <c r="B621" t="s">
        <v>211</v>
      </c>
      <c r="C621" s="95">
        <v>1300</v>
      </c>
      <c r="D621" s="95"/>
      <c r="F621" s="108" t="s">
        <v>108</v>
      </c>
    </row>
    <row r="622" spans="1:6" x14ac:dyDescent="0.3">
      <c r="A622" s="38">
        <v>46167</v>
      </c>
      <c r="B622" t="s">
        <v>55</v>
      </c>
      <c r="C622" s="95">
        <v>400</v>
      </c>
      <c r="D622" s="95"/>
      <c r="F622" s="108" t="s">
        <v>108</v>
      </c>
    </row>
    <row r="623" spans="1:6" x14ac:dyDescent="0.3">
      <c r="A623" s="38">
        <v>46167</v>
      </c>
      <c r="B623" t="s">
        <v>55</v>
      </c>
      <c r="C623" s="95">
        <v>600</v>
      </c>
      <c r="D623" s="95"/>
      <c r="F623" s="108" t="s">
        <v>108</v>
      </c>
    </row>
    <row r="624" spans="1:6" x14ac:dyDescent="0.3">
      <c r="A624" s="38">
        <v>46167</v>
      </c>
      <c r="B624" t="s">
        <v>211</v>
      </c>
      <c r="C624" s="95">
        <v>450</v>
      </c>
      <c r="D624" s="95"/>
      <c r="F624" s="108" t="s">
        <v>108</v>
      </c>
    </row>
    <row r="625" spans="1:6" x14ac:dyDescent="0.3">
      <c r="A625" s="38">
        <v>46167</v>
      </c>
      <c r="B625" t="s">
        <v>493</v>
      </c>
      <c r="C625" s="95"/>
      <c r="D625" s="95">
        <v>75000</v>
      </c>
      <c r="F625" s="108" t="s">
        <v>108</v>
      </c>
    </row>
    <row r="626" spans="1:6" x14ac:dyDescent="0.3">
      <c r="A626" s="38">
        <v>46167</v>
      </c>
      <c r="B626" t="s">
        <v>219</v>
      </c>
      <c r="C626" s="95">
        <v>75000</v>
      </c>
      <c r="D626" s="95"/>
      <c r="F626" s="108" t="s">
        <v>108</v>
      </c>
    </row>
    <row r="627" spans="1:6" x14ac:dyDescent="0.3">
      <c r="A627" s="38">
        <v>46167</v>
      </c>
      <c r="B627" t="s">
        <v>357</v>
      </c>
      <c r="C627" s="95">
        <v>6550</v>
      </c>
      <c r="D627" s="95"/>
      <c r="F627" s="108" t="s">
        <v>108</v>
      </c>
    </row>
    <row r="628" spans="1:6" x14ac:dyDescent="0.3">
      <c r="A628" s="38">
        <v>46167</v>
      </c>
      <c r="B628" t="s">
        <v>253</v>
      </c>
      <c r="C628" s="95">
        <v>16000</v>
      </c>
      <c r="D628" s="95"/>
      <c r="E628" t="s">
        <v>423</v>
      </c>
      <c r="F628" s="108" t="s">
        <v>108</v>
      </c>
    </row>
    <row r="629" spans="1:6" x14ac:dyDescent="0.3">
      <c r="A629" s="38">
        <v>46167</v>
      </c>
      <c r="B629" t="s">
        <v>269</v>
      </c>
      <c r="C629" s="95">
        <v>15000</v>
      </c>
      <c r="D629" s="95"/>
      <c r="E629" t="s">
        <v>635</v>
      </c>
      <c r="F629" s="108" t="s">
        <v>108</v>
      </c>
    </row>
    <row r="630" spans="1:6" x14ac:dyDescent="0.3">
      <c r="A630" s="38">
        <v>46167</v>
      </c>
      <c r="B630" t="s">
        <v>219</v>
      </c>
      <c r="C630" s="95"/>
      <c r="D630" s="95">
        <v>15000</v>
      </c>
      <c r="E630" t="s">
        <v>635</v>
      </c>
      <c r="F630" s="108" t="s">
        <v>108</v>
      </c>
    </row>
    <row r="631" spans="1:6" x14ac:dyDescent="0.3">
      <c r="A631" s="111">
        <v>46167</v>
      </c>
      <c r="B631" t="s">
        <v>636</v>
      </c>
      <c r="C631" s="95"/>
      <c r="D631" s="95">
        <v>500000</v>
      </c>
      <c r="E631" t="s">
        <v>637</v>
      </c>
      <c r="F631" s="108" t="s">
        <v>108</v>
      </c>
    </row>
    <row r="632" spans="1:6" x14ac:dyDescent="0.3">
      <c r="A632" s="111">
        <v>46167</v>
      </c>
      <c r="B632" t="s">
        <v>257</v>
      </c>
      <c r="C632" s="95">
        <v>2000</v>
      </c>
      <c r="D632" s="95"/>
      <c r="E632" t="s">
        <v>265</v>
      </c>
      <c r="F632" s="108" t="s">
        <v>108</v>
      </c>
    </row>
    <row r="633" spans="1:6" x14ac:dyDescent="0.3">
      <c r="A633" s="38">
        <v>46167</v>
      </c>
      <c r="B633" t="s">
        <v>517</v>
      </c>
      <c r="C633" s="95">
        <v>8000</v>
      </c>
      <c r="D633" s="95"/>
      <c r="E633" t="s">
        <v>265</v>
      </c>
      <c r="F633" s="108" t="s">
        <v>108</v>
      </c>
    </row>
    <row r="634" spans="1:6" x14ac:dyDescent="0.3">
      <c r="A634" s="38">
        <v>46167</v>
      </c>
      <c r="B634" t="s">
        <v>222</v>
      </c>
      <c r="C634" s="95">
        <v>6000</v>
      </c>
      <c r="D634" s="95"/>
      <c r="E634" t="s">
        <v>265</v>
      </c>
      <c r="F634" s="108" t="s">
        <v>108</v>
      </c>
    </row>
    <row r="635" spans="1:6" x14ac:dyDescent="0.3">
      <c r="A635" s="38">
        <v>46167</v>
      </c>
      <c r="B635" s="136" t="s">
        <v>476</v>
      </c>
      <c r="C635" s="137">
        <v>1000</v>
      </c>
      <c r="D635" s="137"/>
      <c r="E635" t="s">
        <v>265</v>
      </c>
      <c r="F635" s="108" t="s">
        <v>108</v>
      </c>
    </row>
    <row r="636" spans="1:6" x14ac:dyDescent="0.3">
      <c r="A636" s="38">
        <v>46167</v>
      </c>
      <c r="B636" t="s">
        <v>257</v>
      </c>
      <c r="C636" s="95">
        <v>50000</v>
      </c>
      <c r="D636" s="95"/>
      <c r="E636" t="s">
        <v>638</v>
      </c>
      <c r="F636" s="108" t="s">
        <v>108</v>
      </c>
    </row>
    <row r="637" spans="1:6" x14ac:dyDescent="0.3">
      <c r="A637" s="38">
        <v>46167</v>
      </c>
      <c r="B637" t="s">
        <v>654</v>
      </c>
      <c r="C637" s="95"/>
      <c r="D637" s="95">
        <v>100000</v>
      </c>
      <c r="E637" t="s">
        <v>109</v>
      </c>
      <c r="F637" s="108" t="s">
        <v>108</v>
      </c>
    </row>
    <row r="638" spans="1:6" x14ac:dyDescent="0.3">
      <c r="A638" s="38">
        <v>46167</v>
      </c>
      <c r="B638" t="s">
        <v>253</v>
      </c>
      <c r="C638" s="11">
        <v>80000</v>
      </c>
      <c r="D638" s="11"/>
      <c r="E638" t="s">
        <v>288</v>
      </c>
      <c r="F638" s="108" t="s">
        <v>108</v>
      </c>
    </row>
    <row r="639" spans="1:6" x14ac:dyDescent="0.3">
      <c r="A639" s="111">
        <v>46167</v>
      </c>
      <c r="B639" t="s">
        <v>298</v>
      </c>
      <c r="C639" s="11">
        <v>20000</v>
      </c>
      <c r="D639" s="11"/>
      <c r="F639" s="108" t="s">
        <v>108</v>
      </c>
    </row>
    <row r="640" spans="1:6" x14ac:dyDescent="0.3">
      <c r="A640" s="111">
        <v>46167</v>
      </c>
      <c r="B640" t="s">
        <v>219</v>
      </c>
      <c r="C640" s="11"/>
      <c r="D640" s="11">
        <v>1184000</v>
      </c>
      <c r="E640" t="s">
        <v>651</v>
      </c>
      <c r="F640" s="108" t="s">
        <v>108</v>
      </c>
    </row>
    <row r="641" spans="1:6" x14ac:dyDescent="0.3">
      <c r="A641" s="111">
        <v>46167</v>
      </c>
      <c r="B641" t="s">
        <v>253</v>
      </c>
      <c r="C641" s="95">
        <v>5000</v>
      </c>
      <c r="D641" s="95"/>
      <c r="E641" t="s">
        <v>652</v>
      </c>
      <c r="F641" s="108" t="s">
        <v>108</v>
      </c>
    </row>
    <row r="642" spans="1:6" x14ac:dyDescent="0.3">
      <c r="A642" s="38">
        <v>46167</v>
      </c>
      <c r="B642" t="s">
        <v>269</v>
      </c>
      <c r="C642" s="95">
        <v>20000</v>
      </c>
      <c r="D642" s="95"/>
      <c r="E642" t="s">
        <v>653</v>
      </c>
      <c r="F642" s="108" t="s">
        <v>108</v>
      </c>
    </row>
    <row r="643" spans="1:6" x14ac:dyDescent="0.3">
      <c r="A643" s="38">
        <v>46167</v>
      </c>
      <c r="B643" t="s">
        <v>253</v>
      </c>
      <c r="C643" s="95">
        <v>1154260</v>
      </c>
      <c r="D643" s="95"/>
      <c r="F643" s="108"/>
    </row>
    <row r="644" spans="1:6" x14ac:dyDescent="0.3">
      <c r="A644" s="38">
        <v>46168</v>
      </c>
      <c r="B644" t="s">
        <v>253</v>
      </c>
      <c r="C644" s="95">
        <v>35000</v>
      </c>
      <c r="D644" s="95"/>
      <c r="E644" t="s">
        <v>288</v>
      </c>
      <c r="F644" s="108" t="s">
        <v>108</v>
      </c>
    </row>
    <row r="645" spans="1:6" x14ac:dyDescent="0.3">
      <c r="A645" s="38">
        <v>46168</v>
      </c>
      <c r="B645" t="s">
        <v>269</v>
      </c>
      <c r="C645" s="95">
        <v>30000</v>
      </c>
      <c r="D645" s="95"/>
      <c r="E645" t="s">
        <v>406</v>
      </c>
      <c r="F645" s="108" t="s">
        <v>108</v>
      </c>
    </row>
    <row r="646" spans="1:6" x14ac:dyDescent="0.3">
      <c r="A646" s="38">
        <v>46168</v>
      </c>
      <c r="B646" t="s">
        <v>219</v>
      </c>
      <c r="C646" s="95"/>
      <c r="D646" s="95">
        <v>30000</v>
      </c>
      <c r="E646" t="s">
        <v>406</v>
      </c>
      <c r="F646" s="108" t="s">
        <v>108</v>
      </c>
    </row>
    <row r="647" spans="1:6" x14ac:dyDescent="0.3">
      <c r="A647" s="38">
        <v>46168</v>
      </c>
      <c r="B647" t="s">
        <v>55</v>
      </c>
      <c r="C647" s="95">
        <v>20000</v>
      </c>
      <c r="D647" s="95"/>
      <c r="E647" t="s">
        <v>639</v>
      </c>
      <c r="F647" s="108" t="s">
        <v>108</v>
      </c>
    </row>
    <row r="648" spans="1:6" x14ac:dyDescent="0.3">
      <c r="A648" s="38">
        <v>46168</v>
      </c>
      <c r="B648" t="s">
        <v>219</v>
      </c>
      <c r="C648" s="95"/>
      <c r="D648" s="95">
        <v>20000</v>
      </c>
      <c r="E648" t="s">
        <v>639</v>
      </c>
      <c r="F648" s="108" t="s">
        <v>108</v>
      </c>
    </row>
    <row r="649" spans="1:6" x14ac:dyDescent="0.3">
      <c r="A649" s="38">
        <v>46168</v>
      </c>
      <c r="B649" t="s">
        <v>219</v>
      </c>
      <c r="C649" s="95">
        <v>300000</v>
      </c>
      <c r="D649" s="95">
        <v>0</v>
      </c>
      <c r="E649" t="s">
        <v>640</v>
      </c>
      <c r="F649" s="108" t="s">
        <v>108</v>
      </c>
    </row>
    <row r="650" spans="1:6" x14ac:dyDescent="0.3">
      <c r="A650" s="38">
        <v>46168</v>
      </c>
      <c r="B650" t="s">
        <v>269</v>
      </c>
      <c r="C650" s="95">
        <v>7000</v>
      </c>
      <c r="D650" s="95"/>
      <c r="E650" t="s">
        <v>641</v>
      </c>
      <c r="F650" s="108" t="s">
        <v>108</v>
      </c>
    </row>
    <row r="651" spans="1:6" x14ac:dyDescent="0.3">
      <c r="A651" s="38">
        <v>46169</v>
      </c>
      <c r="B651" t="s">
        <v>244</v>
      </c>
      <c r="C651" s="95">
        <v>4500</v>
      </c>
      <c r="D651" s="95"/>
      <c r="E651" t="s">
        <v>642</v>
      </c>
      <c r="F651" s="108" t="s">
        <v>108</v>
      </c>
    </row>
    <row r="652" spans="1:6" x14ac:dyDescent="0.3">
      <c r="A652" s="38">
        <v>46169</v>
      </c>
      <c r="B652" t="s">
        <v>253</v>
      </c>
      <c r="C652" s="95">
        <v>10000</v>
      </c>
      <c r="D652" s="95"/>
      <c r="E652" t="s">
        <v>643</v>
      </c>
      <c r="F652" s="108" t="s">
        <v>108</v>
      </c>
    </row>
    <row r="653" spans="1:6" x14ac:dyDescent="0.3">
      <c r="A653" s="38">
        <v>46171</v>
      </c>
      <c r="B653" t="s">
        <v>386</v>
      </c>
      <c r="C653" s="11">
        <f>1085+1677</f>
        <v>2762</v>
      </c>
      <c r="D653" s="11"/>
      <c r="E653" t="s">
        <v>649</v>
      </c>
      <c r="F653" s="108" t="s">
        <v>108</v>
      </c>
    </row>
    <row r="654" spans="1:6" x14ac:dyDescent="0.3">
      <c r="A654" s="38">
        <v>46171</v>
      </c>
      <c r="B654" t="s">
        <v>211</v>
      </c>
      <c r="C654" s="95">
        <v>360</v>
      </c>
      <c r="D654" s="95"/>
      <c r="F654" s="108" t="s">
        <v>108</v>
      </c>
    </row>
    <row r="655" spans="1:6" x14ac:dyDescent="0.3">
      <c r="A655" s="38">
        <v>46171</v>
      </c>
      <c r="B655" t="s">
        <v>386</v>
      </c>
      <c r="C655" s="95">
        <v>15000</v>
      </c>
      <c r="D655" s="95"/>
      <c r="E655" t="s">
        <v>647</v>
      </c>
      <c r="F655" s="108" t="s">
        <v>108</v>
      </c>
    </row>
    <row r="656" spans="1:6" x14ac:dyDescent="0.3">
      <c r="A656" s="38">
        <v>46171</v>
      </c>
      <c r="B656" t="s">
        <v>386</v>
      </c>
      <c r="C656" s="95">
        <v>2900</v>
      </c>
      <c r="D656" s="95"/>
      <c r="E656" t="s">
        <v>650</v>
      </c>
      <c r="F656" s="108" t="s">
        <v>108</v>
      </c>
    </row>
    <row r="657" spans="1:14" x14ac:dyDescent="0.3">
      <c r="A657" s="38">
        <v>46172</v>
      </c>
      <c r="B657" s="80" t="s">
        <v>211</v>
      </c>
      <c r="C657" s="11"/>
      <c r="D657" s="86">
        <v>100000</v>
      </c>
      <c r="E657" s="80" t="s">
        <v>1079</v>
      </c>
      <c r="F657" s="87" t="s">
        <v>108</v>
      </c>
    </row>
    <row r="658" spans="1:14" x14ac:dyDescent="0.3">
      <c r="A658" s="38">
        <v>46172</v>
      </c>
      <c r="B658" s="80" t="s">
        <v>290</v>
      </c>
      <c r="C658" s="11">
        <v>100000</v>
      </c>
      <c r="D658" s="86"/>
      <c r="E658" s="80" t="s">
        <v>1083</v>
      </c>
      <c r="F658" s="87" t="s">
        <v>108</v>
      </c>
    </row>
    <row r="659" spans="1:14" x14ac:dyDescent="0.3">
      <c r="A659" s="38">
        <v>46172</v>
      </c>
      <c r="B659" t="s">
        <v>357</v>
      </c>
      <c r="C659" s="95">
        <v>900</v>
      </c>
      <c r="D659" s="95"/>
      <c r="F659" s="108" t="s">
        <v>108</v>
      </c>
    </row>
    <row r="660" spans="1:14" x14ac:dyDescent="0.3">
      <c r="A660" s="38">
        <v>46172</v>
      </c>
      <c r="B660" t="s">
        <v>253</v>
      </c>
      <c r="C660" s="95">
        <v>25000</v>
      </c>
      <c r="D660" s="95"/>
      <c r="E660" t="s">
        <v>602</v>
      </c>
      <c r="F660" s="108" t="s">
        <v>108</v>
      </c>
    </row>
    <row r="661" spans="1:14" x14ac:dyDescent="0.3">
      <c r="A661" s="38">
        <v>46172</v>
      </c>
      <c r="B661" t="s">
        <v>219</v>
      </c>
      <c r="C661" s="95"/>
      <c r="D661" s="95">
        <v>25000</v>
      </c>
      <c r="E661" t="s">
        <v>602</v>
      </c>
      <c r="F661" s="108" t="s">
        <v>108</v>
      </c>
      <c r="J661">
        <v>30800</v>
      </c>
      <c r="L661">
        <v>6660</v>
      </c>
      <c r="N661">
        <v>30800</v>
      </c>
    </row>
    <row r="662" spans="1:14" x14ac:dyDescent="0.3">
      <c r="A662" s="38">
        <v>46172</v>
      </c>
      <c r="B662" t="s">
        <v>269</v>
      </c>
      <c r="C662" s="95">
        <v>15000</v>
      </c>
      <c r="D662" s="95"/>
      <c r="E662" t="s">
        <v>580</v>
      </c>
      <c r="F662" s="108" t="s">
        <v>108</v>
      </c>
      <c r="J662">
        <v>22400</v>
      </c>
      <c r="L662">
        <v>185000</v>
      </c>
      <c r="N662">
        <v>29200</v>
      </c>
    </row>
    <row r="663" spans="1:14" x14ac:dyDescent="0.3">
      <c r="A663" s="38">
        <v>46172</v>
      </c>
      <c r="B663" t="s">
        <v>219</v>
      </c>
      <c r="C663" s="95"/>
      <c r="D663" s="95">
        <v>15000</v>
      </c>
      <c r="E663" t="s">
        <v>580</v>
      </c>
      <c r="F663" s="108" t="s">
        <v>108</v>
      </c>
      <c r="J663">
        <v>29400</v>
      </c>
      <c r="L663">
        <v>115000</v>
      </c>
      <c r="N663">
        <v>32000</v>
      </c>
    </row>
    <row r="664" spans="1:14" x14ac:dyDescent="0.3">
      <c r="A664" s="38">
        <v>46172</v>
      </c>
      <c r="B664" t="s">
        <v>386</v>
      </c>
      <c r="C664" s="11">
        <v>5000</v>
      </c>
      <c r="D664" s="11"/>
      <c r="E664" t="s">
        <v>647</v>
      </c>
      <c r="F664" s="108" t="s">
        <v>108</v>
      </c>
      <c r="J664">
        <v>32000</v>
      </c>
      <c r="L664">
        <v>37150</v>
      </c>
      <c r="N664">
        <v>29400</v>
      </c>
    </row>
    <row r="665" spans="1:14" x14ac:dyDescent="0.3">
      <c r="A665" s="38">
        <v>46172</v>
      </c>
      <c r="B665" t="s">
        <v>386</v>
      </c>
      <c r="C665" s="11">
        <v>4613.28</v>
      </c>
      <c r="D665" s="11"/>
      <c r="E665" t="s">
        <v>648</v>
      </c>
      <c r="F665" s="108" t="s">
        <v>108</v>
      </c>
      <c r="J665">
        <v>30400</v>
      </c>
      <c r="L665">
        <v>23400</v>
      </c>
      <c r="N665">
        <v>30400</v>
      </c>
    </row>
    <row r="666" spans="1:14" x14ac:dyDescent="0.3">
      <c r="A666" s="38">
        <v>46174</v>
      </c>
      <c r="B666" t="s">
        <v>55</v>
      </c>
      <c r="C666" s="95">
        <v>8340</v>
      </c>
      <c r="D666" s="95"/>
      <c r="F666" s="108" t="s">
        <v>108</v>
      </c>
      <c r="J666">
        <v>29200</v>
      </c>
      <c r="L666">
        <v>18150</v>
      </c>
      <c r="N666">
        <v>22400</v>
      </c>
    </row>
    <row r="667" spans="1:14" x14ac:dyDescent="0.3">
      <c r="A667" s="38">
        <v>46174</v>
      </c>
      <c r="B667" t="s">
        <v>219</v>
      </c>
      <c r="C667" s="95"/>
      <c r="D667" s="95">
        <v>25000</v>
      </c>
      <c r="E667" t="s">
        <v>644</v>
      </c>
      <c r="F667" s="108" t="s">
        <v>108</v>
      </c>
      <c r="J667">
        <v>17050</v>
      </c>
      <c r="L667">
        <v>55000</v>
      </c>
      <c r="N667">
        <v>50000</v>
      </c>
    </row>
    <row r="668" spans="1:14" x14ac:dyDescent="0.3">
      <c r="A668" s="111">
        <v>46174</v>
      </c>
      <c r="B668" t="s">
        <v>55</v>
      </c>
      <c r="C668" s="95">
        <v>14000</v>
      </c>
      <c r="D668" s="95"/>
      <c r="E668" t="s">
        <v>645</v>
      </c>
      <c r="F668" s="108" t="s">
        <v>108</v>
      </c>
      <c r="J668">
        <v>16000</v>
      </c>
      <c r="L668">
        <v>20000</v>
      </c>
      <c r="N668">
        <v>80000</v>
      </c>
    </row>
    <row r="669" spans="1:14" x14ac:dyDescent="0.3">
      <c r="A669" s="111">
        <v>46174</v>
      </c>
      <c r="B669" t="s">
        <v>55</v>
      </c>
      <c r="C669" s="95">
        <v>1900</v>
      </c>
      <c r="D669" s="95"/>
      <c r="E669" t="s">
        <v>646</v>
      </c>
      <c r="F669" s="108" t="s">
        <v>108</v>
      </c>
      <c r="J669">
        <v>37150</v>
      </c>
      <c r="L669">
        <v>40000</v>
      </c>
      <c r="N669">
        <v>60000</v>
      </c>
    </row>
    <row r="670" spans="1:14" x14ac:dyDescent="0.3">
      <c r="A670" s="111">
        <v>46174</v>
      </c>
      <c r="B670" t="s">
        <v>244</v>
      </c>
      <c r="C670" s="95">
        <v>15000</v>
      </c>
      <c r="D670" s="95"/>
      <c r="E670" t="s">
        <v>346</v>
      </c>
      <c r="F670" s="108" t="s">
        <v>108</v>
      </c>
      <c r="J670">
        <v>40000</v>
      </c>
      <c r="L670">
        <v>11350</v>
      </c>
      <c r="N670">
        <v>35000</v>
      </c>
    </row>
    <row r="671" spans="1:14" x14ac:dyDescent="0.3">
      <c r="A671" s="38">
        <v>46174</v>
      </c>
      <c r="B671" t="s">
        <v>219</v>
      </c>
      <c r="C671" s="95"/>
      <c r="D671" s="95">
        <v>15000</v>
      </c>
      <c r="E671" t="s">
        <v>346</v>
      </c>
      <c r="F671" s="108" t="s">
        <v>108</v>
      </c>
      <c r="J671">
        <v>55000</v>
      </c>
      <c r="L671">
        <v>16000</v>
      </c>
      <c r="N671">
        <v>30700</v>
      </c>
    </row>
    <row r="672" spans="1:14" x14ac:dyDescent="0.3">
      <c r="A672" s="38">
        <v>46174</v>
      </c>
      <c r="B672" t="s">
        <v>253</v>
      </c>
      <c r="C672" s="95">
        <v>40000</v>
      </c>
      <c r="D672" s="95"/>
      <c r="E672" t="s">
        <v>252</v>
      </c>
      <c r="F672" s="108" t="s">
        <v>108</v>
      </c>
      <c r="J672">
        <v>20000</v>
      </c>
      <c r="L672">
        <v>2500</v>
      </c>
      <c r="N672">
        <v>28900</v>
      </c>
    </row>
    <row r="673" spans="1:14" x14ac:dyDescent="0.3">
      <c r="A673" s="38">
        <v>46174</v>
      </c>
      <c r="B673" t="s">
        <v>219</v>
      </c>
      <c r="C673" s="95"/>
      <c r="D673" s="95">
        <v>40000</v>
      </c>
      <c r="E673" t="s">
        <v>252</v>
      </c>
      <c r="F673" s="108" t="s">
        <v>108</v>
      </c>
      <c r="J673">
        <v>23400</v>
      </c>
      <c r="L673">
        <v>2650</v>
      </c>
      <c r="N673">
        <v>2400</v>
      </c>
    </row>
    <row r="674" spans="1:14" x14ac:dyDescent="0.3">
      <c r="A674" s="38">
        <v>46174</v>
      </c>
      <c r="B674" t="s">
        <v>244</v>
      </c>
      <c r="C674" s="95">
        <v>2500</v>
      </c>
      <c r="D674" s="95"/>
      <c r="F674" s="108" t="s">
        <v>108</v>
      </c>
      <c r="J674">
        <v>30700</v>
      </c>
      <c r="L674">
        <v>9850</v>
      </c>
      <c r="N674">
        <v>22800</v>
      </c>
    </row>
    <row r="675" spans="1:14" x14ac:dyDescent="0.3">
      <c r="A675" s="111">
        <v>46174</v>
      </c>
      <c r="B675" t="s">
        <v>211</v>
      </c>
      <c r="C675" s="95">
        <f>920+780+2540+1480+1390+1000</f>
        <v>8110</v>
      </c>
      <c r="D675" s="95"/>
      <c r="F675" s="108" t="s">
        <v>108</v>
      </c>
      <c r="J675">
        <v>28900</v>
      </c>
      <c r="L675">
        <v>22650</v>
      </c>
      <c r="N675">
        <v>17050</v>
      </c>
    </row>
    <row r="676" spans="1:14" x14ac:dyDescent="0.3">
      <c r="A676" s="111">
        <v>46175</v>
      </c>
      <c r="B676" t="s">
        <v>357</v>
      </c>
      <c r="C676" s="11">
        <v>15330</v>
      </c>
      <c r="D676" s="86"/>
      <c r="E676" s="80"/>
      <c r="F676" s="87" t="s">
        <v>108</v>
      </c>
      <c r="J676">
        <v>25000</v>
      </c>
      <c r="K676" t="s">
        <v>602</v>
      </c>
      <c r="L676">
        <v>3600</v>
      </c>
      <c r="N676">
        <v>25850</v>
      </c>
    </row>
    <row r="677" spans="1:14" x14ac:dyDescent="0.3">
      <c r="A677" s="111">
        <v>46175</v>
      </c>
      <c r="B677" t="s">
        <v>55</v>
      </c>
      <c r="C677" s="11">
        <v>1000</v>
      </c>
      <c r="D677" s="11"/>
      <c r="E677" t="s">
        <v>595</v>
      </c>
      <c r="F677" s="108" t="s">
        <v>108</v>
      </c>
      <c r="J677">
        <v>22800</v>
      </c>
      <c r="L677">
        <v>13000</v>
      </c>
      <c r="N677">
        <v>18400</v>
      </c>
    </row>
    <row r="678" spans="1:14" x14ac:dyDescent="0.3">
      <c r="A678" s="38">
        <v>46175</v>
      </c>
      <c r="B678" t="s">
        <v>357</v>
      </c>
      <c r="C678" s="11">
        <v>1730</v>
      </c>
      <c r="D678" s="11"/>
      <c r="F678" s="108" t="s">
        <v>108</v>
      </c>
      <c r="J678">
        <v>11300</v>
      </c>
      <c r="L678">
        <v>18380</v>
      </c>
      <c r="N678">
        <v>13000</v>
      </c>
    </row>
    <row r="679" spans="1:14" x14ac:dyDescent="0.3">
      <c r="A679" s="38">
        <v>46175</v>
      </c>
      <c r="B679" t="s">
        <v>257</v>
      </c>
      <c r="C679" s="11">
        <v>200000</v>
      </c>
      <c r="D679" s="11"/>
      <c r="E679" t="s">
        <v>655</v>
      </c>
      <c r="F679" s="108" t="s">
        <v>108</v>
      </c>
      <c r="J679">
        <v>25800</v>
      </c>
      <c r="L679">
        <v>25850</v>
      </c>
      <c r="N679">
        <v>3600</v>
      </c>
    </row>
    <row r="680" spans="1:14" x14ac:dyDescent="0.3">
      <c r="A680" s="38">
        <v>46175</v>
      </c>
      <c r="B680" t="s">
        <v>656</v>
      </c>
      <c r="C680" s="95"/>
      <c r="D680" s="95">
        <v>170000</v>
      </c>
      <c r="E680" t="s">
        <v>657</v>
      </c>
      <c r="F680" s="108" t="s">
        <v>108</v>
      </c>
      <c r="J680">
        <v>9850</v>
      </c>
      <c r="L680">
        <v>17050</v>
      </c>
      <c r="N680">
        <v>22650</v>
      </c>
    </row>
    <row r="681" spans="1:14" x14ac:dyDescent="0.3">
      <c r="A681" s="111">
        <v>46175</v>
      </c>
      <c r="B681" t="s">
        <v>219</v>
      </c>
      <c r="C681" s="11"/>
      <c r="D681" s="11">
        <v>30000</v>
      </c>
      <c r="E681" t="s">
        <v>257</v>
      </c>
      <c r="F681" s="108" t="s">
        <v>108</v>
      </c>
      <c r="J681">
        <v>2650</v>
      </c>
      <c r="L681">
        <v>22800</v>
      </c>
      <c r="N681">
        <v>9850</v>
      </c>
    </row>
    <row r="682" spans="1:14" x14ac:dyDescent="0.3">
      <c r="A682" s="111">
        <v>46176</v>
      </c>
      <c r="B682" t="s">
        <v>493</v>
      </c>
      <c r="C682" s="11"/>
      <c r="D682" s="11">
        <v>50000</v>
      </c>
      <c r="E682" t="s">
        <v>658</v>
      </c>
      <c r="F682" s="108" t="s">
        <v>108</v>
      </c>
      <c r="J682">
        <v>185000</v>
      </c>
      <c r="L682">
        <v>2400</v>
      </c>
      <c r="N682">
        <v>2650</v>
      </c>
    </row>
    <row r="683" spans="1:14" x14ac:dyDescent="0.3">
      <c r="A683" s="111">
        <v>46176</v>
      </c>
      <c r="B683" t="s">
        <v>357</v>
      </c>
      <c r="C683" s="95">
        <v>20000</v>
      </c>
      <c r="D683" s="95"/>
      <c r="E683" t="s">
        <v>392</v>
      </c>
      <c r="F683" s="108" t="s">
        <v>108</v>
      </c>
      <c r="J683">
        <v>13000</v>
      </c>
      <c r="L683">
        <v>28900</v>
      </c>
      <c r="N683">
        <v>2500</v>
      </c>
    </row>
    <row r="684" spans="1:14" x14ac:dyDescent="0.3">
      <c r="A684" s="38">
        <v>46176</v>
      </c>
      <c r="B684" t="s">
        <v>269</v>
      </c>
      <c r="C684" s="95">
        <v>20000</v>
      </c>
      <c r="D684" s="95"/>
      <c r="E684" t="s">
        <v>659</v>
      </c>
      <c r="F684" s="108" t="s">
        <v>108</v>
      </c>
      <c r="J684">
        <v>18370</v>
      </c>
      <c r="L684">
        <v>30700</v>
      </c>
      <c r="N684">
        <v>16000</v>
      </c>
    </row>
    <row r="685" spans="1:14" x14ac:dyDescent="0.3">
      <c r="A685" s="111">
        <v>46176</v>
      </c>
      <c r="B685" t="s">
        <v>219</v>
      </c>
      <c r="C685" s="95"/>
      <c r="D685" s="95">
        <v>20000</v>
      </c>
      <c r="E685" t="s">
        <v>320</v>
      </c>
      <c r="F685" s="108" t="s">
        <v>108</v>
      </c>
      <c r="J685">
        <v>22650</v>
      </c>
      <c r="L685">
        <v>35000</v>
      </c>
      <c r="N685">
        <v>11350</v>
      </c>
    </row>
    <row r="686" spans="1:14" x14ac:dyDescent="0.3">
      <c r="A686" s="111">
        <v>46176</v>
      </c>
      <c r="B686" t="s">
        <v>253</v>
      </c>
      <c r="C686" s="95">
        <v>20000</v>
      </c>
      <c r="D686" s="95"/>
      <c r="E686" t="s">
        <v>288</v>
      </c>
      <c r="F686" s="108" t="s">
        <v>108</v>
      </c>
      <c r="J686">
        <v>2400</v>
      </c>
      <c r="L686">
        <v>60000</v>
      </c>
      <c r="N686">
        <v>40000</v>
      </c>
    </row>
    <row r="687" spans="1:14" x14ac:dyDescent="0.3">
      <c r="A687" s="38">
        <v>46177</v>
      </c>
      <c r="B687" t="s">
        <v>55</v>
      </c>
      <c r="C687" s="95">
        <v>3500</v>
      </c>
      <c r="D687" s="95"/>
      <c r="F687" s="108" t="s">
        <v>108</v>
      </c>
      <c r="J687">
        <v>3600</v>
      </c>
      <c r="L687">
        <v>80000</v>
      </c>
      <c r="N687">
        <v>20000</v>
      </c>
    </row>
    <row r="688" spans="1:14" x14ac:dyDescent="0.3">
      <c r="A688" s="38">
        <v>46177</v>
      </c>
      <c r="B688" t="s">
        <v>219</v>
      </c>
      <c r="C688" s="95"/>
      <c r="D688" s="95">
        <v>100000</v>
      </c>
      <c r="E688" t="s">
        <v>660</v>
      </c>
      <c r="F688" s="108" t="s">
        <v>108</v>
      </c>
      <c r="J688">
        <v>6600</v>
      </c>
      <c r="L688">
        <v>50000</v>
      </c>
      <c r="N688">
        <v>55000</v>
      </c>
    </row>
    <row r="689" spans="1:14" x14ac:dyDescent="0.3">
      <c r="A689" s="38">
        <v>46177</v>
      </c>
      <c r="B689" t="s">
        <v>221</v>
      </c>
      <c r="C689" s="95">
        <v>100000</v>
      </c>
      <c r="D689" s="95"/>
      <c r="E689" t="s">
        <v>661</v>
      </c>
      <c r="F689" s="108" t="s">
        <v>108</v>
      </c>
      <c r="J689">
        <v>35000</v>
      </c>
      <c r="L689">
        <v>22400</v>
      </c>
    </row>
    <row r="690" spans="1:14" x14ac:dyDescent="0.3">
      <c r="A690" s="38">
        <v>46178</v>
      </c>
      <c r="B690" t="s">
        <v>211</v>
      </c>
      <c r="C690" s="95">
        <v>830</v>
      </c>
      <c r="D690" s="95"/>
      <c r="F690" s="108" t="s">
        <v>108</v>
      </c>
      <c r="J690">
        <v>80000</v>
      </c>
      <c r="L690">
        <v>30400</v>
      </c>
      <c r="N690">
        <v>18150</v>
      </c>
    </row>
    <row r="691" spans="1:14" x14ac:dyDescent="0.3">
      <c r="A691" s="38">
        <v>46178</v>
      </c>
      <c r="B691" t="s">
        <v>55</v>
      </c>
      <c r="C691" s="95">
        <v>760</v>
      </c>
      <c r="D691" s="95"/>
      <c r="E691" t="s">
        <v>662</v>
      </c>
      <c r="F691" s="108" t="s">
        <v>108</v>
      </c>
      <c r="J691">
        <v>60000</v>
      </c>
      <c r="L691">
        <v>29400</v>
      </c>
      <c r="N691">
        <v>6660</v>
      </c>
    </row>
    <row r="692" spans="1:14" x14ac:dyDescent="0.3">
      <c r="A692" s="38">
        <v>46178</v>
      </c>
      <c r="B692" t="s">
        <v>219</v>
      </c>
      <c r="C692" s="95"/>
      <c r="D692" s="95">
        <v>760</v>
      </c>
      <c r="F692" s="108" t="s">
        <v>108</v>
      </c>
      <c r="J692">
        <v>115000</v>
      </c>
      <c r="L692">
        <v>32000</v>
      </c>
      <c r="N692">
        <v>185000</v>
      </c>
    </row>
    <row r="693" spans="1:14" x14ac:dyDescent="0.3">
      <c r="A693" s="38">
        <v>46178</v>
      </c>
      <c r="B693" t="s">
        <v>244</v>
      </c>
      <c r="C693" s="95">
        <v>2000</v>
      </c>
      <c r="D693" s="95"/>
      <c r="E693" t="s">
        <v>294</v>
      </c>
      <c r="F693" s="108" t="s">
        <v>108</v>
      </c>
      <c r="J693">
        <v>50000</v>
      </c>
      <c r="L693">
        <v>29200</v>
      </c>
      <c r="N693">
        <v>115000</v>
      </c>
    </row>
    <row r="694" spans="1:14" x14ac:dyDescent="0.3">
      <c r="A694" s="38">
        <v>46178</v>
      </c>
      <c r="B694" t="s">
        <v>493</v>
      </c>
      <c r="C694" s="95"/>
      <c r="D694" s="95">
        <v>50000</v>
      </c>
      <c r="E694" t="s">
        <v>663</v>
      </c>
      <c r="F694" s="108" t="s">
        <v>108</v>
      </c>
      <c r="J694">
        <v>2000</v>
      </c>
      <c r="L694">
        <v>30800</v>
      </c>
      <c r="N694">
        <v>37150</v>
      </c>
    </row>
    <row r="695" spans="1:14" x14ac:dyDescent="0.3">
      <c r="A695" s="38">
        <v>46178</v>
      </c>
      <c r="B695" t="s">
        <v>253</v>
      </c>
      <c r="C695" s="95">
        <v>15000</v>
      </c>
      <c r="D695" s="95"/>
      <c r="E695" t="s">
        <v>643</v>
      </c>
      <c r="F695" s="108" t="s">
        <v>108</v>
      </c>
      <c r="L695">
        <v>25000</v>
      </c>
      <c r="M695" t="s">
        <v>602</v>
      </c>
      <c r="N695">
        <v>23400</v>
      </c>
    </row>
    <row r="696" spans="1:14" x14ac:dyDescent="0.3">
      <c r="A696" s="38">
        <v>46178</v>
      </c>
      <c r="B696" t="s">
        <v>253</v>
      </c>
      <c r="C696" s="95">
        <v>15000</v>
      </c>
      <c r="D696" s="95"/>
      <c r="E696" t="s">
        <v>664</v>
      </c>
      <c r="F696" s="108" t="s">
        <v>108</v>
      </c>
      <c r="M696" t="s">
        <v>538</v>
      </c>
    </row>
    <row r="697" spans="1:14" x14ac:dyDescent="0.3">
      <c r="A697" s="38">
        <v>46178</v>
      </c>
      <c r="B697" t="s">
        <v>269</v>
      </c>
      <c r="C697" s="95">
        <v>10000</v>
      </c>
      <c r="D697" s="95"/>
      <c r="E697" t="s">
        <v>665</v>
      </c>
      <c r="F697" s="108" t="s">
        <v>108</v>
      </c>
      <c r="L697">
        <v>2000</v>
      </c>
      <c r="N697">
        <v>25000</v>
      </c>
    </row>
    <row r="698" spans="1:14" x14ac:dyDescent="0.3">
      <c r="A698" s="38">
        <v>46178</v>
      </c>
      <c r="B698" t="s">
        <v>654</v>
      </c>
      <c r="C698" s="95"/>
      <c r="D698" s="95">
        <v>200000</v>
      </c>
      <c r="E698" t="s">
        <v>271</v>
      </c>
      <c r="F698" s="108" t="s">
        <v>108</v>
      </c>
      <c r="N698">
        <v>2000</v>
      </c>
    </row>
    <row r="699" spans="1:14" x14ac:dyDescent="0.3">
      <c r="A699" s="38">
        <v>46178</v>
      </c>
      <c r="B699" t="s">
        <v>666</v>
      </c>
      <c r="C699" s="95"/>
      <c r="D699" s="95">
        <v>80000</v>
      </c>
      <c r="E699" t="s">
        <v>109</v>
      </c>
      <c r="F699" s="108" t="s">
        <v>108</v>
      </c>
    </row>
    <row r="700" spans="1:14" x14ac:dyDescent="0.3">
      <c r="A700" s="38">
        <v>46178</v>
      </c>
      <c r="B700" t="s">
        <v>219</v>
      </c>
      <c r="C700" s="95">
        <v>200000</v>
      </c>
      <c r="D700" s="11"/>
      <c r="E700" t="s">
        <v>654</v>
      </c>
      <c r="F700" s="108" t="s">
        <v>108</v>
      </c>
    </row>
    <row r="701" spans="1:14" x14ac:dyDescent="0.3">
      <c r="A701" s="38">
        <v>46178</v>
      </c>
      <c r="B701" t="s">
        <v>219</v>
      </c>
      <c r="C701" s="95">
        <v>80000</v>
      </c>
      <c r="D701" s="11"/>
      <c r="E701" t="s">
        <v>667</v>
      </c>
      <c r="F701" s="108" t="s">
        <v>108</v>
      </c>
    </row>
    <row r="702" spans="1:14" x14ac:dyDescent="0.3">
      <c r="A702" s="38">
        <v>46178</v>
      </c>
      <c r="B702" t="s">
        <v>211</v>
      </c>
      <c r="C702" s="95">
        <v>780</v>
      </c>
      <c r="D702" s="95"/>
      <c r="F702" s="108" t="s">
        <v>108</v>
      </c>
    </row>
    <row r="703" spans="1:14" x14ac:dyDescent="0.3">
      <c r="A703" s="38">
        <v>46179</v>
      </c>
      <c r="B703" t="s">
        <v>55</v>
      </c>
      <c r="C703" s="95">
        <v>1200</v>
      </c>
      <c r="D703" s="95"/>
      <c r="F703" s="108" t="s">
        <v>108</v>
      </c>
    </row>
    <row r="704" spans="1:14" x14ac:dyDescent="0.3">
      <c r="A704" s="38">
        <v>46179</v>
      </c>
      <c r="B704" t="s">
        <v>219</v>
      </c>
      <c r="C704" s="95"/>
      <c r="D704" s="95">
        <v>1600</v>
      </c>
      <c r="F704" s="108" t="s">
        <v>108</v>
      </c>
    </row>
    <row r="705" spans="1:11" x14ac:dyDescent="0.3">
      <c r="A705" s="38">
        <v>46179</v>
      </c>
      <c r="B705" t="s">
        <v>55</v>
      </c>
      <c r="C705" s="95">
        <v>400</v>
      </c>
      <c r="D705" s="95"/>
      <c r="F705" s="108" t="s">
        <v>108</v>
      </c>
    </row>
    <row r="706" spans="1:11" x14ac:dyDescent="0.3">
      <c r="A706" s="38">
        <v>46179</v>
      </c>
      <c r="B706" t="s">
        <v>219</v>
      </c>
      <c r="C706" s="95"/>
      <c r="D706" s="95">
        <v>400000</v>
      </c>
      <c r="E706" t="s">
        <v>109</v>
      </c>
      <c r="F706" s="108" t="s">
        <v>108</v>
      </c>
    </row>
    <row r="707" spans="1:11" x14ac:dyDescent="0.3">
      <c r="A707" s="38">
        <v>46179</v>
      </c>
      <c r="B707" t="s">
        <v>517</v>
      </c>
      <c r="C707" s="95">
        <v>400000</v>
      </c>
      <c r="D707" s="95"/>
      <c r="E707" t="s">
        <v>109</v>
      </c>
      <c r="F707" s="108" t="s">
        <v>108</v>
      </c>
    </row>
    <row r="708" spans="1:11" x14ac:dyDescent="0.3">
      <c r="A708" s="38">
        <v>46179</v>
      </c>
      <c r="B708" t="s">
        <v>219</v>
      </c>
      <c r="C708" s="95"/>
      <c r="D708" s="95">
        <v>32000</v>
      </c>
      <c r="E708" t="s">
        <v>271</v>
      </c>
      <c r="F708" s="108" t="s">
        <v>108</v>
      </c>
    </row>
    <row r="709" spans="1:11" x14ac:dyDescent="0.3">
      <c r="A709" s="38">
        <v>46179</v>
      </c>
      <c r="B709" t="s">
        <v>55</v>
      </c>
      <c r="C709" s="95">
        <v>26800</v>
      </c>
      <c r="D709" s="95"/>
      <c r="E709" t="s">
        <v>259</v>
      </c>
      <c r="F709" s="108" t="s">
        <v>108</v>
      </c>
      <c r="I709">
        <v>30550</v>
      </c>
      <c r="K709">
        <v>30550</v>
      </c>
    </row>
    <row r="710" spans="1:11" x14ac:dyDescent="0.3">
      <c r="A710" s="38">
        <v>46179</v>
      </c>
      <c r="B710" t="s">
        <v>666</v>
      </c>
      <c r="C710" s="11"/>
      <c r="D710" s="11">
        <v>120000</v>
      </c>
      <c r="E710" t="s">
        <v>109</v>
      </c>
      <c r="F710" s="108" t="s">
        <v>108</v>
      </c>
      <c r="I710">
        <v>14000</v>
      </c>
      <c r="K710">
        <v>14000</v>
      </c>
    </row>
    <row r="711" spans="1:11" x14ac:dyDescent="0.3">
      <c r="A711" s="38">
        <v>46179</v>
      </c>
      <c r="B711" t="s">
        <v>219</v>
      </c>
      <c r="C711" s="11">
        <v>120000</v>
      </c>
      <c r="D711" s="11"/>
      <c r="E711" t="s">
        <v>667</v>
      </c>
      <c r="F711" s="108" t="s">
        <v>108</v>
      </c>
      <c r="I711">
        <v>215000</v>
      </c>
      <c r="K711">
        <v>215000</v>
      </c>
    </row>
    <row r="712" spans="1:11" x14ac:dyDescent="0.3">
      <c r="A712" s="38">
        <v>46179</v>
      </c>
      <c r="B712" t="s">
        <v>219</v>
      </c>
      <c r="C712" s="11"/>
      <c r="D712" s="11">
        <v>200000</v>
      </c>
      <c r="E712" t="s">
        <v>668</v>
      </c>
      <c r="F712" s="108" t="s">
        <v>108</v>
      </c>
      <c r="I712">
        <v>125000</v>
      </c>
      <c r="K712">
        <v>125000</v>
      </c>
    </row>
    <row r="713" spans="1:11" x14ac:dyDescent="0.3">
      <c r="A713" s="38">
        <v>46179</v>
      </c>
      <c r="B713" t="s">
        <v>674</v>
      </c>
      <c r="C713" s="11">
        <v>200625</v>
      </c>
      <c r="D713" s="11"/>
      <c r="E713" t="s">
        <v>669</v>
      </c>
      <c r="F713" s="108" t="s">
        <v>108</v>
      </c>
      <c r="I713">
        <v>12800</v>
      </c>
      <c r="K713">
        <v>12800</v>
      </c>
    </row>
    <row r="714" spans="1:11" x14ac:dyDescent="0.3">
      <c r="A714" s="38">
        <v>46180</v>
      </c>
      <c r="B714" t="s">
        <v>55</v>
      </c>
      <c r="C714" s="11">
        <v>900</v>
      </c>
      <c r="D714" s="11"/>
      <c r="F714" s="108" t="s">
        <v>108</v>
      </c>
      <c r="I714">
        <v>9650</v>
      </c>
      <c r="K714">
        <f>25650-16000</f>
        <v>9650</v>
      </c>
    </row>
    <row r="715" spans="1:11" x14ac:dyDescent="0.3">
      <c r="A715" s="38">
        <v>46180</v>
      </c>
      <c r="B715" t="s">
        <v>55</v>
      </c>
      <c r="C715" s="11">
        <v>1200</v>
      </c>
      <c r="D715" s="11"/>
      <c r="F715" s="108" t="s">
        <v>108</v>
      </c>
      <c r="I715">
        <v>30000</v>
      </c>
      <c r="K715">
        <v>30000</v>
      </c>
    </row>
    <row r="716" spans="1:11" x14ac:dyDescent="0.3">
      <c r="A716" s="38">
        <v>46180</v>
      </c>
      <c r="B716" t="s">
        <v>55</v>
      </c>
      <c r="C716" s="11">
        <v>4000</v>
      </c>
      <c r="D716" s="11"/>
      <c r="E716" t="s">
        <v>670</v>
      </c>
      <c r="F716" s="108" t="s">
        <v>108</v>
      </c>
      <c r="I716">
        <v>55000</v>
      </c>
      <c r="K716">
        <v>55000</v>
      </c>
    </row>
    <row r="717" spans="1:11" x14ac:dyDescent="0.3">
      <c r="A717" s="38">
        <v>46180</v>
      </c>
      <c r="B717" t="s">
        <v>219</v>
      </c>
      <c r="C717" s="95"/>
      <c r="D717" s="95">
        <v>4000</v>
      </c>
      <c r="E717" t="s">
        <v>670</v>
      </c>
      <c r="F717" s="108" t="s">
        <v>108</v>
      </c>
      <c r="I717">
        <v>24000</v>
      </c>
      <c r="K717">
        <v>30000</v>
      </c>
    </row>
    <row r="718" spans="1:11" x14ac:dyDescent="0.3">
      <c r="A718" s="38">
        <v>46180</v>
      </c>
      <c r="B718" t="s">
        <v>386</v>
      </c>
      <c r="C718" s="95">
        <v>3330</v>
      </c>
      <c r="D718" s="95"/>
      <c r="E718" t="s">
        <v>671</v>
      </c>
      <c r="F718" s="108" t="s">
        <v>108</v>
      </c>
      <c r="I718">
        <v>24000</v>
      </c>
      <c r="K718">
        <v>26660</v>
      </c>
    </row>
    <row r="719" spans="1:11" x14ac:dyDescent="0.3">
      <c r="A719" s="38">
        <v>46180</v>
      </c>
      <c r="B719" t="s">
        <v>656</v>
      </c>
      <c r="C719" s="95"/>
      <c r="D719" s="95">
        <v>150000</v>
      </c>
      <c r="E719" t="s">
        <v>672</v>
      </c>
      <c r="F719" s="108" t="s">
        <v>108</v>
      </c>
      <c r="I719">
        <v>20000</v>
      </c>
      <c r="K719">
        <v>20000</v>
      </c>
    </row>
    <row r="720" spans="1:11" x14ac:dyDescent="0.3">
      <c r="A720" s="38">
        <v>46180</v>
      </c>
      <c r="B720" t="s">
        <v>219</v>
      </c>
      <c r="C720" s="95">
        <v>150000</v>
      </c>
      <c r="D720" s="95"/>
      <c r="E720" t="s">
        <v>673</v>
      </c>
      <c r="F720" s="108" t="s">
        <v>108</v>
      </c>
      <c r="I720">
        <v>17200</v>
      </c>
      <c r="K720">
        <v>62000</v>
      </c>
    </row>
    <row r="721" spans="1:11" x14ac:dyDescent="0.3">
      <c r="A721" s="38">
        <v>46181</v>
      </c>
      <c r="B721" t="s">
        <v>219</v>
      </c>
      <c r="C721" s="95"/>
      <c r="D721" s="95">
        <v>200000</v>
      </c>
      <c r="E721" t="s">
        <v>676</v>
      </c>
      <c r="F721" s="108" t="s">
        <v>108</v>
      </c>
      <c r="I721">
        <v>18400</v>
      </c>
    </row>
    <row r="722" spans="1:11" x14ac:dyDescent="0.3">
      <c r="A722" s="38">
        <v>46181</v>
      </c>
      <c r="B722" t="s">
        <v>115</v>
      </c>
      <c r="C722" s="95">
        <v>200000</v>
      </c>
      <c r="D722" s="95"/>
      <c r="E722" t="s">
        <v>676</v>
      </c>
      <c r="F722" s="108" t="s">
        <v>108</v>
      </c>
      <c r="I722">
        <v>18000</v>
      </c>
      <c r="K722">
        <v>1000</v>
      </c>
    </row>
    <row r="723" spans="1:11" x14ac:dyDescent="0.3">
      <c r="A723" s="38">
        <v>46181</v>
      </c>
      <c r="B723" t="s">
        <v>55</v>
      </c>
      <c r="C723" s="11">
        <v>6400</v>
      </c>
      <c r="D723" s="11"/>
      <c r="E723" t="s">
        <v>677</v>
      </c>
      <c r="F723" s="108" t="s">
        <v>108</v>
      </c>
      <c r="I723">
        <v>80000</v>
      </c>
      <c r="K723">
        <v>10600</v>
      </c>
    </row>
    <row r="724" spans="1:11" x14ac:dyDescent="0.3">
      <c r="A724" s="38">
        <v>46181</v>
      </c>
      <c r="B724" t="s">
        <v>219</v>
      </c>
      <c r="C724" s="11"/>
      <c r="D724" s="11">
        <v>6400</v>
      </c>
      <c r="E724" t="s">
        <v>678</v>
      </c>
      <c r="F724" s="108" t="s">
        <v>108</v>
      </c>
      <c r="I724">
        <v>60000</v>
      </c>
      <c r="K724">
        <v>11150</v>
      </c>
    </row>
    <row r="725" spans="1:11" x14ac:dyDescent="0.3">
      <c r="A725" s="38">
        <v>46181</v>
      </c>
      <c r="B725" t="s">
        <v>219</v>
      </c>
      <c r="C725" s="11"/>
      <c r="D725" s="11">
        <v>466000</v>
      </c>
      <c r="E725" t="s">
        <v>679</v>
      </c>
      <c r="F725" s="108" t="s">
        <v>108</v>
      </c>
      <c r="I725">
        <v>35000</v>
      </c>
      <c r="K725">
        <v>7220</v>
      </c>
    </row>
    <row r="726" spans="1:11" x14ac:dyDescent="0.3">
      <c r="A726" s="38">
        <v>46181</v>
      </c>
      <c r="B726" t="s">
        <v>222</v>
      </c>
      <c r="C726" s="11">
        <v>460000</v>
      </c>
      <c r="D726" s="11"/>
      <c r="E726" t="s">
        <v>680</v>
      </c>
      <c r="F726" s="108" t="s">
        <v>108</v>
      </c>
      <c r="I726">
        <v>15400</v>
      </c>
      <c r="K726">
        <v>11800</v>
      </c>
    </row>
    <row r="727" spans="1:11" x14ac:dyDescent="0.3">
      <c r="A727" s="38">
        <v>46181</v>
      </c>
      <c r="B727" t="s">
        <v>488</v>
      </c>
      <c r="C727" s="11">
        <v>3416</v>
      </c>
      <c r="D727" s="11"/>
      <c r="E727" t="s">
        <v>681</v>
      </c>
      <c r="F727" s="108" t="s">
        <v>108</v>
      </c>
      <c r="I727">
        <v>12700</v>
      </c>
      <c r="K727">
        <v>12600</v>
      </c>
    </row>
    <row r="728" spans="1:11" x14ac:dyDescent="0.3">
      <c r="A728" s="38">
        <v>46181</v>
      </c>
      <c r="B728" t="s">
        <v>493</v>
      </c>
      <c r="C728" s="11"/>
      <c r="D728" s="11">
        <v>50000</v>
      </c>
      <c r="E728" t="s">
        <v>683</v>
      </c>
      <c r="F728" s="108" t="s">
        <v>108</v>
      </c>
      <c r="I728">
        <v>12600</v>
      </c>
      <c r="K728">
        <v>12700</v>
      </c>
    </row>
    <row r="729" spans="1:11" x14ac:dyDescent="0.3">
      <c r="A729" s="38">
        <v>46181</v>
      </c>
      <c r="B729" t="s">
        <v>219</v>
      </c>
      <c r="C729" s="11">
        <v>50000</v>
      </c>
      <c r="D729" s="11"/>
      <c r="E729" t="s">
        <v>545</v>
      </c>
      <c r="F729" s="108" t="s">
        <v>108</v>
      </c>
      <c r="I729">
        <v>11800</v>
      </c>
      <c r="K729">
        <v>15400</v>
      </c>
    </row>
    <row r="730" spans="1:11" x14ac:dyDescent="0.3">
      <c r="A730" s="38">
        <v>46181</v>
      </c>
      <c r="B730" t="s">
        <v>219</v>
      </c>
      <c r="C730" s="11"/>
      <c r="D730" s="11">
        <v>25000</v>
      </c>
      <c r="E730" t="s">
        <v>684</v>
      </c>
      <c r="F730" s="108" t="s">
        <v>108</v>
      </c>
      <c r="I730">
        <v>7250</v>
      </c>
      <c r="K730">
        <v>35000</v>
      </c>
    </row>
    <row r="731" spans="1:11" x14ac:dyDescent="0.3">
      <c r="A731" s="38">
        <v>46181</v>
      </c>
      <c r="B731" t="s">
        <v>246</v>
      </c>
      <c r="C731" s="11">
        <v>7800</v>
      </c>
      <c r="D731" s="11"/>
      <c r="E731" t="s">
        <v>694</v>
      </c>
      <c r="F731" s="138" t="s">
        <v>108</v>
      </c>
      <c r="I731">
        <v>11150</v>
      </c>
      <c r="K731">
        <v>60000</v>
      </c>
    </row>
    <row r="732" spans="1:11" x14ac:dyDescent="0.3">
      <c r="A732" s="38">
        <v>46181</v>
      </c>
      <c r="B732" t="s">
        <v>253</v>
      </c>
      <c r="C732" s="95">
        <v>24600</v>
      </c>
      <c r="D732" s="95"/>
      <c r="E732" t="s">
        <v>659</v>
      </c>
      <c r="F732" s="108" t="s">
        <v>108</v>
      </c>
      <c r="I732">
        <v>10600</v>
      </c>
      <c r="K732">
        <v>80000</v>
      </c>
    </row>
    <row r="733" spans="1:11" x14ac:dyDescent="0.3">
      <c r="A733" s="38">
        <v>46181</v>
      </c>
      <c r="B733" t="s">
        <v>219</v>
      </c>
      <c r="C733" s="95"/>
      <c r="D733" s="95">
        <v>6500</v>
      </c>
      <c r="E733" t="s">
        <v>320</v>
      </c>
      <c r="F733" s="108" t="s">
        <v>108</v>
      </c>
      <c r="I733">
        <v>1000</v>
      </c>
      <c r="K733">
        <v>18000</v>
      </c>
    </row>
    <row r="734" spans="1:11" x14ac:dyDescent="0.3">
      <c r="A734" s="38">
        <v>46181</v>
      </c>
      <c r="B734" t="s">
        <v>253</v>
      </c>
      <c r="C734" s="95">
        <v>5000</v>
      </c>
      <c r="D734" s="95"/>
      <c r="E734" t="s">
        <v>602</v>
      </c>
      <c r="F734" s="108" t="s">
        <v>108</v>
      </c>
      <c r="I734">
        <v>62000</v>
      </c>
      <c r="K734">
        <v>18400</v>
      </c>
    </row>
    <row r="735" spans="1:11" x14ac:dyDescent="0.3">
      <c r="A735" s="111">
        <v>46181</v>
      </c>
      <c r="B735" t="s">
        <v>298</v>
      </c>
      <c r="C735" s="95">
        <v>5000</v>
      </c>
      <c r="D735" s="95"/>
      <c r="E735" t="s">
        <v>693</v>
      </c>
      <c r="F735" s="108" t="s">
        <v>108</v>
      </c>
      <c r="I735">
        <v>26660</v>
      </c>
      <c r="K735">
        <v>17200</v>
      </c>
    </row>
    <row r="736" spans="1:11" x14ac:dyDescent="0.3">
      <c r="A736" s="38">
        <v>46182</v>
      </c>
      <c r="B736" t="s">
        <v>55</v>
      </c>
      <c r="C736" s="95">
        <v>1500</v>
      </c>
      <c r="D736" s="95"/>
      <c r="F736" s="108" t="s">
        <v>108</v>
      </c>
      <c r="I736">
        <v>30000</v>
      </c>
      <c r="K736">
        <v>20000</v>
      </c>
    </row>
    <row r="737" spans="1:11" x14ac:dyDescent="0.3">
      <c r="A737" s="38">
        <v>46182</v>
      </c>
      <c r="B737" t="s">
        <v>55</v>
      </c>
      <c r="C737" s="95">
        <v>2000</v>
      </c>
      <c r="D737" s="95"/>
      <c r="E737" t="s">
        <v>685</v>
      </c>
      <c r="F737" s="108" t="s">
        <v>108</v>
      </c>
      <c r="I737">
        <v>9900</v>
      </c>
      <c r="K737">
        <v>24000</v>
      </c>
    </row>
    <row r="738" spans="1:11" x14ac:dyDescent="0.3">
      <c r="A738" s="38">
        <v>46182</v>
      </c>
      <c r="B738" t="s">
        <v>211</v>
      </c>
      <c r="C738" s="95"/>
      <c r="D738" s="95">
        <v>2000</v>
      </c>
      <c r="E738" t="s">
        <v>685</v>
      </c>
      <c r="F738" s="108" t="s">
        <v>108</v>
      </c>
      <c r="I738">
        <v>20000</v>
      </c>
      <c r="K738">
        <v>24000</v>
      </c>
    </row>
    <row r="739" spans="1:11" x14ac:dyDescent="0.3">
      <c r="A739" s="38">
        <v>46182</v>
      </c>
      <c r="B739" t="s">
        <v>219</v>
      </c>
      <c r="C739" s="95"/>
      <c r="D739" s="95">
        <v>110000</v>
      </c>
      <c r="E739" t="s">
        <v>568</v>
      </c>
      <c r="F739" s="108" t="s">
        <v>108</v>
      </c>
      <c r="K739">
        <v>9900</v>
      </c>
    </row>
    <row r="740" spans="1:11" x14ac:dyDescent="0.3">
      <c r="A740" s="38">
        <v>46182</v>
      </c>
      <c r="B740" t="s">
        <v>175</v>
      </c>
      <c r="C740" s="95">
        <v>110000</v>
      </c>
      <c r="D740" s="95"/>
      <c r="E740" t="s">
        <v>686</v>
      </c>
      <c r="F740" s="108" t="s">
        <v>108</v>
      </c>
    </row>
    <row r="741" spans="1:11" x14ac:dyDescent="0.3">
      <c r="A741" s="38">
        <v>46182</v>
      </c>
      <c r="B741" t="s">
        <v>55</v>
      </c>
      <c r="C741" s="95">
        <v>700</v>
      </c>
      <c r="D741" s="95"/>
      <c r="E741" t="s">
        <v>466</v>
      </c>
      <c r="F741" s="108" t="s">
        <v>108</v>
      </c>
    </row>
    <row r="742" spans="1:11" x14ac:dyDescent="0.3">
      <c r="A742" s="38">
        <v>46182</v>
      </c>
      <c r="B742" t="s">
        <v>219</v>
      </c>
      <c r="C742" s="95"/>
      <c r="D742" s="95">
        <v>50000</v>
      </c>
      <c r="E742" t="s">
        <v>687</v>
      </c>
      <c r="F742" s="108" t="s">
        <v>108</v>
      </c>
    </row>
    <row r="743" spans="1:11" x14ac:dyDescent="0.3">
      <c r="A743" s="38">
        <v>46182</v>
      </c>
      <c r="B743" t="s">
        <v>55</v>
      </c>
      <c r="C743" s="95">
        <v>1300</v>
      </c>
      <c r="D743" s="95"/>
      <c r="F743" s="108" t="s">
        <v>108</v>
      </c>
    </row>
    <row r="744" spans="1:11" x14ac:dyDescent="0.3">
      <c r="A744" s="38">
        <v>46182</v>
      </c>
      <c r="B744" t="s">
        <v>116</v>
      </c>
      <c r="C744" s="95">
        <v>19500</v>
      </c>
      <c r="D744" s="95"/>
      <c r="E744" t="s">
        <v>61</v>
      </c>
      <c r="F744" s="108" t="s">
        <v>108</v>
      </c>
    </row>
    <row r="745" spans="1:11" x14ac:dyDescent="0.3">
      <c r="A745" s="38">
        <v>46182</v>
      </c>
      <c r="B745" t="s">
        <v>244</v>
      </c>
      <c r="C745" s="95">
        <v>1110</v>
      </c>
      <c r="D745" s="95"/>
      <c r="E745" t="s">
        <v>366</v>
      </c>
      <c r="F745" s="108" t="s">
        <v>108</v>
      </c>
    </row>
    <row r="746" spans="1:11" x14ac:dyDescent="0.3">
      <c r="A746" s="38">
        <v>46182</v>
      </c>
      <c r="B746" t="s">
        <v>246</v>
      </c>
      <c r="C746" s="95">
        <v>7600</v>
      </c>
      <c r="D746" s="95"/>
      <c r="E746" t="s">
        <v>688</v>
      </c>
      <c r="F746" s="108" t="s">
        <v>108</v>
      </c>
    </row>
    <row r="747" spans="1:11" x14ac:dyDescent="0.3">
      <c r="A747" s="38">
        <v>46182</v>
      </c>
      <c r="B747" t="s">
        <v>55</v>
      </c>
      <c r="C747" s="95">
        <v>4250</v>
      </c>
      <c r="D747" s="95"/>
      <c r="F747" s="108" t="s">
        <v>108</v>
      </c>
    </row>
    <row r="748" spans="1:11" x14ac:dyDescent="0.3">
      <c r="A748" s="38">
        <v>46182</v>
      </c>
      <c r="B748" t="s">
        <v>55</v>
      </c>
      <c r="C748" s="95">
        <v>600</v>
      </c>
      <c r="D748" s="95"/>
      <c r="F748" s="108" t="s">
        <v>108</v>
      </c>
    </row>
    <row r="749" spans="1:11" x14ac:dyDescent="0.3">
      <c r="A749" s="38">
        <v>46182</v>
      </c>
      <c r="B749" t="s">
        <v>244</v>
      </c>
      <c r="C749" s="95">
        <v>6090</v>
      </c>
      <c r="D749" s="95"/>
      <c r="E749" t="s">
        <v>689</v>
      </c>
      <c r="F749" s="108" t="s">
        <v>108</v>
      </c>
    </row>
    <row r="750" spans="1:11" x14ac:dyDescent="0.3">
      <c r="A750" s="38">
        <v>46182</v>
      </c>
      <c r="B750" t="s">
        <v>488</v>
      </c>
      <c r="C750" s="95">
        <v>700</v>
      </c>
      <c r="D750" s="95"/>
      <c r="F750" s="108" t="s">
        <v>108</v>
      </c>
    </row>
    <row r="751" spans="1:11" x14ac:dyDescent="0.3">
      <c r="A751" s="38">
        <v>46182</v>
      </c>
      <c r="B751" t="s">
        <v>692</v>
      </c>
      <c r="C751" s="95">
        <v>3000</v>
      </c>
      <c r="D751" s="95"/>
      <c r="E751" t="s">
        <v>690</v>
      </c>
      <c r="F751" s="108" t="s">
        <v>108</v>
      </c>
    </row>
    <row r="752" spans="1:11" x14ac:dyDescent="0.3">
      <c r="A752" s="38">
        <v>46182</v>
      </c>
      <c r="B752" t="s">
        <v>219</v>
      </c>
      <c r="C752" s="95"/>
      <c r="D752" s="95">
        <v>5000</v>
      </c>
      <c r="E752" t="s">
        <v>320</v>
      </c>
      <c r="F752" s="108" t="s">
        <v>108</v>
      </c>
    </row>
    <row r="753" spans="1:6" x14ac:dyDescent="0.3">
      <c r="A753" s="38">
        <v>46182</v>
      </c>
      <c r="B753" t="s">
        <v>253</v>
      </c>
      <c r="C753" s="95">
        <v>5000</v>
      </c>
      <c r="D753" s="95"/>
      <c r="E753" t="s">
        <v>602</v>
      </c>
      <c r="F753" s="108" t="s">
        <v>108</v>
      </c>
    </row>
    <row r="754" spans="1:6" x14ac:dyDescent="0.3">
      <c r="A754" s="38">
        <v>46182</v>
      </c>
      <c r="B754" t="s">
        <v>488</v>
      </c>
      <c r="C754" s="95">
        <v>5000</v>
      </c>
      <c r="D754" s="95"/>
      <c r="E754" t="s">
        <v>648</v>
      </c>
      <c r="F754" s="108" t="s">
        <v>108</v>
      </c>
    </row>
    <row r="755" spans="1:6" x14ac:dyDescent="0.3">
      <c r="A755" s="38">
        <v>46182</v>
      </c>
      <c r="B755" t="s">
        <v>211</v>
      </c>
      <c r="C755" s="95">
        <v>800</v>
      </c>
      <c r="D755" s="95"/>
      <c r="F755" s="108" t="s">
        <v>108</v>
      </c>
    </row>
    <row r="756" spans="1:6" x14ac:dyDescent="0.3">
      <c r="A756" s="38">
        <v>46183</v>
      </c>
      <c r="B756" t="s">
        <v>219</v>
      </c>
      <c r="C756" s="95"/>
      <c r="D756" s="95">
        <v>22000</v>
      </c>
      <c r="E756" t="s">
        <v>320</v>
      </c>
      <c r="F756" s="108" t="s">
        <v>108</v>
      </c>
    </row>
    <row r="757" spans="1:6" x14ac:dyDescent="0.3">
      <c r="A757" s="38">
        <v>46183</v>
      </c>
      <c r="B757" t="s">
        <v>357</v>
      </c>
      <c r="C757" s="11">
        <v>1990</v>
      </c>
      <c r="D757" s="11"/>
      <c r="F757" s="108" t="s">
        <v>108</v>
      </c>
    </row>
    <row r="758" spans="1:6" x14ac:dyDescent="0.3">
      <c r="A758" s="38">
        <v>46183</v>
      </c>
      <c r="B758" t="s">
        <v>488</v>
      </c>
      <c r="C758" s="11">
        <v>710</v>
      </c>
      <c r="D758" s="11"/>
      <c r="E758" t="s">
        <v>541</v>
      </c>
      <c r="F758" s="108" t="s">
        <v>108</v>
      </c>
    </row>
    <row r="759" spans="1:6" x14ac:dyDescent="0.3">
      <c r="A759" s="38">
        <v>46183</v>
      </c>
      <c r="B759" t="s">
        <v>55</v>
      </c>
      <c r="C759" s="11">
        <v>1040</v>
      </c>
      <c r="D759" s="11"/>
      <c r="F759" s="108" t="s">
        <v>108</v>
      </c>
    </row>
    <row r="760" spans="1:6" x14ac:dyDescent="0.3">
      <c r="A760" s="38">
        <v>46183</v>
      </c>
      <c r="B760" t="s">
        <v>219</v>
      </c>
      <c r="C760" s="11"/>
      <c r="D760" s="11">
        <v>30000</v>
      </c>
      <c r="E760" t="s">
        <v>695</v>
      </c>
      <c r="F760" s="108" t="s">
        <v>108</v>
      </c>
    </row>
    <row r="761" spans="1:6" x14ac:dyDescent="0.3">
      <c r="A761" s="111">
        <v>46183</v>
      </c>
      <c r="B761" t="s">
        <v>116</v>
      </c>
      <c r="C761" s="11">
        <v>19500</v>
      </c>
      <c r="D761" s="11"/>
      <c r="E761" t="s">
        <v>61</v>
      </c>
      <c r="F761" s="108" t="s">
        <v>108</v>
      </c>
    </row>
    <row r="762" spans="1:6" x14ac:dyDescent="0.3">
      <c r="A762" s="111">
        <v>46183</v>
      </c>
      <c r="B762" t="s">
        <v>298</v>
      </c>
      <c r="C762" s="11">
        <v>10000</v>
      </c>
      <c r="D762" s="11"/>
      <c r="E762" t="s">
        <v>693</v>
      </c>
      <c r="F762" s="108" t="s">
        <v>108</v>
      </c>
    </row>
    <row r="763" spans="1:6" x14ac:dyDescent="0.3">
      <c r="A763" s="111">
        <v>46183</v>
      </c>
      <c r="B763" t="s">
        <v>488</v>
      </c>
      <c r="C763" s="11">
        <v>5000</v>
      </c>
      <c r="D763" s="11"/>
      <c r="F763" s="108" t="s">
        <v>108</v>
      </c>
    </row>
    <row r="764" spans="1:6" x14ac:dyDescent="0.3">
      <c r="A764" s="111">
        <v>46183</v>
      </c>
      <c r="B764" t="s">
        <v>211</v>
      </c>
      <c r="C764" s="11">
        <v>800</v>
      </c>
      <c r="D764" s="11"/>
      <c r="F764" s="108" t="s">
        <v>108</v>
      </c>
    </row>
    <row r="765" spans="1:6" x14ac:dyDescent="0.3">
      <c r="A765" s="111">
        <v>46183</v>
      </c>
      <c r="B765" t="s">
        <v>493</v>
      </c>
      <c r="C765" s="11"/>
      <c r="D765" s="11">
        <v>66650</v>
      </c>
      <c r="F765" s="108" t="s">
        <v>108</v>
      </c>
    </row>
    <row r="766" spans="1:6" x14ac:dyDescent="0.3">
      <c r="A766" s="111">
        <v>46183</v>
      </c>
      <c r="B766" t="s">
        <v>269</v>
      </c>
      <c r="C766" s="11">
        <v>2000</v>
      </c>
      <c r="D766" s="11"/>
      <c r="E766" t="s">
        <v>696</v>
      </c>
      <c r="F766" s="108" t="s">
        <v>108</v>
      </c>
    </row>
    <row r="767" spans="1:6" x14ac:dyDescent="0.3">
      <c r="A767" s="111">
        <v>46183</v>
      </c>
      <c r="B767" t="s">
        <v>219</v>
      </c>
      <c r="C767" s="11">
        <v>66650</v>
      </c>
      <c r="D767" s="11"/>
      <c r="E767" t="s">
        <v>529</v>
      </c>
      <c r="F767" s="108" t="s">
        <v>108</v>
      </c>
    </row>
    <row r="768" spans="1:6" x14ac:dyDescent="0.3">
      <c r="A768" s="111">
        <v>46183</v>
      </c>
      <c r="B768" t="s">
        <v>219</v>
      </c>
      <c r="C768" s="11"/>
      <c r="D768" s="11">
        <v>70000</v>
      </c>
      <c r="E768" t="s">
        <v>697</v>
      </c>
      <c r="F768" s="108" t="s">
        <v>108</v>
      </c>
    </row>
    <row r="769" spans="1:6" x14ac:dyDescent="0.3">
      <c r="A769" s="111">
        <v>46183</v>
      </c>
      <c r="B769" t="s">
        <v>674</v>
      </c>
      <c r="C769" s="11">
        <v>70000</v>
      </c>
      <c r="D769" s="11"/>
      <c r="E769" t="s">
        <v>240</v>
      </c>
      <c r="F769" s="108" t="s">
        <v>108</v>
      </c>
    </row>
    <row r="770" spans="1:6" x14ac:dyDescent="0.3">
      <c r="A770" s="111">
        <v>46183</v>
      </c>
      <c r="B770" t="s">
        <v>488</v>
      </c>
      <c r="C770" s="11">
        <v>600</v>
      </c>
      <c r="D770" s="11"/>
      <c r="F770" s="108" t="s">
        <v>108</v>
      </c>
    </row>
    <row r="771" spans="1:6" x14ac:dyDescent="0.3">
      <c r="A771" s="111">
        <v>46184</v>
      </c>
      <c r="B771" t="s">
        <v>219</v>
      </c>
      <c r="C771" s="11"/>
      <c r="D771" s="11">
        <v>25000</v>
      </c>
      <c r="F771" s="108" t="s">
        <v>108</v>
      </c>
    </row>
    <row r="772" spans="1:6" x14ac:dyDescent="0.3">
      <c r="A772" s="111">
        <v>46184</v>
      </c>
      <c r="B772" t="s">
        <v>386</v>
      </c>
      <c r="C772" s="11">
        <v>4482</v>
      </c>
      <c r="D772" s="11"/>
      <c r="E772" t="s">
        <v>283</v>
      </c>
      <c r="F772" s="108" t="s">
        <v>108</v>
      </c>
    </row>
    <row r="773" spans="1:6" x14ac:dyDescent="0.3">
      <c r="A773" s="111">
        <v>46184</v>
      </c>
      <c r="B773" t="s">
        <v>367</v>
      </c>
      <c r="C773" s="11"/>
      <c r="D773" s="11">
        <v>575000</v>
      </c>
      <c r="E773" t="s">
        <v>698</v>
      </c>
      <c r="F773" s="108" t="s">
        <v>108</v>
      </c>
    </row>
    <row r="774" spans="1:6" x14ac:dyDescent="0.3">
      <c r="A774" s="111">
        <v>46184</v>
      </c>
      <c r="B774" t="s">
        <v>269</v>
      </c>
      <c r="C774" s="11">
        <v>2000</v>
      </c>
      <c r="D774" s="11"/>
      <c r="E774" t="s">
        <v>699</v>
      </c>
      <c r="F774" s="108" t="s">
        <v>108</v>
      </c>
    </row>
    <row r="775" spans="1:6" x14ac:dyDescent="0.3">
      <c r="A775" s="111">
        <v>46184</v>
      </c>
      <c r="B775" t="s">
        <v>269</v>
      </c>
      <c r="C775" s="11">
        <v>5000</v>
      </c>
      <c r="D775" s="11"/>
      <c r="E775" t="s">
        <v>700</v>
      </c>
      <c r="F775" s="108" t="s">
        <v>108</v>
      </c>
    </row>
    <row r="776" spans="1:6" x14ac:dyDescent="0.3">
      <c r="A776" s="111">
        <v>46184</v>
      </c>
      <c r="B776" t="s">
        <v>269</v>
      </c>
      <c r="C776" s="11">
        <v>5000</v>
      </c>
      <c r="D776" s="11"/>
      <c r="E776" t="s">
        <v>288</v>
      </c>
      <c r="F776" s="108" t="s">
        <v>108</v>
      </c>
    </row>
    <row r="777" spans="1:6" x14ac:dyDescent="0.3">
      <c r="A777" s="111">
        <v>46184</v>
      </c>
      <c r="B777" t="s">
        <v>211</v>
      </c>
      <c r="C777" s="11">
        <v>500</v>
      </c>
      <c r="D777" s="11"/>
      <c r="F777" s="108" t="s">
        <v>108</v>
      </c>
    </row>
    <row r="778" spans="1:6" x14ac:dyDescent="0.3">
      <c r="A778" s="111">
        <v>46184</v>
      </c>
      <c r="B778" t="s">
        <v>488</v>
      </c>
      <c r="C778" s="11">
        <v>5000</v>
      </c>
      <c r="D778" s="11"/>
      <c r="E778" t="s">
        <v>712</v>
      </c>
      <c r="F778" s="108" t="s">
        <v>108</v>
      </c>
    </row>
    <row r="779" spans="1:6" x14ac:dyDescent="0.3">
      <c r="A779" s="111">
        <v>46184</v>
      </c>
      <c r="B779" t="s">
        <v>246</v>
      </c>
      <c r="C779" s="11">
        <v>10000</v>
      </c>
      <c r="D779" s="11"/>
      <c r="E779" t="s">
        <v>282</v>
      </c>
      <c r="F779" s="108" t="s">
        <v>108</v>
      </c>
    </row>
    <row r="780" spans="1:6" x14ac:dyDescent="0.3">
      <c r="A780" s="111">
        <v>46184</v>
      </c>
      <c r="B780" t="s">
        <v>211</v>
      </c>
      <c r="C780" s="11">
        <v>1700</v>
      </c>
      <c r="D780" s="11"/>
      <c r="F780" s="108" t="s">
        <v>108</v>
      </c>
    </row>
    <row r="781" spans="1:6" x14ac:dyDescent="0.3">
      <c r="A781" s="111">
        <v>46184</v>
      </c>
      <c r="B781" t="s">
        <v>253</v>
      </c>
      <c r="C781" s="11">
        <v>100000</v>
      </c>
      <c r="D781" s="11"/>
      <c r="E781" t="s">
        <v>701</v>
      </c>
      <c r="F781" s="108" t="s">
        <v>108</v>
      </c>
    </row>
    <row r="782" spans="1:6" x14ac:dyDescent="0.3">
      <c r="A782" s="111">
        <v>46184</v>
      </c>
      <c r="B782" t="s">
        <v>246</v>
      </c>
      <c r="C782" s="11">
        <v>10000</v>
      </c>
      <c r="D782" s="11"/>
      <c r="E782" t="s">
        <v>282</v>
      </c>
      <c r="F782" s="108" t="s">
        <v>108</v>
      </c>
    </row>
    <row r="783" spans="1:6" x14ac:dyDescent="0.3">
      <c r="A783" s="111">
        <v>46185</v>
      </c>
      <c r="B783" t="s">
        <v>367</v>
      </c>
      <c r="C783" s="95"/>
      <c r="D783" s="95">
        <v>5434</v>
      </c>
      <c r="E783" t="s">
        <v>828</v>
      </c>
      <c r="F783" s="108" t="s">
        <v>108</v>
      </c>
    </row>
    <row r="784" spans="1:6" x14ac:dyDescent="0.3">
      <c r="A784" s="111">
        <v>46185</v>
      </c>
      <c r="B784" t="s">
        <v>488</v>
      </c>
      <c r="C784" s="95">
        <v>5434</v>
      </c>
      <c r="D784" s="11"/>
      <c r="E784" t="s">
        <v>250</v>
      </c>
      <c r="F784" s="108" t="s">
        <v>108</v>
      </c>
    </row>
    <row r="785" spans="1:6" x14ac:dyDescent="0.3">
      <c r="A785" s="111">
        <v>46186</v>
      </c>
      <c r="B785" t="s">
        <v>246</v>
      </c>
      <c r="C785" s="11">
        <v>100000</v>
      </c>
      <c r="D785" s="11"/>
      <c r="E785" t="s">
        <v>702</v>
      </c>
      <c r="F785" s="108" t="s">
        <v>108</v>
      </c>
    </row>
    <row r="786" spans="1:6" x14ac:dyDescent="0.3">
      <c r="A786" s="111">
        <v>46186</v>
      </c>
      <c r="B786" t="s">
        <v>425</v>
      </c>
      <c r="C786" s="11">
        <v>100000</v>
      </c>
      <c r="D786" s="11"/>
      <c r="E786" t="s">
        <v>703</v>
      </c>
      <c r="F786" s="108" t="s">
        <v>108</v>
      </c>
    </row>
    <row r="787" spans="1:6" x14ac:dyDescent="0.3">
      <c r="A787" s="111">
        <v>46186</v>
      </c>
      <c r="B787" t="s">
        <v>257</v>
      </c>
      <c r="C787" s="11">
        <v>147520</v>
      </c>
      <c r="D787" s="11"/>
      <c r="E787" t="s">
        <v>704</v>
      </c>
      <c r="F787" s="108" t="s">
        <v>108</v>
      </c>
    </row>
    <row r="788" spans="1:6" x14ac:dyDescent="0.3">
      <c r="A788" s="111">
        <v>46186</v>
      </c>
      <c r="B788" t="s">
        <v>219</v>
      </c>
      <c r="C788" s="11"/>
      <c r="D788" s="11">
        <v>147520</v>
      </c>
      <c r="E788" t="s">
        <v>257</v>
      </c>
      <c r="F788" s="108" t="s">
        <v>108</v>
      </c>
    </row>
    <row r="789" spans="1:6" x14ac:dyDescent="0.3">
      <c r="A789" s="111">
        <v>46186</v>
      </c>
      <c r="B789" t="s">
        <v>298</v>
      </c>
      <c r="C789" s="11">
        <v>30000</v>
      </c>
      <c r="D789" s="11"/>
      <c r="E789" t="s">
        <v>693</v>
      </c>
      <c r="F789" s="108" t="s">
        <v>108</v>
      </c>
    </row>
    <row r="790" spans="1:6" x14ac:dyDescent="0.3">
      <c r="A790" s="111">
        <v>46186</v>
      </c>
      <c r="B790" t="s">
        <v>367</v>
      </c>
      <c r="C790" s="11"/>
      <c r="D790" s="11">
        <v>56000</v>
      </c>
      <c r="E790" t="s">
        <v>706</v>
      </c>
      <c r="F790" s="108" t="s">
        <v>108</v>
      </c>
    </row>
    <row r="791" spans="1:6" x14ac:dyDescent="0.3">
      <c r="A791" s="111">
        <v>46186</v>
      </c>
      <c r="B791" t="s">
        <v>246</v>
      </c>
      <c r="C791" s="11">
        <v>13500</v>
      </c>
      <c r="D791" s="11"/>
      <c r="E791" t="s">
        <v>707</v>
      </c>
      <c r="F791" s="108" t="s">
        <v>108</v>
      </c>
    </row>
    <row r="792" spans="1:6" x14ac:dyDescent="0.3">
      <c r="A792" s="111">
        <v>46187</v>
      </c>
      <c r="B792" t="s">
        <v>488</v>
      </c>
      <c r="C792" s="11">
        <v>2000</v>
      </c>
      <c r="D792" s="11"/>
      <c r="F792" s="108" t="s">
        <v>108</v>
      </c>
    </row>
    <row r="793" spans="1:6" x14ac:dyDescent="0.3">
      <c r="A793" s="111">
        <v>46187</v>
      </c>
      <c r="B793" t="s">
        <v>246</v>
      </c>
      <c r="C793" s="95">
        <v>3500</v>
      </c>
      <c r="D793" s="95"/>
      <c r="F793" s="108" t="s">
        <v>108</v>
      </c>
    </row>
    <row r="794" spans="1:6" x14ac:dyDescent="0.3">
      <c r="A794" s="111">
        <v>46187</v>
      </c>
      <c r="B794" t="s">
        <v>298</v>
      </c>
      <c r="C794" s="11">
        <v>20000</v>
      </c>
      <c r="D794" s="11"/>
      <c r="E794" t="s">
        <v>693</v>
      </c>
      <c r="F794" s="108" t="s">
        <v>108</v>
      </c>
    </row>
    <row r="795" spans="1:6" x14ac:dyDescent="0.3">
      <c r="A795" s="111">
        <v>46187</v>
      </c>
      <c r="B795" t="s">
        <v>357</v>
      </c>
      <c r="C795" s="11">
        <v>17790</v>
      </c>
      <c r="D795" s="11"/>
      <c r="F795" s="108" t="s">
        <v>108</v>
      </c>
    </row>
    <row r="796" spans="1:6" x14ac:dyDescent="0.3">
      <c r="A796" s="111">
        <v>46188</v>
      </c>
      <c r="B796" t="s">
        <v>357</v>
      </c>
      <c r="C796" s="11">
        <v>2580</v>
      </c>
      <c r="D796" s="11"/>
      <c r="F796" s="108" t="s">
        <v>108</v>
      </c>
    </row>
    <row r="797" spans="1:6" x14ac:dyDescent="0.3">
      <c r="A797" s="111">
        <v>46188</v>
      </c>
      <c r="B797" t="s">
        <v>269</v>
      </c>
      <c r="C797" s="11">
        <v>5000</v>
      </c>
      <c r="D797" s="11"/>
      <c r="E797" t="s">
        <v>708</v>
      </c>
      <c r="F797" s="108" t="s">
        <v>108</v>
      </c>
    </row>
    <row r="798" spans="1:6" x14ac:dyDescent="0.3">
      <c r="A798" s="111">
        <v>46188</v>
      </c>
      <c r="B798" t="s">
        <v>219</v>
      </c>
      <c r="C798" s="11"/>
      <c r="D798" s="11">
        <v>5000</v>
      </c>
      <c r="E798" t="s">
        <v>709</v>
      </c>
      <c r="F798" s="108" t="s">
        <v>108</v>
      </c>
    </row>
    <row r="799" spans="1:6" x14ac:dyDescent="0.3">
      <c r="A799" s="111">
        <v>46188</v>
      </c>
      <c r="B799" t="s">
        <v>269</v>
      </c>
      <c r="C799" s="11">
        <v>5000</v>
      </c>
      <c r="D799" s="11"/>
      <c r="E799" t="s">
        <v>288</v>
      </c>
      <c r="F799" s="108" t="s">
        <v>108</v>
      </c>
    </row>
    <row r="800" spans="1:6" x14ac:dyDescent="0.3">
      <c r="A800" s="111">
        <v>46188</v>
      </c>
      <c r="B800" t="s">
        <v>654</v>
      </c>
      <c r="C800" s="11"/>
      <c r="D800" s="11">
        <v>400000</v>
      </c>
      <c r="E800" t="s">
        <v>710</v>
      </c>
      <c r="F800" s="108" t="s">
        <v>108</v>
      </c>
    </row>
    <row r="801" spans="1:13" x14ac:dyDescent="0.3">
      <c r="A801" s="111">
        <v>46188</v>
      </c>
      <c r="B801" t="s">
        <v>219</v>
      </c>
      <c r="C801" s="11">
        <v>400000</v>
      </c>
      <c r="D801" s="11"/>
      <c r="E801" t="s">
        <v>654</v>
      </c>
      <c r="F801" s="108" t="s">
        <v>108</v>
      </c>
    </row>
    <row r="802" spans="1:13" x14ac:dyDescent="0.3">
      <c r="A802" s="111">
        <v>46188</v>
      </c>
      <c r="B802" t="s">
        <v>219</v>
      </c>
      <c r="C802" s="11">
        <v>200000</v>
      </c>
      <c r="D802" s="11"/>
      <c r="E802" t="s">
        <v>711</v>
      </c>
      <c r="F802" s="108" t="s">
        <v>108</v>
      </c>
    </row>
    <row r="803" spans="1:13" x14ac:dyDescent="0.3">
      <c r="A803" s="111">
        <v>46188</v>
      </c>
      <c r="B803" t="s">
        <v>488</v>
      </c>
      <c r="C803" s="11">
        <v>8164</v>
      </c>
      <c r="D803" s="11"/>
      <c r="E803" t="s">
        <v>254</v>
      </c>
      <c r="F803" s="108" t="s">
        <v>108</v>
      </c>
    </row>
    <row r="804" spans="1:13" x14ac:dyDescent="0.3">
      <c r="A804" s="111">
        <v>46188</v>
      </c>
      <c r="B804" t="s">
        <v>211</v>
      </c>
      <c r="C804" s="11">
        <v>1280</v>
      </c>
      <c r="D804" s="11"/>
      <c r="F804" s="108" t="s">
        <v>108</v>
      </c>
    </row>
    <row r="805" spans="1:13" x14ac:dyDescent="0.3">
      <c r="A805" s="111">
        <v>46188</v>
      </c>
      <c r="B805" t="s">
        <v>246</v>
      </c>
      <c r="C805" s="11">
        <v>12000</v>
      </c>
      <c r="D805" s="11"/>
      <c r="E805" t="s">
        <v>282</v>
      </c>
      <c r="F805" s="108" t="s">
        <v>108</v>
      </c>
    </row>
    <row r="806" spans="1:13" x14ac:dyDescent="0.3">
      <c r="A806" s="111">
        <v>46188</v>
      </c>
      <c r="B806" t="s">
        <v>636</v>
      </c>
      <c r="C806" s="11"/>
      <c r="D806" s="11">
        <v>918328</v>
      </c>
      <c r="E806" t="s">
        <v>729</v>
      </c>
      <c r="F806" s="108" t="s">
        <v>108</v>
      </c>
    </row>
    <row r="807" spans="1:13" x14ac:dyDescent="0.3">
      <c r="A807" s="111">
        <v>46188</v>
      </c>
      <c r="B807" t="s">
        <v>219</v>
      </c>
      <c r="C807" s="11">
        <v>918328</v>
      </c>
      <c r="D807" s="11"/>
      <c r="E807" t="s">
        <v>730</v>
      </c>
      <c r="F807" s="108" t="s">
        <v>108</v>
      </c>
      <c r="I807">
        <f>515000+365000</f>
        <v>880000</v>
      </c>
    </row>
    <row r="808" spans="1:13" x14ac:dyDescent="0.3">
      <c r="A808" s="111">
        <v>46189</v>
      </c>
      <c r="B808" t="s">
        <v>219</v>
      </c>
      <c r="C808" s="11"/>
      <c r="D808" s="11">
        <v>280000</v>
      </c>
      <c r="E808" t="s">
        <v>713</v>
      </c>
      <c r="F808" s="108" t="s">
        <v>108</v>
      </c>
    </row>
    <row r="809" spans="1:13" x14ac:dyDescent="0.3">
      <c r="A809" s="111">
        <v>46189</v>
      </c>
      <c r="B809" t="s">
        <v>175</v>
      </c>
      <c r="C809" s="11">
        <v>94500</v>
      </c>
      <c r="D809" s="11"/>
      <c r="E809" t="s">
        <v>715</v>
      </c>
      <c r="F809" s="108" t="s">
        <v>108</v>
      </c>
      <c r="J809">
        <v>80000</v>
      </c>
      <c r="L809">
        <v>5000</v>
      </c>
      <c r="M809" t="s">
        <v>648</v>
      </c>
    </row>
    <row r="810" spans="1:13" x14ac:dyDescent="0.3">
      <c r="A810" s="111">
        <v>46189</v>
      </c>
      <c r="B810" t="s">
        <v>357</v>
      </c>
      <c r="C810" s="11">
        <v>6600</v>
      </c>
      <c r="D810" s="11"/>
      <c r="E810" t="s">
        <v>716</v>
      </c>
      <c r="F810" s="108" t="s">
        <v>108</v>
      </c>
      <c r="I810">
        <v>24000</v>
      </c>
      <c r="J810">
        <v>10650</v>
      </c>
      <c r="L810">
        <v>5000</v>
      </c>
      <c r="M810" t="s">
        <v>648</v>
      </c>
    </row>
    <row r="811" spans="1:13" x14ac:dyDescent="0.3">
      <c r="A811" s="111">
        <v>46189</v>
      </c>
      <c r="B811" t="s">
        <v>219</v>
      </c>
      <c r="C811" s="11"/>
      <c r="D811" s="11">
        <v>84000</v>
      </c>
      <c r="E811" t="s">
        <v>717</v>
      </c>
      <c r="F811" s="108" t="s">
        <v>108</v>
      </c>
      <c r="I811">
        <v>17200</v>
      </c>
      <c r="J811">
        <v>14800</v>
      </c>
      <c r="L811">
        <v>24000</v>
      </c>
    </row>
    <row r="812" spans="1:13" x14ac:dyDescent="0.3">
      <c r="A812" s="111">
        <v>46189</v>
      </c>
      <c r="B812" t="s">
        <v>219</v>
      </c>
      <c r="C812" s="11"/>
      <c r="D812" s="11">
        <v>340000</v>
      </c>
      <c r="E812" t="s">
        <v>109</v>
      </c>
      <c r="F812" s="108" t="s">
        <v>108</v>
      </c>
      <c r="I812">
        <v>20400</v>
      </c>
      <c r="J812">
        <v>16800</v>
      </c>
      <c r="L812">
        <v>17200</v>
      </c>
    </row>
    <row r="813" spans="1:13" x14ac:dyDescent="0.3">
      <c r="A813" s="111">
        <v>46189</v>
      </c>
      <c r="B813" t="s">
        <v>488</v>
      </c>
      <c r="C813" s="11">
        <v>5000</v>
      </c>
      <c r="D813" s="11"/>
      <c r="E813" t="s">
        <v>712</v>
      </c>
      <c r="F813" s="108" t="s">
        <v>108</v>
      </c>
      <c r="I813">
        <v>17200</v>
      </c>
      <c r="J813">
        <v>35000</v>
      </c>
      <c r="L813">
        <v>20400</v>
      </c>
    </row>
    <row r="814" spans="1:13" x14ac:dyDescent="0.3">
      <c r="A814" s="111">
        <v>46189</v>
      </c>
      <c r="B814" t="s">
        <v>253</v>
      </c>
      <c r="C814" s="11">
        <v>17000</v>
      </c>
      <c r="D814" s="11"/>
      <c r="E814" t="s">
        <v>423</v>
      </c>
      <c r="F814" s="108" t="s">
        <v>108</v>
      </c>
      <c r="I814">
        <v>23200</v>
      </c>
      <c r="J814">
        <v>9350</v>
      </c>
      <c r="L814">
        <v>17200</v>
      </c>
    </row>
    <row r="815" spans="1:13" x14ac:dyDescent="0.3">
      <c r="A815" s="111">
        <v>46189</v>
      </c>
      <c r="B815" t="s">
        <v>636</v>
      </c>
      <c r="C815" s="11"/>
      <c r="D815" s="11">
        <v>500000</v>
      </c>
      <c r="E815" t="s">
        <v>718</v>
      </c>
      <c r="F815" s="108" t="s">
        <v>108</v>
      </c>
      <c r="I815">
        <v>80000</v>
      </c>
      <c r="J815">
        <v>24000</v>
      </c>
      <c r="L815">
        <v>23200</v>
      </c>
    </row>
    <row r="816" spans="1:13" x14ac:dyDescent="0.3">
      <c r="A816" s="111">
        <v>46190</v>
      </c>
      <c r="B816" t="s">
        <v>517</v>
      </c>
      <c r="C816" s="11">
        <v>400000</v>
      </c>
      <c r="D816" s="11"/>
      <c r="E816" t="s">
        <v>719</v>
      </c>
      <c r="F816" s="108" t="s">
        <v>108</v>
      </c>
      <c r="I816">
        <v>35000</v>
      </c>
      <c r="J816">
        <v>14000</v>
      </c>
      <c r="L816">
        <v>80000</v>
      </c>
    </row>
    <row r="817" spans="1:13" x14ac:dyDescent="0.3">
      <c r="A817" s="111">
        <v>46190</v>
      </c>
      <c r="B817" t="s">
        <v>357</v>
      </c>
      <c r="C817" s="11">
        <v>2670</v>
      </c>
      <c r="D817" s="11"/>
      <c r="F817" s="108" t="s">
        <v>108</v>
      </c>
      <c r="I817">
        <v>25000</v>
      </c>
      <c r="J817">
        <v>12800</v>
      </c>
      <c r="L817">
        <v>60000</v>
      </c>
      <c r="M817" t="s">
        <v>724</v>
      </c>
    </row>
    <row r="818" spans="1:13" x14ac:dyDescent="0.3">
      <c r="A818" s="111">
        <v>46190</v>
      </c>
      <c r="B818" t="s">
        <v>55</v>
      </c>
      <c r="C818" s="11">
        <v>250</v>
      </c>
      <c r="D818" s="11"/>
      <c r="F818" s="108" t="s">
        <v>108</v>
      </c>
      <c r="I818">
        <v>14800</v>
      </c>
      <c r="J818">
        <v>14400</v>
      </c>
      <c r="L818">
        <v>35000</v>
      </c>
    </row>
    <row r="819" spans="1:13" x14ac:dyDescent="0.3">
      <c r="A819" s="111">
        <v>46190</v>
      </c>
      <c r="B819" t="s">
        <v>55</v>
      </c>
      <c r="C819" s="11">
        <v>34428</v>
      </c>
      <c r="D819" s="11"/>
      <c r="E819" t="s">
        <v>259</v>
      </c>
      <c r="F819" s="108" t="s">
        <v>108</v>
      </c>
      <c r="I819">
        <v>10400</v>
      </c>
      <c r="J819">
        <v>20400</v>
      </c>
      <c r="L819">
        <v>25000</v>
      </c>
      <c r="M819" t="s">
        <v>725</v>
      </c>
    </row>
    <row r="820" spans="1:13" x14ac:dyDescent="0.3">
      <c r="A820" s="111">
        <v>46190</v>
      </c>
      <c r="B820" t="s">
        <v>219</v>
      </c>
      <c r="C820" s="11"/>
      <c r="D820" s="11">
        <v>250000</v>
      </c>
      <c r="E820" t="s">
        <v>720</v>
      </c>
      <c r="F820" s="108" t="s">
        <v>108</v>
      </c>
      <c r="I820">
        <v>12800</v>
      </c>
      <c r="J820">
        <v>17200</v>
      </c>
      <c r="L820">
        <v>14800</v>
      </c>
    </row>
    <row r="821" spans="1:13" x14ac:dyDescent="0.3">
      <c r="A821" s="111">
        <v>46190</v>
      </c>
      <c r="B821" t="s">
        <v>211</v>
      </c>
      <c r="C821" s="11"/>
      <c r="D821" s="11">
        <v>740</v>
      </c>
      <c r="F821" s="108" t="s">
        <v>108</v>
      </c>
      <c r="I821">
        <v>16800</v>
      </c>
      <c r="J821">
        <v>11330</v>
      </c>
      <c r="L821">
        <v>10400</v>
      </c>
    </row>
    <row r="822" spans="1:13" x14ac:dyDescent="0.3">
      <c r="A822" s="111">
        <v>46190</v>
      </c>
      <c r="B822" t="s">
        <v>488</v>
      </c>
      <c r="C822" s="11">
        <v>740</v>
      </c>
      <c r="D822" s="11"/>
      <c r="E822" t="s">
        <v>541</v>
      </c>
      <c r="F822" s="108" t="s">
        <v>108</v>
      </c>
      <c r="I822">
        <v>9350</v>
      </c>
      <c r="J822">
        <v>55000</v>
      </c>
      <c r="L822">
        <v>12800</v>
      </c>
    </row>
    <row r="823" spans="1:13" x14ac:dyDescent="0.3">
      <c r="A823" s="111">
        <v>46190</v>
      </c>
      <c r="B823" t="s">
        <v>269</v>
      </c>
      <c r="C823" s="11"/>
      <c r="D823" s="11"/>
      <c r="E823" t="s">
        <v>721</v>
      </c>
      <c r="F823" s="108" t="s">
        <v>108</v>
      </c>
      <c r="I823">
        <v>10650</v>
      </c>
      <c r="J823">
        <v>30000</v>
      </c>
      <c r="L823">
        <v>16800</v>
      </c>
    </row>
    <row r="824" spans="1:13" x14ac:dyDescent="0.3">
      <c r="A824" s="111">
        <v>46190</v>
      </c>
      <c r="B824" t="s">
        <v>269</v>
      </c>
      <c r="C824" s="11">
        <v>2000</v>
      </c>
      <c r="D824" s="11"/>
      <c r="E824" t="s">
        <v>538</v>
      </c>
      <c r="F824" s="108" t="s">
        <v>108</v>
      </c>
      <c r="I824">
        <v>14000</v>
      </c>
      <c r="J824">
        <v>10400</v>
      </c>
      <c r="L824">
        <v>9350</v>
      </c>
    </row>
    <row r="825" spans="1:13" x14ac:dyDescent="0.3">
      <c r="A825" s="111">
        <v>46190</v>
      </c>
      <c r="B825" t="s">
        <v>211</v>
      </c>
      <c r="C825" s="11">
        <v>10000</v>
      </c>
      <c r="D825" s="11"/>
      <c r="F825" s="108" t="s">
        <v>108</v>
      </c>
      <c r="I825">
        <v>14400</v>
      </c>
      <c r="J825">
        <v>8000</v>
      </c>
      <c r="K825" t="s">
        <v>722</v>
      </c>
      <c r="L825">
        <v>10650</v>
      </c>
    </row>
    <row r="826" spans="1:13" x14ac:dyDescent="0.3">
      <c r="A826" s="111">
        <v>46190</v>
      </c>
      <c r="B826" t="s">
        <v>488</v>
      </c>
      <c r="C826" s="11">
        <v>5000</v>
      </c>
      <c r="D826" s="11"/>
      <c r="F826" s="108" t="s">
        <v>108</v>
      </c>
      <c r="I826">
        <v>25000</v>
      </c>
      <c r="J826">
        <v>13300</v>
      </c>
      <c r="L826">
        <v>14000</v>
      </c>
    </row>
    <row r="827" spans="1:13" x14ac:dyDescent="0.3">
      <c r="A827" s="111">
        <v>46190</v>
      </c>
      <c r="B827" t="s">
        <v>298</v>
      </c>
      <c r="C827" s="11">
        <v>5000</v>
      </c>
      <c r="D827" s="11"/>
      <c r="E827" t="s">
        <v>693</v>
      </c>
      <c r="F827" s="108" t="s">
        <v>108</v>
      </c>
      <c r="I827">
        <v>16660</v>
      </c>
      <c r="J827">
        <v>23200</v>
      </c>
      <c r="L827">
        <v>14400</v>
      </c>
    </row>
    <row r="828" spans="1:13" x14ac:dyDescent="0.3">
      <c r="A828" s="111">
        <v>46190</v>
      </c>
      <c r="B828" t="s">
        <v>244</v>
      </c>
      <c r="C828" s="11">
        <v>2000</v>
      </c>
      <c r="D828" s="11"/>
      <c r="E828" t="s">
        <v>689</v>
      </c>
      <c r="F828" s="108" t="s">
        <v>108</v>
      </c>
      <c r="I828">
        <v>16660</v>
      </c>
      <c r="J828">
        <v>17200</v>
      </c>
      <c r="L828">
        <v>25000</v>
      </c>
    </row>
    <row r="829" spans="1:13" x14ac:dyDescent="0.3">
      <c r="A829" s="111">
        <v>46190</v>
      </c>
      <c r="B829" t="s">
        <v>269</v>
      </c>
      <c r="C829" s="11">
        <v>13333</v>
      </c>
      <c r="D829" s="11"/>
      <c r="E829" t="s">
        <v>763</v>
      </c>
      <c r="F829" s="108" t="s">
        <v>108</v>
      </c>
      <c r="I829">
        <v>16660</v>
      </c>
      <c r="J829">
        <v>50000</v>
      </c>
      <c r="L829">
        <v>16660</v>
      </c>
    </row>
    <row r="830" spans="1:13" x14ac:dyDescent="0.3">
      <c r="A830" s="111">
        <v>46190</v>
      </c>
      <c r="B830" t="s">
        <v>253</v>
      </c>
      <c r="C830" s="11">
        <f>848360-13333</f>
        <v>835027</v>
      </c>
      <c r="D830" s="11"/>
      <c r="F830" s="108" t="s">
        <v>108</v>
      </c>
      <c r="I830">
        <v>11330</v>
      </c>
      <c r="J830">
        <v>10000</v>
      </c>
      <c r="L830">
        <v>16660</v>
      </c>
    </row>
    <row r="831" spans="1:13" x14ac:dyDescent="0.3">
      <c r="A831" s="111">
        <v>46190</v>
      </c>
      <c r="B831" t="s">
        <v>211</v>
      </c>
      <c r="C831" s="11">
        <v>1000</v>
      </c>
      <c r="D831" s="11"/>
      <c r="F831" s="108" t="s">
        <v>108</v>
      </c>
      <c r="I831">
        <v>6350</v>
      </c>
      <c r="J831">
        <v>5000</v>
      </c>
      <c r="K831" t="s">
        <v>723</v>
      </c>
      <c r="L831">
        <v>11330</v>
      </c>
    </row>
    <row r="832" spans="1:13" x14ac:dyDescent="0.3">
      <c r="A832" s="111">
        <v>46190</v>
      </c>
      <c r="B832" t="s">
        <v>244</v>
      </c>
      <c r="C832" s="11"/>
      <c r="D832" s="11"/>
      <c r="F832" s="108" t="s">
        <v>108</v>
      </c>
      <c r="I832">
        <v>21350</v>
      </c>
      <c r="L832">
        <v>16660</v>
      </c>
    </row>
    <row r="833" spans="1:13" x14ac:dyDescent="0.3">
      <c r="A833" s="111">
        <v>46192</v>
      </c>
      <c r="B833" t="s">
        <v>211</v>
      </c>
      <c r="C833" s="11">
        <v>1000</v>
      </c>
      <c r="D833" s="11"/>
      <c r="F833" s="108" t="s">
        <v>108</v>
      </c>
      <c r="I833">
        <v>25000</v>
      </c>
      <c r="L833">
        <v>6350</v>
      </c>
    </row>
    <row r="834" spans="1:13" x14ac:dyDescent="0.3">
      <c r="A834" s="111">
        <v>46192</v>
      </c>
      <c r="B834" t="s">
        <v>219</v>
      </c>
      <c r="C834" s="11"/>
      <c r="D834" s="11">
        <v>70250</v>
      </c>
      <c r="E834" t="s">
        <v>568</v>
      </c>
      <c r="F834" s="108" t="s">
        <v>108</v>
      </c>
      <c r="I834">
        <v>55000</v>
      </c>
      <c r="L834">
        <v>21350</v>
      </c>
    </row>
    <row r="835" spans="1:13" x14ac:dyDescent="0.3">
      <c r="A835" s="111">
        <v>46192</v>
      </c>
      <c r="B835" t="s">
        <v>175</v>
      </c>
      <c r="C835" s="11">
        <v>70250</v>
      </c>
      <c r="D835" s="11"/>
      <c r="E835" t="s">
        <v>732</v>
      </c>
      <c r="F835" s="108" t="s">
        <v>108</v>
      </c>
      <c r="I835">
        <v>30000</v>
      </c>
      <c r="L835">
        <v>25000</v>
      </c>
    </row>
    <row r="836" spans="1:13" x14ac:dyDescent="0.3">
      <c r="A836" s="111">
        <v>46192</v>
      </c>
      <c r="B836" t="s">
        <v>357</v>
      </c>
      <c r="C836" s="11">
        <v>6600</v>
      </c>
      <c r="D836" s="11"/>
      <c r="E836" t="s">
        <v>733</v>
      </c>
      <c r="F836" s="108" t="s">
        <v>108</v>
      </c>
      <c r="I836">
        <v>13350</v>
      </c>
      <c r="L836">
        <v>55000</v>
      </c>
    </row>
    <row r="837" spans="1:13" x14ac:dyDescent="0.3">
      <c r="A837" s="111">
        <v>46192</v>
      </c>
      <c r="B837" t="s">
        <v>219</v>
      </c>
      <c r="C837" s="11"/>
      <c r="D837" s="11">
        <v>150000</v>
      </c>
      <c r="E837" t="s">
        <v>109</v>
      </c>
      <c r="F837" s="108" t="s">
        <v>108</v>
      </c>
      <c r="I837">
        <v>26650</v>
      </c>
      <c r="L837">
        <v>30000</v>
      </c>
    </row>
    <row r="838" spans="1:13" x14ac:dyDescent="0.3">
      <c r="A838" s="111">
        <v>46192</v>
      </c>
      <c r="B838" t="s">
        <v>253</v>
      </c>
      <c r="C838" s="11">
        <v>10000</v>
      </c>
      <c r="D838" s="11"/>
      <c r="E838" t="s">
        <v>734</v>
      </c>
      <c r="F838" s="108" t="s">
        <v>108</v>
      </c>
      <c r="I838">
        <v>9000</v>
      </c>
      <c r="L838">
        <v>13350</v>
      </c>
    </row>
    <row r="839" spans="1:13" x14ac:dyDescent="0.3">
      <c r="A839" s="111">
        <v>46192</v>
      </c>
      <c r="B839" t="s">
        <v>253</v>
      </c>
      <c r="C839" s="11">
        <v>60000</v>
      </c>
      <c r="D839" s="11"/>
      <c r="E839" t="s">
        <v>735</v>
      </c>
      <c r="F839" s="108" t="s">
        <v>108</v>
      </c>
      <c r="I839">
        <v>9000</v>
      </c>
      <c r="L839">
        <v>26700</v>
      </c>
    </row>
    <row r="840" spans="1:13" x14ac:dyDescent="0.3">
      <c r="A840" s="111">
        <v>46192</v>
      </c>
      <c r="B840" t="s">
        <v>253</v>
      </c>
      <c r="C840" s="11">
        <v>50000</v>
      </c>
      <c r="D840" s="11"/>
      <c r="E840" t="s">
        <v>736</v>
      </c>
      <c r="F840" s="108" t="s">
        <v>108</v>
      </c>
      <c r="I840">
        <f>50000+75500</f>
        <v>125500</v>
      </c>
      <c r="L840">
        <v>9000</v>
      </c>
    </row>
    <row r="841" spans="1:13" x14ac:dyDescent="0.3">
      <c r="A841" s="111">
        <v>46192</v>
      </c>
      <c r="B841" s="19" t="s">
        <v>253</v>
      </c>
      <c r="C841" s="20">
        <v>50000</v>
      </c>
      <c r="D841" s="11"/>
      <c r="E841" t="s">
        <v>288</v>
      </c>
      <c r="F841" s="108" t="s">
        <v>108</v>
      </c>
      <c r="L841">
        <v>9000</v>
      </c>
    </row>
    <row r="842" spans="1:13" x14ac:dyDescent="0.3">
      <c r="A842" s="111">
        <v>46192</v>
      </c>
      <c r="B842" t="s">
        <v>211</v>
      </c>
      <c r="C842" s="11"/>
      <c r="D842" s="11">
        <v>10000</v>
      </c>
      <c r="E842" t="s">
        <v>271</v>
      </c>
      <c r="F842" s="108" t="s">
        <v>108</v>
      </c>
      <c r="L842">
        <v>125500</v>
      </c>
    </row>
    <row r="843" spans="1:13" x14ac:dyDescent="0.3">
      <c r="A843" s="111">
        <v>46192</v>
      </c>
      <c r="B843" t="s">
        <v>55</v>
      </c>
      <c r="C843" s="11">
        <v>3300</v>
      </c>
      <c r="D843" s="11"/>
      <c r="F843" s="108" t="s">
        <v>108</v>
      </c>
      <c r="L843">
        <v>8000</v>
      </c>
      <c r="M843" t="s">
        <v>602</v>
      </c>
    </row>
    <row r="844" spans="1:13" x14ac:dyDescent="0.3">
      <c r="A844" s="111">
        <v>46192</v>
      </c>
      <c r="B844" t="s">
        <v>219</v>
      </c>
      <c r="C844" s="95"/>
      <c r="D844" s="95">
        <v>3900</v>
      </c>
      <c r="E844" t="s">
        <v>737</v>
      </c>
      <c r="F844" s="108" t="s">
        <v>108</v>
      </c>
      <c r="L844">
        <v>25600</v>
      </c>
      <c r="M844" t="s">
        <v>723</v>
      </c>
    </row>
    <row r="845" spans="1:13" x14ac:dyDescent="0.3">
      <c r="A845" s="111">
        <v>46192</v>
      </c>
      <c r="B845" t="s">
        <v>244</v>
      </c>
      <c r="C845" s="95">
        <v>2400</v>
      </c>
      <c r="D845" s="95"/>
      <c r="E845" t="s">
        <v>738</v>
      </c>
      <c r="F845" s="108" t="s">
        <v>108</v>
      </c>
      <c r="L845">
        <v>2000</v>
      </c>
      <c r="M845" t="s">
        <v>244</v>
      </c>
    </row>
    <row r="846" spans="1:13" x14ac:dyDescent="0.3">
      <c r="A846" s="38">
        <v>46192</v>
      </c>
      <c r="B846" t="s">
        <v>755</v>
      </c>
      <c r="C846" s="95"/>
      <c r="D846" s="95">
        <v>495000</v>
      </c>
      <c r="E846" t="s">
        <v>109</v>
      </c>
      <c r="F846" s="108" t="s">
        <v>108</v>
      </c>
      <c r="L846">
        <v>1000</v>
      </c>
      <c r="M846" t="s">
        <v>211</v>
      </c>
    </row>
    <row r="847" spans="1:13" x14ac:dyDescent="0.3">
      <c r="A847" s="38">
        <v>46192</v>
      </c>
      <c r="B847" t="s">
        <v>219</v>
      </c>
      <c r="C847" s="95">
        <v>495000</v>
      </c>
      <c r="D847" s="95"/>
      <c r="E847" t="s">
        <v>755</v>
      </c>
      <c r="F847" s="108" t="s">
        <v>108</v>
      </c>
      <c r="L847">
        <v>5000</v>
      </c>
      <c r="M847" t="s">
        <v>237</v>
      </c>
    </row>
    <row r="848" spans="1:13" x14ac:dyDescent="0.3">
      <c r="A848" s="38">
        <v>46193</v>
      </c>
      <c r="B848" t="s">
        <v>219</v>
      </c>
      <c r="C848" s="95"/>
      <c r="D848" s="95">
        <v>50000</v>
      </c>
      <c r="E848" t="s">
        <v>739</v>
      </c>
      <c r="F848" s="108" t="s">
        <v>108</v>
      </c>
    </row>
    <row r="849" spans="1:6" x14ac:dyDescent="0.3">
      <c r="A849" s="38">
        <v>46193</v>
      </c>
      <c r="B849" t="s">
        <v>116</v>
      </c>
      <c r="C849" s="95">
        <v>18500</v>
      </c>
      <c r="D849" s="95"/>
      <c r="E849" t="s">
        <v>163</v>
      </c>
      <c r="F849" s="108" t="s">
        <v>108</v>
      </c>
    </row>
    <row r="850" spans="1:6" x14ac:dyDescent="0.3">
      <c r="A850" s="38">
        <v>46193</v>
      </c>
      <c r="B850" t="s">
        <v>55</v>
      </c>
      <c r="C850" s="95">
        <v>12500</v>
      </c>
      <c r="D850" s="95"/>
      <c r="E850" t="s">
        <v>740</v>
      </c>
      <c r="F850" s="108" t="s">
        <v>108</v>
      </c>
    </row>
    <row r="851" spans="1:6" x14ac:dyDescent="0.3">
      <c r="A851" s="38">
        <v>46193</v>
      </c>
      <c r="B851" t="s">
        <v>55</v>
      </c>
      <c r="C851" s="95">
        <v>1200</v>
      </c>
      <c r="D851" s="95"/>
      <c r="E851" t="s">
        <v>741</v>
      </c>
      <c r="F851" s="108" t="s">
        <v>108</v>
      </c>
    </row>
    <row r="852" spans="1:6" x14ac:dyDescent="0.3">
      <c r="A852" s="38">
        <v>46193</v>
      </c>
      <c r="B852" t="s">
        <v>244</v>
      </c>
      <c r="C852" s="95">
        <v>5000</v>
      </c>
      <c r="D852" s="95"/>
      <c r="E852" t="s">
        <v>742</v>
      </c>
      <c r="F852" s="108" t="s">
        <v>108</v>
      </c>
    </row>
    <row r="853" spans="1:6" x14ac:dyDescent="0.3">
      <c r="A853" s="38">
        <v>46193</v>
      </c>
      <c r="B853" t="s">
        <v>55</v>
      </c>
      <c r="C853" s="95">
        <v>750</v>
      </c>
      <c r="D853" s="95"/>
      <c r="F853" s="108" t="s">
        <v>108</v>
      </c>
    </row>
    <row r="854" spans="1:6" x14ac:dyDescent="0.3">
      <c r="A854" s="38">
        <v>46193</v>
      </c>
      <c r="B854" t="s">
        <v>219</v>
      </c>
      <c r="C854" s="95"/>
      <c r="D854" s="95">
        <v>100000</v>
      </c>
      <c r="E854" t="s">
        <v>743</v>
      </c>
      <c r="F854" s="108" t="s">
        <v>108</v>
      </c>
    </row>
    <row r="855" spans="1:6" x14ac:dyDescent="0.3">
      <c r="A855" s="38">
        <v>46193</v>
      </c>
      <c r="B855" t="s">
        <v>331</v>
      </c>
      <c r="C855" s="95">
        <v>50000</v>
      </c>
      <c r="D855" s="95"/>
      <c r="E855" t="s">
        <v>744</v>
      </c>
      <c r="F855" s="108" t="s">
        <v>108</v>
      </c>
    </row>
    <row r="856" spans="1:6" x14ac:dyDescent="0.3">
      <c r="A856" s="38">
        <v>46193</v>
      </c>
      <c r="B856" t="s">
        <v>745</v>
      </c>
      <c r="C856" s="11">
        <v>50000</v>
      </c>
      <c r="D856" s="11"/>
      <c r="E856" t="s">
        <v>746</v>
      </c>
      <c r="F856" s="108" t="s">
        <v>108</v>
      </c>
    </row>
    <row r="857" spans="1:6" x14ac:dyDescent="0.3">
      <c r="A857" s="38">
        <v>46193</v>
      </c>
      <c r="B857" t="s">
        <v>488</v>
      </c>
      <c r="C857" s="95">
        <v>5000</v>
      </c>
      <c r="D857" s="95"/>
      <c r="E857" t="s">
        <v>254</v>
      </c>
      <c r="F857" s="108" t="s">
        <v>108</v>
      </c>
    </row>
    <row r="858" spans="1:6" x14ac:dyDescent="0.3">
      <c r="A858" s="38">
        <v>46193</v>
      </c>
      <c r="B858" t="s">
        <v>219</v>
      </c>
      <c r="C858" s="95"/>
      <c r="D858" s="95">
        <v>15000</v>
      </c>
      <c r="E858" t="s">
        <v>747</v>
      </c>
      <c r="F858" s="108" t="s">
        <v>108</v>
      </c>
    </row>
    <row r="859" spans="1:6" x14ac:dyDescent="0.3">
      <c r="A859" s="38">
        <v>46193</v>
      </c>
      <c r="B859" t="s">
        <v>253</v>
      </c>
      <c r="C859" s="95">
        <v>15000</v>
      </c>
      <c r="D859" s="95"/>
      <c r="E859" t="s">
        <v>288</v>
      </c>
      <c r="F859" s="108" t="s">
        <v>108</v>
      </c>
    </row>
    <row r="860" spans="1:6" x14ac:dyDescent="0.3">
      <c r="A860" s="38">
        <v>46193</v>
      </c>
      <c r="B860" t="s">
        <v>219</v>
      </c>
      <c r="C860" s="95"/>
      <c r="D860" s="95">
        <v>100000</v>
      </c>
      <c r="E860" t="s">
        <v>748</v>
      </c>
      <c r="F860" s="108" t="s">
        <v>108</v>
      </c>
    </row>
    <row r="861" spans="1:6" x14ac:dyDescent="0.3">
      <c r="A861" s="38">
        <v>46193</v>
      </c>
      <c r="B861" t="s">
        <v>253</v>
      </c>
      <c r="C861" s="95">
        <v>100000</v>
      </c>
      <c r="D861" s="95"/>
      <c r="E861" t="s">
        <v>749</v>
      </c>
      <c r="F861" s="108" t="s">
        <v>108</v>
      </c>
    </row>
    <row r="862" spans="1:6" x14ac:dyDescent="0.3">
      <c r="A862" s="38">
        <v>46194</v>
      </c>
      <c r="B862" t="s">
        <v>219</v>
      </c>
      <c r="C862" s="95"/>
      <c r="D862" s="95">
        <v>15000</v>
      </c>
      <c r="E862" t="s">
        <v>750</v>
      </c>
      <c r="F862" s="108" t="s">
        <v>108</v>
      </c>
    </row>
    <row r="863" spans="1:6" x14ac:dyDescent="0.3">
      <c r="A863" s="38">
        <v>46194</v>
      </c>
      <c r="B863" t="s">
        <v>211</v>
      </c>
      <c r="C863" s="95">
        <f>1152+2081+660</f>
        <v>3893</v>
      </c>
      <c r="D863" s="95"/>
      <c r="F863" s="108" t="s">
        <v>108</v>
      </c>
    </row>
    <row r="864" spans="1:6" x14ac:dyDescent="0.3">
      <c r="A864" s="38">
        <v>46194</v>
      </c>
      <c r="B864" t="s">
        <v>55</v>
      </c>
      <c r="C864" s="95">
        <v>9396</v>
      </c>
      <c r="D864" s="95"/>
      <c r="E864" t="s">
        <v>259</v>
      </c>
      <c r="F864" s="108" t="s">
        <v>108</v>
      </c>
    </row>
    <row r="865" spans="1:6" x14ac:dyDescent="0.3">
      <c r="A865" s="38">
        <v>46194</v>
      </c>
      <c r="B865" t="s">
        <v>219</v>
      </c>
      <c r="C865" s="95"/>
      <c r="D865" s="95">
        <v>9396</v>
      </c>
      <c r="E865" t="s">
        <v>259</v>
      </c>
      <c r="F865" s="108" t="s">
        <v>108</v>
      </c>
    </row>
    <row r="866" spans="1:6" x14ac:dyDescent="0.3">
      <c r="A866" s="38">
        <v>46195</v>
      </c>
      <c r="B866" t="s">
        <v>55</v>
      </c>
      <c r="C866" s="95">
        <v>3910</v>
      </c>
      <c r="D866" s="95"/>
      <c r="E866" t="s">
        <v>751</v>
      </c>
      <c r="F866" s="108" t="s">
        <v>108</v>
      </c>
    </row>
    <row r="867" spans="1:6" x14ac:dyDescent="0.3">
      <c r="A867" s="38">
        <v>46195</v>
      </c>
      <c r="B867" t="s">
        <v>219</v>
      </c>
      <c r="C867" s="95"/>
      <c r="D867" s="95">
        <v>3910</v>
      </c>
      <c r="E867" t="s">
        <v>272</v>
      </c>
      <c r="F867" s="108" t="s">
        <v>108</v>
      </c>
    </row>
    <row r="868" spans="1:6" x14ac:dyDescent="0.3">
      <c r="A868" s="38">
        <v>46195</v>
      </c>
      <c r="B868" t="s">
        <v>55</v>
      </c>
      <c r="C868" s="95">
        <v>250</v>
      </c>
      <c r="D868" s="95"/>
      <c r="F868" s="108" t="s">
        <v>108</v>
      </c>
    </row>
    <row r="869" spans="1:6" x14ac:dyDescent="0.3">
      <c r="A869" s="38">
        <v>46195</v>
      </c>
      <c r="B869" t="s">
        <v>488</v>
      </c>
      <c r="C869" s="95">
        <v>4804</v>
      </c>
      <c r="D869" s="95"/>
      <c r="E869" t="s">
        <v>752</v>
      </c>
      <c r="F869" s="108" t="s">
        <v>108</v>
      </c>
    </row>
    <row r="870" spans="1:6" x14ac:dyDescent="0.3">
      <c r="A870" s="38">
        <v>46195</v>
      </c>
      <c r="B870" t="s">
        <v>55</v>
      </c>
      <c r="C870" s="95">
        <v>1000</v>
      </c>
      <c r="D870" s="95"/>
      <c r="F870" s="108" t="s">
        <v>108</v>
      </c>
    </row>
    <row r="871" spans="1:6" x14ac:dyDescent="0.3">
      <c r="A871" s="38">
        <v>46195</v>
      </c>
      <c r="B871" t="s">
        <v>219</v>
      </c>
      <c r="C871" s="95"/>
      <c r="D871" s="95">
        <v>248500</v>
      </c>
      <c r="E871" t="s">
        <v>753</v>
      </c>
      <c r="F871" s="108" t="s">
        <v>108</v>
      </c>
    </row>
    <row r="872" spans="1:6" x14ac:dyDescent="0.3">
      <c r="A872" s="38">
        <v>46195</v>
      </c>
      <c r="B872" t="s">
        <v>219</v>
      </c>
      <c r="C872" s="95"/>
      <c r="D872" s="95">
        <v>275000</v>
      </c>
      <c r="E872" t="s">
        <v>754</v>
      </c>
      <c r="F872" s="108" t="s">
        <v>108</v>
      </c>
    </row>
    <row r="873" spans="1:6" x14ac:dyDescent="0.3">
      <c r="A873" s="38">
        <v>46195</v>
      </c>
      <c r="B873" t="s">
        <v>755</v>
      </c>
      <c r="C873" s="95"/>
      <c r="D873" s="95">
        <v>500000</v>
      </c>
      <c r="E873" t="s">
        <v>109</v>
      </c>
      <c r="F873" s="108" t="s">
        <v>108</v>
      </c>
    </row>
    <row r="874" spans="1:6" x14ac:dyDescent="0.3">
      <c r="A874" s="38">
        <v>46195</v>
      </c>
      <c r="B874" t="s">
        <v>219</v>
      </c>
      <c r="C874" s="95"/>
      <c r="D874" s="95">
        <v>545000</v>
      </c>
      <c r="E874" t="s">
        <v>109</v>
      </c>
      <c r="F874" s="108" t="s">
        <v>108</v>
      </c>
    </row>
    <row r="875" spans="1:6" x14ac:dyDescent="0.3">
      <c r="A875" s="38">
        <v>46195</v>
      </c>
      <c r="B875" t="s">
        <v>51</v>
      </c>
      <c r="C875" s="95">
        <v>1440059</v>
      </c>
      <c r="D875" s="95"/>
      <c r="E875" t="s">
        <v>756</v>
      </c>
      <c r="F875" s="108" t="s">
        <v>108</v>
      </c>
    </row>
    <row r="876" spans="1:6" x14ac:dyDescent="0.3">
      <c r="A876" s="38">
        <v>46195</v>
      </c>
      <c r="B876" t="s">
        <v>55</v>
      </c>
      <c r="C876" s="95">
        <v>800</v>
      </c>
      <c r="D876" s="95"/>
      <c r="E876" t="s">
        <v>757</v>
      </c>
      <c r="F876" s="108" t="s">
        <v>108</v>
      </c>
    </row>
    <row r="877" spans="1:6" x14ac:dyDescent="0.3">
      <c r="A877" s="38">
        <v>46195</v>
      </c>
      <c r="B877" t="s">
        <v>298</v>
      </c>
      <c r="C877" s="95">
        <v>15000</v>
      </c>
      <c r="D877" s="95"/>
      <c r="E877" t="s">
        <v>693</v>
      </c>
      <c r="F877" s="108" t="s">
        <v>108</v>
      </c>
    </row>
    <row r="878" spans="1:6" x14ac:dyDescent="0.3">
      <c r="A878" s="38">
        <v>46195</v>
      </c>
      <c r="B878" t="s">
        <v>357</v>
      </c>
      <c r="C878" s="95">
        <v>2400</v>
      </c>
      <c r="D878" s="95"/>
      <c r="E878" t="s">
        <v>535</v>
      </c>
      <c r="F878" s="108" t="s">
        <v>108</v>
      </c>
    </row>
    <row r="879" spans="1:6" x14ac:dyDescent="0.3">
      <c r="A879" s="38">
        <v>46195</v>
      </c>
      <c r="B879" t="s">
        <v>488</v>
      </c>
      <c r="C879" s="95">
        <v>5000</v>
      </c>
      <c r="D879" s="95"/>
      <c r="E879" t="s">
        <v>712</v>
      </c>
      <c r="F879" s="108" t="s">
        <v>108</v>
      </c>
    </row>
    <row r="880" spans="1:6" x14ac:dyDescent="0.3">
      <c r="A880" s="38">
        <v>46195</v>
      </c>
      <c r="B880" t="s">
        <v>253</v>
      </c>
      <c r="C880" s="95">
        <v>86333</v>
      </c>
      <c r="D880" s="95"/>
      <c r="E880" t="s">
        <v>749</v>
      </c>
      <c r="F880" s="108" t="s">
        <v>108</v>
      </c>
    </row>
    <row r="881" spans="1:11" x14ac:dyDescent="0.3">
      <c r="A881" s="38">
        <v>46195</v>
      </c>
      <c r="B881" t="s">
        <v>246</v>
      </c>
      <c r="C881" s="95">
        <f>5000+2200</f>
        <v>7200</v>
      </c>
      <c r="D881" s="95"/>
      <c r="E881" t="s">
        <v>758</v>
      </c>
      <c r="F881" s="108" t="s">
        <v>108</v>
      </c>
    </row>
    <row r="882" spans="1:11" x14ac:dyDescent="0.3">
      <c r="A882" s="38">
        <v>46195</v>
      </c>
      <c r="B882" t="s">
        <v>244</v>
      </c>
      <c r="C882" s="95">
        <v>2000</v>
      </c>
      <c r="D882" s="95"/>
      <c r="E882" t="s">
        <v>759</v>
      </c>
      <c r="F882" s="108" t="s">
        <v>108</v>
      </c>
    </row>
    <row r="883" spans="1:11" x14ac:dyDescent="0.3">
      <c r="A883" s="38">
        <v>46195</v>
      </c>
      <c r="B883" t="s">
        <v>500</v>
      </c>
      <c r="C883" s="95"/>
      <c r="D883" s="95">
        <v>300000</v>
      </c>
      <c r="E883" t="s">
        <v>109</v>
      </c>
      <c r="F883" s="108" t="s">
        <v>108</v>
      </c>
    </row>
    <row r="884" spans="1:11" x14ac:dyDescent="0.3">
      <c r="A884" s="38">
        <v>46195</v>
      </c>
      <c r="B884" t="s">
        <v>666</v>
      </c>
      <c r="C884" s="95"/>
      <c r="D884" s="95">
        <v>100000</v>
      </c>
      <c r="E884" t="s">
        <v>109</v>
      </c>
      <c r="F884" s="108" t="s">
        <v>108</v>
      </c>
    </row>
    <row r="885" spans="1:11" x14ac:dyDescent="0.3">
      <c r="A885" s="38">
        <v>46195</v>
      </c>
      <c r="B885" t="s">
        <v>219</v>
      </c>
      <c r="C885" s="95">
        <v>300000</v>
      </c>
      <c r="D885" s="11"/>
      <c r="E885" t="s">
        <v>500</v>
      </c>
      <c r="F885" s="108" t="s">
        <v>108</v>
      </c>
    </row>
    <row r="886" spans="1:11" x14ac:dyDescent="0.3">
      <c r="A886" s="38">
        <v>46195</v>
      </c>
      <c r="B886" t="s">
        <v>219</v>
      </c>
      <c r="C886" s="95">
        <v>100000</v>
      </c>
      <c r="D886" s="11"/>
      <c r="E886" t="s">
        <v>666</v>
      </c>
      <c r="F886" s="108" t="s">
        <v>108</v>
      </c>
    </row>
    <row r="887" spans="1:11" x14ac:dyDescent="0.3">
      <c r="A887" s="38">
        <v>46195</v>
      </c>
      <c r="B887" t="s">
        <v>219</v>
      </c>
      <c r="C887" s="95"/>
      <c r="D887" s="95">
        <v>200000</v>
      </c>
      <c r="E887" t="s">
        <v>760</v>
      </c>
      <c r="F887" s="108" t="s">
        <v>108</v>
      </c>
    </row>
    <row r="888" spans="1:11" x14ac:dyDescent="0.3">
      <c r="A888" s="38">
        <v>46195</v>
      </c>
      <c r="B888" t="s">
        <v>115</v>
      </c>
      <c r="C888" s="95">
        <v>200000</v>
      </c>
      <c r="D888" s="95"/>
      <c r="E888" t="s">
        <v>761</v>
      </c>
      <c r="F888" s="108" t="s">
        <v>108</v>
      </c>
    </row>
    <row r="889" spans="1:11" x14ac:dyDescent="0.3">
      <c r="A889" s="38">
        <v>46195</v>
      </c>
      <c r="B889" t="s">
        <v>55</v>
      </c>
      <c r="C889" s="95">
        <v>500</v>
      </c>
      <c r="D889" s="95"/>
      <c r="F889" s="108" t="s">
        <v>108</v>
      </c>
    </row>
    <row r="890" spans="1:11" x14ac:dyDescent="0.3">
      <c r="A890" s="38">
        <v>46196</v>
      </c>
      <c r="B890" t="s">
        <v>116</v>
      </c>
      <c r="C890" s="11">
        <v>18500</v>
      </c>
      <c r="D890" s="11"/>
      <c r="E890" t="s">
        <v>163</v>
      </c>
      <c r="F890" s="108" t="s">
        <v>108</v>
      </c>
    </row>
    <row r="891" spans="1:11" x14ac:dyDescent="0.3">
      <c r="A891" s="38">
        <v>46196</v>
      </c>
      <c r="B891" t="s">
        <v>219</v>
      </c>
      <c r="C891" s="11"/>
      <c r="D891" s="11">
        <v>18500</v>
      </c>
      <c r="E891" t="s">
        <v>163</v>
      </c>
      <c r="F891" s="108" t="s">
        <v>108</v>
      </c>
    </row>
    <row r="892" spans="1:11" x14ac:dyDescent="0.3">
      <c r="A892" s="38">
        <v>46196</v>
      </c>
      <c r="B892" t="s">
        <v>244</v>
      </c>
      <c r="C892" s="11">
        <v>5640</v>
      </c>
      <c r="D892" s="11"/>
      <c r="E892" t="s">
        <v>764</v>
      </c>
      <c r="F892" s="108" t="s">
        <v>108</v>
      </c>
    </row>
    <row r="893" spans="1:11" x14ac:dyDescent="0.3">
      <c r="A893" s="111">
        <v>46196</v>
      </c>
      <c r="B893" t="s">
        <v>175</v>
      </c>
      <c r="C893" s="11">
        <v>27000</v>
      </c>
      <c r="D893" s="11"/>
      <c r="E893" t="s">
        <v>765</v>
      </c>
      <c r="F893" s="108" t="s">
        <v>108</v>
      </c>
    </row>
    <row r="894" spans="1:11" x14ac:dyDescent="0.3">
      <c r="A894" s="111">
        <v>46196</v>
      </c>
      <c r="B894" t="s">
        <v>219</v>
      </c>
      <c r="C894" s="11"/>
      <c r="D894" s="11">
        <v>27000</v>
      </c>
      <c r="E894" t="s">
        <v>568</v>
      </c>
      <c r="F894" s="108" t="s">
        <v>108</v>
      </c>
    </row>
    <row r="895" spans="1:11" x14ac:dyDescent="0.3">
      <c r="A895" s="111">
        <v>46196</v>
      </c>
      <c r="B895" t="s">
        <v>357</v>
      </c>
      <c r="C895" s="11">
        <v>6600</v>
      </c>
      <c r="D895" s="11"/>
      <c r="E895" t="s">
        <v>535</v>
      </c>
      <c r="F895" s="108" t="s">
        <v>108</v>
      </c>
    </row>
    <row r="896" spans="1:11" x14ac:dyDescent="0.3">
      <c r="A896" s="111">
        <v>46196</v>
      </c>
      <c r="B896" t="s">
        <v>767</v>
      </c>
      <c r="C896" s="11"/>
      <c r="D896" s="11">
        <v>50000</v>
      </c>
      <c r="E896" t="s">
        <v>766</v>
      </c>
      <c r="F896" s="108" t="s">
        <v>108</v>
      </c>
      <c r="I896">
        <v>330000</v>
      </c>
      <c r="J896">
        <v>25600</v>
      </c>
      <c r="K896">
        <v>155000</v>
      </c>
    </row>
    <row r="897" spans="1:11" x14ac:dyDescent="0.3">
      <c r="A897" s="111">
        <v>46196</v>
      </c>
      <c r="B897" t="s">
        <v>269</v>
      </c>
      <c r="C897" s="11">
        <v>15000</v>
      </c>
      <c r="D897" s="11"/>
      <c r="E897" t="s">
        <v>700</v>
      </c>
      <c r="F897" s="108" t="s">
        <v>108</v>
      </c>
      <c r="I897">
        <v>80000</v>
      </c>
      <c r="J897">
        <v>36800</v>
      </c>
      <c r="K897">
        <v>5350</v>
      </c>
    </row>
    <row r="898" spans="1:11" x14ac:dyDescent="0.3">
      <c r="A898" s="111">
        <v>46196</v>
      </c>
      <c r="B898" t="s">
        <v>269</v>
      </c>
      <c r="C898" s="11">
        <v>35000</v>
      </c>
      <c r="D898" s="11"/>
      <c r="E898" t="s">
        <v>768</v>
      </c>
      <c r="F898" s="108" t="s">
        <v>108</v>
      </c>
      <c r="J898">
        <v>22800</v>
      </c>
      <c r="K898">
        <v>20000</v>
      </c>
    </row>
    <row r="899" spans="1:11" x14ac:dyDescent="0.3">
      <c r="A899" s="111">
        <v>46196</v>
      </c>
      <c r="B899" t="s">
        <v>674</v>
      </c>
      <c r="C899" s="11">
        <v>150000</v>
      </c>
      <c r="D899" s="11"/>
      <c r="E899" t="s">
        <v>769</v>
      </c>
      <c r="F899" s="108" t="s">
        <v>108</v>
      </c>
      <c r="I899">
        <v>70000</v>
      </c>
      <c r="J899">
        <v>31400</v>
      </c>
      <c r="K899">
        <v>30000</v>
      </c>
    </row>
    <row r="900" spans="1:11" x14ac:dyDescent="0.3">
      <c r="A900" s="111">
        <v>46196</v>
      </c>
      <c r="B900" t="s">
        <v>269</v>
      </c>
      <c r="C900" s="11">
        <v>10000</v>
      </c>
      <c r="D900" s="11"/>
      <c r="E900" t="s">
        <v>288</v>
      </c>
      <c r="F900" s="108" t="s">
        <v>108</v>
      </c>
      <c r="I900">
        <v>50000</v>
      </c>
      <c r="J900">
        <v>35600</v>
      </c>
      <c r="K900">
        <v>22000</v>
      </c>
    </row>
    <row r="901" spans="1:11" x14ac:dyDescent="0.3">
      <c r="A901" s="111">
        <v>46196</v>
      </c>
      <c r="B901" t="s">
        <v>219</v>
      </c>
      <c r="C901" s="11"/>
      <c r="D901" s="11">
        <v>153000</v>
      </c>
      <c r="E901" t="s">
        <v>770</v>
      </c>
      <c r="F901" s="108" t="s">
        <v>108</v>
      </c>
      <c r="I901">
        <v>194000</v>
      </c>
      <c r="J901">
        <v>30000</v>
      </c>
      <c r="K901">
        <v>22400</v>
      </c>
    </row>
    <row r="902" spans="1:11" x14ac:dyDescent="0.3">
      <c r="A902" s="111">
        <v>46196</v>
      </c>
      <c r="B902" t="s">
        <v>367</v>
      </c>
      <c r="C902" s="11"/>
      <c r="D902" s="11">
        <v>4806</v>
      </c>
      <c r="E902" t="s">
        <v>828</v>
      </c>
      <c r="F902" s="108" t="s">
        <v>108</v>
      </c>
      <c r="J902">
        <v>30000</v>
      </c>
      <c r="K902">
        <v>4650</v>
      </c>
    </row>
    <row r="903" spans="1:11" x14ac:dyDescent="0.3">
      <c r="A903" s="111">
        <v>46196</v>
      </c>
      <c r="B903" t="s">
        <v>488</v>
      </c>
      <c r="C903" s="11">
        <v>4806</v>
      </c>
      <c r="D903" s="11"/>
      <c r="E903" t="s">
        <v>250</v>
      </c>
      <c r="F903" s="108" t="s">
        <v>108</v>
      </c>
      <c r="J903">
        <v>24600</v>
      </c>
      <c r="K903">
        <v>22650</v>
      </c>
    </row>
    <row r="904" spans="1:11" x14ac:dyDescent="0.3">
      <c r="A904" s="111">
        <v>46197</v>
      </c>
      <c r="B904" t="s">
        <v>755</v>
      </c>
      <c r="C904" s="95"/>
      <c r="D904" s="95">
        <v>170000</v>
      </c>
      <c r="F904" s="108" t="s">
        <v>108</v>
      </c>
      <c r="J904">
        <v>25800</v>
      </c>
      <c r="K904">
        <v>18300</v>
      </c>
    </row>
    <row r="905" spans="1:11" x14ac:dyDescent="0.3">
      <c r="A905" s="111">
        <v>46197</v>
      </c>
      <c r="B905" t="s">
        <v>219</v>
      </c>
      <c r="C905" s="11">
        <v>170000</v>
      </c>
      <c r="D905" s="11"/>
      <c r="E905" t="s">
        <v>755</v>
      </c>
      <c r="F905" s="108" t="s">
        <v>108</v>
      </c>
      <c r="J905">
        <v>24600</v>
      </c>
      <c r="K905">
        <v>20450</v>
      </c>
    </row>
    <row r="906" spans="1:11" x14ac:dyDescent="0.3">
      <c r="A906" s="111">
        <v>46197</v>
      </c>
      <c r="B906" t="s">
        <v>357</v>
      </c>
      <c r="C906" s="11">
        <v>1670</v>
      </c>
      <c r="D906" s="11"/>
      <c r="F906" s="108" t="s">
        <v>108</v>
      </c>
      <c r="J906">
        <v>20000</v>
      </c>
      <c r="K906">
        <v>21450</v>
      </c>
    </row>
    <row r="907" spans="1:11" x14ac:dyDescent="0.3">
      <c r="A907" s="111">
        <v>46197</v>
      </c>
      <c r="B907" t="s">
        <v>219</v>
      </c>
      <c r="C907" s="11"/>
      <c r="D907" s="11">
        <v>87000</v>
      </c>
      <c r="E907" t="s">
        <v>540</v>
      </c>
      <c r="F907" s="108" t="s">
        <v>108</v>
      </c>
      <c r="J907">
        <v>28350</v>
      </c>
      <c r="K907">
        <v>20450</v>
      </c>
    </row>
    <row r="908" spans="1:11" x14ac:dyDescent="0.3">
      <c r="A908" s="111">
        <v>46197</v>
      </c>
      <c r="B908" t="s">
        <v>55</v>
      </c>
      <c r="C908" s="11">
        <v>39300</v>
      </c>
      <c r="D908" s="11"/>
      <c r="E908" t="s">
        <v>771</v>
      </c>
      <c r="F908" s="108" t="s">
        <v>108</v>
      </c>
      <c r="J908">
        <v>20450</v>
      </c>
      <c r="K908">
        <v>28350</v>
      </c>
    </row>
    <row r="909" spans="1:11" x14ac:dyDescent="0.3">
      <c r="A909" s="111">
        <v>46197</v>
      </c>
      <c r="B909" t="s">
        <v>55</v>
      </c>
      <c r="C909" s="11">
        <v>850</v>
      </c>
      <c r="D909" s="11"/>
      <c r="F909" s="108" t="s">
        <v>108</v>
      </c>
      <c r="J909">
        <v>21450</v>
      </c>
      <c r="K909">
        <v>20000</v>
      </c>
    </row>
    <row r="910" spans="1:11" x14ac:dyDescent="0.3">
      <c r="A910" s="111">
        <v>46197</v>
      </c>
      <c r="B910" t="s">
        <v>246</v>
      </c>
      <c r="C910" s="11">
        <v>5200</v>
      </c>
      <c r="D910" s="11"/>
      <c r="E910" t="s">
        <v>282</v>
      </c>
      <c r="F910" s="108" t="s">
        <v>108</v>
      </c>
      <c r="J910">
        <v>20450</v>
      </c>
      <c r="K910">
        <v>24600</v>
      </c>
    </row>
    <row r="911" spans="1:11" x14ac:dyDescent="0.3">
      <c r="A911" s="111">
        <v>46197</v>
      </c>
      <c r="B911" t="s">
        <v>219</v>
      </c>
      <c r="C911" s="11"/>
      <c r="D911" s="11">
        <v>50000</v>
      </c>
      <c r="E911" t="s">
        <v>772</v>
      </c>
      <c r="F911" s="108" t="s">
        <v>108</v>
      </c>
      <c r="J911">
        <v>18300</v>
      </c>
      <c r="K911">
        <v>25800</v>
      </c>
    </row>
    <row r="912" spans="1:11" x14ac:dyDescent="0.3">
      <c r="A912" s="38">
        <v>46197</v>
      </c>
      <c r="B912" t="s">
        <v>425</v>
      </c>
      <c r="C912" s="95">
        <v>50000</v>
      </c>
      <c r="D912" s="95"/>
      <c r="E912" t="s">
        <v>773</v>
      </c>
      <c r="F912" s="108" t="s">
        <v>108</v>
      </c>
      <c r="J912">
        <v>22650</v>
      </c>
      <c r="K912">
        <v>24600</v>
      </c>
    </row>
    <row r="913" spans="1:11" x14ac:dyDescent="0.3">
      <c r="A913" s="38">
        <v>46197</v>
      </c>
      <c r="B913" t="s">
        <v>219</v>
      </c>
      <c r="C913" s="95"/>
      <c r="D913" s="95">
        <v>36000</v>
      </c>
      <c r="E913" t="s">
        <v>774</v>
      </c>
      <c r="F913" s="108" t="s">
        <v>108</v>
      </c>
      <c r="J913">
        <v>4650</v>
      </c>
      <c r="K913">
        <v>30000</v>
      </c>
    </row>
    <row r="914" spans="1:11" x14ac:dyDescent="0.3">
      <c r="A914" s="38">
        <v>46197</v>
      </c>
      <c r="B914" t="s">
        <v>244</v>
      </c>
      <c r="C914" s="95">
        <v>40000</v>
      </c>
      <c r="D914" s="95"/>
      <c r="E914" t="s">
        <v>775</v>
      </c>
      <c r="F914" s="108" t="s">
        <v>108</v>
      </c>
      <c r="J914">
        <v>22400</v>
      </c>
      <c r="K914">
        <v>30000</v>
      </c>
    </row>
    <row r="915" spans="1:11" x14ac:dyDescent="0.3">
      <c r="A915" s="38">
        <v>46197</v>
      </c>
      <c r="B915" t="s">
        <v>211</v>
      </c>
      <c r="C915" s="95">
        <v>1450</v>
      </c>
      <c r="D915" s="95"/>
      <c r="F915" s="108" t="s">
        <v>108</v>
      </c>
      <c r="J915">
        <v>22000</v>
      </c>
      <c r="K915">
        <v>35600</v>
      </c>
    </row>
    <row r="916" spans="1:11" x14ac:dyDescent="0.3">
      <c r="A916" s="38">
        <v>46198</v>
      </c>
      <c r="B916" t="s">
        <v>219</v>
      </c>
      <c r="C916" s="95"/>
      <c r="D916" s="95">
        <v>50000</v>
      </c>
      <c r="E916" t="s">
        <v>776</v>
      </c>
      <c r="F916" s="108" t="s">
        <v>108</v>
      </c>
      <c r="J916">
        <v>30000</v>
      </c>
      <c r="K916">
        <v>31400</v>
      </c>
    </row>
    <row r="917" spans="1:11" x14ac:dyDescent="0.3">
      <c r="A917" s="38">
        <v>46198</v>
      </c>
      <c r="B917" t="s">
        <v>253</v>
      </c>
      <c r="C917" s="95">
        <v>60000</v>
      </c>
      <c r="D917" s="95"/>
      <c r="E917" t="s">
        <v>777</v>
      </c>
      <c r="F917" s="108" t="s">
        <v>108</v>
      </c>
      <c r="J917">
        <v>20000</v>
      </c>
      <c r="K917">
        <v>22800</v>
      </c>
    </row>
    <row r="918" spans="1:11" x14ac:dyDescent="0.3">
      <c r="A918" s="111">
        <v>46198</v>
      </c>
      <c r="B918" t="s">
        <v>246</v>
      </c>
      <c r="C918" s="95">
        <v>5200</v>
      </c>
      <c r="D918" s="95"/>
      <c r="E918" t="s">
        <v>282</v>
      </c>
      <c r="F918" s="108" t="s">
        <v>108</v>
      </c>
      <c r="J918">
        <v>5350</v>
      </c>
      <c r="K918">
        <v>36800</v>
      </c>
    </row>
    <row r="919" spans="1:11" x14ac:dyDescent="0.3">
      <c r="A919" s="38">
        <v>46198</v>
      </c>
      <c r="B919" t="s">
        <v>488</v>
      </c>
      <c r="C919" s="95">
        <v>4111</v>
      </c>
      <c r="D919" s="95"/>
      <c r="E919" t="s">
        <v>259</v>
      </c>
      <c r="F919" s="108" t="s">
        <v>108</v>
      </c>
      <c r="J919">
        <v>155000</v>
      </c>
      <c r="K919">
        <v>25600</v>
      </c>
    </row>
    <row r="920" spans="1:11" x14ac:dyDescent="0.3">
      <c r="A920" s="38">
        <v>46198</v>
      </c>
      <c r="B920" t="s">
        <v>55</v>
      </c>
      <c r="C920" s="95">
        <v>2000</v>
      </c>
      <c r="D920" s="95"/>
      <c r="F920" s="108" t="s">
        <v>108</v>
      </c>
    </row>
    <row r="921" spans="1:11" x14ac:dyDescent="0.3">
      <c r="A921" s="38">
        <v>46198</v>
      </c>
      <c r="B921" t="s">
        <v>386</v>
      </c>
      <c r="C921" s="95">
        <v>1500</v>
      </c>
      <c r="D921" s="95"/>
      <c r="E921" t="s">
        <v>778</v>
      </c>
      <c r="F921" s="108" t="s">
        <v>108</v>
      </c>
    </row>
    <row r="922" spans="1:11" x14ac:dyDescent="0.3">
      <c r="A922" s="38">
        <v>46198</v>
      </c>
      <c r="B922" t="s">
        <v>253</v>
      </c>
      <c r="C922" s="95">
        <v>9650</v>
      </c>
      <c r="D922" s="95"/>
      <c r="E922" t="s">
        <v>779</v>
      </c>
      <c r="F922" s="108" t="s">
        <v>108</v>
      </c>
    </row>
    <row r="923" spans="1:11" x14ac:dyDescent="0.3">
      <c r="A923" s="38">
        <v>46198</v>
      </c>
      <c r="B923" t="s">
        <v>386</v>
      </c>
      <c r="C923" s="95">
        <v>4000</v>
      </c>
      <c r="D923" s="95"/>
      <c r="E923" t="s">
        <v>784</v>
      </c>
      <c r="F923" s="108" t="s">
        <v>108</v>
      </c>
    </row>
    <row r="924" spans="1:11" x14ac:dyDescent="0.3">
      <c r="A924" s="38">
        <v>46200</v>
      </c>
      <c r="B924" t="s">
        <v>211</v>
      </c>
      <c r="C924" s="95">
        <v>1800</v>
      </c>
      <c r="D924" s="95"/>
      <c r="F924" s="108" t="s">
        <v>108</v>
      </c>
    </row>
    <row r="925" spans="1:11" x14ac:dyDescent="0.3">
      <c r="A925" s="38">
        <v>46200</v>
      </c>
      <c r="B925" t="s">
        <v>219</v>
      </c>
      <c r="C925" s="95"/>
      <c r="D925" s="95">
        <v>10000</v>
      </c>
      <c r="E925" t="s">
        <v>320</v>
      </c>
      <c r="F925" s="108" t="s">
        <v>108</v>
      </c>
    </row>
    <row r="926" spans="1:11" x14ac:dyDescent="0.3">
      <c r="A926" s="38">
        <v>46200</v>
      </c>
      <c r="B926" t="s">
        <v>269</v>
      </c>
      <c r="C926" s="95">
        <v>10000</v>
      </c>
      <c r="D926" s="95"/>
      <c r="E926" t="s">
        <v>665</v>
      </c>
      <c r="F926" s="108" t="s">
        <v>108</v>
      </c>
    </row>
    <row r="927" spans="1:11" x14ac:dyDescent="0.3">
      <c r="A927" s="38">
        <v>46201</v>
      </c>
      <c r="B927" t="s">
        <v>219</v>
      </c>
      <c r="C927" s="95"/>
      <c r="D927" s="95">
        <v>10000</v>
      </c>
      <c r="E927" t="s">
        <v>780</v>
      </c>
      <c r="F927" s="108" t="s">
        <v>108</v>
      </c>
    </row>
    <row r="928" spans="1:11" x14ac:dyDescent="0.3">
      <c r="A928" s="38">
        <v>46201</v>
      </c>
      <c r="B928" t="s">
        <v>357</v>
      </c>
      <c r="C928" s="95">
        <v>10110</v>
      </c>
      <c r="D928" s="95"/>
      <c r="F928" s="108" t="s">
        <v>108</v>
      </c>
    </row>
    <row r="929" spans="1:6" x14ac:dyDescent="0.3">
      <c r="A929" s="38">
        <v>46202</v>
      </c>
      <c r="B929" t="s">
        <v>367</v>
      </c>
      <c r="C929" s="95"/>
      <c r="D929" s="95">
        <v>420000</v>
      </c>
      <c r="E929" t="s">
        <v>781</v>
      </c>
      <c r="F929" s="108" t="s">
        <v>108</v>
      </c>
    </row>
    <row r="930" spans="1:6" x14ac:dyDescent="0.3">
      <c r="A930" s="38">
        <v>46202</v>
      </c>
      <c r="B930" t="s">
        <v>222</v>
      </c>
      <c r="C930" s="95">
        <v>300000</v>
      </c>
      <c r="D930" s="95"/>
      <c r="E930" t="s">
        <v>782</v>
      </c>
      <c r="F930" s="108" t="s">
        <v>108</v>
      </c>
    </row>
    <row r="931" spans="1:6" x14ac:dyDescent="0.3">
      <c r="A931" s="38">
        <v>46202</v>
      </c>
      <c r="B931" t="s">
        <v>269</v>
      </c>
      <c r="C931" s="95">
        <v>15000</v>
      </c>
      <c r="D931" s="95"/>
      <c r="E931" t="s">
        <v>783</v>
      </c>
      <c r="F931" s="108" t="s">
        <v>108</v>
      </c>
    </row>
    <row r="932" spans="1:6" x14ac:dyDescent="0.3">
      <c r="A932" s="38">
        <v>46202</v>
      </c>
      <c r="B932" t="s">
        <v>386</v>
      </c>
      <c r="C932" s="95">
        <v>420</v>
      </c>
      <c r="D932" s="95"/>
      <c r="F932" s="108" t="s">
        <v>108</v>
      </c>
    </row>
    <row r="933" spans="1:6" x14ac:dyDescent="0.3">
      <c r="A933" s="38">
        <v>46202</v>
      </c>
      <c r="B933" t="s">
        <v>500</v>
      </c>
      <c r="C933" s="95"/>
      <c r="D933" s="95">
        <v>350000</v>
      </c>
      <c r="E933" t="s">
        <v>21</v>
      </c>
      <c r="F933" s="108" t="s">
        <v>108</v>
      </c>
    </row>
    <row r="934" spans="1:6" x14ac:dyDescent="0.3">
      <c r="A934" s="111">
        <v>46202</v>
      </c>
      <c r="B934" t="s">
        <v>219</v>
      </c>
      <c r="C934" s="95">
        <v>350000</v>
      </c>
      <c r="D934" s="95"/>
      <c r="E934" t="s">
        <v>500</v>
      </c>
      <c r="F934" s="108" t="s">
        <v>108</v>
      </c>
    </row>
    <row r="935" spans="1:6" x14ac:dyDescent="0.3">
      <c r="A935" s="111">
        <v>46203</v>
      </c>
      <c r="B935" s="80" t="s">
        <v>211</v>
      </c>
      <c r="C935" s="11"/>
      <c r="D935" s="86">
        <v>100000</v>
      </c>
      <c r="E935" s="80" t="s">
        <v>1080</v>
      </c>
      <c r="F935" s="87" t="s">
        <v>108</v>
      </c>
    </row>
    <row r="936" spans="1:6" x14ac:dyDescent="0.3">
      <c r="A936" s="111">
        <v>46203</v>
      </c>
      <c r="B936" s="80" t="s">
        <v>290</v>
      </c>
      <c r="C936" s="11">
        <v>100000</v>
      </c>
      <c r="D936" s="86"/>
      <c r="E936" s="80" t="s">
        <v>1084</v>
      </c>
      <c r="F936" s="87" t="s">
        <v>108</v>
      </c>
    </row>
    <row r="937" spans="1:6" x14ac:dyDescent="0.3">
      <c r="A937" s="111">
        <v>46203</v>
      </c>
      <c r="B937" t="s">
        <v>357</v>
      </c>
      <c r="C937" s="95">
        <v>6600</v>
      </c>
      <c r="D937" s="95"/>
      <c r="F937" s="108" t="s">
        <v>108</v>
      </c>
    </row>
    <row r="938" spans="1:6" x14ac:dyDescent="0.3">
      <c r="A938" s="111">
        <v>46203</v>
      </c>
      <c r="B938" t="s">
        <v>55</v>
      </c>
      <c r="C938" s="11">
        <v>10000</v>
      </c>
      <c r="D938" s="11"/>
      <c r="E938" t="s">
        <v>785</v>
      </c>
      <c r="F938" s="108" t="s">
        <v>108</v>
      </c>
    </row>
    <row r="939" spans="1:6" x14ac:dyDescent="0.3">
      <c r="A939" s="111">
        <v>46203</v>
      </c>
      <c r="B939" t="s">
        <v>253</v>
      </c>
      <c r="C939" s="11">
        <v>20000</v>
      </c>
      <c r="D939" s="11"/>
      <c r="E939" t="s">
        <v>260</v>
      </c>
      <c r="F939" s="108" t="s">
        <v>108</v>
      </c>
    </row>
    <row r="940" spans="1:6" x14ac:dyDescent="0.3">
      <c r="A940" s="111">
        <v>46203</v>
      </c>
      <c r="B940" t="s">
        <v>219</v>
      </c>
      <c r="C940" s="11"/>
      <c r="D940" s="11">
        <v>5000</v>
      </c>
      <c r="F940" s="108" t="s">
        <v>108</v>
      </c>
    </row>
    <row r="941" spans="1:6" x14ac:dyDescent="0.3">
      <c r="A941" s="111">
        <v>46203</v>
      </c>
      <c r="B941" t="s">
        <v>55</v>
      </c>
      <c r="C941" s="11">
        <v>5000</v>
      </c>
      <c r="D941" s="11"/>
      <c r="F941" s="108" t="s">
        <v>108</v>
      </c>
    </row>
    <row r="942" spans="1:6" x14ac:dyDescent="0.3">
      <c r="A942" s="111">
        <v>46204</v>
      </c>
      <c r="B942" t="s">
        <v>219</v>
      </c>
      <c r="C942" s="11"/>
      <c r="D942" s="11">
        <v>23750</v>
      </c>
      <c r="E942" t="s">
        <v>568</v>
      </c>
      <c r="F942" s="108" t="s">
        <v>108</v>
      </c>
    </row>
    <row r="943" spans="1:6" x14ac:dyDescent="0.3">
      <c r="A943" s="111">
        <v>46204</v>
      </c>
      <c r="B943" t="s">
        <v>175</v>
      </c>
      <c r="C943" s="11">
        <v>23750</v>
      </c>
      <c r="D943" s="11"/>
      <c r="E943" t="s">
        <v>116</v>
      </c>
      <c r="F943" s="108" t="s">
        <v>108</v>
      </c>
    </row>
    <row r="944" spans="1:6" x14ac:dyDescent="0.3">
      <c r="A944" s="111">
        <v>46204</v>
      </c>
      <c r="B944" t="s">
        <v>394</v>
      </c>
      <c r="C944" s="11">
        <v>24000</v>
      </c>
      <c r="D944" s="11"/>
      <c r="E944" t="s">
        <v>786</v>
      </c>
      <c r="F944" s="108" t="s">
        <v>108</v>
      </c>
    </row>
    <row r="945" spans="1:9" x14ac:dyDescent="0.3">
      <c r="A945" s="111">
        <v>46204</v>
      </c>
      <c r="B945" t="s">
        <v>219</v>
      </c>
      <c r="C945" s="11"/>
      <c r="D945" s="11">
        <v>24000</v>
      </c>
      <c r="E945" t="s">
        <v>394</v>
      </c>
      <c r="F945" s="108" t="s">
        <v>108</v>
      </c>
    </row>
    <row r="946" spans="1:9" x14ac:dyDescent="0.3">
      <c r="A946" s="111">
        <v>46204</v>
      </c>
      <c r="B946" t="s">
        <v>55</v>
      </c>
      <c r="C946" s="11">
        <v>7000</v>
      </c>
      <c r="D946" s="11"/>
      <c r="F946" s="108" t="s">
        <v>108</v>
      </c>
      <c r="I946">
        <v>5500</v>
      </c>
    </row>
    <row r="947" spans="1:9" x14ac:dyDescent="0.3">
      <c r="A947" s="111">
        <v>46204</v>
      </c>
      <c r="B947" t="s">
        <v>253</v>
      </c>
      <c r="C947" s="11">
        <v>15000</v>
      </c>
      <c r="D947" s="11"/>
      <c r="E947" t="s">
        <v>787</v>
      </c>
      <c r="F947" s="108" t="s">
        <v>108</v>
      </c>
      <c r="I947">
        <v>11000</v>
      </c>
    </row>
    <row r="948" spans="1:9" x14ac:dyDescent="0.3">
      <c r="A948" s="111">
        <v>46204</v>
      </c>
      <c r="B948" t="s">
        <v>219</v>
      </c>
      <c r="C948" s="11"/>
      <c r="D948" s="11">
        <v>175000</v>
      </c>
      <c r="E948" t="s">
        <v>788</v>
      </c>
      <c r="F948" s="108" t="s">
        <v>108</v>
      </c>
      <c r="I948">
        <v>10200</v>
      </c>
    </row>
    <row r="949" spans="1:9" x14ac:dyDescent="0.3">
      <c r="A949" s="38">
        <v>46204</v>
      </c>
      <c r="B949" t="s">
        <v>674</v>
      </c>
      <c r="C949" s="11">
        <v>200000</v>
      </c>
      <c r="D949" s="11"/>
      <c r="E949" t="s">
        <v>789</v>
      </c>
      <c r="F949" s="108" t="s">
        <v>108</v>
      </c>
      <c r="I949">
        <v>7800</v>
      </c>
    </row>
    <row r="950" spans="1:9" x14ac:dyDescent="0.3">
      <c r="A950" s="38">
        <v>46204</v>
      </c>
      <c r="B950" t="s">
        <v>244</v>
      </c>
      <c r="C950" s="11">
        <v>15000</v>
      </c>
      <c r="D950" s="11"/>
      <c r="E950" t="s">
        <v>790</v>
      </c>
      <c r="F950" s="108" t="s">
        <v>108</v>
      </c>
      <c r="I950">
        <v>80000</v>
      </c>
    </row>
    <row r="951" spans="1:9" x14ac:dyDescent="0.3">
      <c r="A951" s="38">
        <v>46204</v>
      </c>
      <c r="B951" t="s">
        <v>55</v>
      </c>
      <c r="C951" s="11">
        <v>7000</v>
      </c>
      <c r="D951" s="11"/>
      <c r="E951" t="s">
        <v>785</v>
      </c>
      <c r="F951" s="108" t="s">
        <v>108</v>
      </c>
      <c r="I951">
        <v>35000</v>
      </c>
    </row>
    <row r="952" spans="1:9" x14ac:dyDescent="0.3">
      <c r="A952" s="38">
        <v>46204</v>
      </c>
      <c r="B952" t="s">
        <v>219</v>
      </c>
      <c r="C952" s="11"/>
      <c r="D952" s="11">
        <v>7000</v>
      </c>
      <c r="E952" t="s">
        <v>791</v>
      </c>
      <c r="F952" s="108" t="s">
        <v>108</v>
      </c>
      <c r="I952">
        <v>9600</v>
      </c>
    </row>
    <row r="953" spans="1:9" x14ac:dyDescent="0.3">
      <c r="A953" s="38">
        <v>46204</v>
      </c>
      <c r="B953" t="s">
        <v>755</v>
      </c>
      <c r="C953" s="11"/>
      <c r="D953" s="11">
        <v>132500</v>
      </c>
      <c r="F953" s="108" t="s">
        <v>108</v>
      </c>
      <c r="I953">
        <v>7600</v>
      </c>
    </row>
    <row r="954" spans="1:9" x14ac:dyDescent="0.3">
      <c r="A954" s="38">
        <v>46204</v>
      </c>
      <c r="B954" t="s">
        <v>219</v>
      </c>
      <c r="C954" s="11">
        <v>132500</v>
      </c>
      <c r="D954" s="11"/>
      <c r="E954" t="s">
        <v>755</v>
      </c>
      <c r="F954" s="108" t="s">
        <v>108</v>
      </c>
      <c r="I954">
        <v>7200</v>
      </c>
    </row>
    <row r="955" spans="1:9" x14ac:dyDescent="0.3">
      <c r="A955" s="38">
        <v>46205</v>
      </c>
      <c r="B955" t="s">
        <v>219</v>
      </c>
      <c r="C955" s="95"/>
      <c r="D955" s="95">
        <v>400000</v>
      </c>
      <c r="E955" t="s">
        <v>792</v>
      </c>
      <c r="F955" s="108" t="s">
        <v>108</v>
      </c>
      <c r="I955">
        <v>8400</v>
      </c>
    </row>
    <row r="956" spans="1:9" x14ac:dyDescent="0.3">
      <c r="A956" s="38">
        <v>46205</v>
      </c>
      <c r="B956" t="s">
        <v>517</v>
      </c>
      <c r="C956" s="95">
        <v>400000</v>
      </c>
      <c r="D956" s="95"/>
      <c r="E956" t="s">
        <v>793</v>
      </c>
      <c r="F956" s="108" t="s">
        <v>108</v>
      </c>
      <c r="I956">
        <v>7000</v>
      </c>
    </row>
    <row r="957" spans="1:9" x14ac:dyDescent="0.3">
      <c r="A957" s="38">
        <v>46205</v>
      </c>
      <c r="B957" t="s">
        <v>794</v>
      </c>
      <c r="C957" s="95">
        <v>53500</v>
      </c>
      <c r="D957" s="95"/>
      <c r="E957" t="s">
        <v>795</v>
      </c>
      <c r="F957" s="108" t="s">
        <v>108</v>
      </c>
      <c r="I957">
        <v>6150</v>
      </c>
    </row>
    <row r="958" spans="1:9" x14ac:dyDescent="0.3">
      <c r="A958" s="38">
        <v>46205</v>
      </c>
      <c r="B958" t="s">
        <v>219</v>
      </c>
      <c r="C958" s="95"/>
      <c r="D958" s="95">
        <v>53500</v>
      </c>
      <c r="E958" t="s">
        <v>795</v>
      </c>
      <c r="F958" s="108" t="s">
        <v>108</v>
      </c>
      <c r="I958">
        <v>7500</v>
      </c>
    </row>
    <row r="959" spans="1:9" x14ac:dyDescent="0.3">
      <c r="A959" s="38">
        <v>46205</v>
      </c>
      <c r="B959" t="s">
        <v>246</v>
      </c>
      <c r="C959" s="95">
        <v>52000</v>
      </c>
      <c r="D959" s="95"/>
      <c r="E959" t="s">
        <v>796</v>
      </c>
      <c r="F959" s="108" t="s">
        <v>108</v>
      </c>
      <c r="I959">
        <v>8400</v>
      </c>
    </row>
    <row r="960" spans="1:9" x14ac:dyDescent="0.3">
      <c r="A960" s="38">
        <v>46205</v>
      </c>
      <c r="B960" t="s">
        <v>219</v>
      </c>
      <c r="C960" s="95"/>
      <c r="D960" s="95">
        <v>52000</v>
      </c>
      <c r="E960" t="s">
        <v>796</v>
      </c>
      <c r="F960" s="108" t="s">
        <v>108</v>
      </c>
      <c r="I960">
        <v>17350</v>
      </c>
    </row>
    <row r="961" spans="1:9" x14ac:dyDescent="0.3">
      <c r="A961" s="38">
        <v>46205</v>
      </c>
      <c r="B961" t="s">
        <v>219</v>
      </c>
      <c r="C961" s="95"/>
      <c r="D961" s="95">
        <v>25000</v>
      </c>
      <c r="E961" t="s">
        <v>797</v>
      </c>
      <c r="F961" s="108" t="s">
        <v>108</v>
      </c>
      <c r="I961">
        <v>30000</v>
      </c>
    </row>
    <row r="962" spans="1:9" x14ac:dyDescent="0.3">
      <c r="A962" s="38">
        <v>46205</v>
      </c>
      <c r="B962" t="s">
        <v>244</v>
      </c>
      <c r="C962" s="95">
        <v>15000</v>
      </c>
      <c r="D962" s="95"/>
      <c r="E962" t="s">
        <v>798</v>
      </c>
      <c r="F962" s="108" t="s">
        <v>108</v>
      </c>
      <c r="I962">
        <v>11750</v>
      </c>
    </row>
    <row r="963" spans="1:9" x14ac:dyDescent="0.3">
      <c r="A963" s="38">
        <v>46205</v>
      </c>
      <c r="B963" t="s">
        <v>386</v>
      </c>
      <c r="C963" s="95">
        <v>5700</v>
      </c>
      <c r="D963" s="95"/>
      <c r="E963" t="s">
        <v>799</v>
      </c>
      <c r="F963" s="108" t="s">
        <v>108</v>
      </c>
      <c r="I963">
        <v>25650</v>
      </c>
    </row>
    <row r="964" spans="1:9" x14ac:dyDescent="0.3">
      <c r="A964" s="38">
        <v>46205</v>
      </c>
      <c r="B964" t="s">
        <v>219</v>
      </c>
      <c r="C964" s="95"/>
      <c r="D964" s="95">
        <v>7001</v>
      </c>
      <c r="E964" t="s">
        <v>800</v>
      </c>
      <c r="F964" s="108" t="s">
        <v>108</v>
      </c>
      <c r="I964">
        <v>13333</v>
      </c>
    </row>
    <row r="965" spans="1:9" x14ac:dyDescent="0.3">
      <c r="A965" s="38">
        <v>46205</v>
      </c>
      <c r="B965" t="s">
        <v>801</v>
      </c>
      <c r="C965" s="95">
        <v>7001</v>
      </c>
      <c r="D965" s="95"/>
      <c r="F965" s="108" t="s">
        <v>108</v>
      </c>
      <c r="I965">
        <v>13333</v>
      </c>
    </row>
    <row r="966" spans="1:9" x14ac:dyDescent="0.3">
      <c r="A966" s="38">
        <v>46205</v>
      </c>
      <c r="B966" t="s">
        <v>298</v>
      </c>
      <c r="C966" s="95">
        <v>7000</v>
      </c>
      <c r="D966" s="95"/>
      <c r="E966" t="s">
        <v>693</v>
      </c>
      <c r="F966" s="108" t="s">
        <v>108</v>
      </c>
      <c r="I966">
        <v>13333</v>
      </c>
    </row>
    <row r="967" spans="1:9" x14ac:dyDescent="0.3">
      <c r="A967" s="38">
        <v>46205</v>
      </c>
      <c r="B967" t="s">
        <v>219</v>
      </c>
      <c r="C967" s="95"/>
      <c r="D967" s="95">
        <v>100000</v>
      </c>
      <c r="E967" t="s">
        <v>802</v>
      </c>
      <c r="F967" s="108" t="s">
        <v>108</v>
      </c>
      <c r="I967">
        <v>10670</v>
      </c>
    </row>
    <row r="968" spans="1:9" x14ac:dyDescent="0.3">
      <c r="A968" s="38">
        <v>46205</v>
      </c>
      <c r="B968" t="s">
        <v>211</v>
      </c>
      <c r="C968" s="95">
        <v>540</v>
      </c>
      <c r="D968" s="95"/>
      <c r="F968" s="108" t="s">
        <v>108</v>
      </c>
      <c r="I968">
        <v>18860</v>
      </c>
    </row>
    <row r="969" spans="1:9" x14ac:dyDescent="0.3">
      <c r="A969" s="38">
        <v>46205</v>
      </c>
      <c r="B969" t="s">
        <v>500</v>
      </c>
      <c r="C969" s="95"/>
      <c r="D969" s="95">
        <v>400000</v>
      </c>
      <c r="E969" t="s">
        <v>21</v>
      </c>
      <c r="F969" s="108" t="s">
        <v>108</v>
      </c>
      <c r="I969">
        <v>22670</v>
      </c>
    </row>
    <row r="970" spans="1:9" x14ac:dyDescent="0.3">
      <c r="A970" s="38">
        <v>46205</v>
      </c>
      <c r="B970" t="s">
        <v>219</v>
      </c>
      <c r="C970" s="11">
        <v>400000</v>
      </c>
      <c r="D970" s="11"/>
      <c r="E970" t="s">
        <v>500</v>
      </c>
      <c r="F970" s="108" t="s">
        <v>108</v>
      </c>
      <c r="I970">
        <v>35000</v>
      </c>
    </row>
    <row r="971" spans="1:9" x14ac:dyDescent="0.3">
      <c r="A971" s="38">
        <v>46205</v>
      </c>
      <c r="B971" t="s">
        <v>244</v>
      </c>
      <c r="C971" s="95">
        <v>1150</v>
      </c>
      <c r="D971" s="95"/>
      <c r="E971" t="s">
        <v>822</v>
      </c>
      <c r="F971" s="108" t="s">
        <v>108</v>
      </c>
      <c r="I971">
        <v>10000</v>
      </c>
    </row>
    <row r="972" spans="1:9" x14ac:dyDescent="0.3">
      <c r="A972" s="38">
        <v>46205</v>
      </c>
      <c r="B972" t="s">
        <v>211</v>
      </c>
      <c r="C972" s="95">
        <v>1250</v>
      </c>
      <c r="D972" s="95"/>
      <c r="F972" s="108" t="s">
        <v>108</v>
      </c>
      <c r="I972">
        <v>96000</v>
      </c>
    </row>
    <row r="973" spans="1:9" x14ac:dyDescent="0.3">
      <c r="A973" s="38">
        <v>46205</v>
      </c>
      <c r="B973" t="s">
        <v>755</v>
      </c>
      <c r="C973" s="95"/>
      <c r="D973" s="95">
        <v>140000</v>
      </c>
      <c r="E973" t="s">
        <v>21</v>
      </c>
      <c r="F973" s="108" t="s">
        <v>108</v>
      </c>
    </row>
    <row r="974" spans="1:9" x14ac:dyDescent="0.3">
      <c r="A974" s="38">
        <v>46205</v>
      </c>
      <c r="B974" t="s">
        <v>219</v>
      </c>
      <c r="C974" s="95">
        <v>140000</v>
      </c>
      <c r="D974" s="95"/>
      <c r="E974" t="s">
        <v>755</v>
      </c>
      <c r="F974" s="108" t="s">
        <v>108</v>
      </c>
      <c r="I974">
        <v>7000</v>
      </c>
    </row>
    <row r="975" spans="1:9" x14ac:dyDescent="0.3">
      <c r="A975" s="38">
        <v>46205</v>
      </c>
      <c r="B975" t="s">
        <v>656</v>
      </c>
      <c r="C975" s="95"/>
      <c r="D975" s="95">
        <v>119000</v>
      </c>
      <c r="E975" t="s">
        <v>823</v>
      </c>
      <c r="F975" s="108" t="s">
        <v>108</v>
      </c>
      <c r="I975">
        <v>18800</v>
      </c>
    </row>
    <row r="976" spans="1:9" x14ac:dyDescent="0.3">
      <c r="A976" s="38">
        <v>46205</v>
      </c>
      <c r="B976" t="s">
        <v>219</v>
      </c>
      <c r="C976" s="95">
        <v>119000</v>
      </c>
      <c r="D976" s="95"/>
      <c r="E976" t="s">
        <v>673</v>
      </c>
      <c r="F976" s="108" t="s">
        <v>108</v>
      </c>
      <c r="I976">
        <v>8650</v>
      </c>
    </row>
    <row r="977" spans="1:10" x14ac:dyDescent="0.3">
      <c r="A977" s="38">
        <v>46205</v>
      </c>
      <c r="B977" t="s">
        <v>656</v>
      </c>
      <c r="C977" s="95"/>
      <c r="D977" s="95">
        <v>189000</v>
      </c>
      <c r="E977" t="s">
        <v>824</v>
      </c>
      <c r="F977" s="108" t="s">
        <v>108</v>
      </c>
      <c r="J977" t="s">
        <v>648</v>
      </c>
    </row>
    <row r="978" spans="1:10" x14ac:dyDescent="0.3">
      <c r="A978" s="38">
        <v>46205</v>
      </c>
      <c r="B978" t="s">
        <v>219</v>
      </c>
      <c r="C978" s="95">
        <v>189000</v>
      </c>
      <c r="D978" s="95"/>
      <c r="E978" t="s">
        <v>825</v>
      </c>
      <c r="F978" s="108" t="s">
        <v>108</v>
      </c>
      <c r="I978">
        <v>40000</v>
      </c>
    </row>
    <row r="979" spans="1:10" x14ac:dyDescent="0.3">
      <c r="A979" s="38">
        <v>46206</v>
      </c>
      <c r="B979" t="s">
        <v>219</v>
      </c>
      <c r="C979" s="95"/>
      <c r="D979" s="95">
        <v>300000</v>
      </c>
      <c r="E979" t="s">
        <v>803</v>
      </c>
      <c r="F979" s="108" t="s">
        <v>108</v>
      </c>
    </row>
    <row r="980" spans="1:10" x14ac:dyDescent="0.3">
      <c r="A980" s="38">
        <v>46206</v>
      </c>
      <c r="B980" t="s">
        <v>219</v>
      </c>
      <c r="C980" s="95"/>
      <c r="D980" s="95">
        <v>250000</v>
      </c>
      <c r="E980" t="s">
        <v>804</v>
      </c>
      <c r="F980" s="108" t="s">
        <v>108</v>
      </c>
      <c r="I980">
        <v>6000</v>
      </c>
    </row>
    <row r="981" spans="1:10" x14ac:dyDescent="0.3">
      <c r="A981" s="38">
        <v>46206</v>
      </c>
      <c r="B981" t="s">
        <v>488</v>
      </c>
      <c r="C981" s="95">
        <v>290</v>
      </c>
      <c r="D981" s="95"/>
      <c r="E981" t="s">
        <v>390</v>
      </c>
      <c r="F981" s="108" t="s">
        <v>108</v>
      </c>
      <c r="I981">
        <v>6000</v>
      </c>
    </row>
    <row r="982" spans="1:10" x14ac:dyDescent="0.3">
      <c r="A982" s="38">
        <v>46206</v>
      </c>
      <c r="B982" t="s">
        <v>253</v>
      </c>
      <c r="C982" s="95">
        <v>40000</v>
      </c>
      <c r="D982" s="95"/>
      <c r="E982" t="s">
        <v>288</v>
      </c>
      <c r="F982" s="108" t="s">
        <v>108</v>
      </c>
      <c r="I982">
        <v>5000</v>
      </c>
    </row>
    <row r="983" spans="1:10" x14ac:dyDescent="0.3">
      <c r="A983" s="38">
        <v>46206</v>
      </c>
      <c r="B983" t="s">
        <v>219</v>
      </c>
      <c r="C983" s="95"/>
      <c r="D983" s="95">
        <v>25000</v>
      </c>
      <c r="E983" t="s">
        <v>109</v>
      </c>
      <c r="F983" s="108" t="s">
        <v>108</v>
      </c>
      <c r="I983">
        <v>3000</v>
      </c>
    </row>
    <row r="984" spans="1:10" x14ac:dyDescent="0.3">
      <c r="A984" s="38">
        <v>46206</v>
      </c>
      <c r="B984" t="s">
        <v>674</v>
      </c>
      <c r="C984" s="95">
        <v>6000</v>
      </c>
      <c r="D984" s="95"/>
      <c r="E984" t="s">
        <v>265</v>
      </c>
      <c r="F984" s="108" t="s">
        <v>108</v>
      </c>
      <c r="I984">
        <v>3000</v>
      </c>
    </row>
    <row r="985" spans="1:10" x14ac:dyDescent="0.3">
      <c r="A985" s="38">
        <v>46206</v>
      </c>
      <c r="B985" t="s">
        <v>517</v>
      </c>
      <c r="C985" s="95">
        <v>6000</v>
      </c>
      <c r="D985" s="95"/>
      <c r="E985" t="s">
        <v>265</v>
      </c>
      <c r="F985" s="108" t="s">
        <v>108</v>
      </c>
    </row>
    <row r="986" spans="1:10" x14ac:dyDescent="0.3">
      <c r="A986" s="38">
        <v>46206</v>
      </c>
      <c r="B986" t="s">
        <v>488</v>
      </c>
      <c r="C986" s="95">
        <v>5000</v>
      </c>
      <c r="D986" s="95"/>
      <c r="E986" t="s">
        <v>648</v>
      </c>
      <c r="F986" s="108" t="s">
        <v>108</v>
      </c>
    </row>
    <row r="987" spans="1:10" x14ac:dyDescent="0.3">
      <c r="A987" s="38">
        <v>46206</v>
      </c>
      <c r="B987" t="s">
        <v>386</v>
      </c>
      <c r="C987" s="95">
        <v>3000</v>
      </c>
      <c r="D987" s="95"/>
      <c r="E987" t="s">
        <v>805</v>
      </c>
      <c r="F987" s="108" t="s">
        <v>108</v>
      </c>
    </row>
    <row r="988" spans="1:10" x14ac:dyDescent="0.3">
      <c r="A988" s="38">
        <v>46206</v>
      </c>
      <c r="B988" t="s">
        <v>269</v>
      </c>
      <c r="C988" s="95"/>
      <c r="D988" s="95"/>
      <c r="E988" t="s">
        <v>806</v>
      </c>
      <c r="F988" s="108" t="s">
        <v>108</v>
      </c>
    </row>
    <row r="989" spans="1:10" x14ac:dyDescent="0.3">
      <c r="A989" s="38">
        <v>46206</v>
      </c>
      <c r="B989" t="s">
        <v>269</v>
      </c>
      <c r="C989" s="95">
        <v>3000</v>
      </c>
      <c r="D989" s="95"/>
      <c r="E989" t="s">
        <v>807</v>
      </c>
      <c r="F989" s="108" t="s">
        <v>108</v>
      </c>
    </row>
    <row r="990" spans="1:10" x14ac:dyDescent="0.3">
      <c r="A990" s="38">
        <v>46206</v>
      </c>
      <c r="B990" t="s">
        <v>253</v>
      </c>
      <c r="C990" s="95">
        <v>563750</v>
      </c>
      <c r="D990" s="95"/>
      <c r="E990" t="s">
        <v>268</v>
      </c>
      <c r="F990" s="108" t="s">
        <v>108</v>
      </c>
    </row>
    <row r="991" spans="1:10" x14ac:dyDescent="0.3">
      <c r="A991" s="38">
        <v>46206</v>
      </c>
      <c r="B991" t="s">
        <v>211</v>
      </c>
      <c r="C991" s="95">
        <v>20000</v>
      </c>
      <c r="D991" s="95"/>
      <c r="E991" t="s">
        <v>808</v>
      </c>
      <c r="F991" s="108" t="s">
        <v>108</v>
      </c>
    </row>
    <row r="992" spans="1:10" x14ac:dyDescent="0.3">
      <c r="A992" s="38">
        <v>46206</v>
      </c>
      <c r="B992" t="s">
        <v>211</v>
      </c>
      <c r="C992" s="95">
        <v>1000</v>
      </c>
      <c r="D992" s="95"/>
      <c r="F992" s="108" t="s">
        <v>108</v>
      </c>
    </row>
    <row r="993" spans="1:6" x14ac:dyDescent="0.3">
      <c r="A993" s="38">
        <v>46206</v>
      </c>
      <c r="B993" t="s">
        <v>500</v>
      </c>
      <c r="C993" s="95"/>
      <c r="D993" s="95">
        <v>97000</v>
      </c>
      <c r="E993" t="s">
        <v>215</v>
      </c>
      <c r="F993" s="108" t="s">
        <v>108</v>
      </c>
    </row>
    <row r="994" spans="1:6" x14ac:dyDescent="0.3">
      <c r="A994" s="38">
        <v>46206</v>
      </c>
      <c r="B994" t="s">
        <v>219</v>
      </c>
      <c r="C994" s="95">
        <v>97000</v>
      </c>
      <c r="D994" s="95"/>
      <c r="E994" t="s">
        <v>500</v>
      </c>
      <c r="F994" s="108" t="s">
        <v>108</v>
      </c>
    </row>
    <row r="995" spans="1:6" x14ac:dyDescent="0.3">
      <c r="A995" s="38">
        <v>46206</v>
      </c>
      <c r="B995" t="s">
        <v>767</v>
      </c>
      <c r="C995" s="95"/>
      <c r="D995" s="95">
        <v>100000</v>
      </c>
      <c r="E995" t="s">
        <v>829</v>
      </c>
      <c r="F995" s="108" t="s">
        <v>108</v>
      </c>
    </row>
    <row r="996" spans="1:6" x14ac:dyDescent="0.3">
      <c r="A996" s="38">
        <v>46206</v>
      </c>
      <c r="B996" t="s">
        <v>219</v>
      </c>
      <c r="C996" s="95">
        <v>100000</v>
      </c>
      <c r="D996" s="95"/>
      <c r="E996" t="s">
        <v>280</v>
      </c>
      <c r="F996" s="108" t="s">
        <v>108</v>
      </c>
    </row>
    <row r="997" spans="1:6" x14ac:dyDescent="0.3">
      <c r="A997" s="38">
        <v>46207</v>
      </c>
      <c r="B997" t="s">
        <v>219</v>
      </c>
      <c r="C997" s="95"/>
      <c r="D997" s="95">
        <v>100000</v>
      </c>
      <c r="E997" t="s">
        <v>809</v>
      </c>
      <c r="F997" s="108" t="s">
        <v>108</v>
      </c>
    </row>
    <row r="998" spans="1:6" x14ac:dyDescent="0.3">
      <c r="A998" s="38">
        <v>46207</v>
      </c>
      <c r="B998" t="s">
        <v>425</v>
      </c>
      <c r="C998" s="95">
        <v>100000</v>
      </c>
      <c r="D998" s="95"/>
      <c r="E998" t="s">
        <v>810</v>
      </c>
      <c r="F998" s="108" t="s">
        <v>108</v>
      </c>
    </row>
    <row r="999" spans="1:6" x14ac:dyDescent="0.3">
      <c r="A999" s="38">
        <v>46207</v>
      </c>
      <c r="B999" t="s">
        <v>357</v>
      </c>
      <c r="C999" s="95">
        <v>2500</v>
      </c>
      <c r="D999" s="95"/>
      <c r="E999" t="s">
        <v>426</v>
      </c>
      <c r="F999" s="108" t="s">
        <v>108</v>
      </c>
    </row>
    <row r="1000" spans="1:6" x14ac:dyDescent="0.3">
      <c r="A1000" s="38">
        <v>46207</v>
      </c>
      <c r="B1000" t="s">
        <v>55</v>
      </c>
      <c r="C1000" s="95">
        <v>1600</v>
      </c>
      <c r="D1000" s="95"/>
      <c r="E1000" t="s">
        <v>811</v>
      </c>
      <c r="F1000" s="108" t="s">
        <v>108</v>
      </c>
    </row>
    <row r="1001" spans="1:6" x14ac:dyDescent="0.3">
      <c r="A1001" s="38">
        <v>46207</v>
      </c>
      <c r="B1001" t="s">
        <v>55</v>
      </c>
      <c r="C1001" s="95">
        <v>700</v>
      </c>
      <c r="D1001" s="95"/>
      <c r="E1001" t="s">
        <v>812</v>
      </c>
      <c r="F1001" s="108" t="s">
        <v>108</v>
      </c>
    </row>
    <row r="1002" spans="1:6" x14ac:dyDescent="0.3">
      <c r="A1002" s="38">
        <v>46207</v>
      </c>
      <c r="B1002" t="s">
        <v>244</v>
      </c>
      <c r="C1002" s="95">
        <v>440</v>
      </c>
      <c r="D1002" s="95"/>
      <c r="E1002" t="s">
        <v>366</v>
      </c>
      <c r="F1002" s="108" t="s">
        <v>108</v>
      </c>
    </row>
    <row r="1003" spans="1:6" x14ac:dyDescent="0.3">
      <c r="A1003" s="38">
        <v>46207</v>
      </c>
      <c r="B1003" t="s">
        <v>488</v>
      </c>
      <c r="C1003" s="95">
        <v>800</v>
      </c>
      <c r="D1003" s="95"/>
      <c r="E1003" t="s">
        <v>462</v>
      </c>
      <c r="F1003" s="108" t="s">
        <v>108</v>
      </c>
    </row>
    <row r="1004" spans="1:6" x14ac:dyDescent="0.3">
      <c r="A1004" s="38">
        <v>46207</v>
      </c>
      <c r="B1004" t="s">
        <v>219</v>
      </c>
      <c r="C1004" s="95"/>
      <c r="D1004" s="95">
        <v>800</v>
      </c>
      <c r="E1004" t="s">
        <v>462</v>
      </c>
      <c r="F1004" s="108" t="s">
        <v>108</v>
      </c>
    </row>
    <row r="1005" spans="1:6" x14ac:dyDescent="0.3">
      <c r="A1005" s="38">
        <v>46207</v>
      </c>
      <c r="B1005" t="s">
        <v>219</v>
      </c>
      <c r="C1005" s="95"/>
      <c r="D1005" s="95">
        <v>25000</v>
      </c>
      <c r="E1005" t="s">
        <v>814</v>
      </c>
      <c r="F1005" s="108" t="s">
        <v>108</v>
      </c>
    </row>
    <row r="1006" spans="1:6" x14ac:dyDescent="0.3">
      <c r="A1006" s="38">
        <v>46207</v>
      </c>
      <c r="B1006" t="s">
        <v>269</v>
      </c>
      <c r="C1006" s="95">
        <v>5000</v>
      </c>
      <c r="D1006" s="95"/>
      <c r="E1006" t="s">
        <v>815</v>
      </c>
      <c r="F1006" s="108" t="s">
        <v>108</v>
      </c>
    </row>
    <row r="1007" spans="1:6" x14ac:dyDescent="0.3">
      <c r="A1007" s="38">
        <v>46207</v>
      </c>
      <c r="B1007" t="s">
        <v>357</v>
      </c>
      <c r="C1007" s="95">
        <v>6600</v>
      </c>
      <c r="D1007" s="95"/>
      <c r="E1007" t="s">
        <v>392</v>
      </c>
      <c r="F1007" s="108" t="s">
        <v>108</v>
      </c>
    </row>
    <row r="1008" spans="1:6" x14ac:dyDescent="0.3">
      <c r="A1008" s="38">
        <v>46207</v>
      </c>
      <c r="B1008" t="s">
        <v>55</v>
      </c>
      <c r="C1008" s="95">
        <v>25000</v>
      </c>
      <c r="D1008" s="95"/>
      <c r="E1008" t="s">
        <v>816</v>
      </c>
      <c r="F1008" s="108" t="s">
        <v>108</v>
      </c>
    </row>
    <row r="1009" spans="1:6" x14ac:dyDescent="0.3">
      <c r="A1009" s="38">
        <v>46207</v>
      </c>
      <c r="B1009" t="s">
        <v>219</v>
      </c>
      <c r="C1009" s="95"/>
      <c r="D1009" s="95">
        <v>25000</v>
      </c>
      <c r="E1009" t="s">
        <v>816</v>
      </c>
      <c r="F1009" s="108" t="s">
        <v>108</v>
      </c>
    </row>
    <row r="1010" spans="1:6" x14ac:dyDescent="0.3">
      <c r="A1010" s="38">
        <v>46207</v>
      </c>
      <c r="B1010" t="s">
        <v>55</v>
      </c>
      <c r="C1010" s="95">
        <v>12500</v>
      </c>
      <c r="D1010" s="95"/>
      <c r="E1010" t="s">
        <v>817</v>
      </c>
      <c r="F1010" s="108" t="s">
        <v>108</v>
      </c>
    </row>
    <row r="1011" spans="1:6" x14ac:dyDescent="0.3">
      <c r="A1011" s="38">
        <v>46207</v>
      </c>
      <c r="B1011" t="s">
        <v>219</v>
      </c>
      <c r="C1011" s="95"/>
      <c r="D1011" s="95">
        <v>12500</v>
      </c>
      <c r="E1011" t="s">
        <v>818</v>
      </c>
      <c r="F1011" s="108" t="s">
        <v>108</v>
      </c>
    </row>
    <row r="1012" spans="1:6" x14ac:dyDescent="0.3">
      <c r="A1012" s="38">
        <v>46207</v>
      </c>
      <c r="B1012" t="s">
        <v>55</v>
      </c>
      <c r="C1012" s="95">
        <v>460</v>
      </c>
      <c r="D1012" s="95"/>
      <c r="F1012" s="108" t="s">
        <v>108</v>
      </c>
    </row>
    <row r="1013" spans="1:6" x14ac:dyDescent="0.3">
      <c r="A1013" s="111">
        <v>46208</v>
      </c>
      <c r="B1013" t="s">
        <v>211</v>
      </c>
      <c r="C1013" s="95">
        <v>2300</v>
      </c>
      <c r="D1013" s="95"/>
      <c r="F1013" s="108" t="s">
        <v>108</v>
      </c>
    </row>
    <row r="1014" spans="1:6" x14ac:dyDescent="0.3">
      <c r="A1014" s="38">
        <v>46208</v>
      </c>
      <c r="B1014" t="s">
        <v>219</v>
      </c>
      <c r="C1014" s="95"/>
      <c r="D1014" s="95">
        <v>129000</v>
      </c>
      <c r="E1014" t="s">
        <v>819</v>
      </c>
      <c r="F1014" s="108" t="s">
        <v>108</v>
      </c>
    </row>
    <row r="1015" spans="1:6" x14ac:dyDescent="0.3">
      <c r="A1015" s="111">
        <v>46208</v>
      </c>
      <c r="B1015" t="s">
        <v>253</v>
      </c>
      <c r="C1015" s="95">
        <v>129000</v>
      </c>
      <c r="D1015" s="95"/>
      <c r="E1015" t="s">
        <v>820</v>
      </c>
      <c r="F1015" s="108" t="s">
        <v>108</v>
      </c>
    </row>
    <row r="1016" spans="1:6" x14ac:dyDescent="0.3">
      <c r="A1016" s="38">
        <v>46208</v>
      </c>
      <c r="B1016" t="s">
        <v>244</v>
      </c>
      <c r="C1016" s="95">
        <v>2000</v>
      </c>
      <c r="D1016" s="95"/>
      <c r="E1016" t="s">
        <v>821</v>
      </c>
      <c r="F1016" s="108" t="s">
        <v>108</v>
      </c>
    </row>
    <row r="1017" spans="1:6" x14ac:dyDescent="0.3">
      <c r="A1017" s="38">
        <v>46208</v>
      </c>
      <c r="B1017" t="s">
        <v>244</v>
      </c>
      <c r="C1017" s="95">
        <v>420</v>
      </c>
      <c r="D1017" s="95"/>
      <c r="E1017" t="s">
        <v>812</v>
      </c>
      <c r="F1017" s="108" t="s">
        <v>108</v>
      </c>
    </row>
    <row r="1018" spans="1:6" x14ac:dyDescent="0.3">
      <c r="A1018" s="111">
        <v>46209</v>
      </c>
      <c r="B1018" t="s">
        <v>219</v>
      </c>
      <c r="C1018" s="95"/>
      <c r="D1018" s="95">
        <v>15000</v>
      </c>
      <c r="E1018" t="s">
        <v>834</v>
      </c>
      <c r="F1018" s="108" t="s">
        <v>108</v>
      </c>
    </row>
    <row r="1019" spans="1:6" x14ac:dyDescent="0.3">
      <c r="A1019" s="38">
        <v>46209</v>
      </c>
      <c r="B1019" t="s">
        <v>55</v>
      </c>
      <c r="C1019" s="95">
        <v>1000</v>
      </c>
      <c r="D1019" s="95"/>
      <c r="E1019" t="s">
        <v>835</v>
      </c>
      <c r="F1019" s="108" t="s">
        <v>108</v>
      </c>
    </row>
    <row r="1020" spans="1:6" x14ac:dyDescent="0.3">
      <c r="A1020" s="111">
        <v>46209</v>
      </c>
      <c r="B1020" t="s">
        <v>244</v>
      </c>
      <c r="C1020" s="95">
        <v>400</v>
      </c>
      <c r="D1020" s="95"/>
      <c r="E1020" t="s">
        <v>449</v>
      </c>
      <c r="F1020" s="108" t="s">
        <v>108</v>
      </c>
    </row>
    <row r="1021" spans="1:6" x14ac:dyDescent="0.3">
      <c r="A1021" s="38">
        <v>46209</v>
      </c>
      <c r="B1021" t="s">
        <v>357</v>
      </c>
      <c r="C1021" s="95">
        <v>10210</v>
      </c>
      <c r="D1021" s="95"/>
      <c r="F1021" s="108" t="s">
        <v>108</v>
      </c>
    </row>
    <row r="1022" spans="1:6" x14ac:dyDescent="0.3">
      <c r="A1022" s="111">
        <v>46209</v>
      </c>
      <c r="B1022" t="s">
        <v>488</v>
      </c>
      <c r="C1022" s="95">
        <v>710</v>
      </c>
      <c r="D1022" s="95"/>
      <c r="E1022" t="s">
        <v>390</v>
      </c>
      <c r="F1022" s="108" t="s">
        <v>108</v>
      </c>
    </row>
    <row r="1023" spans="1:6" x14ac:dyDescent="0.3">
      <c r="A1023" s="38">
        <v>46209</v>
      </c>
      <c r="B1023" t="s">
        <v>298</v>
      </c>
      <c r="C1023" s="95">
        <v>4000</v>
      </c>
      <c r="D1023" s="95"/>
      <c r="E1023" t="s">
        <v>836</v>
      </c>
      <c r="F1023" s="108" t="s">
        <v>108</v>
      </c>
    </row>
    <row r="1024" spans="1:6" x14ac:dyDescent="0.3">
      <c r="A1024" s="111">
        <v>46209</v>
      </c>
      <c r="B1024" t="s">
        <v>55</v>
      </c>
      <c r="C1024" s="95">
        <v>1200</v>
      </c>
      <c r="D1024" s="95"/>
      <c r="E1024" t="s">
        <v>837</v>
      </c>
      <c r="F1024" s="108" t="s">
        <v>108</v>
      </c>
    </row>
    <row r="1025" spans="1:6" x14ac:dyDescent="0.3">
      <c r="A1025" s="38">
        <v>46209</v>
      </c>
      <c r="B1025" t="s">
        <v>55</v>
      </c>
      <c r="C1025" s="95">
        <v>23500</v>
      </c>
      <c r="D1025" s="95"/>
      <c r="E1025" t="s">
        <v>838</v>
      </c>
      <c r="F1025" s="108" t="s">
        <v>108</v>
      </c>
    </row>
    <row r="1026" spans="1:6" x14ac:dyDescent="0.3">
      <c r="A1026" s="111">
        <v>46209</v>
      </c>
      <c r="B1026" t="s">
        <v>488</v>
      </c>
      <c r="C1026" s="95">
        <v>5000</v>
      </c>
      <c r="D1026" s="95"/>
      <c r="E1026" t="s">
        <v>839</v>
      </c>
      <c r="F1026" s="108" t="s">
        <v>108</v>
      </c>
    </row>
    <row r="1027" spans="1:6" x14ac:dyDescent="0.3">
      <c r="A1027" s="38">
        <v>46209</v>
      </c>
      <c r="B1027" t="s">
        <v>219</v>
      </c>
      <c r="C1027" s="95"/>
      <c r="D1027" s="95">
        <v>90000</v>
      </c>
      <c r="E1027" t="s">
        <v>109</v>
      </c>
      <c r="F1027" s="108" t="s">
        <v>108</v>
      </c>
    </row>
    <row r="1028" spans="1:6" x14ac:dyDescent="0.3">
      <c r="A1028" s="111">
        <v>46209</v>
      </c>
      <c r="B1028" t="s">
        <v>253</v>
      </c>
      <c r="C1028" s="11">
        <v>50000</v>
      </c>
      <c r="D1028" s="11"/>
      <c r="E1028" t="s">
        <v>437</v>
      </c>
      <c r="F1028" s="108" t="s">
        <v>108</v>
      </c>
    </row>
    <row r="1029" spans="1:6" x14ac:dyDescent="0.3">
      <c r="A1029" s="38">
        <v>46209</v>
      </c>
      <c r="B1029" t="s">
        <v>253</v>
      </c>
      <c r="C1029" s="11">
        <v>60000</v>
      </c>
      <c r="D1029" s="11"/>
      <c r="E1029" t="s">
        <v>830</v>
      </c>
      <c r="F1029" s="108" t="s">
        <v>108</v>
      </c>
    </row>
    <row r="1030" spans="1:6" x14ac:dyDescent="0.3">
      <c r="A1030" s="111">
        <v>46209</v>
      </c>
      <c r="B1030" t="s">
        <v>269</v>
      </c>
      <c r="C1030" s="11">
        <v>5000</v>
      </c>
      <c r="D1030" s="11"/>
      <c r="E1030" t="s">
        <v>831</v>
      </c>
      <c r="F1030" s="108" t="s">
        <v>108</v>
      </c>
    </row>
    <row r="1031" spans="1:6" x14ac:dyDescent="0.3">
      <c r="A1031" s="38">
        <v>46209</v>
      </c>
      <c r="B1031" t="s">
        <v>654</v>
      </c>
      <c r="C1031" s="11"/>
      <c r="D1031" s="11">
        <v>355000</v>
      </c>
      <c r="E1031" t="s">
        <v>271</v>
      </c>
      <c r="F1031" s="108" t="s">
        <v>108</v>
      </c>
    </row>
    <row r="1032" spans="1:6" x14ac:dyDescent="0.3">
      <c r="A1032" s="111">
        <v>46209</v>
      </c>
      <c r="B1032" t="s">
        <v>755</v>
      </c>
      <c r="C1032" s="11"/>
      <c r="D1032" s="11">
        <v>155000</v>
      </c>
      <c r="E1032" t="s">
        <v>109</v>
      </c>
      <c r="F1032" s="108" t="s">
        <v>108</v>
      </c>
    </row>
    <row r="1033" spans="1:6" x14ac:dyDescent="0.3">
      <c r="A1033" s="38">
        <v>46209</v>
      </c>
      <c r="B1033" t="s">
        <v>386</v>
      </c>
      <c r="C1033" s="11">
        <v>1000</v>
      </c>
      <c r="D1033" s="11"/>
      <c r="E1033" t="s">
        <v>832</v>
      </c>
      <c r="F1033" s="108" t="s">
        <v>108</v>
      </c>
    </row>
    <row r="1034" spans="1:6" x14ac:dyDescent="0.3">
      <c r="A1034" s="111">
        <v>46209</v>
      </c>
      <c r="B1034" t="s">
        <v>269</v>
      </c>
      <c r="C1034" s="11">
        <v>20000</v>
      </c>
      <c r="D1034" s="11"/>
      <c r="E1034" t="s">
        <v>833</v>
      </c>
      <c r="F1034" s="108" t="s">
        <v>108</v>
      </c>
    </row>
    <row r="1035" spans="1:6" x14ac:dyDescent="0.3">
      <c r="A1035" s="38">
        <v>46209</v>
      </c>
      <c r="B1035" t="s">
        <v>476</v>
      </c>
      <c r="C1035" s="95">
        <v>100000</v>
      </c>
      <c r="D1035" s="95"/>
      <c r="E1035" t="s">
        <v>840</v>
      </c>
      <c r="F1035" s="108" t="s">
        <v>108</v>
      </c>
    </row>
    <row r="1036" spans="1:6" x14ac:dyDescent="0.3">
      <c r="A1036" s="111">
        <v>46209</v>
      </c>
      <c r="B1036" t="s">
        <v>674</v>
      </c>
      <c r="C1036" s="11">
        <v>150000</v>
      </c>
      <c r="D1036" s="11"/>
      <c r="E1036" t="s">
        <v>841</v>
      </c>
      <c r="F1036" s="108" t="s">
        <v>108</v>
      </c>
    </row>
    <row r="1037" spans="1:6" x14ac:dyDescent="0.3">
      <c r="A1037" s="38">
        <v>46209</v>
      </c>
      <c r="B1037" t="s">
        <v>211</v>
      </c>
      <c r="C1037" s="11">
        <v>100000</v>
      </c>
      <c r="D1037" s="11"/>
      <c r="E1037" t="s">
        <v>842</v>
      </c>
      <c r="F1037" s="108" t="s">
        <v>108</v>
      </c>
    </row>
    <row r="1038" spans="1:6" x14ac:dyDescent="0.3">
      <c r="A1038" s="111">
        <v>46209</v>
      </c>
      <c r="B1038" t="s">
        <v>801</v>
      </c>
      <c r="C1038" s="11"/>
      <c r="D1038" s="11"/>
      <c r="E1038" t="s">
        <v>843</v>
      </c>
      <c r="F1038" s="108" t="s">
        <v>108</v>
      </c>
    </row>
    <row r="1039" spans="1:6" x14ac:dyDescent="0.3">
      <c r="A1039" s="38">
        <v>46209</v>
      </c>
      <c r="B1039" t="s">
        <v>488</v>
      </c>
      <c r="C1039" s="11">
        <v>1500</v>
      </c>
      <c r="D1039" s="11"/>
      <c r="E1039" t="s">
        <v>844</v>
      </c>
      <c r="F1039" s="108" t="s">
        <v>108</v>
      </c>
    </row>
    <row r="1040" spans="1:6" x14ac:dyDescent="0.3">
      <c r="A1040" s="111">
        <v>46210</v>
      </c>
      <c r="B1040" t="s">
        <v>654</v>
      </c>
      <c r="C1040" s="11"/>
      <c r="D1040" s="11">
        <v>180000</v>
      </c>
      <c r="E1040" t="s">
        <v>860</v>
      </c>
      <c r="F1040" s="108" t="s">
        <v>108</v>
      </c>
    </row>
    <row r="1041" spans="1:6" x14ac:dyDescent="0.3">
      <c r="A1041" s="111">
        <v>46210</v>
      </c>
      <c r="B1041" t="s">
        <v>654</v>
      </c>
      <c r="C1041" s="11"/>
      <c r="D1041" s="11">
        <v>190000</v>
      </c>
      <c r="E1041" t="s">
        <v>860</v>
      </c>
      <c r="F1041" s="108" t="s">
        <v>108</v>
      </c>
    </row>
    <row r="1042" spans="1:6" x14ac:dyDescent="0.3">
      <c r="A1042" s="111">
        <v>46210</v>
      </c>
      <c r="B1042" s="117" t="s">
        <v>219</v>
      </c>
      <c r="C1042" s="11">
        <v>180000</v>
      </c>
      <c r="D1042" s="11"/>
      <c r="E1042" t="s">
        <v>861</v>
      </c>
      <c r="F1042" s="108" t="s">
        <v>108</v>
      </c>
    </row>
    <row r="1043" spans="1:6" x14ac:dyDescent="0.3">
      <c r="A1043" s="111">
        <v>46210</v>
      </c>
      <c r="B1043" t="s">
        <v>219</v>
      </c>
      <c r="C1043" s="11">
        <v>190000</v>
      </c>
      <c r="D1043" s="11"/>
      <c r="E1043" t="s">
        <v>861</v>
      </c>
      <c r="F1043" s="108" t="s">
        <v>108</v>
      </c>
    </row>
    <row r="1044" spans="1:6" x14ac:dyDescent="0.3">
      <c r="A1044" s="111">
        <v>46210</v>
      </c>
      <c r="B1044" t="s">
        <v>269</v>
      </c>
      <c r="C1044" s="11">
        <v>25000</v>
      </c>
      <c r="D1044" s="11"/>
      <c r="E1044" t="s">
        <v>252</v>
      </c>
      <c r="F1044" s="108" t="s">
        <v>108</v>
      </c>
    </row>
    <row r="1045" spans="1:6" x14ac:dyDescent="0.3">
      <c r="A1045" s="38">
        <v>46210</v>
      </c>
      <c r="B1045" t="s">
        <v>367</v>
      </c>
      <c r="C1045" s="11"/>
      <c r="D1045" s="11">
        <v>200000</v>
      </c>
      <c r="E1045" t="s">
        <v>845</v>
      </c>
      <c r="F1045" s="108" t="s">
        <v>108</v>
      </c>
    </row>
    <row r="1046" spans="1:6" x14ac:dyDescent="0.3">
      <c r="A1046" s="111">
        <v>46210</v>
      </c>
      <c r="B1046" t="s">
        <v>755</v>
      </c>
      <c r="C1046" s="11"/>
      <c r="D1046" s="11">
        <v>65000</v>
      </c>
      <c r="E1046" t="s">
        <v>846</v>
      </c>
      <c r="F1046" s="108" t="s">
        <v>108</v>
      </c>
    </row>
    <row r="1047" spans="1:6" x14ac:dyDescent="0.3">
      <c r="A1047" s="38">
        <v>46210</v>
      </c>
      <c r="B1047" t="s">
        <v>222</v>
      </c>
      <c r="C1047" s="11">
        <v>250000</v>
      </c>
      <c r="D1047" s="11"/>
      <c r="E1047" t="s">
        <v>847</v>
      </c>
      <c r="F1047" s="108" t="s">
        <v>108</v>
      </c>
    </row>
    <row r="1048" spans="1:6" x14ac:dyDescent="0.3">
      <c r="A1048" s="111">
        <v>46210</v>
      </c>
      <c r="B1048" t="s">
        <v>55</v>
      </c>
      <c r="C1048" s="11">
        <v>350</v>
      </c>
      <c r="D1048" s="11"/>
      <c r="E1048" t="s">
        <v>848</v>
      </c>
      <c r="F1048" s="108" t="s">
        <v>108</v>
      </c>
    </row>
    <row r="1049" spans="1:6" x14ac:dyDescent="0.3">
      <c r="A1049" s="38">
        <v>46210</v>
      </c>
      <c r="B1049" t="s">
        <v>116</v>
      </c>
      <c r="C1049" s="11">
        <v>18500</v>
      </c>
      <c r="D1049" s="11"/>
      <c r="E1049" t="s">
        <v>163</v>
      </c>
      <c r="F1049" s="108" t="s">
        <v>108</v>
      </c>
    </row>
    <row r="1050" spans="1:6" x14ac:dyDescent="0.3">
      <c r="A1050" s="111">
        <v>46210</v>
      </c>
      <c r="B1050" t="s">
        <v>331</v>
      </c>
      <c r="C1050" s="11">
        <v>25000</v>
      </c>
      <c r="D1050" s="11"/>
      <c r="E1050" t="s">
        <v>849</v>
      </c>
      <c r="F1050" s="108" t="s">
        <v>108</v>
      </c>
    </row>
    <row r="1051" spans="1:6" x14ac:dyDescent="0.3">
      <c r="A1051" s="38">
        <v>46210</v>
      </c>
      <c r="B1051" t="s">
        <v>357</v>
      </c>
      <c r="C1051" s="11">
        <v>2600</v>
      </c>
      <c r="D1051" s="11"/>
      <c r="E1051" t="s">
        <v>850</v>
      </c>
      <c r="F1051" s="108" t="s">
        <v>108</v>
      </c>
    </row>
    <row r="1052" spans="1:6" x14ac:dyDescent="0.3">
      <c r="A1052" s="111">
        <v>46210</v>
      </c>
      <c r="B1052" t="s">
        <v>55</v>
      </c>
      <c r="C1052" s="11">
        <v>2500</v>
      </c>
      <c r="D1052" s="11"/>
      <c r="E1052" t="s">
        <v>851</v>
      </c>
      <c r="F1052" s="108" t="s">
        <v>108</v>
      </c>
    </row>
    <row r="1053" spans="1:6" x14ac:dyDescent="0.3">
      <c r="A1053" s="38">
        <v>46210</v>
      </c>
      <c r="B1053" t="s">
        <v>488</v>
      </c>
      <c r="C1053" s="11">
        <v>200</v>
      </c>
      <c r="D1053" s="11"/>
      <c r="E1053" t="s">
        <v>852</v>
      </c>
      <c r="F1053" s="108" t="s">
        <v>108</v>
      </c>
    </row>
    <row r="1054" spans="1:6" x14ac:dyDescent="0.3">
      <c r="A1054" s="111">
        <v>46210</v>
      </c>
      <c r="B1054" t="s">
        <v>269</v>
      </c>
      <c r="C1054" s="11">
        <v>5000</v>
      </c>
      <c r="D1054" s="11"/>
      <c r="E1054" t="s">
        <v>665</v>
      </c>
      <c r="F1054" s="108" t="s">
        <v>108</v>
      </c>
    </row>
    <row r="1055" spans="1:6" x14ac:dyDescent="0.3">
      <c r="A1055" s="38">
        <v>46210</v>
      </c>
      <c r="B1055" t="s">
        <v>253</v>
      </c>
      <c r="C1055" s="11">
        <v>6000</v>
      </c>
      <c r="D1055" s="11"/>
      <c r="E1055" t="s">
        <v>853</v>
      </c>
      <c r="F1055" s="108" t="s">
        <v>108</v>
      </c>
    </row>
    <row r="1056" spans="1:6" x14ac:dyDescent="0.3">
      <c r="A1056" s="111">
        <v>46210</v>
      </c>
      <c r="B1056" t="s">
        <v>211</v>
      </c>
      <c r="C1056" s="11"/>
      <c r="D1056" s="11">
        <v>13000</v>
      </c>
      <c r="E1056" t="s">
        <v>808</v>
      </c>
      <c r="F1056" s="108" t="s">
        <v>108</v>
      </c>
    </row>
    <row r="1057" spans="1:6" x14ac:dyDescent="0.3">
      <c r="A1057" s="38">
        <v>46210</v>
      </c>
      <c r="B1057" t="s">
        <v>298</v>
      </c>
      <c r="C1057" s="11">
        <v>10000</v>
      </c>
      <c r="D1057" s="11"/>
      <c r="E1057" t="s">
        <v>693</v>
      </c>
      <c r="F1057" s="108" t="s">
        <v>108</v>
      </c>
    </row>
    <row r="1058" spans="1:6" x14ac:dyDescent="0.3">
      <c r="A1058" s="111">
        <v>46210</v>
      </c>
      <c r="B1058" t="s">
        <v>854</v>
      </c>
      <c r="C1058" s="11"/>
      <c r="D1058" s="11">
        <v>75000</v>
      </c>
      <c r="E1058" t="s">
        <v>234</v>
      </c>
      <c r="F1058" s="108" t="s">
        <v>108</v>
      </c>
    </row>
    <row r="1059" spans="1:6" x14ac:dyDescent="0.3">
      <c r="A1059" s="38">
        <v>46210</v>
      </c>
      <c r="B1059" t="s">
        <v>394</v>
      </c>
      <c r="C1059" s="95">
        <v>117810</v>
      </c>
      <c r="D1059" s="95"/>
      <c r="E1059" t="s">
        <v>855</v>
      </c>
      <c r="F1059" s="108" t="s">
        <v>108</v>
      </c>
    </row>
    <row r="1060" spans="1:6" x14ac:dyDescent="0.3">
      <c r="A1060" s="38">
        <v>46211</v>
      </c>
      <c r="B1060" t="s">
        <v>269</v>
      </c>
      <c r="C1060" s="95">
        <v>5000</v>
      </c>
      <c r="D1060" s="95"/>
      <c r="E1060" t="s">
        <v>700</v>
      </c>
      <c r="F1060" s="108" t="s">
        <v>108</v>
      </c>
    </row>
    <row r="1061" spans="1:6" x14ac:dyDescent="0.3">
      <c r="A1061" s="111">
        <v>46211</v>
      </c>
      <c r="B1061" t="s">
        <v>211</v>
      </c>
      <c r="C1061" s="11"/>
      <c r="D1061" s="11">
        <v>5000</v>
      </c>
      <c r="E1061" t="s">
        <v>808</v>
      </c>
      <c r="F1061" s="108" t="s">
        <v>108</v>
      </c>
    </row>
    <row r="1062" spans="1:6" x14ac:dyDescent="0.3">
      <c r="A1062" s="111">
        <v>46211</v>
      </c>
      <c r="B1062" t="s">
        <v>488</v>
      </c>
      <c r="C1062" s="11">
        <v>500</v>
      </c>
      <c r="D1062" s="11"/>
      <c r="E1062" t="s">
        <v>862</v>
      </c>
      <c r="F1062" s="108" t="s">
        <v>108</v>
      </c>
    </row>
    <row r="1063" spans="1:6" x14ac:dyDescent="0.3">
      <c r="A1063" s="111">
        <v>46211</v>
      </c>
      <c r="B1063" t="s">
        <v>244</v>
      </c>
      <c r="C1063" s="11">
        <f>280+2300</f>
        <v>2580</v>
      </c>
      <c r="D1063" s="11"/>
      <c r="E1063" t="s">
        <v>863</v>
      </c>
      <c r="F1063" s="108" t="s">
        <v>108</v>
      </c>
    </row>
    <row r="1064" spans="1:6" x14ac:dyDescent="0.3">
      <c r="A1064" s="111">
        <v>46211</v>
      </c>
      <c r="B1064" t="s">
        <v>55</v>
      </c>
      <c r="C1064" s="11">
        <v>800</v>
      </c>
      <c r="D1064" s="11"/>
      <c r="E1064" t="s">
        <v>864</v>
      </c>
      <c r="F1064" s="108" t="s">
        <v>108</v>
      </c>
    </row>
    <row r="1065" spans="1:6" x14ac:dyDescent="0.3">
      <c r="A1065" s="111">
        <v>46211</v>
      </c>
      <c r="B1065" t="s">
        <v>246</v>
      </c>
      <c r="C1065" s="11">
        <v>1800</v>
      </c>
      <c r="D1065" s="11"/>
      <c r="E1065" t="s">
        <v>865</v>
      </c>
      <c r="F1065" s="108" t="s">
        <v>108</v>
      </c>
    </row>
    <row r="1066" spans="1:6" x14ac:dyDescent="0.3">
      <c r="A1066" s="111">
        <v>46211</v>
      </c>
      <c r="B1066" t="s">
        <v>357</v>
      </c>
      <c r="C1066" s="11">
        <v>12000</v>
      </c>
      <c r="D1066" s="11"/>
      <c r="E1066" t="s">
        <v>866</v>
      </c>
      <c r="F1066" s="108" t="s">
        <v>108</v>
      </c>
    </row>
    <row r="1067" spans="1:6" x14ac:dyDescent="0.3">
      <c r="A1067" s="111">
        <v>46211</v>
      </c>
      <c r="B1067" t="s">
        <v>755</v>
      </c>
      <c r="C1067" s="11"/>
      <c r="D1067" s="11">
        <v>85000</v>
      </c>
      <c r="E1067" t="s">
        <v>267</v>
      </c>
      <c r="F1067" s="108" t="s">
        <v>108</v>
      </c>
    </row>
    <row r="1068" spans="1:6" x14ac:dyDescent="0.3">
      <c r="A1068" s="111">
        <v>46211</v>
      </c>
      <c r="B1068" t="s">
        <v>253</v>
      </c>
      <c r="C1068" s="11">
        <f>31500+3500</f>
        <v>35000</v>
      </c>
      <c r="D1068" s="11"/>
      <c r="E1068" t="s">
        <v>870</v>
      </c>
      <c r="F1068" s="108" t="s">
        <v>108</v>
      </c>
    </row>
    <row r="1069" spans="1:6" x14ac:dyDescent="0.3">
      <c r="A1069" s="111">
        <v>46211</v>
      </c>
      <c r="B1069" t="s">
        <v>867</v>
      </c>
      <c r="C1069" s="11"/>
      <c r="D1069" s="11">
        <v>94900</v>
      </c>
      <c r="E1069" t="s">
        <v>215</v>
      </c>
      <c r="F1069" s="108" t="s">
        <v>108</v>
      </c>
    </row>
    <row r="1070" spans="1:6" x14ac:dyDescent="0.3">
      <c r="A1070" s="38">
        <v>46211</v>
      </c>
      <c r="B1070" t="s">
        <v>253</v>
      </c>
      <c r="C1070" s="95">
        <v>10200</v>
      </c>
      <c r="D1070" s="95"/>
      <c r="E1070" t="s">
        <v>868</v>
      </c>
      <c r="F1070" s="108" t="s">
        <v>108</v>
      </c>
    </row>
    <row r="1071" spans="1:6" x14ac:dyDescent="0.3">
      <c r="A1071" s="38">
        <v>46211</v>
      </c>
      <c r="B1071" t="s">
        <v>253</v>
      </c>
      <c r="C1071" s="95">
        <v>5000</v>
      </c>
      <c r="D1071" s="95"/>
      <c r="E1071" t="s">
        <v>869</v>
      </c>
      <c r="F1071" s="108" t="s">
        <v>108</v>
      </c>
    </row>
    <row r="1072" spans="1:6" x14ac:dyDescent="0.3">
      <c r="A1072" s="38">
        <v>46211</v>
      </c>
      <c r="B1072" t="s">
        <v>269</v>
      </c>
      <c r="C1072" s="95">
        <v>7000</v>
      </c>
      <c r="D1072" s="95"/>
      <c r="E1072" t="s">
        <v>288</v>
      </c>
      <c r="F1072" s="108" t="s">
        <v>108</v>
      </c>
    </row>
    <row r="1073" spans="1:6" x14ac:dyDescent="0.3">
      <c r="A1073" s="38">
        <v>46211</v>
      </c>
      <c r="B1073" t="s">
        <v>211</v>
      </c>
      <c r="C1073" s="95">
        <f>1350+1000</f>
        <v>2350</v>
      </c>
      <c r="D1073" s="11"/>
      <c r="F1073" s="108" t="s">
        <v>108</v>
      </c>
    </row>
    <row r="1074" spans="1:6" x14ac:dyDescent="0.3">
      <c r="A1074" s="38">
        <v>46212</v>
      </c>
      <c r="B1074" t="s">
        <v>222</v>
      </c>
      <c r="C1074" s="95">
        <v>80000</v>
      </c>
      <c r="D1074" s="95"/>
      <c r="E1074" t="s">
        <v>874</v>
      </c>
      <c r="F1074" s="108" t="s">
        <v>108</v>
      </c>
    </row>
    <row r="1075" spans="1:6" x14ac:dyDescent="0.3">
      <c r="A1075" s="111">
        <v>46212</v>
      </c>
      <c r="B1075" t="s">
        <v>794</v>
      </c>
      <c r="C1075" s="11">
        <v>185350</v>
      </c>
      <c r="D1075" s="11"/>
      <c r="E1075" t="s">
        <v>875</v>
      </c>
      <c r="F1075" s="108" t="s">
        <v>108</v>
      </c>
    </row>
    <row r="1076" spans="1:6" x14ac:dyDescent="0.3">
      <c r="A1076" s="111">
        <v>46212</v>
      </c>
      <c r="B1076" t="s">
        <v>854</v>
      </c>
      <c r="C1076" s="11"/>
      <c r="D1076" s="11">
        <v>185350</v>
      </c>
      <c r="E1076" t="s">
        <v>884</v>
      </c>
      <c r="F1076" s="138" t="s">
        <v>108</v>
      </c>
    </row>
    <row r="1077" spans="1:6" x14ac:dyDescent="0.3">
      <c r="A1077" s="111">
        <v>46212</v>
      </c>
      <c r="B1077" t="s">
        <v>488</v>
      </c>
      <c r="C1077" s="11">
        <v>5000</v>
      </c>
      <c r="D1077" s="11"/>
      <c r="E1077" t="s">
        <v>839</v>
      </c>
      <c r="F1077" s="138" t="s">
        <v>108</v>
      </c>
    </row>
    <row r="1078" spans="1:6" x14ac:dyDescent="0.3">
      <c r="A1078" s="38">
        <v>46212</v>
      </c>
      <c r="B1078" t="s">
        <v>488</v>
      </c>
      <c r="C1078" s="11">
        <v>500</v>
      </c>
      <c r="D1078" s="11"/>
      <c r="E1078" t="s">
        <v>876</v>
      </c>
      <c r="F1078" s="108" t="s">
        <v>108</v>
      </c>
    </row>
    <row r="1079" spans="1:6" x14ac:dyDescent="0.3">
      <c r="A1079" s="111">
        <v>46212</v>
      </c>
      <c r="B1079" t="s">
        <v>55</v>
      </c>
      <c r="C1079" s="11">
        <v>1250</v>
      </c>
      <c r="D1079" s="11"/>
      <c r="E1079" t="s">
        <v>877</v>
      </c>
      <c r="F1079" s="108" t="s">
        <v>108</v>
      </c>
    </row>
    <row r="1080" spans="1:6" x14ac:dyDescent="0.3">
      <c r="A1080" s="38">
        <v>46212</v>
      </c>
      <c r="B1080" t="s">
        <v>55</v>
      </c>
      <c r="C1080" s="11">
        <v>1800</v>
      </c>
      <c r="D1080" s="11"/>
      <c r="E1080" t="s">
        <v>878</v>
      </c>
      <c r="F1080" s="108" t="s">
        <v>108</v>
      </c>
    </row>
    <row r="1081" spans="1:6" x14ac:dyDescent="0.3">
      <c r="A1081" s="111">
        <v>46212</v>
      </c>
      <c r="B1081" t="s">
        <v>55</v>
      </c>
      <c r="C1081" s="11">
        <v>1100</v>
      </c>
      <c r="D1081" s="11"/>
      <c r="E1081" t="s">
        <v>879</v>
      </c>
      <c r="F1081" s="108" t="s">
        <v>108</v>
      </c>
    </row>
    <row r="1082" spans="1:6" x14ac:dyDescent="0.3">
      <c r="A1082" s="38">
        <v>46212</v>
      </c>
      <c r="B1082" t="s">
        <v>55</v>
      </c>
      <c r="C1082" s="11">
        <v>3560</v>
      </c>
      <c r="D1082" s="11"/>
      <c r="E1082" t="s">
        <v>880</v>
      </c>
      <c r="F1082" s="108" t="s">
        <v>108</v>
      </c>
    </row>
    <row r="1083" spans="1:6" x14ac:dyDescent="0.3">
      <c r="A1083" s="111">
        <v>46212</v>
      </c>
      <c r="B1083" t="s">
        <v>488</v>
      </c>
      <c r="C1083" s="11">
        <v>800</v>
      </c>
      <c r="D1083" s="11"/>
      <c r="E1083" t="s">
        <v>462</v>
      </c>
      <c r="F1083" s="108" t="s">
        <v>108</v>
      </c>
    </row>
    <row r="1084" spans="1:6" x14ac:dyDescent="0.3">
      <c r="A1084" s="38">
        <v>46212</v>
      </c>
      <c r="B1084" t="s">
        <v>881</v>
      </c>
      <c r="C1084" s="11"/>
      <c r="D1084" s="11">
        <v>85000</v>
      </c>
      <c r="E1084" t="s">
        <v>882</v>
      </c>
      <c r="F1084" s="108" t="s">
        <v>108</v>
      </c>
    </row>
    <row r="1085" spans="1:6" x14ac:dyDescent="0.3">
      <c r="A1085" s="111">
        <v>46212</v>
      </c>
      <c r="B1085" t="s">
        <v>881</v>
      </c>
      <c r="C1085" s="11"/>
      <c r="D1085" s="11">
        <v>6000</v>
      </c>
      <c r="E1085" t="s">
        <v>320</v>
      </c>
      <c r="F1085" s="108" t="s">
        <v>108</v>
      </c>
    </row>
    <row r="1086" spans="1:6" x14ac:dyDescent="0.3">
      <c r="A1086" s="38">
        <v>46212</v>
      </c>
      <c r="B1086" t="s">
        <v>55</v>
      </c>
      <c r="C1086" s="11">
        <v>1200</v>
      </c>
      <c r="D1086" s="11"/>
      <c r="E1086" t="s">
        <v>883</v>
      </c>
      <c r="F1086" s="108" t="s">
        <v>108</v>
      </c>
    </row>
    <row r="1087" spans="1:6" x14ac:dyDescent="0.3">
      <c r="A1087" s="111">
        <v>46212</v>
      </c>
      <c r="B1087" t="s">
        <v>55</v>
      </c>
      <c r="C1087" s="95">
        <v>1350</v>
      </c>
      <c r="D1087" s="95"/>
      <c r="E1087" t="s">
        <v>885</v>
      </c>
      <c r="F1087" s="108" t="s">
        <v>108</v>
      </c>
    </row>
    <row r="1088" spans="1:6" x14ac:dyDescent="0.3">
      <c r="A1088" s="38">
        <v>46212</v>
      </c>
      <c r="B1088" t="s">
        <v>222</v>
      </c>
      <c r="C1088" s="11">
        <v>46850</v>
      </c>
      <c r="D1088" s="11"/>
      <c r="E1088" t="s">
        <v>874</v>
      </c>
      <c r="F1088" s="108" t="s">
        <v>108</v>
      </c>
    </row>
    <row r="1089" spans="1:6" x14ac:dyDescent="0.3">
      <c r="A1089" s="111">
        <v>46212</v>
      </c>
      <c r="B1089" t="s">
        <v>244</v>
      </c>
      <c r="C1089" s="11">
        <v>2450</v>
      </c>
      <c r="D1089" s="11"/>
      <c r="E1089" t="s">
        <v>886</v>
      </c>
      <c r="F1089" s="108" t="s">
        <v>108</v>
      </c>
    </row>
    <row r="1090" spans="1:6" x14ac:dyDescent="0.3">
      <c r="A1090" s="38">
        <v>46212</v>
      </c>
      <c r="B1090" t="s">
        <v>745</v>
      </c>
      <c r="C1090" s="11">
        <v>15000</v>
      </c>
      <c r="D1090" s="11"/>
      <c r="E1090" t="s">
        <v>887</v>
      </c>
      <c r="F1090" s="108" t="s">
        <v>108</v>
      </c>
    </row>
    <row r="1091" spans="1:6" x14ac:dyDescent="0.3">
      <c r="A1091" s="111">
        <v>46212</v>
      </c>
      <c r="B1091" t="s">
        <v>246</v>
      </c>
      <c r="C1091" s="11">
        <v>10000</v>
      </c>
      <c r="D1091" s="11"/>
      <c r="E1091" t="s">
        <v>888</v>
      </c>
      <c r="F1091" s="108" t="s">
        <v>108</v>
      </c>
    </row>
    <row r="1092" spans="1:6" x14ac:dyDescent="0.3">
      <c r="A1092" s="38">
        <v>46212</v>
      </c>
      <c r="B1092" t="s">
        <v>488</v>
      </c>
      <c r="C1092" s="95">
        <v>2000</v>
      </c>
      <c r="D1092" s="95"/>
      <c r="E1092" t="s">
        <v>889</v>
      </c>
      <c r="F1092" s="108" t="s">
        <v>108</v>
      </c>
    </row>
    <row r="1093" spans="1:6" x14ac:dyDescent="0.3">
      <c r="A1093" s="38">
        <v>46212</v>
      </c>
      <c r="B1093" t="s">
        <v>517</v>
      </c>
      <c r="C1093" s="95">
        <v>400000</v>
      </c>
      <c r="D1093" s="95"/>
      <c r="E1093" t="s">
        <v>890</v>
      </c>
      <c r="F1093" s="108" t="s">
        <v>108</v>
      </c>
    </row>
    <row r="1094" spans="1:6" x14ac:dyDescent="0.3">
      <c r="A1094" s="38">
        <v>46212</v>
      </c>
      <c r="B1094" t="s">
        <v>854</v>
      </c>
      <c r="C1094" s="95"/>
      <c r="D1094" s="95">
        <v>400000</v>
      </c>
      <c r="E1094" t="s">
        <v>517</v>
      </c>
      <c r="F1094" s="108" t="s">
        <v>108</v>
      </c>
    </row>
    <row r="1095" spans="1:6" x14ac:dyDescent="0.3">
      <c r="A1095" s="38">
        <v>46212</v>
      </c>
      <c r="B1095" t="s">
        <v>219</v>
      </c>
      <c r="C1095" s="95"/>
      <c r="D1095" s="95">
        <v>170000</v>
      </c>
      <c r="E1095" t="s">
        <v>891</v>
      </c>
      <c r="F1095" s="108" t="s">
        <v>108</v>
      </c>
    </row>
    <row r="1096" spans="1:6" x14ac:dyDescent="0.3">
      <c r="A1096" s="38">
        <v>46212</v>
      </c>
      <c r="B1096" t="s">
        <v>674</v>
      </c>
      <c r="C1096" s="95">
        <v>200000</v>
      </c>
      <c r="D1096" s="95"/>
      <c r="E1096" t="s">
        <v>892</v>
      </c>
      <c r="F1096" s="108" t="s">
        <v>108</v>
      </c>
    </row>
    <row r="1097" spans="1:6" x14ac:dyDescent="0.3">
      <c r="A1097" s="38">
        <v>46213</v>
      </c>
      <c r="B1097" t="s">
        <v>854</v>
      </c>
      <c r="C1097" s="95"/>
      <c r="D1097" s="95">
        <v>36000</v>
      </c>
      <c r="E1097" t="s">
        <v>893</v>
      </c>
      <c r="F1097" s="108" t="s">
        <v>108</v>
      </c>
    </row>
    <row r="1098" spans="1:6" x14ac:dyDescent="0.3">
      <c r="A1098" s="38">
        <v>46213</v>
      </c>
      <c r="B1098" t="s">
        <v>222</v>
      </c>
      <c r="C1098" s="95">
        <v>36000</v>
      </c>
      <c r="D1098" s="95"/>
      <c r="E1098" t="s">
        <v>874</v>
      </c>
      <c r="F1098" s="108" t="s">
        <v>108</v>
      </c>
    </row>
    <row r="1099" spans="1:6" x14ac:dyDescent="0.3">
      <c r="A1099" s="38">
        <v>46213</v>
      </c>
      <c r="B1099" t="s">
        <v>854</v>
      </c>
      <c r="C1099" s="95"/>
      <c r="D1099" s="95">
        <v>80000</v>
      </c>
      <c r="E1099" t="s">
        <v>896</v>
      </c>
      <c r="F1099" s="108" t="s">
        <v>108</v>
      </c>
    </row>
    <row r="1100" spans="1:6" x14ac:dyDescent="0.3">
      <c r="A1100" s="111">
        <v>46213</v>
      </c>
      <c r="B1100" t="s">
        <v>253</v>
      </c>
      <c r="C1100" s="11">
        <v>80000</v>
      </c>
      <c r="D1100" s="11"/>
      <c r="E1100" t="s">
        <v>897</v>
      </c>
      <c r="F1100" s="108" t="s">
        <v>898</v>
      </c>
    </row>
    <row r="1101" spans="1:6" x14ac:dyDescent="0.3">
      <c r="A1101" s="111">
        <v>46213</v>
      </c>
      <c r="B1101" t="s">
        <v>219</v>
      </c>
      <c r="C1101" s="11"/>
      <c r="D1101" s="11">
        <v>280000</v>
      </c>
      <c r="E1101" t="s">
        <v>899</v>
      </c>
      <c r="F1101" s="108" t="s">
        <v>108</v>
      </c>
    </row>
    <row r="1102" spans="1:6" x14ac:dyDescent="0.3">
      <c r="A1102" s="111">
        <v>46213</v>
      </c>
      <c r="B1102" t="s">
        <v>222</v>
      </c>
      <c r="C1102" s="11">
        <v>300000</v>
      </c>
      <c r="D1102" s="11"/>
      <c r="E1102" t="s">
        <v>900</v>
      </c>
      <c r="F1102" s="108" t="s">
        <v>108</v>
      </c>
    </row>
    <row r="1103" spans="1:6" x14ac:dyDescent="0.3">
      <c r="A1103" s="111">
        <v>46213</v>
      </c>
      <c r="B1103" t="s">
        <v>854</v>
      </c>
      <c r="C1103" s="11"/>
      <c r="D1103" s="11">
        <v>24000</v>
      </c>
      <c r="F1103" s="108" t="s">
        <v>108</v>
      </c>
    </row>
    <row r="1104" spans="1:6" x14ac:dyDescent="0.3">
      <c r="A1104" s="111">
        <v>46213</v>
      </c>
      <c r="B1104" t="s">
        <v>386</v>
      </c>
      <c r="C1104" s="11">
        <v>4480</v>
      </c>
      <c r="D1104" s="11"/>
      <c r="E1104" t="s">
        <v>901</v>
      </c>
      <c r="F1104" s="108" t="s">
        <v>108</v>
      </c>
    </row>
    <row r="1105" spans="1:6" x14ac:dyDescent="0.3">
      <c r="A1105" s="111">
        <v>46213</v>
      </c>
      <c r="B1105" t="s">
        <v>767</v>
      </c>
      <c r="C1105" s="95"/>
      <c r="D1105" s="95">
        <v>100000</v>
      </c>
      <c r="F1105" s="108" t="s">
        <v>108</v>
      </c>
    </row>
    <row r="1106" spans="1:6" x14ac:dyDescent="0.3">
      <c r="A1106" s="111">
        <v>46214</v>
      </c>
      <c r="B1106" t="s">
        <v>894</v>
      </c>
      <c r="C1106" s="11"/>
      <c r="D1106" s="11">
        <v>488600</v>
      </c>
      <c r="F1106" s="108" t="s">
        <v>108</v>
      </c>
    </row>
    <row r="1107" spans="1:6" x14ac:dyDescent="0.3">
      <c r="A1107" s="111">
        <v>46214</v>
      </c>
      <c r="B1107" t="s">
        <v>219</v>
      </c>
      <c r="C1107" s="11">
        <v>488600</v>
      </c>
      <c r="D1107" s="11"/>
      <c r="E1107" t="s">
        <v>902</v>
      </c>
      <c r="F1107" s="108" t="s">
        <v>108</v>
      </c>
    </row>
    <row r="1108" spans="1:6" x14ac:dyDescent="0.3">
      <c r="A1108" s="111">
        <v>46214</v>
      </c>
      <c r="B1108" t="s">
        <v>219</v>
      </c>
      <c r="C1108" s="11">
        <v>100000</v>
      </c>
      <c r="D1108" s="11"/>
      <c r="E1108" t="s">
        <v>280</v>
      </c>
      <c r="F1108" s="108" t="s">
        <v>108</v>
      </c>
    </row>
    <row r="1109" spans="1:6" x14ac:dyDescent="0.3">
      <c r="A1109" s="111">
        <v>46214</v>
      </c>
      <c r="B1109" t="s">
        <v>488</v>
      </c>
      <c r="C1109" s="11">
        <v>500</v>
      </c>
      <c r="D1109" s="11"/>
      <c r="E1109" t="s">
        <v>903</v>
      </c>
      <c r="F1109" s="108" t="s">
        <v>108</v>
      </c>
    </row>
    <row r="1110" spans="1:6" x14ac:dyDescent="0.3">
      <c r="A1110" s="111">
        <v>46214</v>
      </c>
      <c r="B1110" t="s">
        <v>269</v>
      </c>
      <c r="C1110" s="11">
        <v>5000</v>
      </c>
      <c r="D1110" s="11"/>
      <c r="E1110" t="s">
        <v>831</v>
      </c>
      <c r="F1110" s="108" t="s">
        <v>108</v>
      </c>
    </row>
    <row r="1111" spans="1:6" x14ac:dyDescent="0.3">
      <c r="A1111" s="111">
        <v>46214</v>
      </c>
      <c r="B1111" t="s">
        <v>55</v>
      </c>
      <c r="C1111" s="11">
        <v>460</v>
      </c>
      <c r="D1111" s="11"/>
      <c r="E1111" t="s">
        <v>904</v>
      </c>
      <c r="F1111" s="108" t="s">
        <v>108</v>
      </c>
    </row>
    <row r="1112" spans="1:6" x14ac:dyDescent="0.3">
      <c r="A1112" s="111">
        <v>46214</v>
      </c>
      <c r="B1112" t="s">
        <v>55</v>
      </c>
      <c r="C1112" s="11">
        <v>3500</v>
      </c>
      <c r="D1112" s="11"/>
      <c r="E1112" t="s">
        <v>905</v>
      </c>
      <c r="F1112" s="108" t="s">
        <v>108</v>
      </c>
    </row>
    <row r="1113" spans="1:6" x14ac:dyDescent="0.3">
      <c r="A1113" s="111">
        <v>46214</v>
      </c>
      <c r="B1113" t="s">
        <v>298</v>
      </c>
      <c r="C1113" s="95">
        <v>49410</v>
      </c>
      <c r="D1113" s="95"/>
      <c r="E1113" t="s">
        <v>906</v>
      </c>
      <c r="F1113" s="108" t="s">
        <v>108</v>
      </c>
    </row>
    <row r="1114" spans="1:6" x14ac:dyDescent="0.3">
      <c r="A1114" s="111">
        <v>46214</v>
      </c>
      <c r="B1114" t="s">
        <v>858</v>
      </c>
      <c r="C1114" s="11"/>
      <c r="D1114" s="11">
        <v>100000</v>
      </c>
      <c r="F1114" s="108" t="s">
        <v>108</v>
      </c>
    </row>
    <row r="1115" spans="1:6" x14ac:dyDescent="0.3">
      <c r="A1115" s="111">
        <v>46214</v>
      </c>
      <c r="B1115" t="s">
        <v>55</v>
      </c>
      <c r="C1115" s="11">
        <v>3400</v>
      </c>
      <c r="D1115" s="11"/>
      <c r="E1115" t="s">
        <v>907</v>
      </c>
      <c r="F1115" s="108" t="s">
        <v>108</v>
      </c>
    </row>
    <row r="1116" spans="1:6" x14ac:dyDescent="0.3">
      <c r="A1116" s="111">
        <v>46214</v>
      </c>
      <c r="B1116" t="s">
        <v>488</v>
      </c>
      <c r="C1116" s="11">
        <v>5000</v>
      </c>
      <c r="D1116" s="11"/>
      <c r="E1116" t="s">
        <v>839</v>
      </c>
      <c r="F1116" s="108" t="s">
        <v>108</v>
      </c>
    </row>
    <row r="1117" spans="1:6" x14ac:dyDescent="0.3">
      <c r="A1117" s="111">
        <v>46214</v>
      </c>
      <c r="B1117" t="s">
        <v>269</v>
      </c>
      <c r="C1117" s="11">
        <v>5000</v>
      </c>
      <c r="D1117" s="11"/>
      <c r="E1117" t="s">
        <v>288</v>
      </c>
      <c r="F1117" s="108" t="s">
        <v>108</v>
      </c>
    </row>
    <row r="1118" spans="1:6" x14ac:dyDescent="0.3">
      <c r="A1118" s="111">
        <v>46215</v>
      </c>
      <c r="B1118" t="s">
        <v>654</v>
      </c>
      <c r="C1118" s="11"/>
      <c r="D1118" s="11">
        <v>200000</v>
      </c>
      <c r="E1118" t="s">
        <v>910</v>
      </c>
      <c r="F1118" s="108" t="s">
        <v>108</v>
      </c>
    </row>
    <row r="1119" spans="1:6" x14ac:dyDescent="0.3">
      <c r="A1119" s="111">
        <v>46215</v>
      </c>
      <c r="B1119" t="s">
        <v>654</v>
      </c>
      <c r="C1119" s="95"/>
      <c r="D1119" s="95">
        <v>200000</v>
      </c>
      <c r="E1119" t="s">
        <v>911</v>
      </c>
      <c r="F1119" s="108" t="s">
        <v>108</v>
      </c>
    </row>
    <row r="1120" spans="1:6" x14ac:dyDescent="0.3">
      <c r="A1120" s="111">
        <v>46215</v>
      </c>
      <c r="B1120" t="s">
        <v>654</v>
      </c>
      <c r="C1120" s="95"/>
      <c r="D1120" s="95">
        <v>200000</v>
      </c>
      <c r="E1120" t="s">
        <v>912</v>
      </c>
      <c r="F1120" s="108" t="s">
        <v>108</v>
      </c>
    </row>
    <row r="1121" spans="1:6" x14ac:dyDescent="0.3">
      <c r="A1121" s="38">
        <v>46215</v>
      </c>
      <c r="B1121" t="s">
        <v>219</v>
      </c>
      <c r="C1121" s="95">
        <v>600000</v>
      </c>
      <c r="D1121" s="95"/>
      <c r="E1121" t="s">
        <v>913</v>
      </c>
      <c r="F1121" s="108" t="s">
        <v>108</v>
      </c>
    </row>
    <row r="1122" spans="1:6" x14ac:dyDescent="0.3">
      <c r="A1122" s="38">
        <v>46215</v>
      </c>
      <c r="B1122" t="s">
        <v>357</v>
      </c>
      <c r="C1122" s="95">
        <v>2860</v>
      </c>
      <c r="D1122" s="95"/>
      <c r="F1122" s="108" t="s">
        <v>108</v>
      </c>
    </row>
    <row r="1123" spans="1:6" x14ac:dyDescent="0.3">
      <c r="A1123" s="38">
        <v>46216</v>
      </c>
      <c r="B1123" t="s">
        <v>269</v>
      </c>
      <c r="C1123" s="95">
        <v>3500</v>
      </c>
      <c r="D1123" s="95"/>
      <c r="E1123" t="s">
        <v>538</v>
      </c>
      <c r="F1123" s="108" t="s">
        <v>108</v>
      </c>
    </row>
    <row r="1124" spans="1:6" x14ac:dyDescent="0.3">
      <c r="A1124" s="38">
        <v>46216</v>
      </c>
      <c r="B1124" t="s">
        <v>244</v>
      </c>
      <c r="C1124" s="95">
        <v>1000</v>
      </c>
      <c r="D1124" s="95"/>
      <c r="E1124" t="s">
        <v>924</v>
      </c>
      <c r="F1124" s="108"/>
    </row>
    <row r="1125" spans="1:6" x14ac:dyDescent="0.3">
      <c r="A1125" s="38">
        <v>46216</v>
      </c>
      <c r="B1125" t="s">
        <v>55</v>
      </c>
      <c r="C1125" s="95">
        <v>160</v>
      </c>
      <c r="D1125" s="95"/>
      <c r="E1125" t="s">
        <v>914</v>
      </c>
      <c r="F1125" s="108" t="s">
        <v>108</v>
      </c>
    </row>
    <row r="1126" spans="1:6" x14ac:dyDescent="0.3">
      <c r="A1126" s="111">
        <v>46216</v>
      </c>
      <c r="B1126" t="s">
        <v>269</v>
      </c>
      <c r="C1126" s="95">
        <v>5000</v>
      </c>
      <c r="D1126" s="95"/>
      <c r="E1126" t="s">
        <v>915</v>
      </c>
      <c r="F1126" s="108" t="s">
        <v>108</v>
      </c>
    </row>
    <row r="1127" spans="1:6" x14ac:dyDescent="0.3">
      <c r="A1127" s="38">
        <v>46216</v>
      </c>
      <c r="B1127" t="s">
        <v>55</v>
      </c>
      <c r="C1127" s="95">
        <v>1250</v>
      </c>
      <c r="D1127" s="95"/>
      <c r="E1127" t="s">
        <v>916</v>
      </c>
      <c r="F1127" s="108" t="s">
        <v>108</v>
      </c>
    </row>
    <row r="1128" spans="1:6" x14ac:dyDescent="0.3">
      <c r="A1128" s="38">
        <v>46216</v>
      </c>
      <c r="B1128" t="s">
        <v>357</v>
      </c>
      <c r="C1128" s="95">
        <v>12000</v>
      </c>
      <c r="D1128" s="95"/>
      <c r="E1128" t="s">
        <v>392</v>
      </c>
      <c r="F1128" s="108" t="s">
        <v>108</v>
      </c>
    </row>
    <row r="1129" spans="1:6" x14ac:dyDescent="0.3">
      <c r="A1129" s="38">
        <v>46217</v>
      </c>
      <c r="B1129" t="s">
        <v>488</v>
      </c>
      <c r="C1129" s="95">
        <v>920</v>
      </c>
      <c r="D1129" s="95"/>
      <c r="E1129" t="s">
        <v>541</v>
      </c>
      <c r="F1129" s="108" t="s">
        <v>108</v>
      </c>
    </row>
    <row r="1130" spans="1:6" x14ac:dyDescent="0.3">
      <c r="A1130" s="38">
        <v>46217</v>
      </c>
      <c r="B1130" t="s">
        <v>211</v>
      </c>
      <c r="C1130" s="95"/>
      <c r="D1130" s="95">
        <v>15000</v>
      </c>
      <c r="E1130" t="s">
        <v>869</v>
      </c>
      <c r="F1130" s="108" t="s">
        <v>108</v>
      </c>
    </row>
    <row r="1131" spans="1:6" x14ac:dyDescent="0.3">
      <c r="A1131" s="38">
        <v>46217</v>
      </c>
      <c r="B1131" t="s">
        <v>253</v>
      </c>
      <c r="C1131" s="95">
        <v>15000</v>
      </c>
      <c r="D1131" s="95"/>
      <c r="E1131" t="s">
        <v>869</v>
      </c>
      <c r="F1131" s="108" t="s">
        <v>108</v>
      </c>
    </row>
    <row r="1132" spans="1:6" x14ac:dyDescent="0.3">
      <c r="A1132" s="38">
        <v>46217</v>
      </c>
      <c r="B1132" t="s">
        <v>219</v>
      </c>
      <c r="C1132" s="95"/>
      <c r="D1132" s="95">
        <v>63000</v>
      </c>
      <c r="E1132" t="s">
        <v>917</v>
      </c>
      <c r="F1132" s="108" t="s">
        <v>108</v>
      </c>
    </row>
    <row r="1133" spans="1:6" x14ac:dyDescent="0.3">
      <c r="A1133" s="38">
        <v>46217</v>
      </c>
      <c r="B1133" t="s">
        <v>269</v>
      </c>
      <c r="C1133" s="95">
        <v>50000</v>
      </c>
      <c r="D1133" s="95"/>
      <c r="E1133" t="s">
        <v>700</v>
      </c>
      <c r="F1133" s="108" t="s">
        <v>108</v>
      </c>
    </row>
    <row r="1134" spans="1:6" x14ac:dyDescent="0.3">
      <c r="A1134" s="38">
        <v>46217</v>
      </c>
      <c r="B1134" t="s">
        <v>269</v>
      </c>
      <c r="C1134" s="95">
        <v>8000</v>
      </c>
      <c r="D1134" s="95"/>
      <c r="E1134" t="s">
        <v>260</v>
      </c>
      <c r="F1134" s="108" t="s">
        <v>108</v>
      </c>
    </row>
    <row r="1135" spans="1:6" x14ac:dyDescent="0.3">
      <c r="A1135" s="38">
        <v>46217</v>
      </c>
      <c r="B1135" t="s">
        <v>211</v>
      </c>
      <c r="C1135" s="95"/>
      <c r="D1135" s="95">
        <v>1000</v>
      </c>
      <c r="E1135" t="s">
        <v>109</v>
      </c>
      <c r="F1135" s="108" t="s">
        <v>108</v>
      </c>
    </row>
    <row r="1136" spans="1:6" x14ac:dyDescent="0.3">
      <c r="A1136" s="38">
        <v>46217</v>
      </c>
      <c r="B1136" t="s">
        <v>488</v>
      </c>
      <c r="C1136" s="95">
        <v>500</v>
      </c>
      <c r="D1136" s="95"/>
      <c r="E1136" t="s">
        <v>918</v>
      </c>
      <c r="F1136" s="108" t="s">
        <v>108</v>
      </c>
    </row>
    <row r="1137" spans="1:6" x14ac:dyDescent="0.3">
      <c r="A1137" s="111">
        <v>46217</v>
      </c>
      <c r="B1137" t="s">
        <v>246</v>
      </c>
      <c r="C1137" s="95">
        <v>12000</v>
      </c>
      <c r="D1137" s="95"/>
      <c r="E1137" t="s">
        <v>919</v>
      </c>
      <c r="F1137" s="108" t="s">
        <v>108</v>
      </c>
    </row>
    <row r="1138" spans="1:6" x14ac:dyDescent="0.3">
      <c r="A1138" s="38">
        <v>46217</v>
      </c>
      <c r="B1138" t="s">
        <v>219</v>
      </c>
      <c r="C1138" s="95"/>
      <c r="D1138" s="95">
        <v>12000</v>
      </c>
      <c r="E1138" t="s">
        <v>919</v>
      </c>
      <c r="F1138" s="108" t="s">
        <v>108</v>
      </c>
    </row>
    <row r="1139" spans="1:6" x14ac:dyDescent="0.3">
      <c r="A1139" s="38">
        <v>46217</v>
      </c>
      <c r="B1139" t="s">
        <v>488</v>
      </c>
      <c r="C1139" s="95">
        <v>5000</v>
      </c>
      <c r="D1139" s="95"/>
      <c r="E1139" t="s">
        <v>839</v>
      </c>
      <c r="F1139" s="108" t="s">
        <v>108</v>
      </c>
    </row>
    <row r="1140" spans="1:6" x14ac:dyDescent="0.3">
      <c r="A1140" s="38">
        <v>46218</v>
      </c>
      <c r="B1140" t="s">
        <v>55</v>
      </c>
      <c r="C1140" s="95">
        <v>3560</v>
      </c>
      <c r="D1140" s="95"/>
      <c r="F1140" s="108" t="s">
        <v>108</v>
      </c>
    </row>
    <row r="1141" spans="1:6" x14ac:dyDescent="0.3">
      <c r="A1141" s="38">
        <v>46218</v>
      </c>
      <c r="B1141" t="s">
        <v>386</v>
      </c>
      <c r="C1141" s="95">
        <v>1540</v>
      </c>
      <c r="D1141" s="95"/>
      <c r="E1141" t="s">
        <v>920</v>
      </c>
      <c r="F1141" s="108" t="s">
        <v>108</v>
      </c>
    </row>
    <row r="1142" spans="1:6" x14ac:dyDescent="0.3">
      <c r="A1142" s="38">
        <v>46218</v>
      </c>
      <c r="B1142" t="s">
        <v>211</v>
      </c>
      <c r="C1142" s="95"/>
      <c r="D1142" s="95">
        <v>3050</v>
      </c>
      <c r="E1142" t="s">
        <v>921</v>
      </c>
      <c r="F1142" s="108" t="s">
        <v>108</v>
      </c>
    </row>
    <row r="1143" spans="1:6" x14ac:dyDescent="0.3">
      <c r="A1143" s="38">
        <v>46218</v>
      </c>
      <c r="B1143" t="s">
        <v>386</v>
      </c>
      <c r="C1143" s="95">
        <v>3050</v>
      </c>
      <c r="D1143" s="95"/>
      <c r="E1143" t="s">
        <v>921</v>
      </c>
      <c r="F1143" s="108" t="s">
        <v>108</v>
      </c>
    </row>
    <row r="1144" spans="1:6" x14ac:dyDescent="0.3">
      <c r="A1144" s="38">
        <v>46218</v>
      </c>
      <c r="B1144" t="s">
        <v>219</v>
      </c>
      <c r="C1144" s="95"/>
      <c r="D1144" s="95">
        <v>146950</v>
      </c>
      <c r="E1144" t="s">
        <v>922</v>
      </c>
      <c r="F1144" s="108" t="s">
        <v>108</v>
      </c>
    </row>
    <row r="1145" spans="1:6" x14ac:dyDescent="0.3">
      <c r="A1145" s="38">
        <v>46218</v>
      </c>
      <c r="B1145" t="s">
        <v>211</v>
      </c>
      <c r="C1145" s="95"/>
      <c r="D1145" s="95">
        <v>2500</v>
      </c>
      <c r="F1145" s="108" t="s">
        <v>108</v>
      </c>
    </row>
    <row r="1146" spans="1:6" x14ac:dyDescent="0.3">
      <c r="A1146" s="38">
        <v>46218</v>
      </c>
      <c r="B1146" t="s">
        <v>674</v>
      </c>
      <c r="C1146" s="95">
        <v>150000</v>
      </c>
      <c r="D1146" s="95"/>
      <c r="E1146" t="s">
        <v>923</v>
      </c>
      <c r="F1146" s="108" t="s">
        <v>108</v>
      </c>
    </row>
    <row r="1147" spans="1:6" x14ac:dyDescent="0.3">
      <c r="A1147" s="38">
        <v>46219</v>
      </c>
      <c r="B1147" t="s">
        <v>488</v>
      </c>
      <c r="C1147" s="11">
        <v>800</v>
      </c>
      <c r="D1147" s="11"/>
      <c r="E1147" t="s">
        <v>462</v>
      </c>
      <c r="F1147" s="108" t="s">
        <v>108</v>
      </c>
    </row>
    <row r="1148" spans="1:6" x14ac:dyDescent="0.3">
      <c r="A1148" s="38">
        <v>46219</v>
      </c>
      <c r="B1148" t="s">
        <v>246</v>
      </c>
      <c r="C1148" s="11">
        <v>2000</v>
      </c>
      <c r="D1148" s="11"/>
      <c r="E1148" t="s">
        <v>282</v>
      </c>
      <c r="F1148" s="108" t="s">
        <v>108</v>
      </c>
    </row>
    <row r="1149" spans="1:6" x14ac:dyDescent="0.3">
      <c r="A1149" s="111">
        <v>46219</v>
      </c>
      <c r="B1149" t="s">
        <v>222</v>
      </c>
      <c r="C1149" s="11">
        <v>200000</v>
      </c>
      <c r="D1149" s="11"/>
      <c r="E1149" t="s">
        <v>925</v>
      </c>
      <c r="F1149" s="108" t="s">
        <v>108</v>
      </c>
    </row>
    <row r="1150" spans="1:6" x14ac:dyDescent="0.3">
      <c r="A1150" s="111">
        <v>46219</v>
      </c>
      <c r="B1150" t="s">
        <v>871</v>
      </c>
      <c r="C1150" s="11">
        <v>255750</v>
      </c>
      <c r="D1150" s="11"/>
      <c r="E1150" t="s">
        <v>926</v>
      </c>
      <c r="F1150" s="108" t="s">
        <v>108</v>
      </c>
    </row>
    <row r="1151" spans="1:6" x14ac:dyDescent="0.3">
      <c r="A1151" s="111">
        <v>46219</v>
      </c>
      <c r="B1151" t="s">
        <v>219</v>
      </c>
      <c r="C1151" s="11"/>
      <c r="D1151" s="11">
        <v>425000</v>
      </c>
      <c r="E1151" t="s">
        <v>927</v>
      </c>
      <c r="F1151" s="108" t="s">
        <v>108</v>
      </c>
    </row>
    <row r="1152" spans="1:6" x14ac:dyDescent="0.3">
      <c r="A1152" s="111">
        <v>46219</v>
      </c>
      <c r="B1152" t="s">
        <v>219</v>
      </c>
      <c r="C1152" s="11"/>
      <c r="D1152" s="11">
        <v>34800</v>
      </c>
      <c r="E1152" t="s">
        <v>928</v>
      </c>
      <c r="F1152" s="108" t="s">
        <v>108</v>
      </c>
    </row>
    <row r="1153" spans="1:6" x14ac:dyDescent="0.3">
      <c r="A1153" s="111">
        <v>46219</v>
      </c>
      <c r="B1153" t="s">
        <v>488</v>
      </c>
      <c r="C1153" s="11">
        <v>1500</v>
      </c>
      <c r="D1153" s="11"/>
      <c r="E1153" t="s">
        <v>929</v>
      </c>
      <c r="F1153" s="108" t="s">
        <v>108</v>
      </c>
    </row>
    <row r="1154" spans="1:6" x14ac:dyDescent="0.3">
      <c r="A1154" s="111">
        <v>46219</v>
      </c>
      <c r="B1154" t="s">
        <v>357</v>
      </c>
      <c r="C1154" s="11">
        <v>14080</v>
      </c>
      <c r="D1154" s="11"/>
      <c r="F1154" s="108" t="s">
        <v>108</v>
      </c>
    </row>
    <row r="1155" spans="1:6" x14ac:dyDescent="0.3">
      <c r="A1155" s="111">
        <v>46219</v>
      </c>
      <c r="B1155" t="s">
        <v>116</v>
      </c>
      <c r="C1155" s="11">
        <v>15500</v>
      </c>
      <c r="D1155" s="11"/>
      <c r="E1155" t="s">
        <v>163</v>
      </c>
      <c r="F1155" s="108" t="s">
        <v>108</v>
      </c>
    </row>
    <row r="1156" spans="1:6" x14ac:dyDescent="0.3">
      <c r="A1156" s="111">
        <v>46219</v>
      </c>
      <c r="B1156" t="s">
        <v>219</v>
      </c>
      <c r="C1156" s="11"/>
      <c r="D1156" s="11">
        <v>20000</v>
      </c>
      <c r="E1156" t="s">
        <v>936</v>
      </c>
      <c r="F1156" s="108" t="s">
        <v>108</v>
      </c>
    </row>
    <row r="1157" spans="1:6" x14ac:dyDescent="0.3">
      <c r="A1157" s="111">
        <v>46219</v>
      </c>
      <c r="B1157" t="s">
        <v>219</v>
      </c>
      <c r="C1157" s="11"/>
      <c r="D1157" s="11">
        <v>15500</v>
      </c>
      <c r="E1157" t="s">
        <v>163</v>
      </c>
      <c r="F1157" s="108" t="s">
        <v>108</v>
      </c>
    </row>
    <row r="1158" spans="1:6" x14ac:dyDescent="0.3">
      <c r="A1158" s="111">
        <v>46219</v>
      </c>
      <c r="B1158" t="s">
        <v>488</v>
      </c>
      <c r="C1158" s="11">
        <v>5000</v>
      </c>
      <c r="D1158" s="11"/>
      <c r="E1158" t="s">
        <v>839</v>
      </c>
      <c r="F1158" s="108" t="s">
        <v>108</v>
      </c>
    </row>
    <row r="1159" spans="1:6" x14ac:dyDescent="0.3">
      <c r="A1159" s="111">
        <v>46220</v>
      </c>
      <c r="B1159" t="s">
        <v>269</v>
      </c>
      <c r="C1159" s="11">
        <v>5000</v>
      </c>
      <c r="D1159" s="11"/>
      <c r="E1159" t="s">
        <v>665</v>
      </c>
      <c r="F1159" s="108" t="s">
        <v>108</v>
      </c>
    </row>
    <row r="1160" spans="1:6" x14ac:dyDescent="0.3">
      <c r="A1160" s="111">
        <v>46220</v>
      </c>
      <c r="B1160" t="s">
        <v>211</v>
      </c>
      <c r="C1160" s="11"/>
      <c r="D1160" s="11">
        <v>5000</v>
      </c>
      <c r="E1160" t="s">
        <v>665</v>
      </c>
      <c r="F1160" s="108" t="s">
        <v>108</v>
      </c>
    </row>
    <row r="1161" spans="1:6" x14ac:dyDescent="0.3">
      <c r="A1161" s="111">
        <v>46220</v>
      </c>
      <c r="B1161" t="s">
        <v>357</v>
      </c>
      <c r="C1161" s="11">
        <v>370</v>
      </c>
      <c r="D1161" s="11"/>
      <c r="F1161" s="108" t="s">
        <v>108</v>
      </c>
    </row>
    <row r="1162" spans="1:6" x14ac:dyDescent="0.3">
      <c r="A1162" s="111">
        <v>46221</v>
      </c>
      <c r="B1162" t="s">
        <v>219</v>
      </c>
      <c r="C1162" s="11"/>
      <c r="D1162" s="11">
        <v>40000</v>
      </c>
      <c r="E1162" t="s">
        <v>931</v>
      </c>
      <c r="F1162" s="108" t="s">
        <v>108</v>
      </c>
    </row>
    <row r="1163" spans="1:6" x14ac:dyDescent="0.3">
      <c r="A1163" s="111">
        <v>46221</v>
      </c>
      <c r="B1163" t="s">
        <v>246</v>
      </c>
      <c r="C1163" s="11">
        <v>39700</v>
      </c>
      <c r="D1163" s="11"/>
      <c r="E1163" t="s">
        <v>932</v>
      </c>
      <c r="F1163" s="108" t="s">
        <v>108</v>
      </c>
    </row>
    <row r="1164" spans="1:6" x14ac:dyDescent="0.3">
      <c r="A1164" s="111">
        <v>46221</v>
      </c>
      <c r="B1164" t="s">
        <v>246</v>
      </c>
      <c r="C1164" s="11">
        <v>3700</v>
      </c>
      <c r="D1164" s="11"/>
      <c r="E1164" t="s">
        <v>282</v>
      </c>
      <c r="F1164" s="108" t="s">
        <v>108</v>
      </c>
    </row>
    <row r="1165" spans="1:6" x14ac:dyDescent="0.3">
      <c r="A1165" s="111">
        <v>46221</v>
      </c>
      <c r="B1165" t="s">
        <v>488</v>
      </c>
      <c r="C1165" s="11">
        <v>2500</v>
      </c>
      <c r="D1165" s="11"/>
      <c r="E1165" t="s">
        <v>933</v>
      </c>
      <c r="F1165" s="108" t="s">
        <v>108</v>
      </c>
    </row>
    <row r="1166" spans="1:6" x14ac:dyDescent="0.3">
      <c r="A1166" s="111">
        <v>46221</v>
      </c>
      <c r="B1166" t="s">
        <v>211</v>
      </c>
      <c r="C1166" s="11"/>
      <c r="D1166" s="11">
        <v>6200</v>
      </c>
      <c r="E1166" t="s">
        <v>934</v>
      </c>
      <c r="F1166" s="108" t="s">
        <v>108</v>
      </c>
    </row>
    <row r="1167" spans="1:6" x14ac:dyDescent="0.3">
      <c r="A1167" s="111">
        <v>46221</v>
      </c>
      <c r="B1167" t="s">
        <v>55</v>
      </c>
      <c r="C1167" s="11">
        <v>1800</v>
      </c>
      <c r="D1167" s="11"/>
      <c r="F1167" s="108" t="s">
        <v>108</v>
      </c>
    </row>
    <row r="1168" spans="1:6" x14ac:dyDescent="0.3">
      <c r="A1168" s="111">
        <v>46221</v>
      </c>
      <c r="B1168" t="s">
        <v>269</v>
      </c>
      <c r="C1168" s="95">
        <v>3000</v>
      </c>
      <c r="D1168" s="95"/>
      <c r="E1168" t="s">
        <v>252</v>
      </c>
      <c r="F1168" s="108" t="s">
        <v>108</v>
      </c>
    </row>
    <row r="1169" spans="1:6" x14ac:dyDescent="0.3">
      <c r="A1169" s="111">
        <v>46221</v>
      </c>
      <c r="B1169" t="s">
        <v>211</v>
      </c>
      <c r="C1169" s="95"/>
      <c r="D1169" s="95">
        <v>3000</v>
      </c>
      <c r="E1169" t="s">
        <v>252</v>
      </c>
      <c r="F1169" s="108" t="s">
        <v>108</v>
      </c>
    </row>
    <row r="1170" spans="1:6" x14ac:dyDescent="0.3">
      <c r="A1170" s="38">
        <v>46221</v>
      </c>
      <c r="B1170" t="s">
        <v>269</v>
      </c>
      <c r="C1170" s="95">
        <v>5000</v>
      </c>
      <c r="D1170" s="95"/>
      <c r="E1170" t="s">
        <v>935</v>
      </c>
      <c r="F1170" s="108" t="s">
        <v>108</v>
      </c>
    </row>
    <row r="1171" spans="1:6" x14ac:dyDescent="0.3">
      <c r="A1171" s="38">
        <v>46221</v>
      </c>
      <c r="B1171" t="s">
        <v>211</v>
      </c>
      <c r="C1171" s="95"/>
      <c r="D1171" s="95">
        <v>5000</v>
      </c>
      <c r="E1171" t="s">
        <v>935</v>
      </c>
      <c r="F1171" s="108" t="s">
        <v>108</v>
      </c>
    </row>
    <row r="1172" spans="1:6" x14ac:dyDescent="0.3">
      <c r="A1172" s="38">
        <v>46221</v>
      </c>
      <c r="B1172" t="s">
        <v>298</v>
      </c>
      <c r="C1172" s="95">
        <v>5000</v>
      </c>
      <c r="D1172" s="95"/>
      <c r="E1172" t="s">
        <v>693</v>
      </c>
      <c r="F1172" s="108" t="s">
        <v>108</v>
      </c>
    </row>
    <row r="1173" spans="1:6" x14ac:dyDescent="0.3">
      <c r="A1173" s="38">
        <v>46221</v>
      </c>
      <c r="B1173" t="s">
        <v>219</v>
      </c>
      <c r="C1173" s="95"/>
      <c r="D1173" s="95">
        <v>5000</v>
      </c>
      <c r="E1173" t="s">
        <v>693</v>
      </c>
      <c r="F1173" s="108" t="s">
        <v>108</v>
      </c>
    </row>
    <row r="1174" spans="1:6" x14ac:dyDescent="0.3">
      <c r="A1174" s="38">
        <v>46221</v>
      </c>
      <c r="B1174" t="s">
        <v>219</v>
      </c>
      <c r="C1174" s="95"/>
      <c r="D1174" s="95">
        <v>57000</v>
      </c>
      <c r="E1174" t="s">
        <v>937</v>
      </c>
      <c r="F1174" s="108" t="s">
        <v>108</v>
      </c>
    </row>
    <row r="1175" spans="1:6" x14ac:dyDescent="0.3">
      <c r="A1175" s="38">
        <v>46221</v>
      </c>
      <c r="B1175" t="s">
        <v>219</v>
      </c>
      <c r="C1175" s="95"/>
      <c r="D1175" s="95">
        <v>40800</v>
      </c>
      <c r="E1175" t="s">
        <v>320</v>
      </c>
      <c r="F1175" s="108" t="s">
        <v>108</v>
      </c>
    </row>
    <row r="1176" spans="1:6" x14ac:dyDescent="0.3">
      <c r="A1176" s="38">
        <v>46221</v>
      </c>
      <c r="B1176" t="s">
        <v>219</v>
      </c>
      <c r="C1176" s="95"/>
      <c r="D1176" s="95">
        <v>10000</v>
      </c>
      <c r="E1176" t="s">
        <v>938</v>
      </c>
      <c r="F1176" s="108" t="s">
        <v>108</v>
      </c>
    </row>
    <row r="1177" spans="1:6" x14ac:dyDescent="0.3">
      <c r="A1177" s="38">
        <v>46221</v>
      </c>
      <c r="B1177" t="s">
        <v>219</v>
      </c>
      <c r="C1177" s="95">
        <v>103000</v>
      </c>
      <c r="D1177" s="95"/>
      <c r="E1177" t="s">
        <v>939</v>
      </c>
      <c r="F1177" s="108" t="s">
        <v>108</v>
      </c>
    </row>
    <row r="1178" spans="1:6" x14ac:dyDescent="0.3">
      <c r="A1178" s="38">
        <v>46221</v>
      </c>
      <c r="B1178" t="s">
        <v>881</v>
      </c>
      <c r="C1178" s="95"/>
      <c r="D1178" s="95">
        <v>103000</v>
      </c>
      <c r="F1178" s="108" t="s">
        <v>108</v>
      </c>
    </row>
    <row r="1179" spans="1:6" x14ac:dyDescent="0.3">
      <c r="A1179" s="38">
        <v>46221</v>
      </c>
      <c r="B1179" t="s">
        <v>674</v>
      </c>
      <c r="C1179" s="95">
        <v>100000</v>
      </c>
      <c r="D1179" s="95"/>
      <c r="E1179" t="s">
        <v>940</v>
      </c>
      <c r="F1179" s="108" t="s">
        <v>108</v>
      </c>
    </row>
    <row r="1180" spans="1:6" x14ac:dyDescent="0.3">
      <c r="A1180" s="38">
        <v>46222</v>
      </c>
      <c r="B1180" t="s">
        <v>246</v>
      </c>
      <c r="C1180" s="95">
        <v>5400</v>
      </c>
      <c r="D1180" s="95"/>
      <c r="E1180" t="s">
        <v>282</v>
      </c>
      <c r="F1180" s="108" t="s">
        <v>108</v>
      </c>
    </row>
    <row r="1181" spans="1:6" x14ac:dyDescent="0.3">
      <c r="A1181" s="38">
        <v>46222</v>
      </c>
      <c r="B1181" t="s">
        <v>211</v>
      </c>
      <c r="C1181" s="95"/>
      <c r="D1181" s="95">
        <v>2600</v>
      </c>
      <c r="E1181" t="s">
        <v>535</v>
      </c>
      <c r="F1181" s="108" t="s">
        <v>108</v>
      </c>
    </row>
    <row r="1182" spans="1:6" x14ac:dyDescent="0.3">
      <c r="A1182" s="38">
        <v>46222</v>
      </c>
      <c r="B1182" t="s">
        <v>357</v>
      </c>
      <c r="C1182" s="95">
        <v>2600</v>
      </c>
      <c r="D1182" s="95"/>
      <c r="E1182" t="s">
        <v>535</v>
      </c>
      <c r="F1182" s="108" t="s">
        <v>108</v>
      </c>
    </row>
    <row r="1183" spans="1:6" x14ac:dyDescent="0.3">
      <c r="A1183" s="38">
        <v>46222</v>
      </c>
      <c r="B1183" t="s">
        <v>269</v>
      </c>
      <c r="C1183" s="95">
        <v>10000</v>
      </c>
      <c r="D1183" s="95"/>
      <c r="E1183" t="s">
        <v>580</v>
      </c>
      <c r="F1183" s="108" t="s">
        <v>108</v>
      </c>
    </row>
    <row r="1184" spans="1:6" x14ac:dyDescent="0.3">
      <c r="A1184" s="38">
        <v>46222</v>
      </c>
      <c r="B1184" t="s">
        <v>211</v>
      </c>
      <c r="C1184" s="95"/>
      <c r="D1184" s="95">
        <v>10000</v>
      </c>
      <c r="E1184" t="s">
        <v>941</v>
      </c>
      <c r="F1184" s="108" t="s">
        <v>108</v>
      </c>
    </row>
    <row r="1185" spans="1:6" x14ac:dyDescent="0.3">
      <c r="A1185" s="38">
        <v>46223</v>
      </c>
      <c r="B1185" t="s">
        <v>357</v>
      </c>
      <c r="C1185" s="95">
        <v>2760</v>
      </c>
      <c r="D1185" s="95"/>
      <c r="F1185" s="108" t="s">
        <v>898</v>
      </c>
    </row>
    <row r="1186" spans="1:6" x14ac:dyDescent="0.3">
      <c r="A1186" s="38">
        <v>46223</v>
      </c>
      <c r="B1186" t="s">
        <v>211</v>
      </c>
      <c r="C1186" s="11"/>
      <c r="D1186" s="11">
        <v>2760</v>
      </c>
      <c r="E1186" t="s">
        <v>357</v>
      </c>
      <c r="F1186" s="108" t="s">
        <v>898</v>
      </c>
    </row>
    <row r="1187" spans="1:6" x14ac:dyDescent="0.3">
      <c r="A1187" s="38">
        <v>46223</v>
      </c>
      <c r="B1187" t="s">
        <v>55</v>
      </c>
      <c r="C1187" s="11">
        <v>4000</v>
      </c>
      <c r="D1187" s="11"/>
      <c r="E1187" t="s">
        <v>942</v>
      </c>
      <c r="F1187" s="108" t="s">
        <v>898</v>
      </c>
    </row>
    <row r="1188" spans="1:6" x14ac:dyDescent="0.3">
      <c r="A1188" s="111">
        <v>46223</v>
      </c>
      <c r="B1188" t="s">
        <v>211</v>
      </c>
      <c r="C1188" s="11"/>
      <c r="D1188" s="11">
        <v>4000</v>
      </c>
      <c r="E1188" t="s">
        <v>521</v>
      </c>
      <c r="F1188" s="108" t="s">
        <v>898</v>
      </c>
    </row>
    <row r="1189" spans="1:6" x14ac:dyDescent="0.3">
      <c r="A1189" s="38">
        <v>46223</v>
      </c>
      <c r="B1189" t="s">
        <v>55</v>
      </c>
      <c r="C1189" s="11">
        <v>1850</v>
      </c>
      <c r="D1189" s="11"/>
      <c r="F1189" s="108" t="s">
        <v>898</v>
      </c>
    </row>
    <row r="1190" spans="1:6" x14ac:dyDescent="0.3">
      <c r="A1190" s="111">
        <v>46223</v>
      </c>
      <c r="B1190" t="s">
        <v>867</v>
      </c>
      <c r="C1190" s="11"/>
      <c r="D1190" s="11">
        <v>110000</v>
      </c>
      <c r="E1190" t="s">
        <v>943</v>
      </c>
      <c r="F1190" s="108" t="s">
        <v>898</v>
      </c>
    </row>
    <row r="1191" spans="1:6" x14ac:dyDescent="0.3">
      <c r="A1191" s="38">
        <v>46223</v>
      </c>
      <c r="B1191" t="s">
        <v>246</v>
      </c>
      <c r="C1191" s="11">
        <v>5200</v>
      </c>
      <c r="D1191" s="11"/>
      <c r="E1191" t="s">
        <v>944</v>
      </c>
      <c r="F1191" s="108" t="s">
        <v>898</v>
      </c>
    </row>
    <row r="1192" spans="1:6" x14ac:dyDescent="0.3">
      <c r="A1192" s="111">
        <v>46223</v>
      </c>
      <c r="B1192" t="s">
        <v>357</v>
      </c>
      <c r="C1192" s="11">
        <v>9300</v>
      </c>
      <c r="D1192" s="11"/>
      <c r="E1192" t="s">
        <v>535</v>
      </c>
      <c r="F1192" s="108" t="s">
        <v>898</v>
      </c>
    </row>
    <row r="1193" spans="1:6" x14ac:dyDescent="0.3">
      <c r="A1193" s="38">
        <v>46223</v>
      </c>
      <c r="B1193" t="s">
        <v>211</v>
      </c>
      <c r="C1193" s="11">
        <v>1490</v>
      </c>
      <c r="D1193" s="11"/>
      <c r="F1193" s="108" t="s">
        <v>898</v>
      </c>
    </row>
    <row r="1194" spans="1:6" x14ac:dyDescent="0.3">
      <c r="A1194" s="111">
        <v>46224</v>
      </c>
      <c r="B1194" t="s">
        <v>219</v>
      </c>
      <c r="C1194" s="11"/>
      <c r="D1194" s="11">
        <v>940000</v>
      </c>
      <c r="E1194" t="s">
        <v>945</v>
      </c>
      <c r="F1194" s="108" t="s">
        <v>898</v>
      </c>
    </row>
    <row r="1195" spans="1:6" x14ac:dyDescent="0.3">
      <c r="A1195" s="38">
        <v>46224</v>
      </c>
      <c r="B1195" t="s">
        <v>219</v>
      </c>
      <c r="C1195" s="11"/>
      <c r="D1195" s="11">
        <v>34000</v>
      </c>
      <c r="E1195" t="s">
        <v>946</v>
      </c>
      <c r="F1195" s="108" t="s">
        <v>108</v>
      </c>
    </row>
    <row r="1196" spans="1:6" x14ac:dyDescent="0.3">
      <c r="A1196" s="111">
        <v>46224</v>
      </c>
      <c r="B1196" t="s">
        <v>947</v>
      </c>
      <c r="C1196" s="11">
        <v>1066588</v>
      </c>
      <c r="D1196" s="11"/>
      <c r="E1196" t="s">
        <v>948</v>
      </c>
      <c r="F1196" s="108" t="s">
        <v>108</v>
      </c>
    </row>
    <row r="1197" spans="1:6" x14ac:dyDescent="0.3">
      <c r="A1197" s="38">
        <v>46224</v>
      </c>
      <c r="B1197" t="s">
        <v>211</v>
      </c>
      <c r="C1197" s="11">
        <v>300</v>
      </c>
      <c r="D1197" s="11"/>
      <c r="F1197" s="108" t="s">
        <v>108</v>
      </c>
    </row>
    <row r="1198" spans="1:6" x14ac:dyDescent="0.3">
      <c r="A1198" s="111">
        <v>46224</v>
      </c>
      <c r="B1198" t="s">
        <v>219</v>
      </c>
      <c r="C1198" s="11"/>
      <c r="D1198" s="11">
        <v>25500</v>
      </c>
      <c r="E1198" t="s">
        <v>320</v>
      </c>
      <c r="F1198" s="108" t="s">
        <v>108</v>
      </c>
    </row>
    <row r="1199" spans="1:6" x14ac:dyDescent="0.3">
      <c r="A1199" s="38">
        <v>46224</v>
      </c>
      <c r="B1199" t="s">
        <v>269</v>
      </c>
      <c r="C1199" s="95">
        <v>20000</v>
      </c>
      <c r="D1199" s="95"/>
      <c r="E1199" t="s">
        <v>252</v>
      </c>
      <c r="F1199" s="108" t="s">
        <v>108</v>
      </c>
    </row>
    <row r="1200" spans="1:6" x14ac:dyDescent="0.3">
      <c r="A1200" s="111">
        <v>46224</v>
      </c>
      <c r="B1200" t="s">
        <v>269</v>
      </c>
      <c r="C1200" s="11">
        <v>5000</v>
      </c>
      <c r="D1200" s="11"/>
      <c r="E1200" t="s">
        <v>935</v>
      </c>
      <c r="F1200" s="108" t="s">
        <v>108</v>
      </c>
    </row>
    <row r="1201" spans="1:6" x14ac:dyDescent="0.3">
      <c r="A1201" s="38">
        <v>46224</v>
      </c>
      <c r="B1201" t="s">
        <v>211</v>
      </c>
      <c r="C1201" s="11"/>
      <c r="D1201" s="11">
        <v>1800</v>
      </c>
      <c r="E1201" t="s">
        <v>521</v>
      </c>
      <c r="F1201" s="108" t="s">
        <v>108</v>
      </c>
    </row>
    <row r="1202" spans="1:6" x14ac:dyDescent="0.3">
      <c r="A1202" s="111">
        <v>46224</v>
      </c>
      <c r="B1202" t="s">
        <v>55</v>
      </c>
      <c r="C1202" s="11">
        <v>1800</v>
      </c>
      <c r="D1202" s="11"/>
      <c r="E1202" t="s">
        <v>949</v>
      </c>
      <c r="F1202" s="108" t="s">
        <v>108</v>
      </c>
    </row>
    <row r="1203" spans="1:6" x14ac:dyDescent="0.3">
      <c r="A1203" s="38">
        <v>46224</v>
      </c>
      <c r="B1203" t="s">
        <v>211</v>
      </c>
      <c r="C1203" s="95"/>
      <c r="D1203" s="95">
        <v>800</v>
      </c>
      <c r="F1203" s="108" t="s">
        <v>108</v>
      </c>
    </row>
    <row r="1204" spans="1:6" x14ac:dyDescent="0.3">
      <c r="A1204" s="111">
        <v>46226</v>
      </c>
      <c r="B1204" t="s">
        <v>219</v>
      </c>
      <c r="C1204" s="95"/>
      <c r="D1204" s="95">
        <v>33000</v>
      </c>
      <c r="E1204" t="s">
        <v>950</v>
      </c>
      <c r="F1204" s="108" t="s">
        <v>108</v>
      </c>
    </row>
    <row r="1205" spans="1:6" x14ac:dyDescent="0.3">
      <c r="A1205" s="38">
        <v>46226</v>
      </c>
      <c r="B1205" t="s">
        <v>269</v>
      </c>
      <c r="C1205" s="95">
        <v>10000</v>
      </c>
      <c r="D1205" s="95"/>
      <c r="E1205" t="s">
        <v>665</v>
      </c>
      <c r="F1205" s="108" t="s">
        <v>108</v>
      </c>
    </row>
    <row r="1206" spans="1:6" x14ac:dyDescent="0.3">
      <c r="A1206" s="38">
        <v>46226</v>
      </c>
      <c r="B1206" t="s">
        <v>253</v>
      </c>
      <c r="C1206" s="95">
        <v>6900</v>
      </c>
      <c r="D1206" s="95"/>
      <c r="E1206" t="s">
        <v>951</v>
      </c>
      <c r="F1206" s="108" t="s">
        <v>108</v>
      </c>
    </row>
    <row r="1207" spans="1:6" x14ac:dyDescent="0.3">
      <c r="A1207" s="38">
        <v>46226</v>
      </c>
      <c r="B1207" t="s">
        <v>253</v>
      </c>
      <c r="C1207" s="95">
        <v>5000</v>
      </c>
      <c r="D1207" s="95"/>
      <c r="E1207" t="s">
        <v>952</v>
      </c>
      <c r="F1207" s="108" t="s">
        <v>108</v>
      </c>
    </row>
    <row r="1208" spans="1:6" x14ac:dyDescent="0.3">
      <c r="A1208" s="38">
        <v>46226</v>
      </c>
      <c r="B1208" t="s">
        <v>386</v>
      </c>
      <c r="C1208" s="95">
        <v>358</v>
      </c>
      <c r="D1208" s="95"/>
      <c r="E1208" t="s">
        <v>901</v>
      </c>
      <c r="F1208" s="108" t="s">
        <v>108</v>
      </c>
    </row>
    <row r="1209" spans="1:6" x14ac:dyDescent="0.3">
      <c r="A1209" s="38">
        <v>46226</v>
      </c>
      <c r="B1209" t="s">
        <v>386</v>
      </c>
      <c r="C1209" s="95">
        <v>1230</v>
      </c>
      <c r="D1209" s="95"/>
      <c r="E1209" t="s">
        <v>953</v>
      </c>
      <c r="F1209" s="108" t="s">
        <v>108</v>
      </c>
    </row>
    <row r="1210" spans="1:6" x14ac:dyDescent="0.3">
      <c r="A1210" s="38">
        <v>46226</v>
      </c>
      <c r="B1210" t="s">
        <v>269</v>
      </c>
      <c r="C1210" s="95">
        <v>10000</v>
      </c>
      <c r="D1210" s="95"/>
      <c r="E1210" t="s">
        <v>288</v>
      </c>
      <c r="F1210" s="108" t="s">
        <v>108</v>
      </c>
    </row>
    <row r="1211" spans="1:6" x14ac:dyDescent="0.3">
      <c r="A1211" s="38">
        <v>46227</v>
      </c>
      <c r="B1211" t="s">
        <v>219</v>
      </c>
      <c r="C1211" s="95"/>
      <c r="D1211" s="95">
        <v>406000</v>
      </c>
      <c r="E1211" t="s">
        <v>227</v>
      </c>
      <c r="F1211" s="108" t="s">
        <v>108</v>
      </c>
    </row>
    <row r="1212" spans="1:6" x14ac:dyDescent="0.3">
      <c r="A1212" s="38">
        <v>46227</v>
      </c>
      <c r="B1212" t="s">
        <v>227</v>
      </c>
      <c r="C1212" s="95">
        <v>406000</v>
      </c>
      <c r="D1212" s="95"/>
      <c r="E1212" t="s">
        <v>954</v>
      </c>
      <c r="F1212" s="108" t="s">
        <v>108</v>
      </c>
    </row>
    <row r="1213" spans="1:6" x14ac:dyDescent="0.3">
      <c r="A1213" s="38">
        <v>46227</v>
      </c>
      <c r="B1213" t="s">
        <v>219</v>
      </c>
      <c r="C1213" s="95"/>
      <c r="D1213" s="95">
        <v>3000</v>
      </c>
      <c r="E1213" t="s">
        <v>318</v>
      </c>
      <c r="F1213" s="108" t="s">
        <v>108</v>
      </c>
    </row>
    <row r="1214" spans="1:6" x14ac:dyDescent="0.3">
      <c r="A1214" s="38">
        <v>46227</v>
      </c>
      <c r="B1214" t="s">
        <v>488</v>
      </c>
      <c r="C1214" s="95">
        <v>3000</v>
      </c>
      <c r="D1214" s="95"/>
      <c r="E1214" t="s">
        <v>955</v>
      </c>
      <c r="F1214" s="108" t="s">
        <v>108</v>
      </c>
    </row>
    <row r="1215" spans="1:6" x14ac:dyDescent="0.3">
      <c r="A1215" s="38">
        <v>46227</v>
      </c>
      <c r="B1215" t="s">
        <v>219</v>
      </c>
      <c r="C1215" s="95"/>
      <c r="D1215" s="95">
        <v>15000</v>
      </c>
      <c r="E1215" t="s">
        <v>318</v>
      </c>
      <c r="F1215" s="108" t="s">
        <v>108</v>
      </c>
    </row>
    <row r="1216" spans="1:6" x14ac:dyDescent="0.3">
      <c r="A1216" s="38">
        <v>46227</v>
      </c>
      <c r="B1216" t="s">
        <v>244</v>
      </c>
      <c r="C1216" s="95">
        <v>5000</v>
      </c>
      <c r="D1216" s="95"/>
      <c r="E1216" t="s">
        <v>886</v>
      </c>
      <c r="F1216" s="108" t="s">
        <v>108</v>
      </c>
    </row>
    <row r="1217" spans="1:6" x14ac:dyDescent="0.3">
      <c r="A1217" s="38">
        <v>46227</v>
      </c>
      <c r="B1217" t="s">
        <v>211</v>
      </c>
      <c r="C1217" s="95">
        <v>1490</v>
      </c>
      <c r="D1217" s="95"/>
      <c r="F1217" s="108" t="s">
        <v>108</v>
      </c>
    </row>
    <row r="1218" spans="1:6" x14ac:dyDescent="0.3">
      <c r="A1218" s="38">
        <v>46228</v>
      </c>
      <c r="B1218" t="s">
        <v>219</v>
      </c>
      <c r="C1218" s="95"/>
      <c r="D1218" s="95">
        <v>100000</v>
      </c>
      <c r="E1218" t="s">
        <v>956</v>
      </c>
      <c r="F1218" s="108" t="s">
        <v>108</v>
      </c>
    </row>
    <row r="1219" spans="1:6" x14ac:dyDescent="0.3">
      <c r="A1219" s="38">
        <v>46228</v>
      </c>
      <c r="B1219" t="s">
        <v>269</v>
      </c>
      <c r="C1219" s="95">
        <v>10000</v>
      </c>
      <c r="D1219" s="95"/>
      <c r="E1219" t="s">
        <v>957</v>
      </c>
      <c r="F1219" s="108" t="s">
        <v>108</v>
      </c>
    </row>
    <row r="1220" spans="1:6" x14ac:dyDescent="0.3">
      <c r="A1220" s="38">
        <v>46228</v>
      </c>
      <c r="B1220" t="s">
        <v>269</v>
      </c>
      <c r="C1220" s="95">
        <v>15000</v>
      </c>
      <c r="D1220" s="95"/>
      <c r="E1220" t="s">
        <v>958</v>
      </c>
      <c r="F1220" s="108" t="s">
        <v>108</v>
      </c>
    </row>
    <row r="1221" spans="1:6" x14ac:dyDescent="0.3">
      <c r="A1221" s="38">
        <v>46228</v>
      </c>
      <c r="B1221" t="s">
        <v>269</v>
      </c>
      <c r="C1221" s="95">
        <v>5000</v>
      </c>
      <c r="D1221" s="95"/>
      <c r="E1221" t="s">
        <v>959</v>
      </c>
      <c r="F1221" s="108" t="s">
        <v>108</v>
      </c>
    </row>
    <row r="1222" spans="1:6" x14ac:dyDescent="0.3">
      <c r="A1222" s="38">
        <v>46228</v>
      </c>
      <c r="B1222" t="s">
        <v>269</v>
      </c>
      <c r="C1222" s="95">
        <v>5000</v>
      </c>
      <c r="D1222" s="95"/>
      <c r="E1222" t="s">
        <v>960</v>
      </c>
      <c r="F1222" s="108" t="s">
        <v>108</v>
      </c>
    </row>
    <row r="1223" spans="1:6" x14ac:dyDescent="0.3">
      <c r="A1223" s="38">
        <v>46228</v>
      </c>
      <c r="B1223" t="s">
        <v>269</v>
      </c>
      <c r="C1223" s="95">
        <v>5000</v>
      </c>
      <c r="D1223" s="95"/>
      <c r="E1223" t="s">
        <v>961</v>
      </c>
      <c r="F1223" s="108" t="s">
        <v>108</v>
      </c>
    </row>
    <row r="1224" spans="1:6" x14ac:dyDescent="0.3">
      <c r="A1224" s="38">
        <v>46228</v>
      </c>
      <c r="B1224" t="s">
        <v>269</v>
      </c>
      <c r="C1224" s="95">
        <v>3000</v>
      </c>
      <c r="D1224" s="95"/>
      <c r="E1224" t="s">
        <v>962</v>
      </c>
      <c r="F1224" s="108" t="s">
        <v>108</v>
      </c>
    </row>
    <row r="1225" spans="1:6" x14ac:dyDescent="0.3">
      <c r="A1225" s="38">
        <v>46228</v>
      </c>
      <c r="B1225" t="s">
        <v>269</v>
      </c>
      <c r="C1225" s="95">
        <v>30000</v>
      </c>
      <c r="D1225" s="95"/>
      <c r="E1225" t="s">
        <v>963</v>
      </c>
      <c r="F1225" s="108" t="s">
        <v>108</v>
      </c>
    </row>
    <row r="1226" spans="1:6" x14ac:dyDescent="0.3">
      <c r="A1226" s="38">
        <v>46228</v>
      </c>
      <c r="B1226" t="s">
        <v>269</v>
      </c>
      <c r="C1226" s="95">
        <v>20000</v>
      </c>
      <c r="D1226" s="95"/>
      <c r="E1226" t="s">
        <v>964</v>
      </c>
      <c r="F1226" s="108" t="s">
        <v>108</v>
      </c>
    </row>
    <row r="1227" spans="1:6" x14ac:dyDescent="0.3">
      <c r="A1227" s="38">
        <v>46228</v>
      </c>
      <c r="B1227" t="s">
        <v>269</v>
      </c>
      <c r="C1227" s="95">
        <v>25000</v>
      </c>
      <c r="D1227" s="95"/>
      <c r="E1227" t="s">
        <v>260</v>
      </c>
      <c r="F1227" s="108" t="s">
        <v>108</v>
      </c>
    </row>
    <row r="1228" spans="1:6" x14ac:dyDescent="0.3">
      <c r="A1228" s="38">
        <v>46228</v>
      </c>
      <c r="B1228" t="s">
        <v>357</v>
      </c>
      <c r="C1228" s="95">
        <v>3000</v>
      </c>
      <c r="D1228" s="95"/>
      <c r="E1228" t="s">
        <v>535</v>
      </c>
      <c r="F1228" s="108" t="s">
        <v>108</v>
      </c>
    </row>
    <row r="1229" spans="1:6" x14ac:dyDescent="0.3">
      <c r="A1229" s="38">
        <v>46228</v>
      </c>
      <c r="B1229" t="s">
        <v>219</v>
      </c>
      <c r="C1229" s="95"/>
      <c r="D1229" s="95">
        <v>100000</v>
      </c>
      <c r="E1229" t="s">
        <v>965</v>
      </c>
      <c r="F1229" s="108" t="s">
        <v>108</v>
      </c>
    </row>
    <row r="1230" spans="1:6" x14ac:dyDescent="0.3">
      <c r="A1230" s="38">
        <v>46228</v>
      </c>
      <c r="B1230" t="s">
        <v>269</v>
      </c>
      <c r="C1230" s="95">
        <v>25000</v>
      </c>
      <c r="D1230" s="95"/>
      <c r="E1230" t="s">
        <v>966</v>
      </c>
      <c r="F1230" s="108" t="s">
        <v>108</v>
      </c>
    </row>
    <row r="1231" spans="1:6" x14ac:dyDescent="0.3">
      <c r="A1231" s="38">
        <v>46228</v>
      </c>
      <c r="B1231" t="s">
        <v>269</v>
      </c>
      <c r="C1231" s="95">
        <v>20000</v>
      </c>
      <c r="D1231" s="95"/>
      <c r="E1231" t="s">
        <v>288</v>
      </c>
      <c r="F1231" s="108" t="s">
        <v>108</v>
      </c>
    </row>
    <row r="1232" spans="1:6" x14ac:dyDescent="0.3">
      <c r="A1232" s="38">
        <v>46228</v>
      </c>
      <c r="B1232" t="s">
        <v>219</v>
      </c>
      <c r="C1232" s="95"/>
      <c r="D1232" s="95">
        <v>52500</v>
      </c>
      <c r="E1232" t="s">
        <v>967</v>
      </c>
      <c r="F1232" s="108" t="s">
        <v>108</v>
      </c>
    </row>
    <row r="1233" spans="1:6" x14ac:dyDescent="0.3">
      <c r="A1233" s="38">
        <v>46228</v>
      </c>
      <c r="B1233" t="s">
        <v>269</v>
      </c>
      <c r="C1233" s="95">
        <v>80000</v>
      </c>
      <c r="D1233" s="95"/>
      <c r="E1233" t="s">
        <v>700</v>
      </c>
      <c r="F1233" s="108" t="s">
        <v>108</v>
      </c>
    </row>
    <row r="1234" spans="1:6" x14ac:dyDescent="0.3">
      <c r="A1234" s="38">
        <v>46228</v>
      </c>
      <c r="B1234" t="s">
        <v>219</v>
      </c>
      <c r="C1234" s="95"/>
      <c r="D1234" s="95">
        <v>120000</v>
      </c>
      <c r="F1234" s="108" t="s">
        <v>108</v>
      </c>
    </row>
    <row r="1235" spans="1:6" x14ac:dyDescent="0.3">
      <c r="A1235" s="38">
        <v>46228</v>
      </c>
      <c r="B1235" t="s">
        <v>269</v>
      </c>
      <c r="C1235" s="95">
        <v>20000</v>
      </c>
      <c r="D1235" s="95"/>
      <c r="E1235" t="s">
        <v>990</v>
      </c>
      <c r="F1235" s="108" t="s">
        <v>108</v>
      </c>
    </row>
    <row r="1236" spans="1:6" x14ac:dyDescent="0.3">
      <c r="A1236" s="38">
        <v>46228</v>
      </c>
      <c r="B1236" t="s">
        <v>269</v>
      </c>
      <c r="C1236" s="95">
        <v>20000</v>
      </c>
      <c r="D1236" s="95"/>
      <c r="E1236" t="s">
        <v>991</v>
      </c>
      <c r="F1236" s="108" t="s">
        <v>108</v>
      </c>
    </row>
    <row r="1237" spans="1:6" x14ac:dyDescent="0.3">
      <c r="A1237" s="38">
        <v>46228</v>
      </c>
      <c r="B1237" t="s">
        <v>269</v>
      </c>
      <c r="C1237" s="95">
        <v>20000</v>
      </c>
      <c r="D1237" s="95"/>
      <c r="E1237" t="s">
        <v>992</v>
      </c>
      <c r="F1237" s="108" t="s">
        <v>108</v>
      </c>
    </row>
    <row r="1238" spans="1:6" x14ac:dyDescent="0.3">
      <c r="A1238" s="38">
        <v>46228</v>
      </c>
      <c r="B1238" t="s">
        <v>269</v>
      </c>
      <c r="C1238" s="95">
        <v>20000</v>
      </c>
      <c r="D1238" s="95"/>
      <c r="E1238" t="s">
        <v>993</v>
      </c>
      <c r="F1238" s="108" t="s">
        <v>108</v>
      </c>
    </row>
    <row r="1239" spans="1:6" x14ac:dyDescent="0.3">
      <c r="A1239" s="38">
        <v>46228</v>
      </c>
      <c r="B1239" t="s">
        <v>269</v>
      </c>
      <c r="C1239" s="95">
        <v>20000</v>
      </c>
      <c r="D1239" s="95"/>
      <c r="E1239" t="s">
        <v>994</v>
      </c>
      <c r="F1239" s="108" t="s">
        <v>108</v>
      </c>
    </row>
    <row r="1240" spans="1:6" x14ac:dyDescent="0.3">
      <c r="A1240" s="38">
        <v>46228</v>
      </c>
      <c r="B1240" t="s">
        <v>269</v>
      </c>
      <c r="C1240" s="95">
        <v>20000</v>
      </c>
      <c r="D1240" s="95"/>
      <c r="E1240" t="s">
        <v>983</v>
      </c>
      <c r="F1240" s="108" t="s">
        <v>108</v>
      </c>
    </row>
    <row r="1241" spans="1:6" x14ac:dyDescent="0.3">
      <c r="A1241" s="38">
        <v>46229</v>
      </c>
      <c r="B1241" t="s">
        <v>219</v>
      </c>
      <c r="C1241" s="95"/>
      <c r="D1241" s="95">
        <v>35000</v>
      </c>
      <c r="E1241" t="s">
        <v>968</v>
      </c>
      <c r="F1241" s="108" t="s">
        <v>108</v>
      </c>
    </row>
    <row r="1242" spans="1:6" x14ac:dyDescent="0.3">
      <c r="A1242" s="38">
        <v>46229</v>
      </c>
      <c r="B1242" t="s">
        <v>55</v>
      </c>
      <c r="C1242" s="95">
        <v>35000</v>
      </c>
      <c r="D1242" s="95"/>
      <c r="E1242" t="s">
        <v>969</v>
      </c>
      <c r="F1242" s="108" t="s">
        <v>108</v>
      </c>
    </row>
    <row r="1243" spans="1:6" x14ac:dyDescent="0.3">
      <c r="A1243" s="38">
        <v>46229</v>
      </c>
      <c r="B1243" t="s">
        <v>55</v>
      </c>
      <c r="C1243" s="95">
        <v>10850</v>
      </c>
      <c r="D1243" s="95"/>
      <c r="E1243" t="s">
        <v>970</v>
      </c>
      <c r="F1243" s="108" t="s">
        <v>108</v>
      </c>
    </row>
    <row r="1244" spans="1:6" x14ac:dyDescent="0.3">
      <c r="A1244" s="38">
        <v>46229</v>
      </c>
      <c r="B1244" t="s">
        <v>219</v>
      </c>
      <c r="C1244" s="95"/>
      <c r="D1244" s="95">
        <v>15000</v>
      </c>
      <c r="E1244" t="s">
        <v>971</v>
      </c>
      <c r="F1244" s="108" t="s">
        <v>108</v>
      </c>
    </row>
    <row r="1245" spans="1:6" x14ac:dyDescent="0.3">
      <c r="A1245" s="38">
        <v>46229</v>
      </c>
      <c r="B1245" t="s">
        <v>269</v>
      </c>
      <c r="C1245" s="95">
        <v>15000</v>
      </c>
      <c r="D1245" s="95"/>
      <c r="E1245" t="s">
        <v>580</v>
      </c>
      <c r="F1245" s="108" t="s">
        <v>108</v>
      </c>
    </row>
    <row r="1246" spans="1:6" x14ac:dyDescent="0.3">
      <c r="A1246" s="38">
        <v>46229</v>
      </c>
      <c r="B1246" t="s">
        <v>55</v>
      </c>
      <c r="C1246" s="95">
        <v>3031</v>
      </c>
      <c r="D1246" s="95"/>
      <c r="E1246" t="s">
        <v>973</v>
      </c>
      <c r="F1246" s="108" t="s">
        <v>108</v>
      </c>
    </row>
    <row r="1247" spans="1:6" x14ac:dyDescent="0.3">
      <c r="A1247" s="38">
        <v>46230</v>
      </c>
      <c r="B1247" t="s">
        <v>219</v>
      </c>
      <c r="C1247" s="95"/>
      <c r="D1247" s="95">
        <v>90000</v>
      </c>
      <c r="E1247" t="s">
        <v>972</v>
      </c>
      <c r="F1247" s="108" t="s">
        <v>108</v>
      </c>
    </row>
    <row r="1248" spans="1:6" x14ac:dyDescent="0.3">
      <c r="A1248" s="38">
        <v>46230</v>
      </c>
      <c r="B1248" t="s">
        <v>269</v>
      </c>
      <c r="C1248" s="95">
        <v>10000</v>
      </c>
      <c r="D1248" s="95"/>
      <c r="E1248" t="s">
        <v>974</v>
      </c>
      <c r="F1248" s="108" t="s">
        <v>108</v>
      </c>
    </row>
    <row r="1249" spans="1:6" x14ac:dyDescent="0.3">
      <c r="A1249" s="38">
        <v>46230</v>
      </c>
      <c r="B1249" t="s">
        <v>269</v>
      </c>
      <c r="C1249" s="95">
        <v>15000</v>
      </c>
      <c r="D1249" s="95"/>
      <c r="E1249" t="s">
        <v>643</v>
      </c>
      <c r="F1249" s="108" t="s">
        <v>108</v>
      </c>
    </row>
    <row r="1250" spans="1:6" x14ac:dyDescent="0.3">
      <c r="A1250" s="38">
        <v>46230</v>
      </c>
      <c r="B1250" t="s">
        <v>55</v>
      </c>
      <c r="C1250" s="95">
        <v>1700</v>
      </c>
      <c r="D1250" s="95"/>
      <c r="F1250" s="108" t="s">
        <v>108</v>
      </c>
    </row>
    <row r="1251" spans="1:6" x14ac:dyDescent="0.3">
      <c r="A1251" s="38">
        <v>46230</v>
      </c>
      <c r="B1251" t="s">
        <v>269</v>
      </c>
      <c r="C1251" s="95">
        <v>20000</v>
      </c>
      <c r="D1251" s="95"/>
      <c r="E1251" t="s">
        <v>288</v>
      </c>
      <c r="F1251" s="108" t="s">
        <v>108</v>
      </c>
    </row>
    <row r="1252" spans="1:6" x14ac:dyDescent="0.3">
      <c r="A1252" s="38">
        <v>46230</v>
      </c>
      <c r="B1252" t="s">
        <v>269</v>
      </c>
      <c r="C1252" s="95">
        <v>15000</v>
      </c>
      <c r="D1252" s="95"/>
      <c r="E1252" t="s">
        <v>665</v>
      </c>
      <c r="F1252" s="108" t="s">
        <v>108</v>
      </c>
    </row>
    <row r="1253" spans="1:6" x14ac:dyDescent="0.3">
      <c r="A1253" s="38">
        <v>46230</v>
      </c>
      <c r="B1253" t="s">
        <v>269</v>
      </c>
      <c r="C1253" s="95">
        <v>10000</v>
      </c>
      <c r="D1253" s="95"/>
      <c r="E1253" t="s">
        <v>915</v>
      </c>
      <c r="F1253" s="108" t="s">
        <v>108</v>
      </c>
    </row>
    <row r="1254" spans="1:6" x14ac:dyDescent="0.3">
      <c r="A1254" s="38">
        <v>46230</v>
      </c>
      <c r="B1254" t="s">
        <v>219</v>
      </c>
      <c r="C1254" s="95"/>
      <c r="D1254" s="95">
        <v>174000</v>
      </c>
      <c r="E1254" t="s">
        <v>975</v>
      </c>
      <c r="F1254" s="108" t="s">
        <v>108</v>
      </c>
    </row>
    <row r="1255" spans="1:6" x14ac:dyDescent="0.3">
      <c r="A1255" s="38">
        <v>46230</v>
      </c>
      <c r="B1255" t="s">
        <v>298</v>
      </c>
      <c r="C1255" s="95">
        <v>10000</v>
      </c>
      <c r="D1255" s="95"/>
      <c r="E1255" t="s">
        <v>693</v>
      </c>
      <c r="F1255" s="108" t="s">
        <v>108</v>
      </c>
    </row>
    <row r="1256" spans="1:6" x14ac:dyDescent="0.3">
      <c r="A1256" s="38">
        <v>46230</v>
      </c>
      <c r="B1256" t="s">
        <v>253</v>
      </c>
      <c r="C1256" s="95">
        <v>31500</v>
      </c>
      <c r="D1256" s="95"/>
      <c r="E1256" t="s">
        <v>976</v>
      </c>
      <c r="F1256" s="108" t="s">
        <v>108</v>
      </c>
    </row>
    <row r="1257" spans="1:6" x14ac:dyDescent="0.3">
      <c r="A1257" s="38">
        <v>46230</v>
      </c>
      <c r="B1257" t="s">
        <v>219</v>
      </c>
      <c r="C1257" s="95"/>
      <c r="D1257" s="95">
        <v>150000</v>
      </c>
      <c r="E1257" t="s">
        <v>977</v>
      </c>
      <c r="F1257" s="108" t="s">
        <v>108</v>
      </c>
    </row>
    <row r="1258" spans="1:6" x14ac:dyDescent="0.3">
      <c r="A1258" s="38">
        <v>46230</v>
      </c>
      <c r="B1258" t="s">
        <v>222</v>
      </c>
      <c r="C1258" s="95">
        <v>200000</v>
      </c>
      <c r="D1258" s="95"/>
      <c r="E1258" t="s">
        <v>978</v>
      </c>
      <c r="F1258" s="108" t="s">
        <v>108</v>
      </c>
    </row>
    <row r="1259" spans="1:6" x14ac:dyDescent="0.3">
      <c r="A1259" s="38">
        <v>46230</v>
      </c>
      <c r="B1259" t="s">
        <v>674</v>
      </c>
      <c r="C1259" s="95">
        <v>100000</v>
      </c>
      <c r="D1259" s="95"/>
      <c r="E1259" t="s">
        <v>979</v>
      </c>
      <c r="F1259" s="108" t="s">
        <v>108</v>
      </c>
    </row>
    <row r="1260" spans="1:6" x14ac:dyDescent="0.3">
      <c r="A1260" s="38">
        <v>46230</v>
      </c>
      <c r="B1260" t="s">
        <v>219</v>
      </c>
      <c r="C1260" s="95"/>
      <c r="D1260" s="95">
        <v>25000</v>
      </c>
      <c r="E1260" t="s">
        <v>288</v>
      </c>
      <c r="F1260" s="108" t="s">
        <v>108</v>
      </c>
    </row>
    <row r="1261" spans="1:6" x14ac:dyDescent="0.3">
      <c r="A1261" s="38">
        <v>46230</v>
      </c>
      <c r="B1261" t="s">
        <v>269</v>
      </c>
      <c r="C1261" s="95">
        <v>25000</v>
      </c>
      <c r="D1261" s="95"/>
      <c r="E1261" t="s">
        <v>288</v>
      </c>
      <c r="F1261" s="108" t="s">
        <v>108</v>
      </c>
    </row>
    <row r="1262" spans="1:6" x14ac:dyDescent="0.3">
      <c r="A1262" s="38">
        <v>46231</v>
      </c>
      <c r="B1262" t="s">
        <v>219</v>
      </c>
      <c r="C1262" s="95"/>
      <c r="D1262" s="95">
        <v>22500</v>
      </c>
      <c r="E1262" t="s">
        <v>318</v>
      </c>
      <c r="F1262" s="108" t="s">
        <v>108</v>
      </c>
    </row>
    <row r="1263" spans="1:6" x14ac:dyDescent="0.3">
      <c r="A1263" s="38">
        <v>46231</v>
      </c>
      <c r="B1263" t="s">
        <v>488</v>
      </c>
      <c r="C1263" s="95">
        <v>1300</v>
      </c>
      <c r="D1263" s="95"/>
      <c r="E1263" t="s">
        <v>980</v>
      </c>
      <c r="F1263" s="108" t="s">
        <v>108</v>
      </c>
    </row>
    <row r="1264" spans="1:6" x14ac:dyDescent="0.3">
      <c r="A1264" s="38">
        <v>46231</v>
      </c>
      <c r="B1264" t="s">
        <v>253</v>
      </c>
      <c r="C1264" s="95">
        <v>22000</v>
      </c>
      <c r="D1264" s="95"/>
      <c r="E1264" t="s">
        <v>981</v>
      </c>
      <c r="F1264" s="108" t="s">
        <v>108</v>
      </c>
    </row>
    <row r="1265" spans="1:6" x14ac:dyDescent="0.3">
      <c r="A1265" s="38">
        <v>46231</v>
      </c>
      <c r="B1265" t="s">
        <v>386</v>
      </c>
      <c r="C1265" s="95">
        <v>200</v>
      </c>
      <c r="D1265" s="95"/>
      <c r="E1265" t="s">
        <v>953</v>
      </c>
      <c r="F1265" s="108" t="s">
        <v>108</v>
      </c>
    </row>
    <row r="1266" spans="1:6" x14ac:dyDescent="0.3">
      <c r="A1266" s="38">
        <v>46233</v>
      </c>
      <c r="B1266" s="80" t="s">
        <v>211</v>
      </c>
      <c r="C1266" s="11"/>
      <c r="D1266" s="86">
        <v>100000</v>
      </c>
      <c r="E1266" s="80" t="s">
        <v>1081</v>
      </c>
      <c r="F1266" s="87" t="s">
        <v>108</v>
      </c>
    </row>
    <row r="1267" spans="1:6" x14ac:dyDescent="0.3">
      <c r="A1267" s="38">
        <v>46233</v>
      </c>
      <c r="B1267" s="80" t="s">
        <v>290</v>
      </c>
      <c r="C1267" s="11">
        <v>100000</v>
      </c>
      <c r="D1267" s="86"/>
      <c r="E1267" s="80" t="s">
        <v>1085</v>
      </c>
      <c r="F1267" s="87" t="s">
        <v>108</v>
      </c>
    </row>
    <row r="1268" spans="1:6" x14ac:dyDescent="0.3">
      <c r="A1268" s="38">
        <v>46233</v>
      </c>
      <c r="B1268" t="s">
        <v>219</v>
      </c>
      <c r="C1268" s="95"/>
      <c r="D1268" s="95">
        <v>54000</v>
      </c>
      <c r="E1268" t="s">
        <v>982</v>
      </c>
      <c r="F1268" s="108" t="s">
        <v>108</v>
      </c>
    </row>
    <row r="1269" spans="1:6" x14ac:dyDescent="0.3">
      <c r="A1269" s="38">
        <v>46233</v>
      </c>
      <c r="B1269" t="s">
        <v>357</v>
      </c>
      <c r="C1269" s="95">
        <v>3100</v>
      </c>
      <c r="D1269" s="95"/>
      <c r="F1269" s="108" t="s">
        <v>108</v>
      </c>
    </row>
    <row r="1270" spans="1:6" x14ac:dyDescent="0.3">
      <c r="A1270" s="38">
        <v>46233</v>
      </c>
      <c r="B1270" t="s">
        <v>269</v>
      </c>
      <c r="C1270" s="95">
        <v>3000</v>
      </c>
      <c r="D1270" s="95"/>
      <c r="E1270" t="s">
        <v>958</v>
      </c>
      <c r="F1270" s="108" t="s">
        <v>108</v>
      </c>
    </row>
    <row r="1271" spans="1:6" x14ac:dyDescent="0.3">
      <c r="A1271" s="38">
        <v>46233</v>
      </c>
      <c r="B1271" t="s">
        <v>269</v>
      </c>
      <c r="C1271" s="95">
        <v>3000</v>
      </c>
      <c r="D1271" s="95"/>
      <c r="E1271" t="s">
        <v>983</v>
      </c>
      <c r="F1271" s="108" t="s">
        <v>108</v>
      </c>
    </row>
    <row r="1272" spans="1:6" x14ac:dyDescent="0.3">
      <c r="A1272" s="38">
        <v>46233</v>
      </c>
      <c r="B1272" t="s">
        <v>219</v>
      </c>
      <c r="C1272" s="95"/>
      <c r="D1272" s="95">
        <v>35000</v>
      </c>
      <c r="E1272" t="s">
        <v>318</v>
      </c>
      <c r="F1272" s="108" t="s">
        <v>108</v>
      </c>
    </row>
    <row r="1273" spans="1:6" x14ac:dyDescent="0.3">
      <c r="A1273" s="38">
        <v>46233</v>
      </c>
      <c r="B1273" t="s">
        <v>253</v>
      </c>
      <c r="C1273" s="95">
        <v>27000</v>
      </c>
      <c r="D1273" s="95"/>
      <c r="E1273" t="s">
        <v>984</v>
      </c>
      <c r="F1273" s="108" t="s">
        <v>108</v>
      </c>
    </row>
    <row r="1274" spans="1:6" x14ac:dyDescent="0.3">
      <c r="A1274" s="38">
        <v>46233</v>
      </c>
      <c r="B1274" t="s">
        <v>253</v>
      </c>
      <c r="C1274" s="95">
        <v>7000</v>
      </c>
      <c r="D1274" s="95"/>
      <c r="E1274" t="s">
        <v>985</v>
      </c>
      <c r="F1274" s="108" t="s">
        <v>108</v>
      </c>
    </row>
    <row r="1275" spans="1:6" x14ac:dyDescent="0.3">
      <c r="A1275" s="38">
        <v>46233</v>
      </c>
      <c r="B1275" t="s">
        <v>219</v>
      </c>
      <c r="C1275" s="95"/>
      <c r="D1275" s="95">
        <v>5000</v>
      </c>
      <c r="F1275" s="108" t="s">
        <v>108</v>
      </c>
    </row>
    <row r="1276" spans="1:6" x14ac:dyDescent="0.3">
      <c r="A1276" s="38">
        <v>46233</v>
      </c>
      <c r="B1276" t="s">
        <v>425</v>
      </c>
      <c r="C1276" s="95">
        <v>50000</v>
      </c>
      <c r="D1276" s="95"/>
      <c r="E1276" t="s">
        <v>986</v>
      </c>
      <c r="F1276" s="108" t="s">
        <v>108</v>
      </c>
    </row>
    <row r="1277" spans="1:6" x14ac:dyDescent="0.3">
      <c r="A1277" s="38">
        <v>46234</v>
      </c>
      <c r="B1277" t="s">
        <v>55</v>
      </c>
      <c r="C1277" s="95">
        <v>3000</v>
      </c>
      <c r="D1277" s="95"/>
      <c r="E1277" t="s">
        <v>987</v>
      </c>
      <c r="F1277" s="108" t="s">
        <v>108</v>
      </c>
    </row>
    <row r="1278" spans="1:6" x14ac:dyDescent="0.3">
      <c r="A1278" s="38">
        <v>46234</v>
      </c>
      <c r="B1278" t="s">
        <v>219</v>
      </c>
      <c r="C1278" s="95"/>
      <c r="D1278" s="95">
        <v>5000</v>
      </c>
      <c r="E1278" t="s">
        <v>988</v>
      </c>
      <c r="F1278" s="108" t="s">
        <v>108</v>
      </c>
    </row>
    <row r="1279" spans="1:6" x14ac:dyDescent="0.3">
      <c r="A1279" s="38">
        <v>46234</v>
      </c>
      <c r="B1279" t="s">
        <v>219</v>
      </c>
      <c r="C1279" s="95"/>
      <c r="D1279" s="95">
        <v>25000</v>
      </c>
      <c r="E1279" t="s">
        <v>989</v>
      </c>
      <c r="F1279" s="108" t="s">
        <v>108</v>
      </c>
    </row>
    <row r="1280" spans="1:6" x14ac:dyDescent="0.3">
      <c r="A1280" s="38">
        <v>46234</v>
      </c>
      <c r="B1280" t="s">
        <v>269</v>
      </c>
      <c r="C1280" s="95">
        <v>25000</v>
      </c>
      <c r="D1280" s="95"/>
      <c r="E1280" t="s">
        <v>700</v>
      </c>
      <c r="F1280" s="108" t="s">
        <v>108</v>
      </c>
    </row>
    <row r="1281" spans="1:6" x14ac:dyDescent="0.3">
      <c r="A1281" s="38">
        <v>46234</v>
      </c>
      <c r="B1281" t="s">
        <v>219</v>
      </c>
      <c r="C1281" s="95"/>
      <c r="D1281" s="95">
        <v>250000</v>
      </c>
      <c r="E1281" t="s">
        <v>927</v>
      </c>
      <c r="F1281" s="108" t="s">
        <v>108</v>
      </c>
    </row>
    <row r="1282" spans="1:6" x14ac:dyDescent="0.3">
      <c r="A1282" s="38">
        <v>46234</v>
      </c>
      <c r="B1282" t="s">
        <v>116</v>
      </c>
      <c r="C1282" s="95">
        <v>14000</v>
      </c>
      <c r="D1282" s="95"/>
      <c r="E1282" t="s">
        <v>995</v>
      </c>
      <c r="F1282" s="108" t="s">
        <v>108</v>
      </c>
    </row>
    <row r="1283" spans="1:6" x14ac:dyDescent="0.3">
      <c r="A1283" s="38">
        <v>46234</v>
      </c>
      <c r="B1283" t="s">
        <v>219</v>
      </c>
      <c r="C1283" s="95"/>
      <c r="D1283" s="95">
        <v>14000</v>
      </c>
      <c r="E1283" t="s">
        <v>175</v>
      </c>
      <c r="F1283" s="108" t="s">
        <v>108</v>
      </c>
    </row>
    <row r="1284" spans="1:6" x14ac:dyDescent="0.3">
      <c r="A1284" s="38">
        <v>46234</v>
      </c>
      <c r="B1284" t="s">
        <v>280</v>
      </c>
      <c r="C1284" s="95"/>
      <c r="D1284" s="95">
        <v>100000</v>
      </c>
      <c r="E1284" t="s">
        <v>927</v>
      </c>
      <c r="F1284" s="108" t="s">
        <v>108</v>
      </c>
    </row>
    <row r="1285" spans="1:6" x14ac:dyDescent="0.3">
      <c r="A1285" s="38">
        <v>46234</v>
      </c>
      <c r="B1285" t="s">
        <v>219</v>
      </c>
      <c r="C1285" s="95">
        <v>100000</v>
      </c>
      <c r="D1285" s="95"/>
      <c r="E1285" t="s">
        <v>280</v>
      </c>
      <c r="F1285" s="108" t="s">
        <v>108</v>
      </c>
    </row>
    <row r="1286" spans="1:6" x14ac:dyDescent="0.3">
      <c r="A1286" s="38">
        <v>46235</v>
      </c>
      <c r="B1286" t="s">
        <v>357</v>
      </c>
      <c r="C1286" s="95">
        <v>13790</v>
      </c>
      <c r="D1286" s="95"/>
      <c r="E1286" t="s">
        <v>357</v>
      </c>
      <c r="F1286" s="108" t="s">
        <v>108</v>
      </c>
    </row>
    <row r="1287" spans="1:6" x14ac:dyDescent="0.3">
      <c r="A1287" s="111">
        <v>46235</v>
      </c>
      <c r="B1287" t="s">
        <v>219</v>
      </c>
      <c r="C1287" s="95"/>
      <c r="D1287" s="95">
        <v>15000</v>
      </c>
      <c r="E1287" t="s">
        <v>1012</v>
      </c>
      <c r="F1287" s="108" t="s">
        <v>108</v>
      </c>
    </row>
    <row r="1288" spans="1:6" x14ac:dyDescent="0.3">
      <c r="A1288" s="111">
        <v>46235</v>
      </c>
      <c r="B1288" t="s">
        <v>211</v>
      </c>
      <c r="C1288" s="95">
        <v>1490</v>
      </c>
      <c r="D1288" s="95"/>
      <c r="F1288" s="108" t="s">
        <v>108</v>
      </c>
    </row>
    <row r="1289" spans="1:6" x14ac:dyDescent="0.3">
      <c r="A1289" s="111">
        <v>46235</v>
      </c>
      <c r="B1289" t="s">
        <v>244</v>
      </c>
      <c r="C1289" s="11">
        <v>140</v>
      </c>
      <c r="D1289" s="11"/>
      <c r="E1289" t="s">
        <v>1001</v>
      </c>
      <c r="F1289" s="108" t="s">
        <v>108</v>
      </c>
    </row>
    <row r="1290" spans="1:6" x14ac:dyDescent="0.3">
      <c r="A1290" s="38">
        <v>46235</v>
      </c>
      <c r="B1290" t="s">
        <v>357</v>
      </c>
      <c r="C1290" s="11">
        <v>3000</v>
      </c>
      <c r="D1290" s="11"/>
      <c r="E1290" t="s">
        <v>535</v>
      </c>
      <c r="F1290" s="108" t="s">
        <v>108</v>
      </c>
    </row>
    <row r="1291" spans="1:6" x14ac:dyDescent="0.3">
      <c r="A1291" s="111">
        <v>46235</v>
      </c>
      <c r="B1291" t="s">
        <v>253</v>
      </c>
      <c r="C1291" s="11">
        <v>16330</v>
      </c>
      <c r="D1291" s="11"/>
      <c r="E1291" t="s">
        <v>1002</v>
      </c>
      <c r="F1291" s="108" t="s">
        <v>108</v>
      </c>
    </row>
    <row r="1292" spans="1:6" x14ac:dyDescent="0.3">
      <c r="A1292" s="38">
        <v>46235</v>
      </c>
      <c r="B1292" t="s">
        <v>253</v>
      </c>
      <c r="C1292" s="11">
        <v>23500</v>
      </c>
      <c r="D1292" s="11"/>
      <c r="E1292" t="s">
        <v>1003</v>
      </c>
      <c r="F1292" s="108" t="s">
        <v>108</v>
      </c>
    </row>
    <row r="1293" spans="1:6" x14ac:dyDescent="0.3">
      <c r="A1293" s="111">
        <v>46235</v>
      </c>
      <c r="B1293" t="s">
        <v>55</v>
      </c>
      <c r="C1293" s="11">
        <v>30000</v>
      </c>
      <c r="D1293" s="11"/>
      <c r="E1293" t="s">
        <v>1004</v>
      </c>
      <c r="F1293" s="108" t="s">
        <v>108</v>
      </c>
    </row>
    <row r="1294" spans="1:6" x14ac:dyDescent="0.3">
      <c r="A1294" s="38">
        <v>46235</v>
      </c>
      <c r="B1294" t="s">
        <v>219</v>
      </c>
      <c r="C1294" s="11"/>
      <c r="D1294" s="11">
        <v>30000</v>
      </c>
      <c r="E1294" t="s">
        <v>1004</v>
      </c>
      <c r="F1294" s="108" t="s">
        <v>108</v>
      </c>
    </row>
    <row r="1295" spans="1:6" x14ac:dyDescent="0.3">
      <c r="A1295" s="111">
        <v>46235</v>
      </c>
      <c r="B1295" t="s">
        <v>219</v>
      </c>
      <c r="C1295" s="11"/>
      <c r="D1295" s="11">
        <v>7000</v>
      </c>
      <c r="E1295" t="s">
        <v>288</v>
      </c>
      <c r="F1295" s="108" t="s">
        <v>108</v>
      </c>
    </row>
    <row r="1296" spans="1:6" x14ac:dyDescent="0.3">
      <c r="A1296" s="38">
        <v>46235</v>
      </c>
      <c r="B1296" t="s">
        <v>269</v>
      </c>
      <c r="C1296" s="11">
        <v>7000</v>
      </c>
      <c r="D1296" s="11"/>
      <c r="E1296" t="s">
        <v>288</v>
      </c>
      <c r="F1296" s="108" t="s">
        <v>108</v>
      </c>
    </row>
    <row r="1297" spans="1:6" x14ac:dyDescent="0.3">
      <c r="A1297" s="111">
        <v>46235</v>
      </c>
      <c r="B1297" t="s">
        <v>27</v>
      </c>
      <c r="C1297" s="11"/>
      <c r="D1297" s="11">
        <v>100000</v>
      </c>
      <c r="F1297" s="108" t="s">
        <v>108</v>
      </c>
    </row>
    <row r="1298" spans="1:6" x14ac:dyDescent="0.3">
      <c r="A1298" s="111">
        <v>46236</v>
      </c>
      <c r="B1298" t="s">
        <v>244</v>
      </c>
      <c r="C1298" s="11">
        <v>4000</v>
      </c>
      <c r="D1298" s="11"/>
      <c r="E1298" t="s">
        <v>1005</v>
      </c>
      <c r="F1298" s="108" t="s">
        <v>108</v>
      </c>
    </row>
    <row r="1299" spans="1:6" x14ac:dyDescent="0.3">
      <c r="A1299" s="38">
        <v>46236</v>
      </c>
      <c r="B1299" t="s">
        <v>211</v>
      </c>
      <c r="C1299" s="11">
        <v>3132</v>
      </c>
      <c r="D1299" s="11"/>
      <c r="F1299" s="108" t="s">
        <v>108</v>
      </c>
    </row>
    <row r="1300" spans="1:6" x14ac:dyDescent="0.3">
      <c r="A1300" s="111">
        <v>46236</v>
      </c>
      <c r="B1300" t="s">
        <v>357</v>
      </c>
      <c r="C1300" s="11">
        <v>2900</v>
      </c>
      <c r="D1300" s="11"/>
      <c r="E1300" t="s">
        <v>535</v>
      </c>
      <c r="F1300" s="108" t="s">
        <v>108</v>
      </c>
    </row>
    <row r="1301" spans="1:6" x14ac:dyDescent="0.3">
      <c r="A1301" s="38">
        <v>46236</v>
      </c>
      <c r="B1301" t="s">
        <v>269</v>
      </c>
      <c r="C1301" s="11">
        <v>5000</v>
      </c>
      <c r="D1301" s="11"/>
      <c r="E1301" t="s">
        <v>957</v>
      </c>
      <c r="F1301" s="108" t="s">
        <v>108</v>
      </c>
    </row>
    <row r="1302" spans="1:6" x14ac:dyDescent="0.3">
      <c r="A1302" s="111">
        <v>46236</v>
      </c>
      <c r="B1302" t="s">
        <v>219</v>
      </c>
      <c r="C1302" s="11">
        <v>100000</v>
      </c>
      <c r="D1302" s="11"/>
      <c r="E1302" t="s">
        <v>1006</v>
      </c>
      <c r="F1302" s="108" t="s">
        <v>108</v>
      </c>
    </row>
    <row r="1303" spans="1:6" x14ac:dyDescent="0.3">
      <c r="A1303" s="38">
        <v>46236</v>
      </c>
      <c r="B1303" t="s">
        <v>1007</v>
      </c>
      <c r="C1303" s="11"/>
      <c r="D1303" s="11">
        <v>100000</v>
      </c>
      <c r="F1303" s="108" t="s">
        <v>108</v>
      </c>
    </row>
    <row r="1304" spans="1:6" x14ac:dyDescent="0.3">
      <c r="A1304" s="111">
        <v>46236</v>
      </c>
      <c r="B1304" t="s">
        <v>219</v>
      </c>
      <c r="C1304" s="11">
        <v>100000</v>
      </c>
      <c r="D1304" s="11"/>
      <c r="E1304" t="s">
        <v>1008</v>
      </c>
      <c r="F1304" s="108" t="s">
        <v>108</v>
      </c>
    </row>
    <row r="1305" spans="1:6" x14ac:dyDescent="0.3">
      <c r="A1305" s="38">
        <v>46236</v>
      </c>
      <c r="B1305" t="s">
        <v>244</v>
      </c>
      <c r="C1305" s="95">
        <v>1600</v>
      </c>
      <c r="D1305" s="95"/>
      <c r="E1305" t="s">
        <v>1009</v>
      </c>
      <c r="F1305" s="108" t="s">
        <v>108</v>
      </c>
    </row>
    <row r="1306" spans="1:6" x14ac:dyDescent="0.3">
      <c r="A1306" s="111">
        <v>46237</v>
      </c>
      <c r="B1306" t="s">
        <v>115</v>
      </c>
      <c r="C1306" s="11">
        <v>250000</v>
      </c>
      <c r="D1306" s="11"/>
      <c r="E1306" t="s">
        <v>1010</v>
      </c>
      <c r="F1306" s="108" t="s">
        <v>108</v>
      </c>
    </row>
    <row r="1307" spans="1:6" x14ac:dyDescent="0.3">
      <c r="A1307" s="38">
        <v>46237</v>
      </c>
      <c r="B1307" t="s">
        <v>219</v>
      </c>
      <c r="C1307" s="11"/>
      <c r="D1307" s="11">
        <v>55000</v>
      </c>
      <c r="E1307" t="s">
        <v>1011</v>
      </c>
      <c r="F1307" s="108" t="s">
        <v>108</v>
      </c>
    </row>
    <row r="1308" spans="1:6" x14ac:dyDescent="0.3">
      <c r="A1308" s="111">
        <v>46237</v>
      </c>
      <c r="B1308" t="s">
        <v>244</v>
      </c>
      <c r="C1308" s="11">
        <v>690</v>
      </c>
      <c r="D1308" s="11"/>
      <c r="E1308" t="s">
        <v>821</v>
      </c>
      <c r="F1308" s="108" t="s">
        <v>108</v>
      </c>
    </row>
    <row r="1309" spans="1:6" x14ac:dyDescent="0.3">
      <c r="A1309" s="38">
        <v>46237</v>
      </c>
      <c r="B1309" t="s">
        <v>219</v>
      </c>
      <c r="C1309" s="11"/>
      <c r="D1309" s="11">
        <v>5000</v>
      </c>
      <c r="E1309" t="s">
        <v>318</v>
      </c>
      <c r="F1309" s="108" t="s">
        <v>108</v>
      </c>
    </row>
    <row r="1310" spans="1:6" x14ac:dyDescent="0.3">
      <c r="A1310" s="111">
        <v>46237</v>
      </c>
      <c r="B1310" t="s">
        <v>367</v>
      </c>
      <c r="C1310" s="11"/>
      <c r="D1310" s="11">
        <v>200000</v>
      </c>
      <c r="E1310" t="s">
        <v>1013</v>
      </c>
      <c r="F1310" s="108" t="s">
        <v>108</v>
      </c>
    </row>
    <row r="1311" spans="1:6" x14ac:dyDescent="0.3">
      <c r="A1311" s="38">
        <v>46237</v>
      </c>
      <c r="B1311" t="s">
        <v>55</v>
      </c>
      <c r="C1311" s="95">
        <v>600</v>
      </c>
      <c r="D1311" s="95"/>
      <c r="F1311" s="108" t="s">
        <v>108</v>
      </c>
    </row>
    <row r="1312" spans="1:6" x14ac:dyDescent="0.3">
      <c r="A1312" s="111">
        <v>46237</v>
      </c>
      <c r="B1312" t="s">
        <v>357</v>
      </c>
      <c r="C1312" s="11">
        <v>2900</v>
      </c>
      <c r="D1312" s="11"/>
      <c r="E1312" t="s">
        <v>535</v>
      </c>
      <c r="F1312" s="108" t="s">
        <v>108</v>
      </c>
    </row>
    <row r="1313" spans="1:6" x14ac:dyDescent="0.3">
      <c r="A1313" s="38">
        <v>46237</v>
      </c>
      <c r="B1313" t="s">
        <v>253</v>
      </c>
      <c r="C1313" s="11">
        <v>41800</v>
      </c>
      <c r="D1313" s="11"/>
      <c r="E1313" t="s">
        <v>1014</v>
      </c>
      <c r="F1313" s="108" t="s">
        <v>108</v>
      </c>
    </row>
    <row r="1314" spans="1:6" x14ac:dyDescent="0.3">
      <c r="A1314" s="111">
        <v>46237</v>
      </c>
      <c r="B1314" t="s">
        <v>253</v>
      </c>
      <c r="C1314" s="11">
        <v>14400</v>
      </c>
      <c r="D1314" s="11"/>
      <c r="E1314" t="s">
        <v>992</v>
      </c>
      <c r="F1314" s="108" t="s">
        <v>108</v>
      </c>
    </row>
    <row r="1315" spans="1:6" x14ac:dyDescent="0.3">
      <c r="A1315" s="38">
        <v>46237</v>
      </c>
      <c r="B1315" t="s">
        <v>253</v>
      </c>
      <c r="C1315" s="11">
        <v>20000</v>
      </c>
      <c r="D1315" s="11"/>
      <c r="E1315" t="s">
        <v>990</v>
      </c>
      <c r="F1315" s="108" t="s">
        <v>108</v>
      </c>
    </row>
    <row r="1316" spans="1:6" x14ac:dyDescent="0.3">
      <c r="A1316" s="111">
        <v>46237</v>
      </c>
      <c r="B1316" t="s">
        <v>253</v>
      </c>
      <c r="C1316" s="11">
        <v>12400</v>
      </c>
      <c r="D1316" s="11"/>
      <c r="E1316" t="s">
        <v>991</v>
      </c>
      <c r="F1316" s="108" t="s">
        <v>108</v>
      </c>
    </row>
    <row r="1317" spans="1:6" x14ac:dyDescent="0.3">
      <c r="A1317" s="38">
        <v>46237</v>
      </c>
      <c r="B1317" t="s">
        <v>253</v>
      </c>
      <c r="C1317" s="95">
        <v>1600</v>
      </c>
      <c r="D1317" s="95"/>
      <c r="E1317" t="s">
        <v>983</v>
      </c>
      <c r="F1317" s="108" t="s">
        <v>108</v>
      </c>
    </row>
    <row r="1318" spans="1:6" x14ac:dyDescent="0.3">
      <c r="A1318" s="38">
        <v>46237</v>
      </c>
      <c r="B1318" t="s">
        <v>269</v>
      </c>
      <c r="C1318" s="95">
        <v>10000</v>
      </c>
      <c r="D1318" s="95"/>
      <c r="E1318" t="s">
        <v>665</v>
      </c>
      <c r="F1318" s="108" t="s">
        <v>108</v>
      </c>
    </row>
    <row r="1319" spans="1:6" x14ac:dyDescent="0.3">
      <c r="A1319" s="38">
        <v>46237</v>
      </c>
      <c r="B1319" t="s">
        <v>269</v>
      </c>
      <c r="C1319" s="95">
        <v>100000</v>
      </c>
      <c r="D1319" s="95"/>
      <c r="E1319" t="s">
        <v>963</v>
      </c>
      <c r="F1319" s="108" t="s">
        <v>108</v>
      </c>
    </row>
    <row r="1320" spans="1:6" x14ac:dyDescent="0.3">
      <c r="A1320" s="38">
        <v>46238</v>
      </c>
      <c r="B1320" t="s">
        <v>219</v>
      </c>
      <c r="C1320" s="95"/>
      <c r="D1320" s="95">
        <v>100000</v>
      </c>
      <c r="E1320" t="s">
        <v>1015</v>
      </c>
      <c r="F1320" s="108" t="s">
        <v>108</v>
      </c>
    </row>
    <row r="1321" spans="1:6" x14ac:dyDescent="0.3">
      <c r="A1321" s="38">
        <v>46238</v>
      </c>
      <c r="B1321" t="s">
        <v>674</v>
      </c>
      <c r="C1321" s="95">
        <v>100000</v>
      </c>
      <c r="D1321" s="95"/>
      <c r="E1321" t="s">
        <v>1016</v>
      </c>
      <c r="F1321" s="108" t="s">
        <v>108</v>
      </c>
    </row>
    <row r="1322" spans="1:6" x14ac:dyDescent="0.3">
      <c r="A1322" s="38">
        <v>46238</v>
      </c>
      <c r="B1322" t="s">
        <v>219</v>
      </c>
      <c r="C1322" s="95"/>
      <c r="D1322" s="95">
        <v>10000</v>
      </c>
      <c r="E1322" t="s">
        <v>1017</v>
      </c>
      <c r="F1322" s="108" t="s">
        <v>108</v>
      </c>
    </row>
    <row r="1323" spans="1:6" x14ac:dyDescent="0.3">
      <c r="A1323" s="38">
        <v>46238</v>
      </c>
      <c r="B1323" t="s">
        <v>269</v>
      </c>
      <c r="C1323" s="95">
        <v>10000</v>
      </c>
      <c r="D1323" s="95"/>
      <c r="E1323" t="s">
        <v>1018</v>
      </c>
      <c r="F1323" s="108" t="s">
        <v>108</v>
      </c>
    </row>
    <row r="1324" spans="1:6" x14ac:dyDescent="0.3">
      <c r="A1324" s="38">
        <v>46238</v>
      </c>
      <c r="B1324" t="s">
        <v>219</v>
      </c>
      <c r="C1324" s="95"/>
      <c r="D1324" s="95">
        <v>20000</v>
      </c>
      <c r="E1324" t="s">
        <v>927</v>
      </c>
      <c r="F1324" s="108" t="s">
        <v>108</v>
      </c>
    </row>
    <row r="1325" spans="1:6" x14ac:dyDescent="0.3">
      <c r="A1325" s="38">
        <v>46238</v>
      </c>
      <c r="B1325" t="s">
        <v>246</v>
      </c>
      <c r="C1325" s="95">
        <v>3700</v>
      </c>
      <c r="D1325" s="95"/>
      <c r="E1325" t="s">
        <v>282</v>
      </c>
      <c r="F1325" s="108" t="s">
        <v>108</v>
      </c>
    </row>
    <row r="1326" spans="1:6" x14ac:dyDescent="0.3">
      <c r="A1326" s="38">
        <v>46238</v>
      </c>
      <c r="B1326" t="s">
        <v>298</v>
      </c>
      <c r="C1326" s="11">
        <v>5000</v>
      </c>
      <c r="D1326" s="11"/>
      <c r="E1326" t="s">
        <v>693</v>
      </c>
      <c r="F1326" s="108" t="s">
        <v>108</v>
      </c>
    </row>
    <row r="1327" spans="1:6" x14ac:dyDescent="0.3">
      <c r="A1327" s="38">
        <v>46238</v>
      </c>
      <c r="B1327" t="s">
        <v>55</v>
      </c>
      <c r="C1327" s="11">
        <v>2800</v>
      </c>
      <c r="D1327" s="11"/>
      <c r="E1327" t="s">
        <v>1019</v>
      </c>
      <c r="F1327" s="108" t="s">
        <v>108</v>
      </c>
    </row>
    <row r="1328" spans="1:6" x14ac:dyDescent="0.3">
      <c r="A1328" s="38">
        <v>46238</v>
      </c>
      <c r="B1328" t="s">
        <v>55</v>
      </c>
      <c r="C1328" s="11">
        <v>5780</v>
      </c>
      <c r="D1328" s="11"/>
      <c r="F1328" s="108" t="s">
        <v>108</v>
      </c>
    </row>
    <row r="1329" spans="1:6" x14ac:dyDescent="0.3">
      <c r="A1329" s="38">
        <v>46238</v>
      </c>
      <c r="B1329" t="s">
        <v>55</v>
      </c>
      <c r="C1329" s="11">
        <v>3300</v>
      </c>
      <c r="D1329" s="11"/>
      <c r="E1329" t="s">
        <v>1020</v>
      </c>
      <c r="F1329" s="108" t="s">
        <v>108</v>
      </c>
    </row>
    <row r="1330" spans="1:6" x14ac:dyDescent="0.3">
      <c r="A1330" s="38">
        <v>46238</v>
      </c>
      <c r="B1330" t="s">
        <v>211</v>
      </c>
      <c r="C1330" s="11"/>
      <c r="D1330" s="11">
        <v>1850</v>
      </c>
      <c r="F1330" s="108" t="s">
        <v>108</v>
      </c>
    </row>
    <row r="1331" spans="1:6" x14ac:dyDescent="0.3">
      <c r="A1331" s="38">
        <v>46238</v>
      </c>
      <c r="B1331" t="s">
        <v>357</v>
      </c>
      <c r="C1331" s="11">
        <v>2900</v>
      </c>
      <c r="D1331" s="11"/>
      <c r="E1331" t="s">
        <v>535</v>
      </c>
      <c r="F1331" s="108" t="s">
        <v>108</v>
      </c>
    </row>
    <row r="1332" spans="1:6" x14ac:dyDescent="0.3">
      <c r="A1332" s="38">
        <v>46238</v>
      </c>
      <c r="B1332" t="s">
        <v>211</v>
      </c>
      <c r="C1332" s="11">
        <v>3850</v>
      </c>
      <c r="D1332" s="11"/>
      <c r="F1332" s="108" t="s">
        <v>108</v>
      </c>
    </row>
    <row r="1333" spans="1:6" x14ac:dyDescent="0.3">
      <c r="A1333" s="38">
        <v>46238</v>
      </c>
      <c r="B1333" t="s">
        <v>386</v>
      </c>
      <c r="C1333" s="11">
        <v>740</v>
      </c>
      <c r="D1333" s="11"/>
      <c r="E1333" t="s">
        <v>1021</v>
      </c>
      <c r="F1333" s="108" t="s">
        <v>108</v>
      </c>
    </row>
    <row r="1334" spans="1:6" x14ac:dyDescent="0.3">
      <c r="A1334" s="38">
        <v>46238</v>
      </c>
      <c r="B1334" t="s">
        <v>219</v>
      </c>
      <c r="C1334" s="95"/>
      <c r="D1334" s="95">
        <v>10000</v>
      </c>
      <c r="E1334" t="s">
        <v>318</v>
      </c>
      <c r="F1334" s="108" t="s">
        <v>108</v>
      </c>
    </row>
    <row r="1335" spans="1:6" x14ac:dyDescent="0.3">
      <c r="A1335" s="38">
        <v>46238</v>
      </c>
      <c r="B1335" t="s">
        <v>488</v>
      </c>
      <c r="C1335" s="95">
        <v>5020</v>
      </c>
      <c r="D1335" s="95"/>
      <c r="E1335" t="s">
        <v>1022</v>
      </c>
      <c r="F1335" s="108" t="s">
        <v>108</v>
      </c>
    </row>
    <row r="1336" spans="1:6" x14ac:dyDescent="0.3">
      <c r="A1336" s="38">
        <v>46239</v>
      </c>
      <c r="B1336" t="s">
        <v>219</v>
      </c>
      <c r="C1336" s="95"/>
      <c r="D1336" s="95">
        <v>10000</v>
      </c>
      <c r="E1336" t="s">
        <v>318</v>
      </c>
      <c r="F1336" s="108" t="s">
        <v>108</v>
      </c>
    </row>
    <row r="1337" spans="1:6" x14ac:dyDescent="0.3">
      <c r="A1337" s="38">
        <v>46239</v>
      </c>
      <c r="B1337" t="s">
        <v>55</v>
      </c>
      <c r="C1337" s="95">
        <v>2240</v>
      </c>
      <c r="D1337" s="95"/>
      <c r="E1337" t="s">
        <v>1023</v>
      </c>
      <c r="F1337" s="108" t="s">
        <v>108</v>
      </c>
    </row>
    <row r="1338" spans="1:6" x14ac:dyDescent="0.3">
      <c r="A1338" s="38">
        <v>46239</v>
      </c>
      <c r="B1338" t="s">
        <v>219</v>
      </c>
      <c r="C1338" s="95"/>
      <c r="D1338" s="95">
        <v>50000</v>
      </c>
      <c r="E1338" t="s">
        <v>1024</v>
      </c>
      <c r="F1338" s="108" t="s">
        <v>108</v>
      </c>
    </row>
    <row r="1339" spans="1:6" x14ac:dyDescent="0.3">
      <c r="A1339" s="38">
        <v>46239</v>
      </c>
      <c r="B1339" t="s">
        <v>269</v>
      </c>
      <c r="C1339" s="95">
        <v>50000</v>
      </c>
      <c r="D1339" s="95"/>
      <c r="E1339" t="s">
        <v>1025</v>
      </c>
      <c r="F1339" s="108" t="s">
        <v>108</v>
      </c>
    </row>
    <row r="1340" spans="1:6" x14ac:dyDescent="0.3">
      <c r="A1340" s="38">
        <v>46239</v>
      </c>
      <c r="B1340" t="s">
        <v>488</v>
      </c>
      <c r="C1340" s="95">
        <v>1500</v>
      </c>
      <c r="D1340" s="95"/>
      <c r="E1340" t="s">
        <v>929</v>
      </c>
      <c r="F1340" s="108" t="s">
        <v>108</v>
      </c>
    </row>
    <row r="1341" spans="1:6" x14ac:dyDescent="0.3">
      <c r="A1341" s="38">
        <v>46239</v>
      </c>
      <c r="B1341" t="s">
        <v>55</v>
      </c>
      <c r="C1341" s="95">
        <v>1300</v>
      </c>
      <c r="D1341" s="95"/>
      <c r="E1341" t="s">
        <v>1026</v>
      </c>
      <c r="F1341" s="108" t="s">
        <v>108</v>
      </c>
    </row>
    <row r="1342" spans="1:6" x14ac:dyDescent="0.3">
      <c r="A1342" s="38">
        <v>46239</v>
      </c>
      <c r="B1342" t="s">
        <v>367</v>
      </c>
      <c r="C1342" s="95"/>
      <c r="D1342" s="95">
        <v>8014</v>
      </c>
      <c r="E1342" t="s">
        <v>54</v>
      </c>
      <c r="F1342" s="108" t="s">
        <v>108</v>
      </c>
    </row>
    <row r="1343" spans="1:6" x14ac:dyDescent="0.3">
      <c r="A1343" s="38">
        <v>46239</v>
      </c>
      <c r="B1343" t="s">
        <v>488</v>
      </c>
      <c r="C1343" s="95">
        <v>8014</v>
      </c>
      <c r="D1343" s="95"/>
      <c r="E1343" t="s">
        <v>1027</v>
      </c>
      <c r="F1343" s="108" t="s">
        <v>108</v>
      </c>
    </row>
    <row r="1344" spans="1:6" x14ac:dyDescent="0.3">
      <c r="A1344" s="38">
        <v>46239</v>
      </c>
      <c r="B1344" t="s">
        <v>367</v>
      </c>
      <c r="C1344" s="95"/>
      <c r="D1344" s="95">
        <v>500000</v>
      </c>
      <c r="E1344" t="s">
        <v>1028</v>
      </c>
      <c r="F1344" s="108" t="s">
        <v>108</v>
      </c>
    </row>
    <row r="1345" spans="1:6" x14ac:dyDescent="0.3">
      <c r="A1345" s="38">
        <v>46239</v>
      </c>
      <c r="B1345" t="s">
        <v>357</v>
      </c>
      <c r="C1345" s="95">
        <v>2900</v>
      </c>
      <c r="D1345" s="95"/>
      <c r="E1345" t="s">
        <v>535</v>
      </c>
      <c r="F1345" s="108" t="s">
        <v>108</v>
      </c>
    </row>
    <row r="1346" spans="1:6" x14ac:dyDescent="0.3">
      <c r="A1346" s="38">
        <v>46239</v>
      </c>
      <c r="B1346" t="s">
        <v>269</v>
      </c>
      <c r="C1346" s="95">
        <v>10000</v>
      </c>
      <c r="D1346" s="95"/>
      <c r="E1346" t="s">
        <v>1029</v>
      </c>
      <c r="F1346" s="108" t="s">
        <v>108</v>
      </c>
    </row>
    <row r="1347" spans="1:6" x14ac:dyDescent="0.3">
      <c r="A1347" s="38">
        <v>46239</v>
      </c>
      <c r="B1347" t="s">
        <v>269</v>
      </c>
      <c r="C1347" s="95">
        <v>5000</v>
      </c>
      <c r="D1347" s="95"/>
      <c r="E1347" t="s">
        <v>602</v>
      </c>
      <c r="F1347" s="108" t="s">
        <v>108</v>
      </c>
    </row>
    <row r="1348" spans="1:6" x14ac:dyDescent="0.3">
      <c r="A1348" s="38">
        <v>46239</v>
      </c>
      <c r="B1348" t="s">
        <v>269</v>
      </c>
      <c r="C1348" s="95">
        <v>10000</v>
      </c>
      <c r="D1348" s="95"/>
      <c r="E1348" t="s">
        <v>288</v>
      </c>
      <c r="F1348" s="108" t="s">
        <v>108</v>
      </c>
    </row>
    <row r="1349" spans="1:6" x14ac:dyDescent="0.3">
      <c r="A1349" s="38">
        <v>46239</v>
      </c>
      <c r="B1349" t="s">
        <v>269</v>
      </c>
      <c r="C1349" s="95">
        <v>10000</v>
      </c>
      <c r="D1349" s="95"/>
      <c r="E1349" t="s">
        <v>1030</v>
      </c>
      <c r="F1349" s="108" t="s">
        <v>108</v>
      </c>
    </row>
    <row r="1350" spans="1:6" x14ac:dyDescent="0.3">
      <c r="A1350" s="38">
        <v>46239</v>
      </c>
      <c r="B1350" t="s">
        <v>674</v>
      </c>
      <c r="C1350" s="95">
        <v>200000</v>
      </c>
      <c r="D1350" s="95"/>
      <c r="E1350" t="s">
        <v>1031</v>
      </c>
      <c r="F1350" s="108" t="s">
        <v>108</v>
      </c>
    </row>
    <row r="1351" spans="1:6" x14ac:dyDescent="0.3">
      <c r="A1351" s="38">
        <v>46239</v>
      </c>
      <c r="B1351" t="s">
        <v>246</v>
      </c>
      <c r="C1351" s="95">
        <v>5550</v>
      </c>
      <c r="D1351" s="95"/>
      <c r="E1351" t="s">
        <v>1032</v>
      </c>
      <c r="F1351" s="108" t="s">
        <v>108</v>
      </c>
    </row>
    <row r="1352" spans="1:6" x14ac:dyDescent="0.3">
      <c r="A1352" s="38">
        <v>46239</v>
      </c>
      <c r="B1352" t="s">
        <v>219</v>
      </c>
      <c r="C1352" s="11"/>
      <c r="D1352" s="11">
        <v>32600</v>
      </c>
      <c r="E1352" t="s">
        <v>163</v>
      </c>
      <c r="F1352" s="108" t="s">
        <v>108</v>
      </c>
    </row>
    <row r="1353" spans="1:6" x14ac:dyDescent="0.3">
      <c r="A1353" s="38">
        <v>46239</v>
      </c>
      <c r="B1353" t="s">
        <v>116</v>
      </c>
      <c r="C1353" s="11">
        <v>32600</v>
      </c>
      <c r="D1353" s="11"/>
      <c r="E1353" t="s">
        <v>163</v>
      </c>
      <c r="F1353" s="108" t="s">
        <v>108</v>
      </c>
    </row>
    <row r="1354" spans="1:6" x14ac:dyDescent="0.3">
      <c r="A1354" s="111">
        <v>46240</v>
      </c>
      <c r="B1354" t="s">
        <v>55</v>
      </c>
      <c r="C1354" s="95">
        <v>6000</v>
      </c>
      <c r="D1354" s="95"/>
      <c r="E1354" t="s">
        <v>1033</v>
      </c>
      <c r="F1354" s="108" t="s">
        <v>108</v>
      </c>
    </row>
    <row r="1355" spans="1:6" x14ac:dyDescent="0.3">
      <c r="A1355" s="38">
        <v>46240</v>
      </c>
      <c r="B1355" t="s">
        <v>244</v>
      </c>
      <c r="C1355" s="11">
        <v>740</v>
      </c>
      <c r="D1355" s="11"/>
      <c r="F1355" s="108" t="s">
        <v>108</v>
      </c>
    </row>
    <row r="1356" spans="1:6" x14ac:dyDescent="0.3">
      <c r="A1356" s="111">
        <v>46240</v>
      </c>
      <c r="B1356" t="s">
        <v>55</v>
      </c>
      <c r="C1356" s="11">
        <v>1200</v>
      </c>
      <c r="D1356" s="11"/>
      <c r="F1356" s="108" t="s">
        <v>108</v>
      </c>
    </row>
    <row r="1357" spans="1:6" x14ac:dyDescent="0.3">
      <c r="A1357" s="38">
        <v>46240</v>
      </c>
      <c r="B1357" t="s">
        <v>269</v>
      </c>
      <c r="C1357" s="11">
        <v>8000</v>
      </c>
      <c r="D1357" s="11"/>
      <c r="E1357" t="s">
        <v>602</v>
      </c>
      <c r="F1357" s="108" t="s">
        <v>108</v>
      </c>
    </row>
    <row r="1358" spans="1:6" x14ac:dyDescent="0.3">
      <c r="A1358" s="111">
        <v>46240</v>
      </c>
      <c r="B1358" t="s">
        <v>357</v>
      </c>
      <c r="C1358" s="11">
        <v>2900</v>
      </c>
      <c r="D1358" s="11"/>
      <c r="E1358" t="s">
        <v>535</v>
      </c>
      <c r="F1358" s="108" t="s">
        <v>108</v>
      </c>
    </row>
    <row r="1359" spans="1:6" x14ac:dyDescent="0.3">
      <c r="A1359" s="38">
        <v>46240</v>
      </c>
      <c r="B1359" t="s">
        <v>488</v>
      </c>
      <c r="C1359" s="11">
        <v>4000</v>
      </c>
      <c r="D1359" s="11"/>
      <c r="E1359" t="s">
        <v>1034</v>
      </c>
      <c r="F1359" s="108" t="s">
        <v>108</v>
      </c>
    </row>
    <row r="1360" spans="1:6" x14ac:dyDescent="0.3">
      <c r="A1360" s="111">
        <v>46240</v>
      </c>
      <c r="B1360" t="s">
        <v>269</v>
      </c>
      <c r="C1360" s="11">
        <v>30000</v>
      </c>
      <c r="D1360" s="11"/>
      <c r="E1360" t="s">
        <v>1035</v>
      </c>
      <c r="F1360" s="108" t="s">
        <v>108</v>
      </c>
    </row>
    <row r="1361" spans="1:6" x14ac:dyDescent="0.3">
      <c r="A1361" s="38">
        <v>46240</v>
      </c>
      <c r="B1361" t="s">
        <v>244</v>
      </c>
      <c r="C1361" s="11">
        <v>7500</v>
      </c>
      <c r="D1361" s="11"/>
      <c r="E1361" t="s">
        <v>886</v>
      </c>
      <c r="F1361" s="108" t="s">
        <v>108</v>
      </c>
    </row>
    <row r="1362" spans="1:6" x14ac:dyDescent="0.3">
      <c r="A1362" s="111">
        <v>46240</v>
      </c>
      <c r="B1362" t="s">
        <v>211</v>
      </c>
      <c r="C1362" s="11">
        <v>500</v>
      </c>
      <c r="D1362" s="11"/>
      <c r="F1362" s="108" t="s">
        <v>108</v>
      </c>
    </row>
    <row r="1363" spans="1:6" x14ac:dyDescent="0.3">
      <c r="A1363" s="38">
        <v>46241</v>
      </c>
      <c r="B1363" t="s">
        <v>269</v>
      </c>
      <c r="C1363" s="11">
        <v>20000</v>
      </c>
      <c r="D1363" s="11"/>
      <c r="E1363" t="s">
        <v>1036</v>
      </c>
      <c r="F1363" s="108" t="s">
        <v>108</v>
      </c>
    </row>
    <row r="1364" spans="1:6" x14ac:dyDescent="0.3">
      <c r="A1364" s="111">
        <v>46241</v>
      </c>
      <c r="B1364" t="s">
        <v>55</v>
      </c>
      <c r="C1364" s="11">
        <v>700</v>
      </c>
      <c r="D1364" s="11"/>
      <c r="F1364" s="108" t="s">
        <v>108</v>
      </c>
    </row>
    <row r="1365" spans="1:6" x14ac:dyDescent="0.3">
      <c r="A1365" s="38">
        <v>46241</v>
      </c>
      <c r="B1365" t="s">
        <v>488</v>
      </c>
      <c r="C1365" s="11">
        <v>990</v>
      </c>
      <c r="D1365" s="11"/>
      <c r="E1365" t="s">
        <v>541</v>
      </c>
      <c r="F1365" s="108" t="s">
        <v>108</v>
      </c>
    </row>
    <row r="1366" spans="1:6" x14ac:dyDescent="0.3">
      <c r="A1366" s="111">
        <v>46241</v>
      </c>
      <c r="B1366" t="s">
        <v>488</v>
      </c>
      <c r="C1366" s="11">
        <v>5000</v>
      </c>
      <c r="D1366" s="11"/>
      <c r="E1366" t="s">
        <v>712</v>
      </c>
      <c r="F1366" s="108" t="s">
        <v>108</v>
      </c>
    </row>
    <row r="1367" spans="1:6" x14ac:dyDescent="0.3">
      <c r="A1367" s="38">
        <v>46241</v>
      </c>
      <c r="B1367" t="s">
        <v>488</v>
      </c>
      <c r="C1367" s="11">
        <v>1500</v>
      </c>
      <c r="D1367" s="11"/>
      <c r="E1367" t="s">
        <v>929</v>
      </c>
      <c r="F1367" s="108" t="s">
        <v>108</v>
      </c>
    </row>
    <row r="1368" spans="1:6" x14ac:dyDescent="0.3">
      <c r="A1368" s="111">
        <v>46241</v>
      </c>
      <c r="B1368" t="s">
        <v>55</v>
      </c>
      <c r="C1368" s="11">
        <v>9628</v>
      </c>
      <c r="D1368" s="11"/>
      <c r="F1368" s="108" t="s">
        <v>108</v>
      </c>
    </row>
    <row r="1369" spans="1:6" x14ac:dyDescent="0.3">
      <c r="A1369" s="38">
        <v>46241</v>
      </c>
      <c r="B1369" t="s">
        <v>246</v>
      </c>
      <c r="C1369" s="11">
        <v>7000</v>
      </c>
      <c r="D1369" s="11"/>
      <c r="E1369" t="s">
        <v>282</v>
      </c>
      <c r="F1369" s="108" t="s">
        <v>108</v>
      </c>
    </row>
    <row r="1370" spans="1:6" x14ac:dyDescent="0.3">
      <c r="A1370" s="111">
        <v>46241</v>
      </c>
      <c r="B1370" t="s">
        <v>55</v>
      </c>
      <c r="C1370" s="11">
        <v>480</v>
      </c>
      <c r="D1370" s="11"/>
      <c r="F1370" s="108" t="s">
        <v>108</v>
      </c>
    </row>
    <row r="1371" spans="1:6" x14ac:dyDescent="0.3">
      <c r="A1371" s="38">
        <v>46241</v>
      </c>
      <c r="B1371" t="s">
        <v>357</v>
      </c>
      <c r="C1371" s="11">
        <v>10000</v>
      </c>
      <c r="D1371" s="11"/>
      <c r="E1371" t="s">
        <v>1037</v>
      </c>
      <c r="F1371" s="108" t="s">
        <v>108</v>
      </c>
    </row>
    <row r="1372" spans="1:6" x14ac:dyDescent="0.3">
      <c r="A1372" s="111">
        <v>46241</v>
      </c>
      <c r="B1372" t="s">
        <v>357</v>
      </c>
      <c r="C1372" s="11">
        <v>2900</v>
      </c>
      <c r="D1372" s="11"/>
      <c r="F1372" s="108" t="s">
        <v>108</v>
      </c>
    </row>
    <row r="1373" spans="1:6" x14ac:dyDescent="0.3">
      <c r="A1373" s="111">
        <v>46241</v>
      </c>
      <c r="B1373" t="s">
        <v>219</v>
      </c>
      <c r="C1373" s="11"/>
      <c r="D1373" s="11">
        <v>10600</v>
      </c>
      <c r="E1373" t="s">
        <v>1074</v>
      </c>
      <c r="F1373" s="108" t="s">
        <v>108</v>
      </c>
    </row>
    <row r="1374" spans="1:6" x14ac:dyDescent="0.3">
      <c r="A1374" s="111">
        <v>46241</v>
      </c>
      <c r="B1374" t="s">
        <v>55</v>
      </c>
      <c r="C1374" s="11">
        <v>10600</v>
      </c>
      <c r="D1374" s="11"/>
      <c r="E1374" t="s">
        <v>1074</v>
      </c>
      <c r="F1374" s="108" t="s">
        <v>108</v>
      </c>
    </row>
    <row r="1375" spans="1:6" x14ac:dyDescent="0.3">
      <c r="A1375" s="111">
        <v>46241</v>
      </c>
      <c r="B1375" t="s">
        <v>488</v>
      </c>
      <c r="C1375" s="11">
        <v>5000</v>
      </c>
      <c r="D1375" s="11"/>
      <c r="E1375" t="s">
        <v>712</v>
      </c>
      <c r="F1375" s="108" t="s">
        <v>108</v>
      </c>
    </row>
    <row r="1376" spans="1:6" x14ac:dyDescent="0.3">
      <c r="A1376" s="111">
        <v>46242</v>
      </c>
      <c r="B1376" t="s">
        <v>269</v>
      </c>
      <c r="C1376" s="11">
        <v>10000</v>
      </c>
      <c r="D1376" s="11"/>
      <c r="E1376" t="s">
        <v>665</v>
      </c>
      <c r="F1376" s="108" t="s">
        <v>108</v>
      </c>
    </row>
    <row r="1377" spans="1:6" x14ac:dyDescent="0.3">
      <c r="A1377" s="111">
        <v>46242</v>
      </c>
      <c r="B1377" t="s">
        <v>269</v>
      </c>
      <c r="C1377" s="11">
        <v>80000</v>
      </c>
      <c r="D1377" s="11"/>
      <c r="E1377" t="s">
        <v>700</v>
      </c>
      <c r="F1377" s="108" t="s">
        <v>108</v>
      </c>
    </row>
    <row r="1378" spans="1:6" x14ac:dyDescent="0.3">
      <c r="A1378" s="111">
        <v>46242</v>
      </c>
      <c r="B1378" t="s">
        <v>211</v>
      </c>
      <c r="C1378" s="11">
        <v>350</v>
      </c>
      <c r="D1378" s="11"/>
      <c r="F1378" s="108" t="s">
        <v>108</v>
      </c>
    </row>
    <row r="1379" spans="1:6" x14ac:dyDescent="0.3">
      <c r="A1379" s="111">
        <v>46242</v>
      </c>
      <c r="B1379" t="s">
        <v>636</v>
      </c>
      <c r="C1379" s="95"/>
      <c r="D1379" s="95">
        <v>210000</v>
      </c>
      <c r="E1379" t="s">
        <v>1038</v>
      </c>
      <c r="F1379" s="108" t="s">
        <v>108</v>
      </c>
    </row>
    <row r="1380" spans="1:6" x14ac:dyDescent="0.3">
      <c r="A1380" s="111">
        <v>46242</v>
      </c>
      <c r="B1380" t="s">
        <v>55</v>
      </c>
      <c r="C1380" s="11">
        <v>115000</v>
      </c>
      <c r="D1380" s="11"/>
      <c r="E1380" t="s">
        <v>1039</v>
      </c>
      <c r="F1380" s="108" t="s">
        <v>108</v>
      </c>
    </row>
    <row r="1381" spans="1:6" x14ac:dyDescent="0.3">
      <c r="A1381" s="111">
        <v>46242</v>
      </c>
      <c r="B1381" t="s">
        <v>357</v>
      </c>
      <c r="C1381" s="11">
        <v>2900</v>
      </c>
      <c r="D1381" s="11"/>
      <c r="E1381" t="s">
        <v>535</v>
      </c>
      <c r="F1381" s="108" t="s">
        <v>108</v>
      </c>
    </row>
    <row r="1382" spans="1:6" x14ac:dyDescent="0.3">
      <c r="A1382" s="111">
        <v>46242</v>
      </c>
      <c r="B1382" t="s">
        <v>219</v>
      </c>
      <c r="C1382" s="11">
        <v>100000</v>
      </c>
      <c r="D1382" s="11"/>
      <c r="E1382" t="s">
        <v>1071</v>
      </c>
      <c r="F1382" s="108" t="s">
        <v>108</v>
      </c>
    </row>
    <row r="1383" spans="1:6" x14ac:dyDescent="0.3">
      <c r="A1383" s="111">
        <v>46242</v>
      </c>
      <c r="B1383" t="s">
        <v>280</v>
      </c>
      <c r="C1383" s="11"/>
      <c r="D1383" s="11">
        <v>100000</v>
      </c>
      <c r="E1383" t="s">
        <v>271</v>
      </c>
      <c r="F1383" s="108" t="s">
        <v>108</v>
      </c>
    </row>
    <row r="1384" spans="1:6" x14ac:dyDescent="0.3">
      <c r="A1384" s="111">
        <v>46242</v>
      </c>
      <c r="B1384" t="s">
        <v>386</v>
      </c>
      <c r="C1384" s="11">
        <v>2660</v>
      </c>
      <c r="D1384" s="11"/>
      <c r="E1384" t="s">
        <v>1077</v>
      </c>
      <c r="F1384" s="108" t="s">
        <v>108</v>
      </c>
    </row>
    <row r="1385" spans="1:6" x14ac:dyDescent="0.3">
      <c r="A1385" s="111">
        <v>46243</v>
      </c>
      <c r="B1385" s="117" t="s">
        <v>269</v>
      </c>
      <c r="C1385" s="95">
        <v>25000</v>
      </c>
      <c r="D1385" s="95"/>
      <c r="E1385" t="s">
        <v>288</v>
      </c>
      <c r="F1385" s="108" t="s">
        <v>108</v>
      </c>
    </row>
    <row r="1386" spans="1:6" x14ac:dyDescent="0.3">
      <c r="A1386" s="111">
        <v>46243</v>
      </c>
      <c r="B1386" t="s">
        <v>269</v>
      </c>
      <c r="C1386" s="11">
        <v>14000</v>
      </c>
      <c r="D1386" s="11"/>
      <c r="E1386" t="s">
        <v>1018</v>
      </c>
      <c r="F1386" s="108" t="s">
        <v>108</v>
      </c>
    </row>
    <row r="1387" spans="1:6" x14ac:dyDescent="0.3">
      <c r="A1387" s="111">
        <v>46243</v>
      </c>
      <c r="B1387" t="s">
        <v>55</v>
      </c>
      <c r="C1387" s="11">
        <v>200000</v>
      </c>
      <c r="D1387" s="11"/>
      <c r="E1387" t="s">
        <v>1039</v>
      </c>
      <c r="F1387" s="108" t="s">
        <v>108</v>
      </c>
    </row>
    <row r="1388" spans="1:6" x14ac:dyDescent="0.3">
      <c r="A1388" s="38">
        <v>46243</v>
      </c>
      <c r="B1388" t="s">
        <v>357</v>
      </c>
      <c r="C1388" s="11">
        <v>2900</v>
      </c>
      <c r="D1388" s="11"/>
      <c r="E1388" t="s">
        <v>535</v>
      </c>
      <c r="F1388" s="108" t="s">
        <v>108</v>
      </c>
    </row>
    <row r="1389" spans="1:6" x14ac:dyDescent="0.3">
      <c r="A1389" s="38">
        <v>46243</v>
      </c>
      <c r="B1389" t="s">
        <v>488</v>
      </c>
      <c r="C1389" s="11">
        <v>18400</v>
      </c>
      <c r="D1389" s="11"/>
      <c r="F1389" s="108" t="s">
        <v>108</v>
      </c>
    </row>
    <row r="1390" spans="1:6" x14ac:dyDescent="0.3">
      <c r="A1390" s="38">
        <v>46243</v>
      </c>
      <c r="B1390" t="s">
        <v>219</v>
      </c>
      <c r="C1390" s="11"/>
      <c r="D1390" s="11">
        <v>18400</v>
      </c>
      <c r="F1390" s="108" t="s">
        <v>108</v>
      </c>
    </row>
    <row r="1391" spans="1:6" x14ac:dyDescent="0.3">
      <c r="A1391" s="38">
        <v>46243</v>
      </c>
      <c r="B1391" t="s">
        <v>211</v>
      </c>
      <c r="C1391" s="11"/>
      <c r="D1391" s="11"/>
      <c r="F1391" s="108" t="s">
        <v>108</v>
      </c>
    </row>
    <row r="1392" spans="1:6" x14ac:dyDescent="0.3">
      <c r="A1392" s="38">
        <v>46243</v>
      </c>
      <c r="B1392" t="s">
        <v>357</v>
      </c>
      <c r="C1392" s="11">
        <v>2900</v>
      </c>
      <c r="D1392" s="11"/>
      <c r="F1392" s="108" t="s">
        <v>108</v>
      </c>
    </row>
    <row r="1393" spans="1:6" x14ac:dyDescent="0.3">
      <c r="A1393" s="38">
        <v>46243</v>
      </c>
      <c r="B1393" t="s">
        <v>269</v>
      </c>
      <c r="C1393" s="11">
        <v>5000</v>
      </c>
      <c r="D1393" s="11"/>
      <c r="E1393" t="s">
        <v>538</v>
      </c>
      <c r="F1393" s="108" t="s">
        <v>108</v>
      </c>
    </row>
    <row r="1394" spans="1:6" x14ac:dyDescent="0.3">
      <c r="A1394" s="38">
        <v>46243</v>
      </c>
      <c r="B1394" t="s">
        <v>219</v>
      </c>
      <c r="C1394" s="11"/>
      <c r="D1394" s="11">
        <v>25000</v>
      </c>
      <c r="E1394" t="s">
        <v>288</v>
      </c>
      <c r="F1394" s="108" t="s">
        <v>108</v>
      </c>
    </row>
    <row r="1395" spans="1:6" x14ac:dyDescent="0.3">
      <c r="A1395" s="38">
        <v>46243</v>
      </c>
      <c r="B1395" t="s">
        <v>269</v>
      </c>
      <c r="C1395" s="11">
        <v>20000</v>
      </c>
      <c r="D1395" s="11"/>
      <c r="E1395" t="s">
        <v>1036</v>
      </c>
      <c r="F1395" s="108" t="s">
        <v>108</v>
      </c>
    </row>
    <row r="1396" spans="1:6" x14ac:dyDescent="0.3">
      <c r="A1396" s="38">
        <v>46244</v>
      </c>
      <c r="B1396" t="s">
        <v>219</v>
      </c>
      <c r="C1396" s="11"/>
      <c r="D1396" s="11">
        <v>80000</v>
      </c>
      <c r="E1396" t="s">
        <v>1066</v>
      </c>
      <c r="F1396" s="108" t="s">
        <v>108</v>
      </c>
    </row>
    <row r="1397" spans="1:6" x14ac:dyDescent="0.3">
      <c r="A1397" s="38">
        <v>46244</v>
      </c>
      <c r="B1397" t="s">
        <v>219</v>
      </c>
      <c r="C1397" s="11"/>
      <c r="D1397" s="11">
        <v>29000</v>
      </c>
      <c r="E1397" t="s">
        <v>318</v>
      </c>
      <c r="F1397" s="108" t="s">
        <v>108</v>
      </c>
    </row>
    <row r="1398" spans="1:6" x14ac:dyDescent="0.3">
      <c r="A1398" s="38">
        <v>46244</v>
      </c>
      <c r="B1398" t="s">
        <v>386</v>
      </c>
      <c r="C1398" s="11">
        <v>1190</v>
      </c>
      <c r="D1398" s="11"/>
      <c r="E1398" t="s">
        <v>387</v>
      </c>
      <c r="F1398" s="108" t="s">
        <v>108</v>
      </c>
    </row>
    <row r="1399" spans="1:6" x14ac:dyDescent="0.3">
      <c r="A1399" s="38">
        <v>46244</v>
      </c>
      <c r="B1399" t="s">
        <v>55</v>
      </c>
      <c r="C1399" s="11">
        <v>2500</v>
      </c>
      <c r="D1399" s="11"/>
      <c r="E1399" t="s">
        <v>1072</v>
      </c>
      <c r="F1399" s="108" t="s">
        <v>108</v>
      </c>
    </row>
    <row r="1400" spans="1:6" x14ac:dyDescent="0.3">
      <c r="A1400" s="38">
        <v>46244</v>
      </c>
      <c r="B1400" t="s">
        <v>219</v>
      </c>
      <c r="C1400" s="11"/>
      <c r="D1400" s="11">
        <v>2500</v>
      </c>
      <c r="E1400" t="s">
        <v>1072</v>
      </c>
      <c r="F1400" s="108" t="s">
        <v>108</v>
      </c>
    </row>
    <row r="1401" spans="1:6" x14ac:dyDescent="0.3">
      <c r="A1401" s="38">
        <v>46244</v>
      </c>
      <c r="B1401" t="s">
        <v>219</v>
      </c>
      <c r="C1401" s="11"/>
      <c r="D1401" s="11">
        <v>10000</v>
      </c>
      <c r="E1401" t="s">
        <v>1073</v>
      </c>
      <c r="F1401" s="108" t="s">
        <v>108</v>
      </c>
    </row>
    <row r="1402" spans="1:6" x14ac:dyDescent="0.3">
      <c r="A1402" s="38">
        <v>46244</v>
      </c>
      <c r="B1402" t="s">
        <v>269</v>
      </c>
      <c r="C1402" s="11">
        <v>10000</v>
      </c>
      <c r="D1402" s="11"/>
      <c r="E1402" t="s">
        <v>1073</v>
      </c>
      <c r="F1402" s="108" t="s">
        <v>108</v>
      </c>
    </row>
    <row r="1403" spans="1:6" x14ac:dyDescent="0.3">
      <c r="A1403" s="38">
        <v>46245</v>
      </c>
      <c r="B1403" t="s">
        <v>269</v>
      </c>
      <c r="C1403" s="11">
        <v>50000</v>
      </c>
      <c r="D1403" s="11"/>
      <c r="E1403" t="s">
        <v>602</v>
      </c>
      <c r="F1403" s="108" t="s">
        <v>108</v>
      </c>
    </row>
    <row r="1404" spans="1:6" x14ac:dyDescent="0.3">
      <c r="A1404" s="38">
        <v>46245</v>
      </c>
      <c r="B1404" t="s">
        <v>219</v>
      </c>
      <c r="C1404" s="11"/>
      <c r="D1404" s="11">
        <v>50000</v>
      </c>
      <c r="E1404" t="s">
        <v>602</v>
      </c>
      <c r="F1404" s="108" t="s">
        <v>108</v>
      </c>
    </row>
    <row r="1405" spans="1:6" x14ac:dyDescent="0.3">
      <c r="A1405" s="38">
        <v>46245</v>
      </c>
      <c r="B1405" t="s">
        <v>244</v>
      </c>
      <c r="C1405" s="11">
        <v>500</v>
      </c>
      <c r="D1405" s="11"/>
      <c r="E1405" t="s">
        <v>1040</v>
      </c>
      <c r="F1405" s="108" t="s">
        <v>108</v>
      </c>
    </row>
    <row r="1406" spans="1:6" x14ac:dyDescent="0.3">
      <c r="A1406" s="38">
        <v>46245</v>
      </c>
      <c r="B1406" t="s">
        <v>386</v>
      </c>
      <c r="C1406" s="11">
        <v>4955</v>
      </c>
      <c r="D1406" s="11"/>
      <c r="E1406" t="s">
        <v>901</v>
      </c>
      <c r="F1406" s="108" t="s">
        <v>108</v>
      </c>
    </row>
    <row r="1407" spans="1:6" x14ac:dyDescent="0.3">
      <c r="A1407" s="38">
        <v>46245</v>
      </c>
      <c r="B1407" t="s">
        <v>269</v>
      </c>
      <c r="C1407" s="95">
        <v>36666</v>
      </c>
      <c r="D1407" s="95"/>
      <c r="E1407" t="s">
        <v>602</v>
      </c>
      <c r="F1407" s="108" t="s">
        <v>108</v>
      </c>
    </row>
    <row r="1408" spans="1:6" x14ac:dyDescent="0.3">
      <c r="A1408" s="38">
        <v>46245</v>
      </c>
      <c r="B1408" t="s">
        <v>219</v>
      </c>
      <c r="C1408" s="95"/>
      <c r="D1408" s="95">
        <v>8000</v>
      </c>
      <c r="E1408" t="s">
        <v>318</v>
      </c>
      <c r="F1408" s="108" t="s">
        <v>108</v>
      </c>
    </row>
    <row r="1409" spans="1:6" x14ac:dyDescent="0.3">
      <c r="A1409" s="38">
        <v>46245</v>
      </c>
      <c r="B1409" t="s">
        <v>269</v>
      </c>
      <c r="C1409" s="95">
        <v>8000</v>
      </c>
      <c r="D1409" s="95"/>
      <c r="E1409" t="s">
        <v>957</v>
      </c>
      <c r="F1409" s="108" t="s">
        <v>108</v>
      </c>
    </row>
    <row r="1410" spans="1:6" x14ac:dyDescent="0.3">
      <c r="A1410" s="38">
        <v>46245</v>
      </c>
      <c r="B1410" t="s">
        <v>219</v>
      </c>
      <c r="C1410" s="11"/>
      <c r="D1410" s="11">
        <v>350000</v>
      </c>
      <c r="F1410" s="108" t="s">
        <v>108</v>
      </c>
    </row>
    <row r="1411" spans="1:6" x14ac:dyDescent="0.3">
      <c r="A1411" s="38">
        <v>46245</v>
      </c>
      <c r="B1411" t="s">
        <v>55</v>
      </c>
      <c r="C1411" s="11">
        <v>350000</v>
      </c>
      <c r="D1411" s="11"/>
      <c r="E1411" t="s">
        <v>1041</v>
      </c>
      <c r="F1411" s="108" t="s">
        <v>108</v>
      </c>
    </row>
    <row r="1412" spans="1:6" x14ac:dyDescent="0.3">
      <c r="A1412" s="38">
        <v>46245</v>
      </c>
      <c r="B1412" t="s">
        <v>219</v>
      </c>
      <c r="C1412" s="11"/>
      <c r="D1412" s="11">
        <v>10000</v>
      </c>
      <c r="E1412" t="s">
        <v>1042</v>
      </c>
      <c r="F1412" s="108" t="s">
        <v>108</v>
      </c>
    </row>
    <row r="1413" spans="1:6" x14ac:dyDescent="0.3">
      <c r="A1413" s="38">
        <v>46245</v>
      </c>
      <c r="B1413" t="s">
        <v>244</v>
      </c>
      <c r="C1413" s="11">
        <v>10000</v>
      </c>
      <c r="D1413" s="11"/>
      <c r="E1413" t="s">
        <v>1043</v>
      </c>
      <c r="F1413" s="108" t="s">
        <v>108</v>
      </c>
    </row>
    <row r="1414" spans="1:6" x14ac:dyDescent="0.3">
      <c r="A1414" s="111">
        <v>46245</v>
      </c>
      <c r="B1414" t="s">
        <v>269</v>
      </c>
      <c r="C1414" s="11">
        <v>1000</v>
      </c>
      <c r="D1414" s="11"/>
      <c r="E1414" t="s">
        <v>1075</v>
      </c>
      <c r="F1414" s="108" t="s">
        <v>108</v>
      </c>
    </row>
    <row r="1415" spans="1:6" x14ac:dyDescent="0.3">
      <c r="A1415" s="38">
        <v>46245</v>
      </c>
      <c r="B1415" t="s">
        <v>386</v>
      </c>
      <c r="C1415" s="11">
        <v>1000</v>
      </c>
      <c r="D1415" s="11"/>
      <c r="E1415" t="s">
        <v>1076</v>
      </c>
      <c r="F1415" s="108" t="s">
        <v>108</v>
      </c>
    </row>
    <row r="1416" spans="1:6" x14ac:dyDescent="0.3">
      <c r="A1416" s="38">
        <v>46245</v>
      </c>
      <c r="B1416" t="s">
        <v>219</v>
      </c>
      <c r="C1416" s="11"/>
      <c r="D1416" s="11">
        <v>36000</v>
      </c>
      <c r="E1416" t="s">
        <v>318</v>
      </c>
      <c r="F1416" s="108" t="s">
        <v>108</v>
      </c>
    </row>
    <row r="1417" spans="1:6" x14ac:dyDescent="0.3">
      <c r="A1417" s="38">
        <v>46245</v>
      </c>
      <c r="B1417" t="s">
        <v>219</v>
      </c>
      <c r="C1417" s="11"/>
      <c r="D1417" s="11">
        <v>10000</v>
      </c>
      <c r="E1417" s="117" t="s">
        <v>318</v>
      </c>
      <c r="F1417" s="108" t="s">
        <v>108</v>
      </c>
    </row>
    <row r="1418" spans="1:6" x14ac:dyDescent="0.3">
      <c r="A1418" s="38">
        <v>46245</v>
      </c>
      <c r="B1418" t="s">
        <v>211</v>
      </c>
      <c r="C1418" s="11">
        <v>1490</v>
      </c>
      <c r="D1418" s="11"/>
      <c r="F1418" s="108" t="s">
        <v>108</v>
      </c>
    </row>
    <row r="1419" spans="1:6" x14ac:dyDescent="0.3">
      <c r="A1419" s="38">
        <v>46246</v>
      </c>
      <c r="B1419" t="s">
        <v>488</v>
      </c>
      <c r="C1419" s="11">
        <v>13500</v>
      </c>
      <c r="D1419" s="11"/>
      <c r="E1419" t="s">
        <v>1044</v>
      </c>
      <c r="F1419" s="108" t="s">
        <v>108</v>
      </c>
    </row>
    <row r="1420" spans="1:6" x14ac:dyDescent="0.3">
      <c r="A1420" s="38">
        <v>46246</v>
      </c>
      <c r="B1420" t="s">
        <v>219</v>
      </c>
      <c r="C1420" s="11"/>
      <c r="D1420" s="11">
        <v>13500</v>
      </c>
      <c r="E1420" t="s">
        <v>1044</v>
      </c>
      <c r="F1420" s="108" t="s">
        <v>108</v>
      </c>
    </row>
    <row r="1421" spans="1:6" x14ac:dyDescent="0.3">
      <c r="A1421" s="38">
        <v>46246</v>
      </c>
      <c r="B1421" t="s">
        <v>55</v>
      </c>
      <c r="C1421" s="11">
        <v>15500</v>
      </c>
      <c r="D1421" s="11"/>
      <c r="F1421" s="108" t="s">
        <v>108</v>
      </c>
    </row>
    <row r="1422" spans="1:6" x14ac:dyDescent="0.3">
      <c r="A1422" s="38">
        <v>46246</v>
      </c>
      <c r="B1422" t="s">
        <v>219</v>
      </c>
      <c r="C1422" s="11"/>
      <c r="D1422" s="11">
        <v>15500</v>
      </c>
      <c r="F1422" s="108" t="s">
        <v>108</v>
      </c>
    </row>
    <row r="1423" spans="1:6" x14ac:dyDescent="0.3">
      <c r="A1423" s="38">
        <v>46246</v>
      </c>
      <c r="B1423" t="s">
        <v>55</v>
      </c>
      <c r="C1423" s="11">
        <v>4300</v>
      </c>
      <c r="D1423" s="11"/>
      <c r="E1423" t="s">
        <v>1045</v>
      </c>
      <c r="F1423" s="108" t="s">
        <v>108</v>
      </c>
    </row>
    <row r="1424" spans="1:6" x14ac:dyDescent="0.3">
      <c r="A1424" s="38">
        <v>46246</v>
      </c>
      <c r="B1424" t="s">
        <v>219</v>
      </c>
      <c r="C1424" s="11"/>
      <c r="D1424" s="11">
        <v>4300</v>
      </c>
      <c r="E1424" t="s">
        <v>1045</v>
      </c>
      <c r="F1424" s="108" t="s">
        <v>108</v>
      </c>
    </row>
    <row r="1425" spans="1:6" x14ac:dyDescent="0.3">
      <c r="A1425" s="38">
        <v>46246</v>
      </c>
      <c r="B1425" t="s">
        <v>219</v>
      </c>
      <c r="C1425" s="11"/>
      <c r="D1425" s="11">
        <v>25000</v>
      </c>
      <c r="E1425" t="s">
        <v>1046</v>
      </c>
      <c r="F1425" s="108" t="s">
        <v>108</v>
      </c>
    </row>
    <row r="1426" spans="1:6" x14ac:dyDescent="0.3">
      <c r="A1426" s="38">
        <v>46246</v>
      </c>
      <c r="B1426" t="s">
        <v>55</v>
      </c>
      <c r="C1426" s="11">
        <v>17000</v>
      </c>
      <c r="D1426" s="11"/>
      <c r="E1426" t="s">
        <v>1047</v>
      </c>
      <c r="F1426" s="108" t="s">
        <v>108</v>
      </c>
    </row>
    <row r="1427" spans="1:6" x14ac:dyDescent="0.3">
      <c r="A1427" s="111">
        <v>46246</v>
      </c>
      <c r="B1427" t="s">
        <v>55</v>
      </c>
      <c r="C1427" s="11">
        <v>9000</v>
      </c>
      <c r="D1427" s="11"/>
      <c r="E1427" t="s">
        <v>1048</v>
      </c>
      <c r="F1427" s="108" t="s">
        <v>108</v>
      </c>
    </row>
    <row r="1428" spans="1:6" x14ac:dyDescent="0.3">
      <c r="A1428" s="111">
        <v>46246</v>
      </c>
      <c r="B1428" t="s">
        <v>55</v>
      </c>
      <c r="C1428" s="11">
        <v>9800</v>
      </c>
      <c r="D1428" s="11"/>
      <c r="E1428" t="s">
        <v>1049</v>
      </c>
      <c r="F1428" s="108" t="s">
        <v>108</v>
      </c>
    </row>
    <row r="1429" spans="1:6" x14ac:dyDescent="0.3">
      <c r="A1429" s="111">
        <v>46246</v>
      </c>
      <c r="B1429" t="s">
        <v>55</v>
      </c>
      <c r="C1429" s="11">
        <v>2500</v>
      </c>
      <c r="D1429" s="11"/>
      <c r="F1429" s="108" t="s">
        <v>108</v>
      </c>
    </row>
    <row r="1430" spans="1:6" x14ac:dyDescent="0.3">
      <c r="A1430" s="111">
        <v>46246</v>
      </c>
      <c r="B1430" t="s">
        <v>219</v>
      </c>
      <c r="C1430" s="11"/>
      <c r="D1430" s="11">
        <v>15000</v>
      </c>
      <c r="E1430" t="s">
        <v>1050</v>
      </c>
      <c r="F1430" s="108" t="s">
        <v>108</v>
      </c>
    </row>
    <row r="1431" spans="1:6" x14ac:dyDescent="0.3">
      <c r="A1431" s="111">
        <v>46246</v>
      </c>
      <c r="B1431" t="s">
        <v>357</v>
      </c>
      <c r="C1431" s="11">
        <v>2900</v>
      </c>
      <c r="D1431" s="11"/>
      <c r="E1431" t="s">
        <v>535</v>
      </c>
      <c r="F1431" s="108" t="s">
        <v>108</v>
      </c>
    </row>
    <row r="1432" spans="1:6" x14ac:dyDescent="0.3">
      <c r="A1432" s="111">
        <v>46246</v>
      </c>
      <c r="B1432" t="s">
        <v>219</v>
      </c>
      <c r="C1432" s="11"/>
      <c r="D1432" s="11">
        <v>10000</v>
      </c>
      <c r="E1432" t="s">
        <v>1065</v>
      </c>
      <c r="F1432" s="108" t="s">
        <v>108</v>
      </c>
    </row>
    <row r="1433" spans="1:6" x14ac:dyDescent="0.3">
      <c r="A1433" s="111">
        <v>46246</v>
      </c>
      <c r="B1433" t="s">
        <v>219</v>
      </c>
      <c r="C1433" s="11"/>
      <c r="D1433" s="11">
        <v>25000</v>
      </c>
      <c r="E1433" t="s">
        <v>1067</v>
      </c>
      <c r="F1433" s="108" t="s">
        <v>108</v>
      </c>
    </row>
    <row r="1434" spans="1:6" x14ac:dyDescent="0.3">
      <c r="A1434" s="38">
        <v>46246</v>
      </c>
      <c r="B1434" t="s">
        <v>246</v>
      </c>
      <c r="C1434" s="11">
        <v>1500</v>
      </c>
      <c r="D1434" s="11"/>
      <c r="F1434" s="108" t="s">
        <v>108</v>
      </c>
    </row>
    <row r="1435" spans="1:6" x14ac:dyDescent="0.3">
      <c r="A1435" s="38">
        <v>46246</v>
      </c>
      <c r="B1435" t="s">
        <v>244</v>
      </c>
      <c r="C1435" s="11">
        <v>1780</v>
      </c>
      <c r="D1435" s="11"/>
      <c r="F1435" s="108" t="s">
        <v>108</v>
      </c>
    </row>
    <row r="1436" spans="1:6" x14ac:dyDescent="0.3">
      <c r="A1436" s="38">
        <v>46246</v>
      </c>
      <c r="B1436" t="s">
        <v>488</v>
      </c>
      <c r="C1436" s="11">
        <v>800</v>
      </c>
      <c r="D1436" s="11"/>
      <c r="F1436" s="108" t="s">
        <v>108</v>
      </c>
    </row>
    <row r="1437" spans="1:6" x14ac:dyDescent="0.3">
      <c r="A1437" s="38">
        <v>46246</v>
      </c>
      <c r="B1437" t="s">
        <v>211</v>
      </c>
      <c r="C1437" s="11">
        <v>800</v>
      </c>
      <c r="D1437" s="11"/>
      <c r="F1437" s="108" t="s">
        <v>108</v>
      </c>
    </row>
    <row r="1438" spans="1:6" x14ac:dyDescent="0.3">
      <c r="A1438" s="38">
        <v>46246</v>
      </c>
      <c r="B1438" t="s">
        <v>386</v>
      </c>
      <c r="C1438" s="11">
        <v>1900</v>
      </c>
      <c r="D1438" s="11"/>
      <c r="E1438" t="s">
        <v>1068</v>
      </c>
      <c r="F1438" s="108" t="s">
        <v>108</v>
      </c>
    </row>
    <row r="1439" spans="1:6" x14ac:dyDescent="0.3">
      <c r="A1439" s="38">
        <v>46246</v>
      </c>
      <c r="B1439" t="s">
        <v>488</v>
      </c>
      <c r="C1439" s="11">
        <v>5500</v>
      </c>
      <c r="D1439" s="11"/>
      <c r="E1439">
        <v>464</v>
      </c>
      <c r="F1439" s="108" t="s">
        <v>108</v>
      </c>
    </row>
    <row r="1440" spans="1:6" x14ac:dyDescent="0.3">
      <c r="A1440" s="38">
        <v>46247</v>
      </c>
      <c r="B1440" t="s">
        <v>219</v>
      </c>
      <c r="C1440" s="11"/>
      <c r="D1440" s="11">
        <v>11500</v>
      </c>
      <c r="E1440" t="s">
        <v>288</v>
      </c>
      <c r="F1440" s="108" t="s">
        <v>108</v>
      </c>
    </row>
    <row r="1441" spans="1:6" x14ac:dyDescent="0.3">
      <c r="A1441" s="38">
        <v>46247</v>
      </c>
      <c r="B1441" t="s">
        <v>269</v>
      </c>
      <c r="C1441" s="95">
        <v>11500</v>
      </c>
      <c r="D1441" s="95"/>
      <c r="E1441" t="s">
        <v>288</v>
      </c>
      <c r="F1441" s="108" t="s">
        <v>108</v>
      </c>
    </row>
    <row r="1442" spans="1:6" x14ac:dyDescent="0.3">
      <c r="A1442" s="38">
        <v>46247</v>
      </c>
      <c r="B1442" t="s">
        <v>488</v>
      </c>
      <c r="C1442" s="95">
        <v>750</v>
      </c>
      <c r="D1442" s="95"/>
      <c r="F1442" s="108" t="s">
        <v>108</v>
      </c>
    </row>
    <row r="1443" spans="1:6" x14ac:dyDescent="0.3">
      <c r="A1443" s="38">
        <v>46247</v>
      </c>
      <c r="B1443" t="s">
        <v>357</v>
      </c>
      <c r="C1443" s="11">
        <v>16550</v>
      </c>
      <c r="D1443" s="11"/>
      <c r="F1443" s="108" t="s">
        <v>108</v>
      </c>
    </row>
    <row r="1444" spans="1:6" x14ac:dyDescent="0.3">
      <c r="A1444" s="38">
        <v>46247</v>
      </c>
      <c r="B1444" t="s">
        <v>367</v>
      </c>
      <c r="C1444" s="11"/>
      <c r="D1444" s="11">
        <v>158500</v>
      </c>
      <c r="E1444" t="s">
        <v>1051</v>
      </c>
      <c r="F1444" s="108" t="s">
        <v>108</v>
      </c>
    </row>
    <row r="1445" spans="1:6" x14ac:dyDescent="0.3">
      <c r="A1445" s="38">
        <v>46247</v>
      </c>
      <c r="B1445" t="s">
        <v>269</v>
      </c>
      <c r="C1445" s="11">
        <v>5000</v>
      </c>
      <c r="D1445" s="11"/>
      <c r="E1445" t="s">
        <v>959</v>
      </c>
      <c r="F1445" s="108" t="s">
        <v>108</v>
      </c>
    </row>
    <row r="1446" spans="1:6" x14ac:dyDescent="0.3">
      <c r="A1446" s="38">
        <v>46247</v>
      </c>
      <c r="B1446" t="s">
        <v>55</v>
      </c>
      <c r="C1446" s="11">
        <v>4000</v>
      </c>
      <c r="D1446" s="11"/>
      <c r="E1446" t="s">
        <v>1052</v>
      </c>
      <c r="F1446" s="108" t="s">
        <v>108</v>
      </c>
    </row>
    <row r="1447" spans="1:6" x14ac:dyDescent="0.3">
      <c r="A1447" s="38">
        <v>46247</v>
      </c>
      <c r="B1447" t="s">
        <v>55</v>
      </c>
      <c r="C1447" s="11">
        <v>1100</v>
      </c>
      <c r="D1447" s="11"/>
      <c r="F1447" s="108" t="s">
        <v>108</v>
      </c>
    </row>
    <row r="1448" spans="1:6" x14ac:dyDescent="0.3">
      <c r="A1448" s="38">
        <v>46247</v>
      </c>
      <c r="B1448" t="s">
        <v>357</v>
      </c>
      <c r="C1448" s="11">
        <v>2900</v>
      </c>
      <c r="D1448" s="11"/>
      <c r="E1448" t="s">
        <v>535</v>
      </c>
      <c r="F1448" s="108" t="s">
        <v>108</v>
      </c>
    </row>
    <row r="1449" spans="1:6" x14ac:dyDescent="0.3">
      <c r="A1449" s="38">
        <v>46247</v>
      </c>
      <c r="B1449" t="s">
        <v>219</v>
      </c>
      <c r="C1449" s="11">
        <v>100000</v>
      </c>
      <c r="D1449" s="11"/>
      <c r="E1449" t="s">
        <v>243</v>
      </c>
      <c r="F1449" s="108" t="s">
        <v>108</v>
      </c>
    </row>
    <row r="1450" spans="1:6" x14ac:dyDescent="0.3">
      <c r="A1450" s="38">
        <v>46247</v>
      </c>
      <c r="B1450" t="s">
        <v>27</v>
      </c>
      <c r="C1450" s="11"/>
      <c r="D1450" s="11">
        <v>100000</v>
      </c>
      <c r="E1450" t="s">
        <v>109</v>
      </c>
      <c r="F1450" s="108" t="s">
        <v>108</v>
      </c>
    </row>
    <row r="1451" spans="1:6" x14ac:dyDescent="0.3">
      <c r="A1451" s="38">
        <v>46247</v>
      </c>
      <c r="B1451" t="s">
        <v>211</v>
      </c>
      <c r="C1451" s="11">
        <v>780</v>
      </c>
      <c r="D1451" s="11"/>
      <c r="F1451" s="108" t="s">
        <v>108</v>
      </c>
    </row>
    <row r="1452" spans="1:6" x14ac:dyDescent="0.3">
      <c r="A1452" s="38">
        <v>46248</v>
      </c>
      <c r="B1452" t="s">
        <v>211</v>
      </c>
      <c r="C1452" s="11">
        <v>780</v>
      </c>
      <c r="D1452" s="11"/>
      <c r="F1452" s="108" t="s">
        <v>108</v>
      </c>
    </row>
    <row r="1453" spans="1:6" x14ac:dyDescent="0.3">
      <c r="A1453" s="38">
        <v>46249</v>
      </c>
      <c r="B1453" t="s">
        <v>269</v>
      </c>
      <c r="C1453" s="11">
        <v>13500</v>
      </c>
      <c r="D1453" s="11"/>
      <c r="E1453" t="s">
        <v>288</v>
      </c>
      <c r="F1453" s="108" t="s">
        <v>108</v>
      </c>
    </row>
    <row r="1454" spans="1:6" x14ac:dyDescent="0.3">
      <c r="A1454" s="38">
        <v>46249</v>
      </c>
      <c r="B1454" t="s">
        <v>269</v>
      </c>
      <c r="C1454" s="11">
        <v>40314</v>
      </c>
      <c r="D1454" s="11"/>
      <c r="E1454" t="s">
        <v>1053</v>
      </c>
      <c r="F1454" s="108" t="s">
        <v>108</v>
      </c>
    </row>
    <row r="1455" spans="1:6" x14ac:dyDescent="0.3">
      <c r="A1455" s="38">
        <v>46249</v>
      </c>
      <c r="B1455" t="s">
        <v>55</v>
      </c>
      <c r="C1455" s="11">
        <v>3120</v>
      </c>
      <c r="D1455" s="11"/>
      <c r="F1455" s="108" t="s">
        <v>108</v>
      </c>
    </row>
    <row r="1456" spans="1:6" x14ac:dyDescent="0.3">
      <c r="A1456" s="38">
        <v>46249</v>
      </c>
      <c r="B1456" t="s">
        <v>269</v>
      </c>
      <c r="C1456" s="11">
        <v>10000</v>
      </c>
      <c r="D1456" s="11"/>
      <c r="E1456" t="s">
        <v>983</v>
      </c>
      <c r="F1456" s="108" t="s">
        <v>108</v>
      </c>
    </row>
    <row r="1457" spans="1:6" x14ac:dyDescent="0.3">
      <c r="A1457" s="38">
        <v>46249</v>
      </c>
      <c r="B1457" t="s">
        <v>55</v>
      </c>
      <c r="C1457" s="11">
        <v>350</v>
      </c>
      <c r="D1457" s="11"/>
      <c r="F1457" s="108" t="s">
        <v>108</v>
      </c>
    </row>
    <row r="1458" spans="1:6" x14ac:dyDescent="0.3">
      <c r="A1458" s="111">
        <v>46249</v>
      </c>
      <c r="B1458" t="s">
        <v>269</v>
      </c>
      <c r="C1458" s="11">
        <v>5000</v>
      </c>
      <c r="D1458" s="11"/>
      <c r="E1458" t="s">
        <v>538</v>
      </c>
      <c r="F1458" s="108" t="s">
        <v>108</v>
      </c>
    </row>
    <row r="1459" spans="1:6" x14ac:dyDescent="0.3">
      <c r="A1459" s="111">
        <v>46249</v>
      </c>
      <c r="B1459" t="s">
        <v>55</v>
      </c>
      <c r="C1459" s="11">
        <v>3000</v>
      </c>
      <c r="D1459" s="11"/>
      <c r="F1459" s="108" t="s">
        <v>108</v>
      </c>
    </row>
    <row r="1460" spans="1:6" x14ac:dyDescent="0.3">
      <c r="A1460" s="111">
        <v>46249</v>
      </c>
      <c r="B1460" t="s">
        <v>357</v>
      </c>
      <c r="C1460" s="11">
        <v>400</v>
      </c>
      <c r="D1460" s="11"/>
      <c r="F1460" s="108" t="s">
        <v>108</v>
      </c>
    </row>
    <row r="1461" spans="1:6" x14ac:dyDescent="0.3">
      <c r="A1461" s="111">
        <v>46249</v>
      </c>
      <c r="B1461" t="s">
        <v>298</v>
      </c>
      <c r="C1461" s="11">
        <v>5000</v>
      </c>
      <c r="D1461" s="11"/>
      <c r="E1461" t="s">
        <v>693</v>
      </c>
      <c r="F1461" s="108" t="s">
        <v>108</v>
      </c>
    </row>
    <row r="1462" spans="1:6" x14ac:dyDescent="0.3">
      <c r="A1462" s="111">
        <v>46249</v>
      </c>
      <c r="B1462" t="s">
        <v>219</v>
      </c>
      <c r="C1462" s="11"/>
      <c r="D1462" s="11">
        <v>100000</v>
      </c>
      <c r="E1462" t="s">
        <v>1054</v>
      </c>
      <c r="F1462" s="108" t="s">
        <v>108</v>
      </c>
    </row>
    <row r="1463" spans="1:6" x14ac:dyDescent="0.3">
      <c r="A1463" s="111">
        <v>46249</v>
      </c>
      <c r="B1463" t="s">
        <v>269</v>
      </c>
      <c r="C1463" s="95">
        <v>100000</v>
      </c>
      <c r="D1463" s="95"/>
      <c r="E1463" t="s">
        <v>700</v>
      </c>
      <c r="F1463" s="108" t="s">
        <v>108</v>
      </c>
    </row>
    <row r="1464" spans="1:6" x14ac:dyDescent="0.3">
      <c r="A1464" s="111">
        <v>46249</v>
      </c>
      <c r="B1464" t="s">
        <v>219</v>
      </c>
      <c r="C1464" s="95"/>
      <c r="D1464" s="95">
        <v>20000</v>
      </c>
      <c r="E1464" t="s">
        <v>1055</v>
      </c>
      <c r="F1464" s="108" t="s">
        <v>108</v>
      </c>
    </row>
    <row r="1465" spans="1:6" x14ac:dyDescent="0.3">
      <c r="A1465" s="111">
        <v>46249</v>
      </c>
      <c r="B1465" t="s">
        <v>386</v>
      </c>
      <c r="C1465" s="95">
        <v>12000</v>
      </c>
      <c r="D1465" s="95"/>
      <c r="E1465" t="s">
        <v>1056</v>
      </c>
      <c r="F1465" s="108" t="s">
        <v>108</v>
      </c>
    </row>
    <row r="1466" spans="1:6" x14ac:dyDescent="0.3">
      <c r="A1466" s="111">
        <v>46249</v>
      </c>
      <c r="B1466" t="s">
        <v>269</v>
      </c>
      <c r="C1466" s="95">
        <v>14000</v>
      </c>
      <c r="D1466" s="95"/>
      <c r="E1466" t="s">
        <v>1057</v>
      </c>
      <c r="F1466" s="108" t="s">
        <v>108</v>
      </c>
    </row>
    <row r="1467" spans="1:6" x14ac:dyDescent="0.3">
      <c r="A1467" s="111">
        <v>46249</v>
      </c>
      <c r="B1467" t="s">
        <v>269</v>
      </c>
      <c r="C1467" s="95">
        <v>6000</v>
      </c>
      <c r="D1467" s="95"/>
      <c r="E1467" t="s">
        <v>1058</v>
      </c>
      <c r="F1467" s="108" t="s">
        <v>108</v>
      </c>
    </row>
    <row r="1468" spans="1:6" x14ac:dyDescent="0.3">
      <c r="A1468" s="111">
        <v>46249</v>
      </c>
      <c r="B1468" t="s">
        <v>211</v>
      </c>
      <c r="C1468" s="95">
        <v>2000</v>
      </c>
      <c r="D1468" s="95"/>
      <c r="F1468" s="108" t="s">
        <v>108</v>
      </c>
    </row>
    <row r="1469" spans="1:6" x14ac:dyDescent="0.3">
      <c r="A1469" s="111">
        <v>46249</v>
      </c>
      <c r="B1469" t="s">
        <v>55</v>
      </c>
      <c r="C1469" s="95">
        <v>80000</v>
      </c>
      <c r="D1469" s="95"/>
      <c r="E1469" t="s">
        <v>1059</v>
      </c>
      <c r="F1469" s="108" t="s">
        <v>108</v>
      </c>
    </row>
    <row r="1470" spans="1:6" x14ac:dyDescent="0.3">
      <c r="A1470" s="111">
        <v>46249</v>
      </c>
      <c r="B1470" t="s">
        <v>219</v>
      </c>
      <c r="C1470" s="95"/>
      <c r="D1470" s="95">
        <v>80000</v>
      </c>
      <c r="E1470" t="s">
        <v>1059</v>
      </c>
      <c r="F1470" s="108" t="s">
        <v>108</v>
      </c>
    </row>
    <row r="1471" spans="1:6" x14ac:dyDescent="0.3">
      <c r="A1471" s="111">
        <v>46249</v>
      </c>
      <c r="B1471" t="s">
        <v>219</v>
      </c>
      <c r="C1471" s="95"/>
      <c r="D1471" s="95">
        <v>20000</v>
      </c>
      <c r="E1471" t="s">
        <v>1063</v>
      </c>
      <c r="F1471" s="108" t="s">
        <v>108</v>
      </c>
    </row>
    <row r="1472" spans="1:6" x14ac:dyDescent="0.3">
      <c r="A1472" s="111">
        <v>46249</v>
      </c>
      <c r="B1472" t="s">
        <v>219</v>
      </c>
      <c r="C1472" s="11"/>
      <c r="D1472" s="11">
        <v>37000</v>
      </c>
      <c r="E1472" t="s">
        <v>1064</v>
      </c>
      <c r="F1472" s="108" t="s">
        <v>108</v>
      </c>
    </row>
    <row r="1473" spans="1:6" x14ac:dyDescent="0.3">
      <c r="A1473" s="111">
        <v>46249</v>
      </c>
      <c r="B1473" t="s">
        <v>269</v>
      </c>
      <c r="C1473" s="11">
        <v>43320</v>
      </c>
      <c r="D1473" s="11"/>
      <c r="E1473" t="s">
        <v>1029</v>
      </c>
      <c r="F1473" s="108" t="s">
        <v>108</v>
      </c>
    </row>
    <row r="1474" spans="1:6" x14ac:dyDescent="0.3">
      <c r="A1474" s="111">
        <v>46249</v>
      </c>
      <c r="B1474" t="s">
        <v>269</v>
      </c>
      <c r="C1474" s="11">
        <v>25500</v>
      </c>
      <c r="D1474" s="11"/>
      <c r="E1474" t="s">
        <v>1069</v>
      </c>
      <c r="F1474" s="108" t="s">
        <v>108</v>
      </c>
    </row>
    <row r="1475" spans="1:6" x14ac:dyDescent="0.3">
      <c r="A1475" s="111">
        <v>46249</v>
      </c>
      <c r="B1475" t="s">
        <v>269</v>
      </c>
      <c r="C1475" s="11">
        <v>25000</v>
      </c>
      <c r="D1475" s="11"/>
      <c r="E1475" t="s">
        <v>665</v>
      </c>
      <c r="F1475" s="108" t="s">
        <v>108</v>
      </c>
    </row>
    <row r="1476" spans="1:6" x14ac:dyDescent="0.3">
      <c r="A1476" s="111">
        <v>46250</v>
      </c>
      <c r="B1476" t="s">
        <v>219</v>
      </c>
      <c r="C1476" s="95"/>
      <c r="D1476" s="95">
        <v>98000</v>
      </c>
      <c r="E1476" t="s">
        <v>1060</v>
      </c>
      <c r="F1476" s="108" t="s">
        <v>108</v>
      </c>
    </row>
    <row r="1477" spans="1:6" x14ac:dyDescent="0.3">
      <c r="A1477" s="111">
        <v>46250</v>
      </c>
      <c r="B1477" t="s">
        <v>55</v>
      </c>
      <c r="C1477" s="95">
        <v>45000</v>
      </c>
      <c r="D1477" s="95"/>
      <c r="F1477" s="108" t="s">
        <v>108</v>
      </c>
    </row>
    <row r="1478" spans="1:6" x14ac:dyDescent="0.3">
      <c r="A1478" s="111">
        <v>46250</v>
      </c>
      <c r="B1478" t="s">
        <v>55</v>
      </c>
      <c r="C1478" s="95">
        <v>3230</v>
      </c>
      <c r="D1478" s="95"/>
      <c r="F1478" s="108" t="s">
        <v>108</v>
      </c>
    </row>
    <row r="1479" spans="1:6" x14ac:dyDescent="0.3">
      <c r="A1479" s="111">
        <v>46250</v>
      </c>
      <c r="B1479" t="s">
        <v>211</v>
      </c>
      <c r="C1479" s="11">
        <v>780</v>
      </c>
      <c r="D1479" s="11"/>
      <c r="F1479" s="108" t="s">
        <v>108</v>
      </c>
    </row>
    <row r="1480" spans="1:6" x14ac:dyDescent="0.3">
      <c r="A1480" s="111">
        <v>46250</v>
      </c>
      <c r="B1480" t="s">
        <v>211</v>
      </c>
      <c r="C1480" s="11">
        <v>2240</v>
      </c>
      <c r="D1480" s="11"/>
      <c r="F1480" s="108" t="s">
        <v>108</v>
      </c>
    </row>
    <row r="1481" spans="1:6" x14ac:dyDescent="0.3">
      <c r="A1481" s="111">
        <v>46250</v>
      </c>
      <c r="B1481" t="s">
        <v>211</v>
      </c>
      <c r="C1481" s="11"/>
      <c r="D1481" s="11">
        <v>4000</v>
      </c>
      <c r="F1481" s="108" t="s">
        <v>108</v>
      </c>
    </row>
    <row r="1482" spans="1:6" x14ac:dyDescent="0.3">
      <c r="A1482" s="111">
        <v>46251</v>
      </c>
      <c r="B1482" t="s">
        <v>357</v>
      </c>
      <c r="C1482" s="95">
        <v>3500</v>
      </c>
      <c r="D1482" s="95"/>
      <c r="E1482" t="s">
        <v>535</v>
      </c>
      <c r="F1482" s="108" t="s">
        <v>108</v>
      </c>
    </row>
    <row r="1483" spans="1:6" x14ac:dyDescent="0.3">
      <c r="A1483" s="111">
        <v>46251</v>
      </c>
      <c r="B1483" t="s">
        <v>386</v>
      </c>
      <c r="C1483" s="95">
        <v>600</v>
      </c>
      <c r="D1483" s="95"/>
      <c r="E1483" t="s">
        <v>1061</v>
      </c>
      <c r="F1483" s="108" t="s">
        <v>108</v>
      </c>
    </row>
    <row r="1484" spans="1:6" x14ac:dyDescent="0.3">
      <c r="A1484" s="111">
        <v>46251</v>
      </c>
      <c r="B1484" t="s">
        <v>246</v>
      </c>
      <c r="C1484" s="95">
        <v>33000</v>
      </c>
      <c r="D1484" s="95"/>
      <c r="E1484" t="s">
        <v>1062</v>
      </c>
      <c r="F1484" s="108" t="s">
        <v>108</v>
      </c>
    </row>
    <row r="1485" spans="1:6" x14ac:dyDescent="0.3">
      <c r="A1485" s="111">
        <v>46251</v>
      </c>
      <c r="B1485" t="s">
        <v>219</v>
      </c>
      <c r="C1485" s="95"/>
      <c r="D1485" s="95">
        <v>33000</v>
      </c>
      <c r="E1485" t="s">
        <v>1062</v>
      </c>
      <c r="F1485" s="108" t="s">
        <v>108</v>
      </c>
    </row>
    <row r="1486" spans="1:6" x14ac:dyDescent="0.3">
      <c r="A1486" s="111">
        <v>46251</v>
      </c>
      <c r="B1486" t="s">
        <v>55</v>
      </c>
      <c r="C1486" s="95">
        <v>150</v>
      </c>
      <c r="D1486" s="95"/>
      <c r="F1486" s="108" t="s">
        <v>108</v>
      </c>
    </row>
    <row r="1487" spans="1:6" x14ac:dyDescent="0.3">
      <c r="A1487" s="111">
        <v>46251</v>
      </c>
      <c r="B1487" t="s">
        <v>488</v>
      </c>
      <c r="C1487" s="95">
        <v>1500</v>
      </c>
      <c r="D1487" s="95"/>
      <c r="E1487" t="s">
        <v>929</v>
      </c>
      <c r="F1487" s="108" t="s">
        <v>108</v>
      </c>
    </row>
    <row r="1488" spans="1:6" x14ac:dyDescent="0.3">
      <c r="A1488" s="111">
        <v>46251</v>
      </c>
      <c r="B1488" t="s">
        <v>386</v>
      </c>
      <c r="C1488" s="95">
        <v>900</v>
      </c>
      <c r="D1488" s="95"/>
      <c r="F1488" s="108" t="s">
        <v>108</v>
      </c>
    </row>
    <row r="1489" spans="1:6" x14ac:dyDescent="0.3">
      <c r="A1489" s="111">
        <v>46251</v>
      </c>
      <c r="B1489" t="s">
        <v>55</v>
      </c>
      <c r="C1489" s="95">
        <v>800</v>
      </c>
      <c r="D1489" s="95"/>
      <c r="F1489" s="108" t="s">
        <v>108</v>
      </c>
    </row>
    <row r="1490" spans="1:6" x14ac:dyDescent="0.3">
      <c r="A1490" s="111">
        <v>46251</v>
      </c>
      <c r="B1490" t="s">
        <v>386</v>
      </c>
      <c r="C1490" s="11">
        <v>1273</v>
      </c>
      <c r="D1490" s="11"/>
      <c r="E1490" t="s">
        <v>1070</v>
      </c>
      <c r="F1490" s="108" t="s">
        <v>108</v>
      </c>
    </row>
    <row r="1491" spans="1:6" x14ac:dyDescent="0.3">
      <c r="A1491" s="111">
        <v>46251</v>
      </c>
      <c r="B1491" t="s">
        <v>386</v>
      </c>
      <c r="C1491" s="11">
        <v>510</v>
      </c>
      <c r="D1491" s="11"/>
      <c r="F1491" s="108" t="s">
        <v>108</v>
      </c>
    </row>
    <row r="1492" spans="1:6" x14ac:dyDescent="0.3">
      <c r="A1492" s="111">
        <v>46252</v>
      </c>
      <c r="B1492" t="s">
        <v>636</v>
      </c>
      <c r="C1492" s="11"/>
      <c r="D1492" s="11">
        <f>36789*59</f>
        <v>2170551</v>
      </c>
      <c r="E1492" s="163" t="s">
        <v>1086</v>
      </c>
      <c r="F1492" s="108" t="s">
        <v>108</v>
      </c>
    </row>
    <row r="1493" spans="1:6" x14ac:dyDescent="0.3">
      <c r="A1493" s="111">
        <v>46252</v>
      </c>
      <c r="B1493" t="s">
        <v>219</v>
      </c>
      <c r="C1493" s="11">
        <f>36789*59</f>
        <v>2170551</v>
      </c>
      <c r="D1493" s="11"/>
      <c r="E1493" t="s">
        <v>1087</v>
      </c>
      <c r="F1493" s="108" t="s">
        <v>108</v>
      </c>
    </row>
    <row r="1494" spans="1:6" x14ac:dyDescent="0.3">
      <c r="A1494" s="111">
        <v>46252</v>
      </c>
      <c r="B1494" t="s">
        <v>211</v>
      </c>
      <c r="C1494" s="95">
        <v>3000</v>
      </c>
      <c r="D1494" s="95"/>
      <c r="F1494" s="108" t="s">
        <v>108</v>
      </c>
    </row>
    <row r="1495" spans="1:6" x14ac:dyDescent="0.3">
      <c r="A1495" s="111">
        <v>46252</v>
      </c>
      <c r="B1495" t="s">
        <v>357</v>
      </c>
      <c r="C1495" s="11">
        <v>2900</v>
      </c>
      <c r="D1495" s="11"/>
      <c r="F1495" s="108" t="s">
        <v>108</v>
      </c>
    </row>
    <row r="1496" spans="1:6" x14ac:dyDescent="0.3">
      <c r="A1496" s="111">
        <v>46252</v>
      </c>
      <c r="B1496" t="s">
        <v>244</v>
      </c>
      <c r="C1496" s="11">
        <v>4044</v>
      </c>
      <c r="D1496" s="11"/>
      <c r="E1496" t="s">
        <v>886</v>
      </c>
      <c r="F1496" s="108" t="s">
        <v>108</v>
      </c>
    </row>
    <row r="1497" spans="1:6" x14ac:dyDescent="0.3">
      <c r="A1497" s="111">
        <v>46252</v>
      </c>
      <c r="B1497" t="s">
        <v>367</v>
      </c>
      <c r="C1497" s="11"/>
      <c r="D1497" s="11">
        <v>500000</v>
      </c>
      <c r="E1497" t="s">
        <v>1088</v>
      </c>
      <c r="F1497" s="108" t="s">
        <v>108</v>
      </c>
    </row>
    <row r="1498" spans="1:6" x14ac:dyDescent="0.3">
      <c r="A1498" s="111">
        <v>46252</v>
      </c>
      <c r="B1498" t="s">
        <v>488</v>
      </c>
      <c r="C1498" s="11">
        <v>1010</v>
      </c>
      <c r="D1498" s="11"/>
      <c r="E1498" t="s">
        <v>541</v>
      </c>
      <c r="F1498" s="108" t="s">
        <v>108</v>
      </c>
    </row>
    <row r="1499" spans="1:6" x14ac:dyDescent="0.3">
      <c r="A1499" s="38">
        <v>46252</v>
      </c>
      <c r="B1499" t="s">
        <v>269</v>
      </c>
      <c r="C1499" s="11">
        <v>15000</v>
      </c>
      <c r="D1499" s="11"/>
      <c r="E1499" t="s">
        <v>1089</v>
      </c>
      <c r="F1499" s="108" t="s">
        <v>108</v>
      </c>
    </row>
    <row r="1500" spans="1:6" x14ac:dyDescent="0.3">
      <c r="A1500" s="111">
        <v>46252</v>
      </c>
      <c r="B1500" t="s">
        <v>488</v>
      </c>
      <c r="C1500" s="11">
        <v>1000</v>
      </c>
      <c r="D1500" s="11"/>
      <c r="E1500" t="s">
        <v>1090</v>
      </c>
      <c r="F1500" s="108" t="s">
        <v>108</v>
      </c>
    </row>
    <row r="1501" spans="1:6" x14ac:dyDescent="0.3">
      <c r="A1501" s="38">
        <v>46252</v>
      </c>
      <c r="B1501" t="s">
        <v>244</v>
      </c>
      <c r="C1501" s="11">
        <v>290</v>
      </c>
      <c r="D1501" s="11"/>
      <c r="F1501" s="108" t="s">
        <v>108</v>
      </c>
    </row>
    <row r="1502" spans="1:6" x14ac:dyDescent="0.3">
      <c r="A1502" s="111">
        <v>46253</v>
      </c>
      <c r="B1502" t="s">
        <v>488</v>
      </c>
      <c r="C1502" s="11">
        <v>1500</v>
      </c>
      <c r="D1502" s="11"/>
      <c r="E1502" t="s">
        <v>852</v>
      </c>
      <c r="F1502" s="108" t="s">
        <v>108</v>
      </c>
    </row>
    <row r="1503" spans="1:6" x14ac:dyDescent="0.3">
      <c r="A1503" s="38">
        <v>46253</v>
      </c>
      <c r="B1503" t="s">
        <v>219</v>
      </c>
      <c r="C1503" s="11"/>
      <c r="D1503" s="11">
        <v>940</v>
      </c>
      <c r="E1503" t="s">
        <v>1091</v>
      </c>
      <c r="F1503" s="108" t="s">
        <v>108</v>
      </c>
    </row>
    <row r="1504" spans="1:6" x14ac:dyDescent="0.3">
      <c r="A1504" s="111">
        <v>46253</v>
      </c>
      <c r="B1504" t="s">
        <v>55</v>
      </c>
      <c r="C1504" s="11">
        <v>940</v>
      </c>
      <c r="D1504" s="11"/>
      <c r="E1504" t="s">
        <v>1091</v>
      </c>
      <c r="F1504" s="108" t="s">
        <v>108</v>
      </c>
    </row>
    <row r="1505" spans="1:6" x14ac:dyDescent="0.3">
      <c r="A1505" s="38">
        <v>46253</v>
      </c>
      <c r="B1505" t="s">
        <v>219</v>
      </c>
      <c r="C1505" s="95"/>
      <c r="D1505" s="95">
        <v>4162</v>
      </c>
      <c r="E1505" t="s">
        <v>1092</v>
      </c>
      <c r="F1505" s="108" t="s">
        <v>108</v>
      </c>
    </row>
    <row r="1506" spans="1:6" x14ac:dyDescent="0.3">
      <c r="A1506" s="111">
        <v>46253</v>
      </c>
      <c r="B1506" t="s">
        <v>55</v>
      </c>
      <c r="C1506" s="95">
        <v>4162</v>
      </c>
      <c r="D1506" s="95"/>
      <c r="E1506" t="s">
        <v>1092</v>
      </c>
      <c r="F1506" s="108" t="s">
        <v>108</v>
      </c>
    </row>
    <row r="1507" spans="1:6" x14ac:dyDescent="0.3">
      <c r="A1507" s="38">
        <v>46253</v>
      </c>
      <c r="B1507" t="s">
        <v>269</v>
      </c>
      <c r="C1507" s="95">
        <v>5000</v>
      </c>
      <c r="D1507" s="95"/>
      <c r="E1507" t="s">
        <v>580</v>
      </c>
      <c r="F1507" s="108" t="s">
        <v>108</v>
      </c>
    </row>
    <row r="1508" spans="1:6" x14ac:dyDescent="0.3">
      <c r="A1508" s="111">
        <v>46253</v>
      </c>
      <c r="B1508" t="s">
        <v>55</v>
      </c>
      <c r="C1508" s="11">
        <v>3750</v>
      </c>
      <c r="D1508" s="11"/>
      <c r="E1508" t="s">
        <v>1093</v>
      </c>
      <c r="F1508" s="108" t="s">
        <v>108</v>
      </c>
    </row>
    <row r="1509" spans="1:6" x14ac:dyDescent="0.3">
      <c r="A1509" s="111">
        <v>46253</v>
      </c>
      <c r="B1509" t="s">
        <v>219</v>
      </c>
      <c r="C1509" s="11"/>
      <c r="D1509" s="11">
        <v>3750</v>
      </c>
      <c r="E1509" t="s">
        <v>1093</v>
      </c>
      <c r="F1509" s="108" t="s">
        <v>108</v>
      </c>
    </row>
    <row r="1510" spans="1:6" x14ac:dyDescent="0.3">
      <c r="A1510" s="38">
        <v>46253</v>
      </c>
      <c r="B1510" t="s">
        <v>222</v>
      </c>
      <c r="C1510" s="11">
        <v>200000</v>
      </c>
      <c r="D1510" s="11"/>
      <c r="E1510" t="s">
        <v>540</v>
      </c>
      <c r="F1510" s="108" t="s">
        <v>108</v>
      </c>
    </row>
    <row r="1511" spans="1:6" x14ac:dyDescent="0.3">
      <c r="A1511" s="38">
        <v>46253</v>
      </c>
      <c r="B1511" t="s">
        <v>219</v>
      </c>
      <c r="C1511" s="11"/>
      <c r="D1511" s="11">
        <v>200000</v>
      </c>
      <c r="E1511" t="s">
        <v>1094</v>
      </c>
      <c r="F1511" s="108" t="s">
        <v>108</v>
      </c>
    </row>
    <row r="1512" spans="1:6" x14ac:dyDescent="0.3">
      <c r="A1512" s="38">
        <v>46253</v>
      </c>
      <c r="B1512" t="s">
        <v>219</v>
      </c>
      <c r="C1512" s="11"/>
      <c r="D1512" s="11">
        <v>6500</v>
      </c>
      <c r="E1512" t="s">
        <v>1095</v>
      </c>
      <c r="F1512" s="108" t="s">
        <v>108</v>
      </c>
    </row>
    <row r="1513" spans="1:6" x14ac:dyDescent="0.3">
      <c r="A1513" s="38">
        <v>46253</v>
      </c>
      <c r="B1513" t="s">
        <v>219</v>
      </c>
      <c r="C1513" s="11"/>
      <c r="D1513" s="11">
        <v>5100</v>
      </c>
      <c r="E1513" t="s">
        <v>1096</v>
      </c>
      <c r="F1513" s="108" t="s">
        <v>108</v>
      </c>
    </row>
    <row r="1514" spans="1:6" x14ac:dyDescent="0.3">
      <c r="A1514" s="38">
        <v>46253</v>
      </c>
      <c r="B1514" t="s">
        <v>55</v>
      </c>
      <c r="C1514" s="11">
        <f>6500+5100</f>
        <v>11600</v>
      </c>
      <c r="D1514" s="11"/>
      <c r="E1514" t="s">
        <v>1097</v>
      </c>
      <c r="F1514" s="108" t="s">
        <v>108</v>
      </c>
    </row>
    <row r="1515" spans="1:6" x14ac:dyDescent="0.3">
      <c r="A1515" s="38">
        <v>46253</v>
      </c>
      <c r="B1515" t="s">
        <v>219</v>
      </c>
      <c r="C1515" s="11"/>
      <c r="D1515" s="11">
        <v>84000</v>
      </c>
      <c r="E1515" t="s">
        <v>1098</v>
      </c>
      <c r="F1515" s="108" t="s">
        <v>108</v>
      </c>
    </row>
    <row r="1516" spans="1:6" x14ac:dyDescent="0.3">
      <c r="A1516" s="38">
        <v>46253</v>
      </c>
      <c r="B1516" t="s">
        <v>55</v>
      </c>
      <c r="C1516" s="11">
        <v>84000</v>
      </c>
      <c r="D1516" s="11"/>
      <c r="E1516" t="s">
        <v>1098</v>
      </c>
      <c r="F1516" s="108" t="s">
        <v>108</v>
      </c>
    </row>
    <row r="1517" spans="1:6" x14ac:dyDescent="0.3">
      <c r="A1517" s="38">
        <v>46253</v>
      </c>
      <c r="B1517" t="s">
        <v>244</v>
      </c>
      <c r="C1517" s="11">
        <v>650</v>
      </c>
      <c r="D1517" s="11"/>
      <c r="F1517" s="108" t="s">
        <v>108</v>
      </c>
    </row>
    <row r="1518" spans="1:6" x14ac:dyDescent="0.3">
      <c r="A1518" s="38">
        <v>46253</v>
      </c>
      <c r="B1518" t="s">
        <v>488</v>
      </c>
      <c r="C1518" s="11">
        <v>2500</v>
      </c>
      <c r="D1518" s="11"/>
      <c r="E1518" t="s">
        <v>287</v>
      </c>
      <c r="F1518" s="108" t="s">
        <v>108</v>
      </c>
    </row>
    <row r="1519" spans="1:6" x14ac:dyDescent="0.3">
      <c r="A1519" s="38">
        <v>46253</v>
      </c>
      <c r="B1519" t="s">
        <v>488</v>
      </c>
      <c r="C1519" s="11">
        <v>5000</v>
      </c>
      <c r="D1519" s="11"/>
      <c r="E1519" t="s">
        <v>839</v>
      </c>
      <c r="F1519" s="108" t="s">
        <v>108</v>
      </c>
    </row>
    <row r="1520" spans="1:6" x14ac:dyDescent="0.3">
      <c r="A1520" s="38">
        <v>46253</v>
      </c>
      <c r="B1520" t="s">
        <v>219</v>
      </c>
      <c r="C1520" s="11"/>
      <c r="D1520" s="11">
        <v>150000</v>
      </c>
      <c r="E1520" t="s">
        <v>1099</v>
      </c>
      <c r="F1520" s="108" t="s">
        <v>108</v>
      </c>
    </row>
    <row r="1521" spans="1:11" x14ac:dyDescent="0.3">
      <c r="A1521" s="38">
        <v>46253</v>
      </c>
      <c r="B1521" t="s">
        <v>246</v>
      </c>
      <c r="C1521" s="11">
        <v>13300</v>
      </c>
      <c r="D1521" s="11"/>
      <c r="E1521" t="s">
        <v>1100</v>
      </c>
      <c r="F1521" s="108" t="s">
        <v>108</v>
      </c>
    </row>
    <row r="1522" spans="1:11" x14ac:dyDescent="0.3">
      <c r="A1522" s="38">
        <v>46253</v>
      </c>
      <c r="B1522" t="s">
        <v>244</v>
      </c>
      <c r="C1522" s="11">
        <v>1500</v>
      </c>
      <c r="D1522" s="11"/>
      <c r="E1522" t="s">
        <v>1101</v>
      </c>
      <c r="F1522" s="108" t="s">
        <v>108</v>
      </c>
    </row>
    <row r="1523" spans="1:11" x14ac:dyDescent="0.3">
      <c r="A1523" s="38">
        <v>46253</v>
      </c>
      <c r="B1523" t="s">
        <v>244</v>
      </c>
      <c r="C1523" s="11">
        <v>900</v>
      </c>
      <c r="D1523" s="11"/>
      <c r="E1523" t="s">
        <v>886</v>
      </c>
      <c r="F1523" s="108" t="s">
        <v>108</v>
      </c>
    </row>
    <row r="1524" spans="1:11" x14ac:dyDescent="0.3">
      <c r="A1524" s="38">
        <v>46253</v>
      </c>
      <c r="B1524" t="s">
        <v>269</v>
      </c>
      <c r="C1524" s="11"/>
      <c r="D1524" s="11"/>
      <c r="E1524" t="s">
        <v>1107</v>
      </c>
      <c r="F1524" s="108" t="s">
        <v>108</v>
      </c>
      <c r="I1524" s="164">
        <v>37408</v>
      </c>
      <c r="J1524" s="164">
        <v>37073</v>
      </c>
      <c r="K1524" s="164">
        <v>37438</v>
      </c>
    </row>
    <row r="1525" spans="1:11" x14ac:dyDescent="0.3">
      <c r="A1525" s="38">
        <v>46253</v>
      </c>
      <c r="B1525" t="s">
        <v>269</v>
      </c>
      <c r="C1525" s="11">
        <v>20000</v>
      </c>
      <c r="D1525" s="11"/>
      <c r="E1525" t="s">
        <v>1108</v>
      </c>
      <c r="F1525" s="108" t="s">
        <v>108</v>
      </c>
      <c r="I1525">
        <v>5000</v>
      </c>
      <c r="J1525">
        <v>13400</v>
      </c>
      <c r="K1525">
        <v>8800</v>
      </c>
    </row>
    <row r="1526" spans="1:11" x14ac:dyDescent="0.3">
      <c r="A1526" s="38">
        <v>46253</v>
      </c>
      <c r="B1526" t="s">
        <v>269</v>
      </c>
      <c r="C1526" s="11">
        <v>50000</v>
      </c>
      <c r="D1526" s="11"/>
      <c r="E1526" t="s">
        <v>1109</v>
      </c>
      <c r="F1526" s="108" t="s">
        <v>108</v>
      </c>
      <c r="I1526">
        <v>5640</v>
      </c>
      <c r="J1526">
        <v>14400</v>
      </c>
      <c r="K1526">
        <v>6800</v>
      </c>
    </row>
    <row r="1527" spans="1:11" x14ac:dyDescent="0.3">
      <c r="A1527" s="38">
        <v>46253</v>
      </c>
      <c r="B1527" t="s">
        <v>253</v>
      </c>
      <c r="C1527" s="11">
        <v>50000</v>
      </c>
      <c r="D1527" s="11"/>
      <c r="E1527" t="s">
        <v>1110</v>
      </c>
      <c r="F1527" s="108" t="s">
        <v>108</v>
      </c>
      <c r="I1527">
        <v>7200</v>
      </c>
      <c r="J1527">
        <v>22650</v>
      </c>
      <c r="K1527">
        <v>8800</v>
      </c>
    </row>
    <row r="1528" spans="1:11" x14ac:dyDescent="0.3">
      <c r="A1528" s="38">
        <v>46253</v>
      </c>
      <c r="B1528" t="s">
        <v>253</v>
      </c>
      <c r="C1528" s="95">
        <v>440340</v>
      </c>
      <c r="D1528" s="95"/>
      <c r="E1528" t="s">
        <v>268</v>
      </c>
      <c r="F1528" s="108" t="s">
        <v>108</v>
      </c>
      <c r="I1528">
        <v>15000</v>
      </c>
      <c r="J1528">
        <v>10000</v>
      </c>
      <c r="K1528">
        <v>8800</v>
      </c>
    </row>
    <row r="1529" spans="1:11" x14ac:dyDescent="0.3">
      <c r="A1529" s="38">
        <v>46253</v>
      </c>
      <c r="B1529" t="s">
        <v>211</v>
      </c>
      <c r="C1529" s="95">
        <v>10000</v>
      </c>
      <c r="D1529" s="95"/>
      <c r="E1529" t="s">
        <v>1112</v>
      </c>
      <c r="F1529" s="108" t="s">
        <v>108</v>
      </c>
      <c r="I1529">
        <v>14500</v>
      </c>
      <c r="J1529">
        <v>20000</v>
      </c>
      <c r="K1529">
        <v>6600</v>
      </c>
    </row>
    <row r="1530" spans="1:11" x14ac:dyDescent="0.3">
      <c r="A1530" s="38">
        <v>46254</v>
      </c>
      <c r="B1530" t="s">
        <v>269</v>
      </c>
      <c r="C1530" s="11">
        <v>1000</v>
      </c>
      <c r="D1530" s="11"/>
      <c r="E1530" t="s">
        <v>1102</v>
      </c>
      <c r="F1530" s="108" t="s">
        <v>108</v>
      </c>
      <c r="I1530">
        <v>35000</v>
      </c>
      <c r="J1530">
        <v>9300</v>
      </c>
    </row>
    <row r="1531" spans="1:11" x14ac:dyDescent="0.3">
      <c r="A1531" s="38">
        <v>46254</v>
      </c>
      <c r="B1531" t="s">
        <v>269</v>
      </c>
      <c r="C1531" s="11">
        <v>1000</v>
      </c>
      <c r="D1531" s="11"/>
      <c r="E1531" t="s">
        <v>1103</v>
      </c>
      <c r="F1531" s="108" t="s">
        <v>108</v>
      </c>
      <c r="I1531">
        <v>8350</v>
      </c>
      <c r="J1531">
        <v>35000</v>
      </c>
    </row>
    <row r="1532" spans="1:11" x14ac:dyDescent="0.3">
      <c r="A1532" s="38">
        <v>46254</v>
      </c>
      <c r="B1532" t="s">
        <v>269</v>
      </c>
      <c r="C1532" s="11">
        <v>3000</v>
      </c>
      <c r="D1532" s="11"/>
      <c r="E1532" t="s">
        <v>1104</v>
      </c>
      <c r="F1532" s="108" t="s">
        <v>108</v>
      </c>
      <c r="J1532">
        <v>29800</v>
      </c>
    </row>
    <row r="1533" spans="1:11" x14ac:dyDescent="0.3">
      <c r="A1533" s="38">
        <v>46254</v>
      </c>
      <c r="B1533" t="s">
        <v>269</v>
      </c>
      <c r="C1533" s="11">
        <v>1000</v>
      </c>
      <c r="D1533" s="11"/>
      <c r="E1533" t="s">
        <v>1105</v>
      </c>
      <c r="F1533" s="108" t="s">
        <v>108</v>
      </c>
      <c r="J1533">
        <v>4150</v>
      </c>
    </row>
    <row r="1534" spans="1:11" x14ac:dyDescent="0.3">
      <c r="A1534" s="38">
        <v>46254</v>
      </c>
      <c r="B1534" t="s">
        <v>269</v>
      </c>
      <c r="C1534" s="11">
        <v>1000</v>
      </c>
      <c r="D1534" s="11"/>
      <c r="E1534" t="s">
        <v>1106</v>
      </c>
      <c r="F1534" s="108" t="s">
        <v>108</v>
      </c>
      <c r="J1534">
        <v>18150</v>
      </c>
    </row>
    <row r="1535" spans="1:11" x14ac:dyDescent="0.3">
      <c r="A1535" s="38">
        <v>46254</v>
      </c>
      <c r="B1535" t="s">
        <v>269</v>
      </c>
      <c r="C1535" s="95">
        <v>2500</v>
      </c>
      <c r="D1535" s="95"/>
      <c r="E1535" t="s">
        <v>1111</v>
      </c>
      <c r="F1535" s="108" t="s">
        <v>108</v>
      </c>
      <c r="J1535">
        <v>50000</v>
      </c>
    </row>
    <row r="1536" spans="1:11" x14ac:dyDescent="0.3">
      <c r="A1536" s="38">
        <v>46254</v>
      </c>
      <c r="B1536" t="s">
        <v>357</v>
      </c>
      <c r="C1536" s="95">
        <v>2900</v>
      </c>
      <c r="D1536" s="95"/>
      <c r="F1536" s="108" t="s">
        <v>108</v>
      </c>
      <c r="J1536">
        <v>50000</v>
      </c>
    </row>
    <row r="1537" spans="1:12" x14ac:dyDescent="0.3">
      <c r="A1537" s="38">
        <v>46254</v>
      </c>
      <c r="B1537" t="s">
        <v>244</v>
      </c>
      <c r="C1537" s="95">
        <v>600</v>
      </c>
      <c r="D1537" s="95"/>
      <c r="E1537" t="s">
        <v>399</v>
      </c>
      <c r="F1537" s="108" t="s">
        <v>108</v>
      </c>
      <c r="J1537">
        <v>25000</v>
      </c>
    </row>
    <row r="1538" spans="1:12" x14ac:dyDescent="0.3">
      <c r="A1538" s="38">
        <v>46254</v>
      </c>
      <c r="B1538" t="s">
        <v>253</v>
      </c>
      <c r="C1538" s="11">
        <v>3686</v>
      </c>
      <c r="D1538" s="11"/>
      <c r="E1538" t="s">
        <v>1053</v>
      </c>
      <c r="F1538" s="108" t="s">
        <v>108</v>
      </c>
      <c r="J1538">
        <v>8000</v>
      </c>
      <c r="L1538">
        <f>SUM(I1525:K1538)</f>
        <v>440340</v>
      </c>
    </row>
    <row r="1539" spans="1:12" x14ac:dyDescent="0.3">
      <c r="A1539" s="38">
        <v>46254</v>
      </c>
      <c r="B1539" t="s">
        <v>211</v>
      </c>
      <c r="C1539" s="11">
        <v>2250</v>
      </c>
      <c r="D1539" s="11"/>
      <c r="F1539" s="108" t="s">
        <v>108</v>
      </c>
    </row>
    <row r="1540" spans="1:12" x14ac:dyDescent="0.3">
      <c r="A1540" s="38">
        <v>46254</v>
      </c>
      <c r="B1540" t="s">
        <v>55</v>
      </c>
      <c r="C1540" s="11">
        <v>550</v>
      </c>
      <c r="D1540" s="11"/>
      <c r="F1540" s="108" t="s">
        <v>108</v>
      </c>
    </row>
    <row r="1541" spans="1:12" x14ac:dyDescent="0.3">
      <c r="A1541" s="38">
        <v>46254</v>
      </c>
      <c r="B1541" t="s">
        <v>298</v>
      </c>
      <c r="C1541" s="11">
        <v>2000</v>
      </c>
      <c r="D1541" s="11"/>
      <c r="E1541" t="s">
        <v>693</v>
      </c>
      <c r="F1541" s="108" t="s">
        <v>108</v>
      </c>
    </row>
    <row r="1542" spans="1:12" x14ac:dyDescent="0.3">
      <c r="A1542" s="38">
        <v>46254</v>
      </c>
      <c r="B1542" t="s">
        <v>488</v>
      </c>
      <c r="C1542" s="11">
        <v>1500</v>
      </c>
      <c r="D1542" s="11"/>
      <c r="E1542" t="s">
        <v>929</v>
      </c>
      <c r="F1542" s="108" t="s">
        <v>108</v>
      </c>
    </row>
    <row r="1543" spans="1:12" x14ac:dyDescent="0.3">
      <c r="A1543" s="38">
        <v>46254</v>
      </c>
      <c r="B1543" t="s">
        <v>298</v>
      </c>
      <c r="C1543" s="95"/>
      <c r="D1543" s="95">
        <v>241410</v>
      </c>
      <c r="E1543" t="s">
        <v>1166</v>
      </c>
      <c r="F1543" s="108" t="s">
        <v>108</v>
      </c>
    </row>
    <row r="1544" spans="1:12" x14ac:dyDescent="0.3">
      <c r="A1544" s="38">
        <v>46255</v>
      </c>
      <c r="B1544" t="s">
        <v>219</v>
      </c>
      <c r="C1544" s="11"/>
      <c r="D1544" s="11">
        <v>13900</v>
      </c>
      <c r="E1544" t="s">
        <v>1113</v>
      </c>
      <c r="F1544" s="108" t="s">
        <v>108</v>
      </c>
    </row>
    <row r="1545" spans="1:12" x14ac:dyDescent="0.3">
      <c r="A1545" s="38">
        <v>46255</v>
      </c>
      <c r="B1545" t="s">
        <v>244</v>
      </c>
      <c r="C1545" s="11">
        <v>9000</v>
      </c>
      <c r="D1545" s="11"/>
      <c r="E1545" t="s">
        <v>1114</v>
      </c>
      <c r="F1545" s="108" t="s">
        <v>108</v>
      </c>
    </row>
    <row r="1546" spans="1:12" x14ac:dyDescent="0.3">
      <c r="A1546" s="38">
        <v>46255</v>
      </c>
      <c r="B1546" t="s">
        <v>55</v>
      </c>
      <c r="C1546" s="11">
        <v>1030</v>
      </c>
      <c r="D1546" s="11"/>
      <c r="F1546" s="108" t="s">
        <v>108</v>
      </c>
    </row>
    <row r="1547" spans="1:12" x14ac:dyDescent="0.3">
      <c r="A1547" s="38">
        <v>46255</v>
      </c>
      <c r="B1547" t="s">
        <v>55</v>
      </c>
      <c r="C1547" s="11">
        <v>400</v>
      </c>
      <c r="D1547" s="11"/>
      <c r="E1547" t="s">
        <v>1115</v>
      </c>
      <c r="F1547" s="108" t="s">
        <v>108</v>
      </c>
    </row>
    <row r="1548" spans="1:12" x14ac:dyDescent="0.3">
      <c r="A1548" s="38">
        <v>46255</v>
      </c>
      <c r="B1548" t="s">
        <v>55</v>
      </c>
      <c r="C1548" s="11">
        <v>8000</v>
      </c>
      <c r="D1548" s="11"/>
      <c r="E1548" t="s">
        <v>1116</v>
      </c>
      <c r="F1548" s="108" t="s">
        <v>108</v>
      </c>
    </row>
    <row r="1549" spans="1:12" x14ac:dyDescent="0.3">
      <c r="A1549" s="38">
        <v>46255</v>
      </c>
      <c r="B1549" t="s">
        <v>357</v>
      </c>
      <c r="C1549" s="11">
        <v>2900</v>
      </c>
      <c r="D1549" s="11"/>
      <c r="E1549" t="s">
        <v>535</v>
      </c>
      <c r="F1549" s="108" t="s">
        <v>108</v>
      </c>
    </row>
    <row r="1550" spans="1:12" x14ac:dyDescent="0.3">
      <c r="A1550" s="38">
        <v>46255</v>
      </c>
      <c r="B1550" t="s">
        <v>246</v>
      </c>
      <c r="C1550" s="11">
        <v>8900</v>
      </c>
      <c r="D1550" s="11"/>
      <c r="E1550" t="s">
        <v>944</v>
      </c>
      <c r="F1550" s="108" t="s">
        <v>108</v>
      </c>
    </row>
    <row r="1551" spans="1:12" x14ac:dyDescent="0.3">
      <c r="A1551" s="38">
        <v>46255</v>
      </c>
      <c r="B1551" t="s">
        <v>253</v>
      </c>
      <c r="C1551" s="11">
        <v>16000</v>
      </c>
      <c r="D1551" s="11"/>
      <c r="E1551" t="s">
        <v>423</v>
      </c>
      <c r="F1551" s="108" t="s">
        <v>108</v>
      </c>
    </row>
    <row r="1552" spans="1:12" x14ac:dyDescent="0.3">
      <c r="A1552" s="38">
        <v>46255</v>
      </c>
      <c r="B1552" t="s">
        <v>211</v>
      </c>
      <c r="C1552" s="11"/>
      <c r="D1552" s="11">
        <v>500</v>
      </c>
      <c r="F1552" s="108" t="s">
        <v>108</v>
      </c>
    </row>
    <row r="1553" spans="1:6" x14ac:dyDescent="0.3">
      <c r="A1553" s="38">
        <v>46255</v>
      </c>
      <c r="B1553" t="s">
        <v>298</v>
      </c>
      <c r="C1553" s="11">
        <v>15000</v>
      </c>
      <c r="D1553" s="11"/>
      <c r="E1553" t="s">
        <v>693</v>
      </c>
      <c r="F1553" s="108" t="s">
        <v>108</v>
      </c>
    </row>
    <row r="1554" spans="1:6" x14ac:dyDescent="0.3">
      <c r="A1554" s="38">
        <v>46255</v>
      </c>
      <c r="B1554" t="s">
        <v>55</v>
      </c>
      <c r="C1554" s="11">
        <v>600</v>
      </c>
      <c r="D1554" s="11"/>
      <c r="F1554" s="108" t="s">
        <v>108</v>
      </c>
    </row>
    <row r="1555" spans="1:6" x14ac:dyDescent="0.3">
      <c r="A1555" s="38">
        <v>46255</v>
      </c>
      <c r="B1555" t="s">
        <v>244</v>
      </c>
      <c r="C1555" s="11">
        <v>620</v>
      </c>
      <c r="D1555" s="11"/>
      <c r="F1555" s="108" t="s">
        <v>108</v>
      </c>
    </row>
    <row r="1556" spans="1:6" x14ac:dyDescent="0.3">
      <c r="A1556" s="38">
        <v>46255</v>
      </c>
      <c r="B1556" t="s">
        <v>219</v>
      </c>
      <c r="C1556" s="11"/>
      <c r="D1556" s="11">
        <v>85000</v>
      </c>
      <c r="E1556" t="s">
        <v>1159</v>
      </c>
      <c r="F1556" s="108" t="s">
        <v>108</v>
      </c>
    </row>
    <row r="1557" spans="1:6" x14ac:dyDescent="0.3">
      <c r="A1557" s="38">
        <v>46255</v>
      </c>
      <c r="B1557" t="s">
        <v>253</v>
      </c>
      <c r="C1557" s="11">
        <v>85000</v>
      </c>
      <c r="D1557" s="11"/>
      <c r="E1557" t="s">
        <v>963</v>
      </c>
      <c r="F1557" s="108" t="s">
        <v>108</v>
      </c>
    </row>
    <row r="1558" spans="1:6" x14ac:dyDescent="0.3">
      <c r="A1558" s="38">
        <v>46255</v>
      </c>
      <c r="B1558" t="s">
        <v>219</v>
      </c>
      <c r="C1558" s="11"/>
      <c r="D1558" s="11">
        <v>5000</v>
      </c>
      <c r="E1558" t="s">
        <v>1160</v>
      </c>
      <c r="F1558" s="108" t="s">
        <v>108</v>
      </c>
    </row>
    <row r="1559" spans="1:6" x14ac:dyDescent="0.3">
      <c r="A1559" s="38">
        <v>46255</v>
      </c>
      <c r="B1559" t="s">
        <v>219</v>
      </c>
      <c r="C1559" s="11"/>
      <c r="D1559" s="11">
        <v>37900</v>
      </c>
      <c r="E1559" t="s">
        <v>1161</v>
      </c>
      <c r="F1559" s="108" t="s">
        <v>108</v>
      </c>
    </row>
    <row r="1560" spans="1:6" x14ac:dyDescent="0.3">
      <c r="A1560" s="38">
        <v>46255</v>
      </c>
      <c r="B1560" t="s">
        <v>219</v>
      </c>
      <c r="C1560" s="11">
        <v>110000</v>
      </c>
      <c r="D1560" s="11"/>
      <c r="E1560" t="s">
        <v>667</v>
      </c>
      <c r="F1560" s="108" t="s">
        <v>108</v>
      </c>
    </row>
    <row r="1561" spans="1:6" x14ac:dyDescent="0.3">
      <c r="A1561" s="38">
        <v>46255</v>
      </c>
      <c r="B1561" t="s">
        <v>27</v>
      </c>
      <c r="C1561" s="11"/>
      <c r="D1561" s="11">
        <v>110000</v>
      </c>
      <c r="E1561" t="s">
        <v>21</v>
      </c>
      <c r="F1561" s="108" t="s">
        <v>108</v>
      </c>
    </row>
    <row r="1562" spans="1:6" x14ac:dyDescent="0.3">
      <c r="A1562" s="38">
        <v>46256</v>
      </c>
      <c r="B1562" t="s">
        <v>246</v>
      </c>
      <c r="C1562" s="11">
        <v>5200</v>
      </c>
      <c r="D1562" s="11"/>
      <c r="E1562" t="s">
        <v>944</v>
      </c>
      <c r="F1562" s="108" t="s">
        <v>108</v>
      </c>
    </row>
    <row r="1563" spans="1:6" x14ac:dyDescent="0.3">
      <c r="A1563" s="38">
        <v>46256</v>
      </c>
      <c r="B1563" t="s">
        <v>488</v>
      </c>
      <c r="C1563" s="11">
        <v>750</v>
      </c>
      <c r="D1563" s="11"/>
      <c r="E1563" t="s">
        <v>903</v>
      </c>
      <c r="F1563" s="108" t="s">
        <v>108</v>
      </c>
    </row>
    <row r="1564" spans="1:6" x14ac:dyDescent="0.3">
      <c r="A1564" s="38">
        <v>46256</v>
      </c>
      <c r="B1564" t="s">
        <v>219</v>
      </c>
      <c r="C1564" s="11"/>
      <c r="D1564" s="11">
        <v>250000</v>
      </c>
      <c r="E1564" t="s">
        <v>1117</v>
      </c>
      <c r="F1564" s="108" t="s">
        <v>108</v>
      </c>
    </row>
    <row r="1565" spans="1:6" x14ac:dyDescent="0.3">
      <c r="A1565" s="38">
        <v>46256</v>
      </c>
      <c r="B1565" t="s">
        <v>1118</v>
      </c>
      <c r="C1565" s="11">
        <v>250000</v>
      </c>
      <c r="D1565" s="11"/>
      <c r="E1565" t="s">
        <v>1117</v>
      </c>
      <c r="F1565" s="108" t="s">
        <v>108</v>
      </c>
    </row>
    <row r="1566" spans="1:6" x14ac:dyDescent="0.3">
      <c r="A1566" s="38">
        <v>46256</v>
      </c>
      <c r="B1566" t="s">
        <v>357</v>
      </c>
      <c r="C1566" s="11">
        <v>2900</v>
      </c>
      <c r="D1566" s="11"/>
      <c r="E1566" t="s">
        <v>535</v>
      </c>
      <c r="F1566" s="108" t="s">
        <v>108</v>
      </c>
    </row>
    <row r="1567" spans="1:6" x14ac:dyDescent="0.3">
      <c r="A1567" s="38">
        <v>46256</v>
      </c>
      <c r="B1567" t="s">
        <v>219</v>
      </c>
      <c r="C1567" s="11"/>
      <c r="D1567" s="11">
        <v>5000</v>
      </c>
      <c r="E1567" t="s">
        <v>1158</v>
      </c>
      <c r="F1567" s="108" t="s">
        <v>108</v>
      </c>
    </row>
    <row r="1568" spans="1:6" x14ac:dyDescent="0.3">
      <c r="A1568" s="38">
        <v>46256</v>
      </c>
      <c r="B1568" s="1" t="s">
        <v>488</v>
      </c>
      <c r="C1568" s="11">
        <v>5000</v>
      </c>
      <c r="D1568" s="11"/>
      <c r="E1568" t="s">
        <v>648</v>
      </c>
      <c r="F1568" s="108" t="s">
        <v>108</v>
      </c>
    </row>
    <row r="1569" spans="1:6" x14ac:dyDescent="0.3">
      <c r="A1569" s="38">
        <v>46256</v>
      </c>
      <c r="B1569" s="1" t="s">
        <v>211</v>
      </c>
      <c r="C1569" s="11">
        <v>1000</v>
      </c>
      <c r="D1569" s="11"/>
      <c r="F1569" s="108" t="s">
        <v>108</v>
      </c>
    </row>
    <row r="1570" spans="1:6" x14ac:dyDescent="0.3">
      <c r="A1570" s="38">
        <v>46256</v>
      </c>
      <c r="B1570" t="s">
        <v>219</v>
      </c>
      <c r="C1570" s="11"/>
      <c r="D1570" s="11">
        <v>42000</v>
      </c>
      <c r="E1570" t="s">
        <v>796</v>
      </c>
      <c r="F1570" s="108" t="s">
        <v>108</v>
      </c>
    </row>
    <row r="1571" spans="1:6" x14ac:dyDescent="0.3">
      <c r="A1571" s="38">
        <v>46256</v>
      </c>
      <c r="B1571" t="s">
        <v>246</v>
      </c>
      <c r="C1571" s="11">
        <v>42000</v>
      </c>
      <c r="D1571" s="11"/>
      <c r="E1571" t="s">
        <v>796</v>
      </c>
      <c r="F1571" s="108" t="s">
        <v>108</v>
      </c>
    </row>
    <row r="1572" spans="1:6" x14ac:dyDescent="0.3">
      <c r="A1572" s="38">
        <v>46257</v>
      </c>
      <c r="B1572" t="s">
        <v>219</v>
      </c>
      <c r="C1572" s="11"/>
      <c r="D1572" s="11">
        <v>18000</v>
      </c>
      <c r="E1572" t="s">
        <v>1119</v>
      </c>
      <c r="F1572" s="108" t="s">
        <v>108</v>
      </c>
    </row>
    <row r="1573" spans="1:6" x14ac:dyDescent="0.3">
      <c r="A1573" s="38">
        <v>46257</v>
      </c>
      <c r="B1573" t="s">
        <v>298</v>
      </c>
      <c r="C1573" s="11">
        <v>10000</v>
      </c>
      <c r="D1573" s="11"/>
      <c r="E1573" t="s">
        <v>693</v>
      </c>
      <c r="F1573" s="108" t="s">
        <v>108</v>
      </c>
    </row>
    <row r="1574" spans="1:6" x14ac:dyDescent="0.3">
      <c r="A1574" s="38">
        <v>46257</v>
      </c>
      <c r="B1574" t="s">
        <v>246</v>
      </c>
      <c r="C1574" s="11">
        <v>2500</v>
      </c>
      <c r="D1574" s="11"/>
      <c r="E1574" t="s">
        <v>944</v>
      </c>
      <c r="F1574" s="108" t="s">
        <v>108</v>
      </c>
    </row>
    <row r="1575" spans="1:6" x14ac:dyDescent="0.3">
      <c r="A1575" s="38">
        <v>46257</v>
      </c>
      <c r="B1575" t="s">
        <v>357</v>
      </c>
      <c r="C1575" s="11">
        <v>2620</v>
      </c>
      <c r="D1575" s="11"/>
      <c r="F1575" s="108" t="s">
        <v>108</v>
      </c>
    </row>
    <row r="1576" spans="1:6" x14ac:dyDescent="0.3">
      <c r="A1576" s="38">
        <v>46257</v>
      </c>
      <c r="B1576" t="s">
        <v>488</v>
      </c>
      <c r="C1576" s="11">
        <v>6000</v>
      </c>
      <c r="D1576" s="11"/>
      <c r="E1576" t="s">
        <v>1120</v>
      </c>
      <c r="F1576" s="108" t="s">
        <v>108</v>
      </c>
    </row>
    <row r="1577" spans="1:6" x14ac:dyDescent="0.3">
      <c r="A1577" s="38">
        <v>46257</v>
      </c>
      <c r="B1577" t="s">
        <v>211</v>
      </c>
      <c r="C1577" s="95">
        <v>1900</v>
      </c>
      <c r="D1577" s="95"/>
      <c r="F1577" s="108" t="s">
        <v>108</v>
      </c>
    </row>
    <row r="1578" spans="1:6" x14ac:dyDescent="0.3">
      <c r="A1578" s="38">
        <v>46258</v>
      </c>
      <c r="B1578" t="s">
        <v>357</v>
      </c>
      <c r="C1578" s="11">
        <v>950</v>
      </c>
      <c r="D1578" s="11"/>
      <c r="F1578" s="108" t="s">
        <v>108</v>
      </c>
    </row>
    <row r="1579" spans="1:6" x14ac:dyDescent="0.3">
      <c r="A1579" s="111">
        <v>46258</v>
      </c>
      <c r="B1579" t="s">
        <v>246</v>
      </c>
      <c r="C1579" s="11">
        <v>1100</v>
      </c>
      <c r="D1579" s="11"/>
      <c r="E1579" t="s">
        <v>944</v>
      </c>
      <c r="F1579" s="108" t="s">
        <v>108</v>
      </c>
    </row>
    <row r="1580" spans="1:6" x14ac:dyDescent="0.3">
      <c r="A1580" s="111">
        <v>46258</v>
      </c>
      <c r="B1580" t="s">
        <v>246</v>
      </c>
      <c r="C1580" s="11">
        <v>4500</v>
      </c>
      <c r="D1580" s="11"/>
      <c r="E1580" t="s">
        <v>944</v>
      </c>
      <c r="F1580" s="108" t="s">
        <v>108</v>
      </c>
    </row>
    <row r="1581" spans="1:6" x14ac:dyDescent="0.3">
      <c r="A1581" s="111">
        <v>46258</v>
      </c>
      <c r="B1581" t="s">
        <v>211</v>
      </c>
      <c r="C1581" s="11"/>
      <c r="D1581" s="11"/>
      <c r="F1581" s="108" t="s">
        <v>108</v>
      </c>
    </row>
    <row r="1582" spans="1:6" x14ac:dyDescent="0.3">
      <c r="A1582" s="111">
        <v>46258</v>
      </c>
      <c r="B1582" t="s">
        <v>488</v>
      </c>
      <c r="C1582" s="11">
        <v>1500</v>
      </c>
      <c r="D1582" s="11"/>
      <c r="E1582" t="s">
        <v>929</v>
      </c>
      <c r="F1582" s="108" t="s">
        <v>108</v>
      </c>
    </row>
    <row r="1583" spans="1:6" x14ac:dyDescent="0.3">
      <c r="A1583" s="111">
        <v>46258</v>
      </c>
      <c r="B1583" t="s">
        <v>219</v>
      </c>
      <c r="C1583" s="11"/>
      <c r="D1583" s="11">
        <v>30000</v>
      </c>
      <c r="E1583" t="s">
        <v>1121</v>
      </c>
      <c r="F1583" s="108" t="s">
        <v>108</v>
      </c>
    </row>
    <row r="1584" spans="1:6" x14ac:dyDescent="0.3">
      <c r="A1584" s="111">
        <v>46258</v>
      </c>
      <c r="B1584" t="s">
        <v>253</v>
      </c>
      <c r="C1584" s="11">
        <v>15000</v>
      </c>
      <c r="D1584" s="11"/>
      <c r="E1584" t="s">
        <v>1122</v>
      </c>
      <c r="F1584" s="108" t="s">
        <v>108</v>
      </c>
    </row>
    <row r="1585" spans="1:6" x14ac:dyDescent="0.3">
      <c r="A1585" s="111">
        <v>46258</v>
      </c>
      <c r="B1585" t="s">
        <v>357</v>
      </c>
      <c r="C1585" s="11">
        <v>3460</v>
      </c>
      <c r="D1585" s="11"/>
      <c r="E1585" t="s">
        <v>535</v>
      </c>
      <c r="F1585" s="108" t="s">
        <v>108</v>
      </c>
    </row>
    <row r="1586" spans="1:6" x14ac:dyDescent="0.3">
      <c r="A1586" s="111">
        <v>46258</v>
      </c>
      <c r="B1586" t="s">
        <v>55</v>
      </c>
      <c r="C1586" s="11">
        <v>2832</v>
      </c>
      <c r="D1586" s="11"/>
      <c r="F1586" s="108" t="s">
        <v>108</v>
      </c>
    </row>
    <row r="1587" spans="1:6" x14ac:dyDescent="0.3">
      <c r="A1587" s="111">
        <v>46258</v>
      </c>
      <c r="B1587" t="s">
        <v>219</v>
      </c>
      <c r="C1587" s="11"/>
      <c r="D1587" s="11">
        <v>25000</v>
      </c>
      <c r="E1587" t="s">
        <v>1123</v>
      </c>
      <c r="F1587" s="108" t="s">
        <v>108</v>
      </c>
    </row>
    <row r="1588" spans="1:6" x14ac:dyDescent="0.3">
      <c r="A1588" s="111">
        <v>46258</v>
      </c>
      <c r="B1588" t="s">
        <v>55</v>
      </c>
      <c r="C1588" s="11">
        <v>11222</v>
      </c>
      <c r="D1588" s="11"/>
      <c r="E1588" t="s">
        <v>1091</v>
      </c>
      <c r="F1588" s="108" t="s">
        <v>108</v>
      </c>
    </row>
    <row r="1589" spans="1:6" x14ac:dyDescent="0.3">
      <c r="A1589" s="111">
        <v>46258</v>
      </c>
      <c r="B1589" t="s">
        <v>244</v>
      </c>
      <c r="C1589" s="11">
        <v>510</v>
      </c>
      <c r="D1589" s="11"/>
      <c r="F1589" s="108" t="s">
        <v>108</v>
      </c>
    </row>
    <row r="1590" spans="1:6" x14ac:dyDescent="0.3">
      <c r="A1590" s="111">
        <v>46258</v>
      </c>
      <c r="B1590" t="s">
        <v>488</v>
      </c>
      <c r="C1590" s="11">
        <v>1500</v>
      </c>
      <c r="D1590" s="11"/>
      <c r="F1590" s="108" t="s">
        <v>108</v>
      </c>
    </row>
    <row r="1591" spans="1:6" x14ac:dyDescent="0.3">
      <c r="A1591" s="111">
        <v>46258</v>
      </c>
      <c r="B1591" t="s">
        <v>269</v>
      </c>
      <c r="C1591" s="11">
        <v>15000</v>
      </c>
      <c r="D1591" s="11"/>
      <c r="E1591" t="s">
        <v>1124</v>
      </c>
      <c r="F1591" s="108" t="s">
        <v>108</v>
      </c>
    </row>
    <row r="1592" spans="1:6" x14ac:dyDescent="0.3">
      <c r="A1592" s="111">
        <v>46258</v>
      </c>
      <c r="B1592" t="s">
        <v>211</v>
      </c>
      <c r="C1592" s="11">
        <v>780</v>
      </c>
      <c r="D1592" s="11"/>
      <c r="F1592" s="108" t="s">
        <v>108</v>
      </c>
    </row>
    <row r="1593" spans="1:6" x14ac:dyDescent="0.3">
      <c r="A1593" s="111">
        <v>46258</v>
      </c>
      <c r="B1593" t="s">
        <v>386</v>
      </c>
      <c r="C1593" s="95">
        <v>1500</v>
      </c>
      <c r="D1593" s="95"/>
      <c r="E1593" t="s">
        <v>1165</v>
      </c>
      <c r="F1593" s="108" t="s">
        <v>108</v>
      </c>
    </row>
    <row r="1594" spans="1:6" x14ac:dyDescent="0.3">
      <c r="A1594" s="111">
        <v>46259</v>
      </c>
      <c r="B1594" t="s">
        <v>55</v>
      </c>
      <c r="C1594" s="11">
        <v>3920</v>
      </c>
      <c r="D1594" s="11"/>
      <c r="F1594" s="108" t="s">
        <v>108</v>
      </c>
    </row>
    <row r="1595" spans="1:6" x14ac:dyDescent="0.3">
      <c r="A1595" s="111">
        <v>46259</v>
      </c>
      <c r="B1595" t="s">
        <v>947</v>
      </c>
      <c r="C1595" s="11">
        <v>856374</v>
      </c>
      <c r="D1595" s="11"/>
      <c r="E1595" t="s">
        <v>1125</v>
      </c>
      <c r="F1595" s="108" t="s">
        <v>108</v>
      </c>
    </row>
    <row r="1596" spans="1:6" x14ac:dyDescent="0.3">
      <c r="A1596" s="111">
        <v>46259</v>
      </c>
      <c r="B1596" t="s">
        <v>219</v>
      </c>
      <c r="C1596" s="11"/>
      <c r="D1596" s="11">
        <v>856374</v>
      </c>
      <c r="E1596" t="s">
        <v>1125</v>
      </c>
      <c r="F1596" s="108" t="s">
        <v>108</v>
      </c>
    </row>
    <row r="1597" spans="1:6" x14ac:dyDescent="0.3">
      <c r="A1597" s="38">
        <v>46259</v>
      </c>
      <c r="B1597" t="s">
        <v>222</v>
      </c>
      <c r="C1597" s="11">
        <v>45300</v>
      </c>
      <c r="D1597" s="11"/>
      <c r="E1597" t="s">
        <v>240</v>
      </c>
      <c r="F1597" s="108" t="s">
        <v>108</v>
      </c>
    </row>
    <row r="1598" spans="1:6" x14ac:dyDescent="0.3">
      <c r="A1598" s="38">
        <v>46259</v>
      </c>
      <c r="B1598" t="s">
        <v>488</v>
      </c>
      <c r="C1598" s="11">
        <v>1000</v>
      </c>
      <c r="D1598" s="11"/>
      <c r="E1598" t="s">
        <v>852</v>
      </c>
      <c r="F1598" s="108" t="s">
        <v>108</v>
      </c>
    </row>
    <row r="1599" spans="1:6" x14ac:dyDescent="0.3">
      <c r="A1599" s="38">
        <v>46259</v>
      </c>
      <c r="B1599" t="s">
        <v>55</v>
      </c>
      <c r="C1599" s="11">
        <v>1000</v>
      </c>
      <c r="D1599" s="11"/>
      <c r="E1599" t="s">
        <v>1126</v>
      </c>
      <c r="F1599" s="108" t="s">
        <v>108</v>
      </c>
    </row>
    <row r="1600" spans="1:6" x14ac:dyDescent="0.3">
      <c r="A1600" s="38">
        <v>46259</v>
      </c>
      <c r="B1600" t="s">
        <v>1127</v>
      </c>
      <c r="C1600" s="11">
        <v>50000</v>
      </c>
      <c r="D1600" s="11"/>
      <c r="E1600" t="s">
        <v>1128</v>
      </c>
      <c r="F1600" s="108" t="s">
        <v>108</v>
      </c>
    </row>
    <row r="1601" spans="1:6" x14ac:dyDescent="0.3">
      <c r="A1601" s="38">
        <v>46259</v>
      </c>
      <c r="B1601" t="s">
        <v>219</v>
      </c>
      <c r="C1601" s="11"/>
      <c r="D1601" s="11">
        <v>50000</v>
      </c>
      <c r="E1601" t="s">
        <v>1129</v>
      </c>
      <c r="F1601" s="108" t="s">
        <v>108</v>
      </c>
    </row>
    <row r="1602" spans="1:6" x14ac:dyDescent="0.3">
      <c r="A1602" s="38">
        <v>46259</v>
      </c>
      <c r="B1602" t="s">
        <v>298</v>
      </c>
      <c r="C1602" s="11"/>
      <c r="D1602" s="11">
        <f>9877*5</f>
        <v>49385</v>
      </c>
      <c r="E1602" t="s">
        <v>1130</v>
      </c>
      <c r="F1602" s="108" t="s">
        <v>108</v>
      </c>
    </row>
    <row r="1603" spans="1:6" x14ac:dyDescent="0.3">
      <c r="A1603" s="38">
        <v>46259</v>
      </c>
      <c r="B1603" t="s">
        <v>1131</v>
      </c>
      <c r="C1603" s="11">
        <v>49385</v>
      </c>
      <c r="D1603" s="11"/>
      <c r="E1603" t="s">
        <v>1130</v>
      </c>
      <c r="F1603" s="108" t="s">
        <v>108</v>
      </c>
    </row>
    <row r="1604" spans="1:6" x14ac:dyDescent="0.3">
      <c r="A1604" s="38">
        <v>46259</v>
      </c>
      <c r="B1604" t="s">
        <v>222</v>
      </c>
      <c r="C1604" s="11">
        <v>7500</v>
      </c>
      <c r="D1604" s="11"/>
      <c r="E1604" t="s">
        <v>1132</v>
      </c>
      <c r="F1604" s="108" t="s">
        <v>108</v>
      </c>
    </row>
    <row r="1605" spans="1:6" x14ac:dyDescent="0.3">
      <c r="A1605" s="38">
        <v>46259</v>
      </c>
      <c r="B1605" t="s">
        <v>357</v>
      </c>
      <c r="C1605" s="11">
        <v>2900</v>
      </c>
      <c r="D1605" s="11"/>
      <c r="E1605" t="s">
        <v>535</v>
      </c>
      <c r="F1605" s="108" t="s">
        <v>108</v>
      </c>
    </row>
    <row r="1606" spans="1:6" x14ac:dyDescent="0.3">
      <c r="A1606" s="38">
        <v>46259</v>
      </c>
      <c r="B1606" t="s">
        <v>219</v>
      </c>
      <c r="C1606" s="11"/>
      <c r="D1606" s="11">
        <v>15000</v>
      </c>
      <c r="E1606" t="s">
        <v>1133</v>
      </c>
      <c r="F1606" s="108" t="s">
        <v>108</v>
      </c>
    </row>
    <row r="1607" spans="1:6" x14ac:dyDescent="0.3">
      <c r="A1607" s="38">
        <v>46259</v>
      </c>
      <c r="B1607" t="s">
        <v>298</v>
      </c>
      <c r="C1607" s="11">
        <v>15000</v>
      </c>
      <c r="D1607" s="11"/>
      <c r="E1607" t="s">
        <v>693</v>
      </c>
      <c r="F1607" s="108" t="s">
        <v>108</v>
      </c>
    </row>
    <row r="1608" spans="1:6" x14ac:dyDescent="0.3">
      <c r="A1608" s="38">
        <v>46259</v>
      </c>
      <c r="B1608" t="s">
        <v>219</v>
      </c>
      <c r="C1608" s="95"/>
      <c r="D1608" s="95">
        <v>50000</v>
      </c>
      <c r="E1608" t="s">
        <v>540</v>
      </c>
      <c r="F1608" s="108" t="s">
        <v>108</v>
      </c>
    </row>
    <row r="1609" spans="1:6" x14ac:dyDescent="0.3">
      <c r="A1609" s="38">
        <v>46259</v>
      </c>
      <c r="B1609" s="1" t="s">
        <v>269</v>
      </c>
      <c r="C1609" s="11">
        <v>1000</v>
      </c>
      <c r="D1609" s="11"/>
      <c r="E1609" t="s">
        <v>1162</v>
      </c>
      <c r="F1609" s="108" t="s">
        <v>108</v>
      </c>
    </row>
    <row r="1610" spans="1:6" x14ac:dyDescent="0.3">
      <c r="A1610" s="38">
        <v>46259</v>
      </c>
      <c r="B1610" s="1" t="s">
        <v>357</v>
      </c>
      <c r="C1610" s="11">
        <v>5000</v>
      </c>
      <c r="D1610" s="11"/>
      <c r="E1610" t="s">
        <v>1163</v>
      </c>
      <c r="F1610" s="108" t="s">
        <v>108</v>
      </c>
    </row>
    <row r="1611" spans="1:6" x14ac:dyDescent="0.3">
      <c r="A1611" s="38">
        <v>46259</v>
      </c>
      <c r="B1611" s="1" t="s">
        <v>488</v>
      </c>
      <c r="C1611" s="11">
        <v>5000</v>
      </c>
      <c r="D1611" s="11"/>
      <c r="E1611" t="s">
        <v>1164</v>
      </c>
      <c r="F1611" s="108" t="s">
        <v>108</v>
      </c>
    </row>
    <row r="1612" spans="1:6" x14ac:dyDescent="0.3">
      <c r="A1612" s="38">
        <v>46259</v>
      </c>
      <c r="B1612" t="s">
        <v>27</v>
      </c>
      <c r="C1612" s="11"/>
      <c r="D1612" s="11">
        <v>200000</v>
      </c>
      <c r="E1612" t="s">
        <v>21</v>
      </c>
      <c r="F1612" s="108" t="s">
        <v>108</v>
      </c>
    </row>
    <row r="1613" spans="1:6" x14ac:dyDescent="0.3">
      <c r="A1613" s="38">
        <v>46259</v>
      </c>
      <c r="B1613" t="s">
        <v>219</v>
      </c>
      <c r="C1613" s="11">
        <v>200000</v>
      </c>
      <c r="D1613" s="11"/>
      <c r="E1613" t="s">
        <v>667</v>
      </c>
      <c r="F1613" s="108" t="s">
        <v>108</v>
      </c>
    </row>
    <row r="1614" spans="1:6" x14ac:dyDescent="0.3">
      <c r="A1614" s="38">
        <v>46260</v>
      </c>
      <c r="B1614" t="s">
        <v>219</v>
      </c>
      <c r="C1614" s="11"/>
      <c r="D1614" s="11">
        <v>5000</v>
      </c>
      <c r="E1614" t="s">
        <v>1134</v>
      </c>
      <c r="F1614" s="108" t="s">
        <v>108</v>
      </c>
    </row>
    <row r="1615" spans="1:6" x14ac:dyDescent="0.3">
      <c r="A1615" s="38">
        <v>46260</v>
      </c>
      <c r="B1615" t="s">
        <v>269</v>
      </c>
      <c r="C1615" s="95">
        <v>1500</v>
      </c>
      <c r="D1615" s="95"/>
      <c r="E1615" t="s">
        <v>538</v>
      </c>
      <c r="F1615" s="108" t="s">
        <v>108</v>
      </c>
    </row>
    <row r="1616" spans="1:6" x14ac:dyDescent="0.3">
      <c r="A1616" s="38">
        <v>46260</v>
      </c>
      <c r="B1616" t="s">
        <v>211</v>
      </c>
      <c r="C1616" s="95">
        <v>780</v>
      </c>
      <c r="D1616" s="95"/>
      <c r="F1616" s="108" t="s">
        <v>108</v>
      </c>
    </row>
    <row r="1617" spans="1:6" x14ac:dyDescent="0.3">
      <c r="A1617" s="38">
        <v>46260</v>
      </c>
      <c r="B1617" t="s">
        <v>386</v>
      </c>
      <c r="C1617" s="95">
        <v>2000</v>
      </c>
      <c r="D1617" s="95"/>
      <c r="E1617" t="s">
        <v>1056</v>
      </c>
      <c r="F1617" s="108" t="s">
        <v>108</v>
      </c>
    </row>
    <row r="1618" spans="1:6" x14ac:dyDescent="0.3">
      <c r="A1618" s="38">
        <v>46260</v>
      </c>
      <c r="B1618" t="s">
        <v>488</v>
      </c>
      <c r="C1618" s="95">
        <v>5000</v>
      </c>
      <c r="D1618" s="95"/>
      <c r="E1618" t="s">
        <v>648</v>
      </c>
      <c r="F1618" s="108" t="s">
        <v>108</v>
      </c>
    </row>
    <row r="1619" spans="1:6" x14ac:dyDescent="0.3">
      <c r="A1619" s="38">
        <v>46260</v>
      </c>
      <c r="B1619" t="s">
        <v>1131</v>
      </c>
      <c r="C1619" s="95">
        <v>241410</v>
      </c>
      <c r="D1619" s="95"/>
      <c r="E1619" t="s">
        <v>1166</v>
      </c>
      <c r="F1619" s="108" t="s">
        <v>108</v>
      </c>
    </row>
    <row r="1620" spans="1:6" x14ac:dyDescent="0.3">
      <c r="A1620" s="38">
        <v>46261</v>
      </c>
      <c r="B1620" t="s">
        <v>219</v>
      </c>
      <c r="C1620" s="95"/>
      <c r="D1620" s="95">
        <v>100000</v>
      </c>
      <c r="E1620" t="s">
        <v>1135</v>
      </c>
      <c r="F1620" s="108" t="s">
        <v>108</v>
      </c>
    </row>
    <row r="1621" spans="1:6" x14ac:dyDescent="0.3">
      <c r="A1621" s="38">
        <v>46261</v>
      </c>
      <c r="B1621" t="s">
        <v>222</v>
      </c>
      <c r="C1621" s="95">
        <v>70000</v>
      </c>
      <c r="D1621" s="95"/>
      <c r="E1621" t="s">
        <v>240</v>
      </c>
      <c r="F1621" s="108" t="s">
        <v>108</v>
      </c>
    </row>
    <row r="1622" spans="1:6" x14ac:dyDescent="0.3">
      <c r="A1622" s="38">
        <v>46261</v>
      </c>
      <c r="B1622" t="s">
        <v>1136</v>
      </c>
      <c r="C1622" s="95">
        <v>2000</v>
      </c>
      <c r="D1622" s="95"/>
      <c r="E1622" t="s">
        <v>1137</v>
      </c>
      <c r="F1622" s="108" t="s">
        <v>108</v>
      </c>
    </row>
    <row r="1623" spans="1:6" x14ac:dyDescent="0.3">
      <c r="A1623" s="38">
        <v>46261</v>
      </c>
      <c r="B1623" t="s">
        <v>219</v>
      </c>
      <c r="C1623" s="95"/>
      <c r="D1623" s="95">
        <v>50001</v>
      </c>
      <c r="E1623" t="s">
        <v>1138</v>
      </c>
      <c r="F1623" s="108" t="s">
        <v>108</v>
      </c>
    </row>
    <row r="1624" spans="1:6" x14ac:dyDescent="0.3">
      <c r="A1624" s="38">
        <v>46261</v>
      </c>
      <c r="B1624" t="s">
        <v>55</v>
      </c>
      <c r="C1624" s="95">
        <v>50001</v>
      </c>
      <c r="D1624" s="95"/>
      <c r="E1624" t="s">
        <v>1138</v>
      </c>
      <c r="F1624" s="108" t="s">
        <v>108</v>
      </c>
    </row>
    <row r="1625" spans="1:6" x14ac:dyDescent="0.3">
      <c r="A1625" s="38">
        <v>46261</v>
      </c>
      <c r="B1625" t="s">
        <v>298</v>
      </c>
      <c r="C1625" s="95"/>
      <c r="D1625" s="95">
        <v>1000</v>
      </c>
      <c r="E1625" t="s">
        <v>1139</v>
      </c>
      <c r="F1625" s="108" t="s">
        <v>108</v>
      </c>
    </row>
    <row r="1626" spans="1:6" x14ac:dyDescent="0.3">
      <c r="A1626" s="38">
        <v>46261</v>
      </c>
      <c r="B1626" t="s">
        <v>298</v>
      </c>
      <c r="C1626" s="95">
        <v>1000</v>
      </c>
      <c r="D1626" s="95"/>
      <c r="E1626" t="s">
        <v>1139</v>
      </c>
      <c r="F1626" s="108" t="s">
        <v>108</v>
      </c>
    </row>
    <row r="1627" spans="1:6" x14ac:dyDescent="0.3">
      <c r="A1627" s="38">
        <v>46261</v>
      </c>
      <c r="B1627" t="s">
        <v>219</v>
      </c>
      <c r="C1627" s="95"/>
      <c r="D1627" s="95">
        <v>3300</v>
      </c>
      <c r="E1627" t="s">
        <v>1140</v>
      </c>
      <c r="F1627" s="108" t="s">
        <v>108</v>
      </c>
    </row>
    <row r="1628" spans="1:6" x14ac:dyDescent="0.3">
      <c r="A1628" s="38">
        <v>46261</v>
      </c>
      <c r="B1628" t="s">
        <v>55</v>
      </c>
      <c r="C1628" s="95">
        <v>3300</v>
      </c>
      <c r="D1628" s="95"/>
      <c r="E1628" t="s">
        <v>1140</v>
      </c>
      <c r="F1628" s="108" t="s">
        <v>108</v>
      </c>
    </row>
    <row r="1629" spans="1:6" x14ac:dyDescent="0.3">
      <c r="A1629" s="38">
        <v>46261</v>
      </c>
      <c r="B1629" t="s">
        <v>488</v>
      </c>
      <c r="C1629" s="95">
        <v>6000</v>
      </c>
      <c r="D1629" s="95"/>
      <c r="E1629" t="s">
        <v>1034</v>
      </c>
      <c r="F1629" s="108" t="s">
        <v>108</v>
      </c>
    </row>
    <row r="1630" spans="1:6" x14ac:dyDescent="0.3">
      <c r="A1630" s="38">
        <v>46261</v>
      </c>
      <c r="B1630" t="s">
        <v>269</v>
      </c>
      <c r="C1630" s="95">
        <v>10000</v>
      </c>
      <c r="D1630" s="95"/>
      <c r="E1630" t="s">
        <v>665</v>
      </c>
      <c r="F1630" s="108" t="s">
        <v>108</v>
      </c>
    </row>
    <row r="1631" spans="1:6" x14ac:dyDescent="0.3">
      <c r="A1631" s="38">
        <v>46261</v>
      </c>
      <c r="B1631" s="1" t="s">
        <v>488</v>
      </c>
      <c r="C1631" s="11">
        <v>5000</v>
      </c>
      <c r="D1631" s="11"/>
      <c r="E1631" t="s">
        <v>648</v>
      </c>
      <c r="F1631" s="108" t="s">
        <v>108</v>
      </c>
    </row>
    <row r="1632" spans="1:6" x14ac:dyDescent="0.3">
      <c r="A1632" s="38">
        <v>46261</v>
      </c>
      <c r="B1632" t="s">
        <v>219</v>
      </c>
      <c r="C1632" s="11"/>
      <c r="D1632" s="11">
        <v>5300</v>
      </c>
      <c r="E1632" t="s">
        <v>1167</v>
      </c>
      <c r="F1632" s="108" t="s">
        <v>108</v>
      </c>
    </row>
    <row r="1633" spans="1:6" x14ac:dyDescent="0.3">
      <c r="A1633" s="38">
        <v>46261</v>
      </c>
      <c r="B1633" t="s">
        <v>55</v>
      </c>
      <c r="C1633" s="11">
        <v>5300</v>
      </c>
      <c r="D1633" s="11"/>
      <c r="E1633" t="s">
        <v>1167</v>
      </c>
      <c r="F1633" s="108" t="s">
        <v>108</v>
      </c>
    </row>
    <row r="1634" spans="1:6" x14ac:dyDescent="0.3">
      <c r="A1634" s="38">
        <v>46261</v>
      </c>
      <c r="B1634" t="s">
        <v>219</v>
      </c>
      <c r="C1634" s="11"/>
      <c r="D1634" s="11">
        <v>75000</v>
      </c>
      <c r="E1634" t="s">
        <v>1168</v>
      </c>
      <c r="F1634" s="108" t="s">
        <v>108</v>
      </c>
    </row>
    <row r="1635" spans="1:6" x14ac:dyDescent="0.3">
      <c r="A1635" s="38">
        <v>46261</v>
      </c>
      <c r="B1635" t="s">
        <v>55</v>
      </c>
      <c r="C1635" s="11">
        <v>75000</v>
      </c>
      <c r="D1635" s="11"/>
      <c r="E1635" t="s">
        <v>1168</v>
      </c>
      <c r="F1635" s="108" t="s">
        <v>108</v>
      </c>
    </row>
    <row r="1636" spans="1:6" x14ac:dyDescent="0.3">
      <c r="A1636" s="38">
        <v>46262</v>
      </c>
      <c r="B1636" t="s">
        <v>211</v>
      </c>
      <c r="C1636" s="95">
        <v>780</v>
      </c>
      <c r="D1636" s="95"/>
      <c r="F1636" s="108" t="s">
        <v>108</v>
      </c>
    </row>
    <row r="1637" spans="1:6" x14ac:dyDescent="0.3">
      <c r="A1637" s="38">
        <v>46262</v>
      </c>
      <c r="B1637" t="s">
        <v>357</v>
      </c>
      <c r="C1637" s="95">
        <v>13435</v>
      </c>
      <c r="D1637" s="95"/>
      <c r="F1637" s="108" t="s">
        <v>108</v>
      </c>
    </row>
    <row r="1638" spans="1:6" x14ac:dyDescent="0.3">
      <c r="A1638" s="38">
        <v>46262</v>
      </c>
      <c r="B1638" t="s">
        <v>244</v>
      </c>
      <c r="C1638" s="95">
        <v>440</v>
      </c>
      <c r="D1638" s="95"/>
      <c r="F1638" s="108" t="s">
        <v>108</v>
      </c>
    </row>
    <row r="1639" spans="1:6" x14ac:dyDescent="0.3">
      <c r="A1639" s="38">
        <v>46262</v>
      </c>
      <c r="B1639" t="s">
        <v>219</v>
      </c>
      <c r="C1639" s="95"/>
      <c r="D1639" s="95">
        <v>1620000</v>
      </c>
      <c r="E1639" t="s">
        <v>1141</v>
      </c>
      <c r="F1639" s="108" t="s">
        <v>108</v>
      </c>
    </row>
    <row r="1640" spans="1:6" x14ac:dyDescent="0.3">
      <c r="A1640" s="38">
        <v>46262</v>
      </c>
      <c r="B1640" t="s">
        <v>55</v>
      </c>
      <c r="C1640" s="95">
        <v>1620000</v>
      </c>
      <c r="D1640" s="95"/>
      <c r="E1640" t="s">
        <v>1141</v>
      </c>
      <c r="F1640" s="108" t="s">
        <v>108</v>
      </c>
    </row>
    <row r="1641" spans="1:6" x14ac:dyDescent="0.3">
      <c r="A1641" s="38">
        <v>46262</v>
      </c>
      <c r="B1641" t="s">
        <v>219</v>
      </c>
      <c r="C1641" s="95"/>
      <c r="D1641" s="95">
        <v>10000</v>
      </c>
      <c r="E1641" t="s">
        <v>1142</v>
      </c>
      <c r="F1641" s="108" t="s">
        <v>108</v>
      </c>
    </row>
    <row r="1642" spans="1:6" x14ac:dyDescent="0.3">
      <c r="A1642" s="38">
        <v>46262</v>
      </c>
      <c r="B1642" t="s">
        <v>636</v>
      </c>
      <c r="C1642" s="95"/>
      <c r="D1642" s="95">
        <v>848000</v>
      </c>
      <c r="E1642" t="s">
        <v>1143</v>
      </c>
      <c r="F1642" s="108" t="s">
        <v>108</v>
      </c>
    </row>
    <row r="1643" spans="1:6" x14ac:dyDescent="0.3">
      <c r="A1643" s="38">
        <v>46262</v>
      </c>
      <c r="B1643" t="s">
        <v>219</v>
      </c>
      <c r="C1643" s="95">
        <v>300000</v>
      </c>
      <c r="D1643" s="95"/>
      <c r="E1643" t="s">
        <v>1144</v>
      </c>
      <c r="F1643" s="108" t="s">
        <v>108</v>
      </c>
    </row>
    <row r="1644" spans="1:6" x14ac:dyDescent="0.3">
      <c r="A1644" s="38">
        <v>46262</v>
      </c>
      <c r="B1644" t="s">
        <v>674</v>
      </c>
      <c r="C1644" s="95">
        <v>300000</v>
      </c>
      <c r="D1644" s="95"/>
      <c r="E1644" t="s">
        <v>1145</v>
      </c>
      <c r="F1644" s="108" t="s">
        <v>108</v>
      </c>
    </row>
    <row r="1645" spans="1:6" x14ac:dyDescent="0.3">
      <c r="A1645" s="38">
        <v>46262</v>
      </c>
      <c r="B1645" t="s">
        <v>211</v>
      </c>
      <c r="C1645" s="95"/>
      <c r="D1645" s="95">
        <v>10000</v>
      </c>
      <c r="F1645" s="108" t="s">
        <v>108</v>
      </c>
    </row>
    <row r="1646" spans="1:6" x14ac:dyDescent="0.3">
      <c r="A1646" s="111">
        <v>46263</v>
      </c>
      <c r="B1646" t="s">
        <v>222</v>
      </c>
      <c r="C1646" s="95">
        <v>45000</v>
      </c>
      <c r="D1646" s="95"/>
      <c r="E1646" t="s">
        <v>240</v>
      </c>
      <c r="F1646" s="108" t="s">
        <v>108</v>
      </c>
    </row>
    <row r="1647" spans="1:6" x14ac:dyDescent="0.3">
      <c r="A1647" s="111">
        <v>46263</v>
      </c>
      <c r="B1647" t="s">
        <v>219</v>
      </c>
      <c r="C1647" s="95">
        <v>200000</v>
      </c>
      <c r="D1647" s="95"/>
      <c r="E1647" t="s">
        <v>1146</v>
      </c>
      <c r="F1647" s="108" t="s">
        <v>108</v>
      </c>
    </row>
    <row r="1648" spans="1:6" x14ac:dyDescent="0.3">
      <c r="A1648" s="111">
        <v>46263</v>
      </c>
      <c r="B1648" t="s">
        <v>269</v>
      </c>
      <c r="C1648" s="95">
        <v>2000</v>
      </c>
      <c r="D1648" s="95"/>
      <c r="E1648" t="s">
        <v>1147</v>
      </c>
      <c r="F1648" s="108" t="s">
        <v>108</v>
      </c>
    </row>
    <row r="1649" spans="1:6" x14ac:dyDescent="0.3">
      <c r="A1649" s="111">
        <v>46263</v>
      </c>
      <c r="B1649" s="166" t="s">
        <v>269</v>
      </c>
      <c r="C1649" s="95">
        <v>2000</v>
      </c>
      <c r="D1649" s="95"/>
      <c r="E1649" t="s">
        <v>1148</v>
      </c>
      <c r="F1649" s="108" t="s">
        <v>108</v>
      </c>
    </row>
    <row r="1650" spans="1:6" x14ac:dyDescent="0.3">
      <c r="A1650" s="111">
        <v>46263</v>
      </c>
      <c r="B1650" s="166" t="s">
        <v>55</v>
      </c>
      <c r="C1650" s="95">
        <v>3360</v>
      </c>
      <c r="D1650" s="95"/>
      <c r="E1650" t="s">
        <v>448</v>
      </c>
      <c r="F1650" s="108" t="s">
        <v>108</v>
      </c>
    </row>
    <row r="1651" spans="1:6" x14ac:dyDescent="0.3">
      <c r="A1651" s="111">
        <v>46263</v>
      </c>
      <c r="B1651" s="166" t="s">
        <v>244</v>
      </c>
      <c r="C1651" s="95">
        <v>260</v>
      </c>
      <c r="D1651" s="95"/>
      <c r="E1651" t="s">
        <v>1149</v>
      </c>
      <c r="F1651" s="108" t="s">
        <v>108</v>
      </c>
    </row>
    <row r="1652" spans="1:6" x14ac:dyDescent="0.3">
      <c r="A1652" s="111">
        <v>46263</v>
      </c>
      <c r="B1652" s="166" t="s">
        <v>219</v>
      </c>
      <c r="C1652" s="95"/>
      <c r="D1652" s="95">
        <v>10000</v>
      </c>
      <c r="E1652" t="s">
        <v>1150</v>
      </c>
      <c r="F1652" s="108" t="s">
        <v>108</v>
      </c>
    </row>
    <row r="1653" spans="1:6" x14ac:dyDescent="0.3">
      <c r="A1653" s="111">
        <v>46263</v>
      </c>
      <c r="B1653" s="166" t="s">
        <v>55</v>
      </c>
      <c r="C1653" s="95">
        <v>420</v>
      </c>
      <c r="D1653" s="95"/>
      <c r="F1653" s="108" t="s">
        <v>108</v>
      </c>
    </row>
    <row r="1654" spans="1:6" x14ac:dyDescent="0.3">
      <c r="A1654" s="111">
        <v>46263</v>
      </c>
      <c r="B1654" s="166" t="s">
        <v>357</v>
      </c>
      <c r="C1654" s="95">
        <v>2900</v>
      </c>
      <c r="D1654" s="95"/>
      <c r="F1654" s="108" t="s">
        <v>108</v>
      </c>
    </row>
    <row r="1655" spans="1:6" x14ac:dyDescent="0.3">
      <c r="A1655" s="111">
        <v>46263</v>
      </c>
      <c r="B1655" s="166" t="s">
        <v>298</v>
      </c>
      <c r="C1655" s="95">
        <v>5000</v>
      </c>
      <c r="D1655" s="95"/>
      <c r="E1655" t="s">
        <v>693</v>
      </c>
      <c r="F1655" s="108" t="s">
        <v>108</v>
      </c>
    </row>
    <row r="1656" spans="1:6" x14ac:dyDescent="0.3">
      <c r="A1656" s="111">
        <v>46263</v>
      </c>
      <c r="B1656" s="166" t="s">
        <v>219</v>
      </c>
      <c r="C1656" s="95"/>
      <c r="D1656" s="95">
        <v>20000</v>
      </c>
      <c r="E1656" t="s">
        <v>1151</v>
      </c>
      <c r="F1656" s="108" t="s">
        <v>108</v>
      </c>
    </row>
    <row r="1657" spans="1:6" x14ac:dyDescent="0.3">
      <c r="A1657" s="38">
        <v>46263</v>
      </c>
      <c r="B1657" t="s">
        <v>269</v>
      </c>
      <c r="C1657" s="95">
        <v>5000</v>
      </c>
      <c r="D1657" s="95"/>
      <c r="E1657" t="s">
        <v>1025</v>
      </c>
      <c r="F1657" s="108" t="s">
        <v>108</v>
      </c>
    </row>
    <row r="1658" spans="1:6" x14ac:dyDescent="0.3">
      <c r="A1658" s="38">
        <v>46263</v>
      </c>
      <c r="B1658" t="s">
        <v>269</v>
      </c>
      <c r="C1658" s="95">
        <v>15000</v>
      </c>
      <c r="D1658" s="95"/>
      <c r="E1658" t="s">
        <v>1152</v>
      </c>
      <c r="F1658" s="108" t="s">
        <v>108</v>
      </c>
    </row>
    <row r="1659" spans="1:6" x14ac:dyDescent="0.3">
      <c r="A1659" s="38">
        <v>46263</v>
      </c>
      <c r="B1659" t="s">
        <v>211</v>
      </c>
      <c r="C1659" s="95">
        <v>780</v>
      </c>
      <c r="D1659" s="95"/>
      <c r="F1659" s="108" t="s">
        <v>108</v>
      </c>
    </row>
    <row r="1660" spans="1:6" x14ac:dyDescent="0.3">
      <c r="A1660" s="38">
        <v>46263</v>
      </c>
      <c r="B1660" s="1" t="s">
        <v>488</v>
      </c>
      <c r="C1660" s="11">
        <v>3000</v>
      </c>
      <c r="D1660" s="11"/>
      <c r="E1660" t="s">
        <v>648</v>
      </c>
      <c r="F1660" s="108" t="s">
        <v>108</v>
      </c>
    </row>
    <row r="1661" spans="1:6" x14ac:dyDescent="0.3">
      <c r="A1661" s="38">
        <v>46263</v>
      </c>
      <c r="B1661" s="1" t="s">
        <v>211</v>
      </c>
      <c r="C1661" s="11">
        <v>516</v>
      </c>
      <c r="D1661" s="11"/>
      <c r="F1661" s="108" t="s">
        <v>108</v>
      </c>
    </row>
    <row r="1662" spans="1:6" x14ac:dyDescent="0.3">
      <c r="A1662" s="38">
        <v>46264</v>
      </c>
      <c r="B1662" t="s">
        <v>55</v>
      </c>
      <c r="C1662" s="95">
        <v>420</v>
      </c>
      <c r="D1662" s="95"/>
      <c r="F1662" s="108" t="s">
        <v>108</v>
      </c>
    </row>
    <row r="1663" spans="1:6" x14ac:dyDescent="0.3">
      <c r="A1663" s="111">
        <v>46264</v>
      </c>
      <c r="B1663" t="s">
        <v>269</v>
      </c>
      <c r="C1663" s="95">
        <v>10000</v>
      </c>
      <c r="D1663" s="95"/>
      <c r="E1663" t="s">
        <v>1153</v>
      </c>
      <c r="F1663" s="108" t="s">
        <v>108</v>
      </c>
    </row>
    <row r="1664" spans="1:6" x14ac:dyDescent="0.3">
      <c r="A1664" s="111">
        <v>46264</v>
      </c>
      <c r="B1664" t="s">
        <v>357</v>
      </c>
      <c r="C1664" s="95">
        <v>2900</v>
      </c>
      <c r="D1664" s="95"/>
      <c r="F1664" s="108" t="s">
        <v>108</v>
      </c>
    </row>
    <row r="1665" spans="1:11" x14ac:dyDescent="0.3">
      <c r="A1665" s="111">
        <v>46264</v>
      </c>
      <c r="B1665" t="s">
        <v>219</v>
      </c>
      <c r="C1665" s="95"/>
      <c r="D1665" s="95">
        <v>10000</v>
      </c>
      <c r="E1665" t="s">
        <v>1154</v>
      </c>
      <c r="F1665" s="108" t="s">
        <v>108</v>
      </c>
    </row>
    <row r="1666" spans="1:11" x14ac:dyDescent="0.3">
      <c r="A1666" s="111">
        <v>46264</v>
      </c>
      <c r="B1666" t="s">
        <v>488</v>
      </c>
      <c r="C1666" s="95">
        <v>5000</v>
      </c>
      <c r="D1666" s="95"/>
      <c r="E1666" t="s">
        <v>648</v>
      </c>
      <c r="F1666" s="108" t="s">
        <v>108</v>
      </c>
      <c r="J1666" t="s">
        <v>874</v>
      </c>
    </row>
    <row r="1667" spans="1:11" x14ac:dyDescent="0.3">
      <c r="A1667" s="111">
        <v>46265</v>
      </c>
      <c r="B1667" t="s">
        <v>219</v>
      </c>
      <c r="C1667" s="95"/>
      <c r="D1667" s="95">
        <v>17000</v>
      </c>
      <c r="E1667" t="s">
        <v>1155</v>
      </c>
      <c r="F1667" s="108" t="s">
        <v>108</v>
      </c>
      <c r="J1667" s="117">
        <v>46137</v>
      </c>
      <c r="K1667">
        <v>14000</v>
      </c>
    </row>
    <row r="1668" spans="1:11" x14ac:dyDescent="0.3">
      <c r="A1668" s="111">
        <v>46265</v>
      </c>
      <c r="B1668" t="s">
        <v>246</v>
      </c>
      <c r="C1668" s="95">
        <v>15100</v>
      </c>
      <c r="D1668" s="95"/>
      <c r="E1668" t="s">
        <v>944</v>
      </c>
      <c r="F1668" s="108" t="s">
        <v>108</v>
      </c>
      <c r="J1668" s="117">
        <v>46151</v>
      </c>
      <c r="K1668">
        <v>8000</v>
      </c>
    </row>
    <row r="1669" spans="1:11" x14ac:dyDescent="0.3">
      <c r="A1669" s="111">
        <v>46265</v>
      </c>
      <c r="B1669" t="s">
        <v>55</v>
      </c>
      <c r="C1669" s="95">
        <v>11197</v>
      </c>
      <c r="D1669" s="95"/>
      <c r="E1669" t="s">
        <v>259</v>
      </c>
      <c r="F1669" s="108" t="s">
        <v>108</v>
      </c>
      <c r="J1669" s="117">
        <v>46153</v>
      </c>
      <c r="K1669">
        <v>8000</v>
      </c>
    </row>
    <row r="1670" spans="1:11" x14ac:dyDescent="0.3">
      <c r="A1670" s="111">
        <v>46265</v>
      </c>
      <c r="B1670" t="s">
        <v>219</v>
      </c>
      <c r="C1670" s="95"/>
      <c r="D1670" s="95">
        <v>15000</v>
      </c>
      <c r="E1670" t="s">
        <v>1156</v>
      </c>
      <c r="F1670" s="108" t="s">
        <v>108</v>
      </c>
      <c r="J1670" s="117">
        <v>46182</v>
      </c>
      <c r="K1670">
        <v>8000</v>
      </c>
    </row>
    <row r="1671" spans="1:11" x14ac:dyDescent="0.3">
      <c r="A1671" s="111">
        <v>46265</v>
      </c>
      <c r="B1671" t="s">
        <v>357</v>
      </c>
      <c r="C1671" s="95">
        <v>2900</v>
      </c>
      <c r="D1671" s="95"/>
      <c r="E1671" t="s">
        <v>535</v>
      </c>
      <c r="F1671" s="108" t="s">
        <v>108</v>
      </c>
      <c r="J1671" s="117">
        <v>46183</v>
      </c>
      <c r="K1671">
        <v>8000</v>
      </c>
    </row>
    <row r="1672" spans="1:11" x14ac:dyDescent="0.3">
      <c r="A1672" s="111">
        <v>46265</v>
      </c>
      <c r="B1672" t="s">
        <v>219</v>
      </c>
      <c r="C1672" s="95"/>
      <c r="D1672" s="95">
        <v>11000</v>
      </c>
      <c r="E1672" t="s">
        <v>1157</v>
      </c>
      <c r="F1672" s="108" t="s">
        <v>108</v>
      </c>
      <c r="J1672" s="117">
        <v>46191</v>
      </c>
      <c r="K1672">
        <v>8000</v>
      </c>
    </row>
    <row r="1673" spans="1:11" x14ac:dyDescent="0.3">
      <c r="A1673" s="111">
        <v>46266</v>
      </c>
      <c r="B1673" t="s">
        <v>55</v>
      </c>
      <c r="C1673" s="11">
        <v>11166</v>
      </c>
      <c r="D1673" s="11"/>
      <c r="E1673" t="s">
        <v>259</v>
      </c>
      <c r="F1673" s="108" t="s">
        <v>108</v>
      </c>
      <c r="J1673" s="117">
        <v>46242</v>
      </c>
      <c r="K1673">
        <v>6000</v>
      </c>
    </row>
    <row r="1674" spans="1:11" x14ac:dyDescent="0.3">
      <c r="A1674" s="111">
        <v>46266</v>
      </c>
      <c r="B1674" t="s">
        <v>219</v>
      </c>
      <c r="C1674" s="11"/>
      <c r="D1674" s="11">
        <v>11166</v>
      </c>
      <c r="E1674" t="s">
        <v>259</v>
      </c>
      <c r="F1674" s="108" t="s">
        <v>108</v>
      </c>
      <c r="J1674" t="s">
        <v>157</v>
      </c>
      <c r="K1674">
        <f>SUM(K1667:K1673)</f>
        <v>60000</v>
      </c>
    </row>
    <row r="1675" spans="1:11" x14ac:dyDescent="0.3">
      <c r="A1675" s="111">
        <v>46266</v>
      </c>
      <c r="B1675" t="s">
        <v>219</v>
      </c>
      <c r="C1675" s="11"/>
      <c r="D1675" s="11">
        <v>200000</v>
      </c>
      <c r="E1675" t="s">
        <v>1169</v>
      </c>
      <c r="F1675" s="108" t="s">
        <v>108</v>
      </c>
    </row>
    <row r="1676" spans="1:11" x14ac:dyDescent="0.3">
      <c r="A1676" s="111">
        <v>46266</v>
      </c>
      <c r="B1676" t="s">
        <v>222</v>
      </c>
      <c r="C1676" s="11">
        <v>200000</v>
      </c>
      <c r="D1676" s="11"/>
      <c r="E1676" t="s">
        <v>1170</v>
      </c>
      <c r="F1676" s="108" t="s">
        <v>108</v>
      </c>
    </row>
    <row r="1677" spans="1:11" x14ac:dyDescent="0.3">
      <c r="A1677" s="111">
        <v>46266</v>
      </c>
      <c r="B1677" t="s">
        <v>55</v>
      </c>
      <c r="C1677" s="11">
        <v>5200</v>
      </c>
      <c r="D1677" s="11"/>
      <c r="E1677" t="s">
        <v>1026</v>
      </c>
      <c r="F1677" s="108" t="s">
        <v>108</v>
      </c>
    </row>
    <row r="1678" spans="1:11" x14ac:dyDescent="0.3">
      <c r="A1678" s="111">
        <v>46266</v>
      </c>
      <c r="B1678" t="s">
        <v>219</v>
      </c>
      <c r="C1678" s="11"/>
      <c r="D1678" s="11">
        <v>5200</v>
      </c>
      <c r="E1678" t="s">
        <v>1026</v>
      </c>
      <c r="F1678" s="108" t="s">
        <v>108</v>
      </c>
    </row>
    <row r="1679" spans="1:11" x14ac:dyDescent="0.3">
      <c r="A1679" s="111">
        <v>46266</v>
      </c>
      <c r="B1679" t="s">
        <v>211</v>
      </c>
      <c r="C1679" s="11">
        <v>230</v>
      </c>
      <c r="D1679" s="11"/>
      <c r="F1679" s="108" t="s">
        <v>108</v>
      </c>
    </row>
    <row r="1680" spans="1:11" x14ac:dyDescent="0.3">
      <c r="A1680" s="111">
        <v>46266</v>
      </c>
      <c r="B1680" t="s">
        <v>244</v>
      </c>
      <c r="C1680" s="11">
        <v>1450</v>
      </c>
      <c r="D1680" s="11"/>
      <c r="E1680" t="s">
        <v>1171</v>
      </c>
      <c r="F1680" s="108" t="s">
        <v>108</v>
      </c>
    </row>
    <row r="1681" spans="1:6" x14ac:dyDescent="0.3">
      <c r="A1681" s="111">
        <v>46266</v>
      </c>
      <c r="B1681" t="s">
        <v>244</v>
      </c>
      <c r="C1681" s="11">
        <v>675</v>
      </c>
      <c r="D1681" s="11"/>
      <c r="E1681" t="s">
        <v>435</v>
      </c>
      <c r="F1681" s="108" t="s">
        <v>108</v>
      </c>
    </row>
    <row r="1682" spans="1:6" x14ac:dyDescent="0.3">
      <c r="A1682" s="111">
        <v>46266</v>
      </c>
      <c r="B1682" t="s">
        <v>219</v>
      </c>
      <c r="C1682" s="11"/>
      <c r="D1682" s="11">
        <v>30000</v>
      </c>
      <c r="E1682" t="s">
        <v>1172</v>
      </c>
      <c r="F1682" s="108" t="s">
        <v>108</v>
      </c>
    </row>
    <row r="1683" spans="1:6" x14ac:dyDescent="0.3">
      <c r="A1683" s="111">
        <v>46266</v>
      </c>
      <c r="B1683" t="s">
        <v>269</v>
      </c>
      <c r="C1683" s="11">
        <v>5000</v>
      </c>
      <c r="D1683" s="11"/>
      <c r="E1683" t="s">
        <v>1173</v>
      </c>
      <c r="F1683" s="108" t="s">
        <v>108</v>
      </c>
    </row>
    <row r="1684" spans="1:6" x14ac:dyDescent="0.3">
      <c r="A1684" s="111">
        <v>46266</v>
      </c>
      <c r="B1684" t="s">
        <v>219</v>
      </c>
      <c r="C1684" s="11"/>
      <c r="D1684" s="11">
        <v>3000</v>
      </c>
      <c r="E1684" t="s">
        <v>386</v>
      </c>
      <c r="F1684" s="108" t="s">
        <v>108</v>
      </c>
    </row>
    <row r="1685" spans="1:6" x14ac:dyDescent="0.3">
      <c r="A1685" s="111">
        <v>46266</v>
      </c>
      <c r="B1685" t="s">
        <v>386</v>
      </c>
      <c r="C1685" s="11">
        <v>2000</v>
      </c>
      <c r="D1685" s="11"/>
      <c r="E1685" t="s">
        <v>778</v>
      </c>
      <c r="F1685" s="108" t="s">
        <v>108</v>
      </c>
    </row>
    <row r="1686" spans="1:6" x14ac:dyDescent="0.3">
      <c r="A1686" s="111">
        <v>46266</v>
      </c>
      <c r="B1686" t="s">
        <v>253</v>
      </c>
      <c r="C1686" s="11">
        <v>18000</v>
      </c>
      <c r="D1686" s="11"/>
      <c r="E1686" t="s">
        <v>1174</v>
      </c>
      <c r="F1686" s="108" t="s">
        <v>108</v>
      </c>
    </row>
    <row r="1687" spans="1:6" x14ac:dyDescent="0.3">
      <c r="A1687" s="111">
        <v>46266</v>
      </c>
      <c r="B1687" t="s">
        <v>55</v>
      </c>
      <c r="C1687" s="95">
        <v>5800</v>
      </c>
      <c r="D1687" s="95"/>
      <c r="F1687" s="108" t="s">
        <v>108</v>
      </c>
    </row>
    <row r="1688" spans="1:6" x14ac:dyDescent="0.3">
      <c r="A1688" s="111">
        <v>46266</v>
      </c>
      <c r="B1688" t="s">
        <v>357</v>
      </c>
      <c r="C1688" s="11">
        <v>2900</v>
      </c>
      <c r="D1688" s="11"/>
      <c r="F1688" s="108" t="s">
        <v>108</v>
      </c>
    </row>
    <row r="1689" spans="1:6" x14ac:dyDescent="0.3">
      <c r="A1689" s="111">
        <v>46266</v>
      </c>
      <c r="B1689" t="s">
        <v>298</v>
      </c>
      <c r="C1689" s="11">
        <v>2000</v>
      </c>
      <c r="D1689" s="11"/>
      <c r="E1689" t="s">
        <v>693</v>
      </c>
      <c r="F1689" s="108" t="s">
        <v>108</v>
      </c>
    </row>
    <row r="1690" spans="1:6" x14ac:dyDescent="0.3">
      <c r="A1690" s="111">
        <v>46266</v>
      </c>
      <c r="B1690" t="s">
        <v>219</v>
      </c>
      <c r="C1690" s="11"/>
      <c r="D1690" s="11">
        <v>15000</v>
      </c>
      <c r="E1690" t="s">
        <v>1175</v>
      </c>
      <c r="F1690" s="108" t="s">
        <v>108</v>
      </c>
    </row>
    <row r="1691" spans="1:6" x14ac:dyDescent="0.3">
      <c r="A1691" s="111">
        <v>46266</v>
      </c>
      <c r="B1691" t="s">
        <v>55</v>
      </c>
      <c r="C1691" s="11">
        <v>11166</v>
      </c>
      <c r="D1691" s="11"/>
      <c r="E1691" t="s">
        <v>259</v>
      </c>
      <c r="F1691" s="108" t="s">
        <v>108</v>
      </c>
    </row>
    <row r="1692" spans="1:6" x14ac:dyDescent="0.3">
      <c r="A1692" s="111">
        <v>46266</v>
      </c>
      <c r="B1692" t="s">
        <v>219</v>
      </c>
      <c r="C1692" s="11">
        <v>11000</v>
      </c>
      <c r="D1692" s="11"/>
      <c r="E1692" t="s">
        <v>1176</v>
      </c>
      <c r="F1692" s="108" t="s">
        <v>108</v>
      </c>
    </row>
    <row r="1693" spans="1:6" x14ac:dyDescent="0.3">
      <c r="A1693" s="111">
        <v>46266</v>
      </c>
      <c r="B1693" t="s">
        <v>1177</v>
      </c>
      <c r="C1693" s="11"/>
      <c r="D1693" s="11">
        <v>11000</v>
      </c>
      <c r="E1693" t="s">
        <v>1176</v>
      </c>
      <c r="F1693" s="108" t="s">
        <v>108</v>
      </c>
    </row>
    <row r="1694" spans="1:6" x14ac:dyDescent="0.3">
      <c r="A1694" s="111">
        <v>46266</v>
      </c>
      <c r="B1694" t="s">
        <v>219</v>
      </c>
      <c r="C1694" s="11"/>
      <c r="D1694" s="11">
        <v>5000</v>
      </c>
      <c r="E1694" t="s">
        <v>1178</v>
      </c>
      <c r="F1694" s="108" t="s">
        <v>108</v>
      </c>
    </row>
    <row r="1695" spans="1:6" x14ac:dyDescent="0.3">
      <c r="A1695" s="111">
        <v>46266</v>
      </c>
      <c r="B1695" t="s">
        <v>244</v>
      </c>
      <c r="C1695" s="11">
        <v>5000</v>
      </c>
      <c r="D1695" s="11"/>
      <c r="E1695" t="s">
        <v>346</v>
      </c>
      <c r="F1695" s="108" t="s">
        <v>108</v>
      </c>
    </row>
    <row r="1696" spans="1:6" x14ac:dyDescent="0.3">
      <c r="A1696" s="111">
        <v>46266</v>
      </c>
      <c r="B1696" t="s">
        <v>219</v>
      </c>
      <c r="C1696" s="11"/>
      <c r="D1696" s="11">
        <v>5000</v>
      </c>
      <c r="E1696" t="s">
        <v>346</v>
      </c>
      <c r="F1696" s="108" t="s">
        <v>108</v>
      </c>
    </row>
    <row r="1697" spans="1:6" x14ac:dyDescent="0.3">
      <c r="A1697" s="111">
        <v>46267</v>
      </c>
      <c r="B1697" t="s">
        <v>211</v>
      </c>
      <c r="C1697" s="11">
        <v>780</v>
      </c>
      <c r="D1697" s="11"/>
      <c r="F1697" s="108" t="s">
        <v>108</v>
      </c>
    </row>
    <row r="1698" spans="1:6" x14ac:dyDescent="0.3">
      <c r="A1698" s="111">
        <v>46267</v>
      </c>
      <c r="B1698" t="s">
        <v>219</v>
      </c>
      <c r="C1698" s="11"/>
      <c r="D1698" s="11">
        <v>20500</v>
      </c>
      <c r="E1698" t="s">
        <v>983</v>
      </c>
      <c r="F1698" s="108" t="s">
        <v>108</v>
      </c>
    </row>
    <row r="1699" spans="1:6" x14ac:dyDescent="0.3">
      <c r="A1699" s="111">
        <v>46267</v>
      </c>
      <c r="B1699" t="s">
        <v>219</v>
      </c>
      <c r="C1699" s="11"/>
      <c r="D1699" s="11">
        <v>14000</v>
      </c>
      <c r="E1699" t="s">
        <v>1179</v>
      </c>
      <c r="F1699" s="108" t="s">
        <v>108</v>
      </c>
    </row>
    <row r="1700" spans="1:6" x14ac:dyDescent="0.3">
      <c r="A1700" s="111">
        <v>46267</v>
      </c>
      <c r="B1700" t="s">
        <v>253</v>
      </c>
      <c r="C1700" s="11">
        <v>20500</v>
      </c>
      <c r="D1700" s="11"/>
      <c r="E1700" t="s">
        <v>983</v>
      </c>
      <c r="F1700" s="108" t="s">
        <v>108</v>
      </c>
    </row>
    <row r="1701" spans="1:6" x14ac:dyDescent="0.3">
      <c r="A1701" s="111">
        <v>46267</v>
      </c>
      <c r="B1701" t="s">
        <v>386</v>
      </c>
      <c r="C1701" s="11">
        <v>14000</v>
      </c>
      <c r="D1701" s="11"/>
      <c r="E1701" t="s">
        <v>1179</v>
      </c>
      <c r="F1701" s="108" t="s">
        <v>108</v>
      </c>
    </row>
    <row r="1702" spans="1:6" x14ac:dyDescent="0.3">
      <c r="A1702" s="111">
        <v>46267</v>
      </c>
      <c r="B1702" t="s">
        <v>357</v>
      </c>
      <c r="C1702" s="11">
        <v>2900</v>
      </c>
      <c r="D1702" s="11"/>
      <c r="E1702" t="s">
        <v>392</v>
      </c>
      <c r="F1702" s="108" t="s">
        <v>108</v>
      </c>
    </row>
    <row r="1703" spans="1:6" x14ac:dyDescent="0.3">
      <c r="A1703" s="111">
        <v>46267</v>
      </c>
      <c r="B1703" t="s">
        <v>219</v>
      </c>
      <c r="C1703" s="11"/>
      <c r="D1703" s="11">
        <v>24000</v>
      </c>
      <c r="E1703" t="s">
        <v>1253</v>
      </c>
      <c r="F1703" s="108" t="s">
        <v>108</v>
      </c>
    </row>
    <row r="1704" spans="1:6" x14ac:dyDescent="0.3">
      <c r="A1704" s="111">
        <v>46267</v>
      </c>
      <c r="B1704" t="s">
        <v>298</v>
      </c>
      <c r="C1704" s="11">
        <v>15000</v>
      </c>
      <c r="D1704" s="11"/>
      <c r="E1704" t="s">
        <v>693</v>
      </c>
      <c r="F1704" s="108" t="s">
        <v>108</v>
      </c>
    </row>
    <row r="1705" spans="1:6" x14ac:dyDescent="0.3">
      <c r="A1705" s="111">
        <v>46267</v>
      </c>
      <c r="B1705" t="s">
        <v>488</v>
      </c>
      <c r="C1705" s="11">
        <v>3500</v>
      </c>
      <c r="D1705" s="11"/>
      <c r="E1705" t="s">
        <v>1090</v>
      </c>
      <c r="F1705" s="108" t="s">
        <v>108</v>
      </c>
    </row>
    <row r="1706" spans="1:6" x14ac:dyDescent="0.3">
      <c r="A1706" s="111">
        <v>46267</v>
      </c>
      <c r="B1706" t="s">
        <v>269</v>
      </c>
      <c r="C1706" s="11">
        <v>3000</v>
      </c>
      <c r="D1706" s="11"/>
      <c r="E1706" t="s">
        <v>288</v>
      </c>
      <c r="F1706" s="108" t="s">
        <v>108</v>
      </c>
    </row>
    <row r="1707" spans="1:6" x14ac:dyDescent="0.3">
      <c r="A1707" s="111">
        <v>46267</v>
      </c>
      <c r="B1707" t="s">
        <v>219</v>
      </c>
      <c r="C1707" s="11"/>
      <c r="D1707" s="11">
        <v>20000</v>
      </c>
      <c r="E1707" t="s">
        <v>1180</v>
      </c>
      <c r="F1707" s="108" t="s">
        <v>108</v>
      </c>
    </row>
    <row r="1708" spans="1:6" x14ac:dyDescent="0.3">
      <c r="A1708" s="111">
        <v>46267</v>
      </c>
      <c r="B1708" t="s">
        <v>298</v>
      </c>
      <c r="C1708" s="11">
        <v>5000</v>
      </c>
      <c r="D1708" s="11"/>
      <c r="E1708" t="s">
        <v>693</v>
      </c>
      <c r="F1708" s="108" t="s">
        <v>108</v>
      </c>
    </row>
    <row r="1709" spans="1:6" x14ac:dyDescent="0.3">
      <c r="A1709" s="111">
        <v>46267</v>
      </c>
      <c r="B1709" t="s">
        <v>269</v>
      </c>
      <c r="C1709" s="11">
        <v>15000</v>
      </c>
      <c r="D1709" s="11"/>
      <c r="E1709" t="s">
        <v>665</v>
      </c>
      <c r="F1709" s="108" t="s">
        <v>108</v>
      </c>
    </row>
    <row r="1710" spans="1:6" x14ac:dyDescent="0.3">
      <c r="A1710" s="111">
        <v>46267</v>
      </c>
      <c r="B1710" t="s">
        <v>55</v>
      </c>
      <c r="C1710" s="11">
        <v>11181</v>
      </c>
      <c r="D1710" s="11"/>
      <c r="E1710" t="s">
        <v>259</v>
      </c>
      <c r="F1710" s="108" t="s">
        <v>108</v>
      </c>
    </row>
    <row r="1711" spans="1:6" x14ac:dyDescent="0.3">
      <c r="A1711" s="111">
        <v>46268</v>
      </c>
      <c r="B1711" t="s">
        <v>211</v>
      </c>
      <c r="C1711" s="11">
        <v>300</v>
      </c>
      <c r="D1711" s="11"/>
      <c r="F1711" s="108" t="s">
        <v>108</v>
      </c>
    </row>
    <row r="1712" spans="1:6" x14ac:dyDescent="0.3">
      <c r="A1712" s="111">
        <v>46268</v>
      </c>
      <c r="B1712" t="s">
        <v>55</v>
      </c>
      <c r="C1712" s="11">
        <v>1900</v>
      </c>
      <c r="D1712" s="11"/>
      <c r="F1712" s="108" t="s">
        <v>108</v>
      </c>
    </row>
    <row r="1713" spans="1:6" x14ac:dyDescent="0.3">
      <c r="A1713" s="111">
        <v>46268</v>
      </c>
      <c r="B1713" t="s">
        <v>219</v>
      </c>
      <c r="C1713" s="11"/>
      <c r="D1713" s="11">
        <v>1900</v>
      </c>
      <c r="E1713" t="s">
        <v>521</v>
      </c>
      <c r="F1713" s="108" t="s">
        <v>108</v>
      </c>
    </row>
    <row r="1714" spans="1:6" x14ac:dyDescent="0.3">
      <c r="A1714" s="111">
        <v>46268</v>
      </c>
      <c r="B1714" t="s">
        <v>367</v>
      </c>
      <c r="C1714" s="11"/>
      <c r="D1714" s="11">
        <v>500000</v>
      </c>
      <c r="E1714" t="s">
        <v>1181</v>
      </c>
      <c r="F1714" s="108" t="s">
        <v>108</v>
      </c>
    </row>
    <row r="1715" spans="1:6" x14ac:dyDescent="0.3">
      <c r="A1715" s="111">
        <v>46268</v>
      </c>
      <c r="B1715" t="s">
        <v>219</v>
      </c>
      <c r="C1715" s="11">
        <v>450000</v>
      </c>
      <c r="D1715" s="11"/>
      <c r="E1715" t="s">
        <v>1182</v>
      </c>
      <c r="F1715" s="108" t="s">
        <v>108</v>
      </c>
    </row>
    <row r="1716" spans="1:6" x14ac:dyDescent="0.3">
      <c r="A1716" s="111">
        <v>46268</v>
      </c>
      <c r="B1716" t="s">
        <v>488</v>
      </c>
      <c r="C1716" s="11">
        <v>1500</v>
      </c>
      <c r="D1716" s="11"/>
      <c r="E1716" t="s">
        <v>1090</v>
      </c>
      <c r="F1716" s="108" t="s">
        <v>108</v>
      </c>
    </row>
    <row r="1717" spans="1:6" x14ac:dyDescent="0.3">
      <c r="A1717" s="111">
        <v>46268</v>
      </c>
      <c r="B1717" t="s">
        <v>269</v>
      </c>
      <c r="C1717" s="11">
        <v>20000</v>
      </c>
      <c r="D1717" s="11"/>
      <c r="E1717" t="s">
        <v>1183</v>
      </c>
      <c r="F1717" s="108" t="s">
        <v>108</v>
      </c>
    </row>
    <row r="1718" spans="1:6" x14ac:dyDescent="0.3">
      <c r="A1718" s="111">
        <v>46268</v>
      </c>
      <c r="B1718" t="s">
        <v>244</v>
      </c>
      <c r="C1718" s="11">
        <v>5000</v>
      </c>
      <c r="D1718" s="11"/>
      <c r="E1718" t="s">
        <v>1184</v>
      </c>
      <c r="F1718" s="108" t="s">
        <v>108</v>
      </c>
    </row>
    <row r="1719" spans="1:6" x14ac:dyDescent="0.3">
      <c r="A1719" s="111">
        <v>46268</v>
      </c>
      <c r="B1719" t="s">
        <v>253</v>
      </c>
      <c r="C1719" s="11">
        <v>10000</v>
      </c>
      <c r="D1719" s="11"/>
      <c r="E1719" t="s">
        <v>708</v>
      </c>
      <c r="F1719" s="108" t="s">
        <v>108</v>
      </c>
    </row>
    <row r="1720" spans="1:6" x14ac:dyDescent="0.3">
      <c r="A1720" s="111">
        <v>46268</v>
      </c>
      <c r="B1720" t="s">
        <v>55</v>
      </c>
      <c r="C1720" s="11">
        <v>2200</v>
      </c>
      <c r="D1720" s="11"/>
      <c r="F1720" s="108" t="s">
        <v>108</v>
      </c>
    </row>
    <row r="1721" spans="1:6" x14ac:dyDescent="0.3">
      <c r="A1721" s="111">
        <v>46268</v>
      </c>
      <c r="B1721" t="s">
        <v>55</v>
      </c>
      <c r="C1721" s="11">
        <v>1470</v>
      </c>
      <c r="D1721" s="11"/>
      <c r="F1721" s="108" t="s">
        <v>108</v>
      </c>
    </row>
    <row r="1722" spans="1:6" x14ac:dyDescent="0.3">
      <c r="A1722" s="111">
        <v>46268</v>
      </c>
      <c r="B1722" t="s">
        <v>357</v>
      </c>
      <c r="C1722" s="11">
        <v>2900</v>
      </c>
      <c r="D1722" s="11"/>
      <c r="F1722" s="108" t="s">
        <v>108</v>
      </c>
    </row>
    <row r="1723" spans="1:6" x14ac:dyDescent="0.3">
      <c r="A1723" s="111">
        <v>46268</v>
      </c>
      <c r="B1723" t="s">
        <v>55</v>
      </c>
      <c r="C1723" s="11">
        <v>11215</v>
      </c>
      <c r="D1723" s="11"/>
      <c r="E1723" t="s">
        <v>259</v>
      </c>
      <c r="F1723" s="108" t="s">
        <v>108</v>
      </c>
    </row>
    <row r="1724" spans="1:6" x14ac:dyDescent="0.3">
      <c r="A1724" s="111">
        <v>46268</v>
      </c>
      <c r="B1724" t="s">
        <v>219</v>
      </c>
      <c r="C1724" s="11"/>
      <c r="D1724" s="11">
        <v>11215</v>
      </c>
      <c r="E1724" t="s">
        <v>259</v>
      </c>
      <c r="F1724" s="108" t="s">
        <v>108</v>
      </c>
    </row>
    <row r="1725" spans="1:6" x14ac:dyDescent="0.3">
      <c r="A1725" s="111">
        <v>46268</v>
      </c>
      <c r="B1725" t="s">
        <v>219</v>
      </c>
      <c r="C1725" s="95"/>
      <c r="D1725" s="95">
        <v>19000</v>
      </c>
      <c r="E1725" t="s">
        <v>298</v>
      </c>
      <c r="F1725" s="108"/>
    </row>
    <row r="1726" spans="1:6" x14ac:dyDescent="0.3">
      <c r="A1726" s="111">
        <v>46268</v>
      </c>
      <c r="B1726" t="s">
        <v>298</v>
      </c>
      <c r="C1726" s="11">
        <v>19000</v>
      </c>
      <c r="D1726" s="11"/>
      <c r="E1726" t="s">
        <v>693</v>
      </c>
      <c r="F1726" s="108"/>
    </row>
    <row r="1727" spans="1:6" x14ac:dyDescent="0.3">
      <c r="A1727" s="111">
        <v>46268</v>
      </c>
      <c r="B1727" t="s">
        <v>219</v>
      </c>
      <c r="C1727" s="11"/>
      <c r="D1727" s="11">
        <v>6000</v>
      </c>
      <c r="E1727" t="s">
        <v>1267</v>
      </c>
      <c r="F1727" s="108"/>
    </row>
    <row r="1728" spans="1:6" x14ac:dyDescent="0.3">
      <c r="A1728" s="111">
        <v>46268</v>
      </c>
      <c r="B1728" t="s">
        <v>219</v>
      </c>
      <c r="C1728" s="11"/>
      <c r="D1728" s="11">
        <v>6000</v>
      </c>
      <c r="E1728" t="s">
        <v>1291</v>
      </c>
      <c r="F1728" s="108"/>
    </row>
    <row r="1729" spans="1:6" x14ac:dyDescent="0.3">
      <c r="A1729" s="111">
        <v>46268</v>
      </c>
      <c r="B1729" t="s">
        <v>269</v>
      </c>
      <c r="C1729" s="11">
        <v>6000</v>
      </c>
      <c r="D1729" s="11"/>
      <c r="E1729" t="s">
        <v>1267</v>
      </c>
      <c r="F1729" s="108"/>
    </row>
    <row r="1730" spans="1:6" x14ac:dyDescent="0.3">
      <c r="A1730" s="111">
        <v>46268</v>
      </c>
      <c r="B1730" t="s">
        <v>488</v>
      </c>
      <c r="C1730" s="11">
        <v>6000</v>
      </c>
      <c r="D1730" s="11"/>
      <c r="E1730" t="s">
        <v>1291</v>
      </c>
      <c r="F1730" s="108"/>
    </row>
    <row r="1731" spans="1:6" x14ac:dyDescent="0.3">
      <c r="A1731" s="111">
        <v>46269</v>
      </c>
      <c r="B1731" t="s">
        <v>219</v>
      </c>
      <c r="C1731" s="11"/>
      <c r="D1731" s="11">
        <v>300000</v>
      </c>
      <c r="E1731" t="s">
        <v>1185</v>
      </c>
      <c r="F1731" s="108" t="s">
        <v>108</v>
      </c>
    </row>
    <row r="1732" spans="1:6" x14ac:dyDescent="0.3">
      <c r="A1732" s="111">
        <v>46269</v>
      </c>
      <c r="B1732" t="s">
        <v>1118</v>
      </c>
      <c r="C1732" s="11">
        <v>300000</v>
      </c>
      <c r="D1732" s="11"/>
      <c r="E1732" t="s">
        <v>1186</v>
      </c>
      <c r="F1732" s="108" t="s">
        <v>108</v>
      </c>
    </row>
    <row r="1733" spans="1:6" x14ac:dyDescent="0.3">
      <c r="A1733" s="111">
        <v>46269</v>
      </c>
      <c r="B1733" t="s">
        <v>1187</v>
      </c>
      <c r="C1733" s="11"/>
      <c r="D1733" s="11">
        <v>300000</v>
      </c>
      <c r="E1733" t="s">
        <v>1188</v>
      </c>
      <c r="F1733" s="108" t="s">
        <v>108</v>
      </c>
    </row>
    <row r="1734" spans="1:6" x14ac:dyDescent="0.3">
      <c r="A1734" s="111">
        <v>46269</v>
      </c>
      <c r="B1734" t="s">
        <v>219</v>
      </c>
      <c r="C1734" s="11">
        <v>300000</v>
      </c>
      <c r="D1734" s="11"/>
      <c r="E1734" t="s">
        <v>1189</v>
      </c>
      <c r="F1734" s="108" t="s">
        <v>108</v>
      </c>
    </row>
    <row r="1735" spans="1:6" x14ac:dyDescent="0.3">
      <c r="A1735" s="111">
        <v>46269</v>
      </c>
      <c r="B1735" t="s">
        <v>219</v>
      </c>
      <c r="C1735" s="11"/>
      <c r="D1735" s="11">
        <v>42000</v>
      </c>
      <c r="E1735" t="s">
        <v>1190</v>
      </c>
      <c r="F1735" s="108" t="s">
        <v>108</v>
      </c>
    </row>
    <row r="1736" spans="1:6" x14ac:dyDescent="0.3">
      <c r="A1736" s="111">
        <v>46269</v>
      </c>
      <c r="B1736" t="s">
        <v>269</v>
      </c>
      <c r="C1736" s="11">
        <v>42000</v>
      </c>
      <c r="D1736" s="11"/>
      <c r="E1736" t="s">
        <v>1173</v>
      </c>
      <c r="F1736" s="108" t="s">
        <v>108</v>
      </c>
    </row>
    <row r="1737" spans="1:6" x14ac:dyDescent="0.3">
      <c r="A1737" s="111">
        <v>46269</v>
      </c>
      <c r="B1737" t="s">
        <v>219</v>
      </c>
      <c r="C1737" s="11"/>
      <c r="D1737" s="11">
        <v>7000</v>
      </c>
      <c r="E1737" t="s">
        <v>1191</v>
      </c>
      <c r="F1737" s="108" t="s">
        <v>108</v>
      </c>
    </row>
    <row r="1738" spans="1:6" x14ac:dyDescent="0.3">
      <c r="A1738" s="111">
        <v>46269</v>
      </c>
      <c r="B1738" t="s">
        <v>357</v>
      </c>
      <c r="C1738" s="11">
        <v>3660</v>
      </c>
      <c r="D1738" s="11"/>
      <c r="F1738" s="108" t="s">
        <v>108</v>
      </c>
    </row>
    <row r="1739" spans="1:6" x14ac:dyDescent="0.3">
      <c r="A1739" s="111">
        <v>46269</v>
      </c>
      <c r="B1739" t="s">
        <v>55</v>
      </c>
      <c r="C1739" s="11">
        <v>1100</v>
      </c>
      <c r="D1739" s="11"/>
      <c r="F1739" s="108" t="s">
        <v>108</v>
      </c>
    </row>
    <row r="1740" spans="1:6" x14ac:dyDescent="0.3">
      <c r="A1740" s="111">
        <v>46269</v>
      </c>
      <c r="B1740" t="s">
        <v>219</v>
      </c>
      <c r="C1740" s="11"/>
      <c r="D1740" s="11">
        <v>79000</v>
      </c>
      <c r="E1740" t="s">
        <v>1192</v>
      </c>
      <c r="F1740" s="108" t="s">
        <v>108</v>
      </c>
    </row>
    <row r="1741" spans="1:6" x14ac:dyDescent="0.3">
      <c r="A1741" s="111">
        <v>46269</v>
      </c>
      <c r="B1741" t="s">
        <v>222</v>
      </c>
      <c r="C1741" s="11">
        <v>79000</v>
      </c>
      <c r="D1741" s="11"/>
      <c r="E1741" t="s">
        <v>240</v>
      </c>
      <c r="F1741" s="108" t="s">
        <v>108</v>
      </c>
    </row>
    <row r="1742" spans="1:6" x14ac:dyDescent="0.3">
      <c r="A1742" s="111">
        <v>46269</v>
      </c>
      <c r="B1742" t="s">
        <v>219</v>
      </c>
      <c r="C1742" s="11"/>
      <c r="D1742" s="11">
        <v>8000</v>
      </c>
      <c r="E1742" t="s">
        <v>1193</v>
      </c>
      <c r="F1742" s="108" t="s">
        <v>108</v>
      </c>
    </row>
    <row r="1743" spans="1:6" x14ac:dyDescent="0.3">
      <c r="A1743" s="111">
        <v>46269</v>
      </c>
      <c r="B1743" t="s">
        <v>269</v>
      </c>
      <c r="C1743" s="11">
        <v>8000</v>
      </c>
      <c r="D1743" s="11"/>
      <c r="E1743" t="s">
        <v>1193</v>
      </c>
      <c r="F1743" s="108" t="s">
        <v>108</v>
      </c>
    </row>
    <row r="1744" spans="1:6" x14ac:dyDescent="0.3">
      <c r="A1744" s="111">
        <v>46269</v>
      </c>
      <c r="B1744" t="s">
        <v>488</v>
      </c>
      <c r="C1744" s="11">
        <v>2200</v>
      </c>
      <c r="D1744" s="11"/>
      <c r="E1744" t="s">
        <v>1194</v>
      </c>
      <c r="F1744" s="108" t="s">
        <v>108</v>
      </c>
    </row>
    <row r="1745" spans="1:13" x14ac:dyDescent="0.3">
      <c r="A1745" s="111">
        <v>46269</v>
      </c>
      <c r="B1745" t="s">
        <v>219</v>
      </c>
      <c r="C1745" s="11"/>
      <c r="D1745" s="11">
        <v>10000</v>
      </c>
      <c r="E1745" t="s">
        <v>320</v>
      </c>
      <c r="F1745" s="108" t="s">
        <v>108</v>
      </c>
    </row>
    <row r="1746" spans="1:13" x14ac:dyDescent="0.3">
      <c r="A1746" s="111">
        <v>46269</v>
      </c>
      <c r="B1746" t="s">
        <v>386</v>
      </c>
      <c r="C1746" s="11">
        <v>8000</v>
      </c>
      <c r="D1746" s="11"/>
      <c r="E1746" t="s">
        <v>1179</v>
      </c>
      <c r="F1746" s="108" t="s">
        <v>108</v>
      </c>
    </row>
    <row r="1747" spans="1:13" x14ac:dyDescent="0.3">
      <c r="A1747" s="111">
        <v>46269</v>
      </c>
      <c r="B1747" t="s">
        <v>357</v>
      </c>
      <c r="C1747" s="11">
        <v>5170</v>
      </c>
      <c r="D1747" s="11"/>
      <c r="F1747" s="108" t="s">
        <v>108</v>
      </c>
      <c r="J1747">
        <v>7600</v>
      </c>
      <c r="K1747">
        <v>6800</v>
      </c>
      <c r="L1747">
        <v>14300</v>
      </c>
      <c r="M1747">
        <v>14800</v>
      </c>
    </row>
    <row r="1748" spans="1:13" x14ac:dyDescent="0.3">
      <c r="A1748" s="111">
        <v>46269</v>
      </c>
      <c r="B1748" t="s">
        <v>219</v>
      </c>
      <c r="C1748" s="11"/>
      <c r="D1748" s="11">
        <v>13400</v>
      </c>
      <c r="E1748" t="s">
        <v>1197</v>
      </c>
      <c r="F1748" s="108" t="s">
        <v>108</v>
      </c>
      <c r="J1748">
        <v>7200</v>
      </c>
      <c r="K1748">
        <v>7500</v>
      </c>
      <c r="L1748">
        <v>23320</v>
      </c>
      <c r="M1748">
        <v>15160</v>
      </c>
    </row>
    <row r="1749" spans="1:13" x14ac:dyDescent="0.3">
      <c r="A1749" s="111">
        <v>46269</v>
      </c>
      <c r="B1749" t="s">
        <v>55</v>
      </c>
      <c r="C1749" s="11">
        <v>11395</v>
      </c>
      <c r="D1749" s="11"/>
      <c r="E1749" t="s">
        <v>259</v>
      </c>
      <c r="F1749" s="108" t="s">
        <v>108</v>
      </c>
      <c r="J1749">
        <v>6400</v>
      </c>
      <c r="K1749">
        <v>3750</v>
      </c>
      <c r="L1749">
        <v>14930</v>
      </c>
      <c r="M1749">
        <v>5330</v>
      </c>
    </row>
    <row r="1750" spans="1:13" x14ac:dyDescent="0.3">
      <c r="A1750" s="111">
        <v>46269</v>
      </c>
      <c r="B1750" t="s">
        <v>219</v>
      </c>
      <c r="C1750" s="11"/>
      <c r="D1750" s="11">
        <v>275000</v>
      </c>
      <c r="E1750" t="s">
        <v>1254</v>
      </c>
      <c r="F1750" s="108" t="s">
        <v>108</v>
      </c>
      <c r="J1750">
        <v>5330</v>
      </c>
      <c r="K1750">
        <v>6250</v>
      </c>
      <c r="L1750">
        <v>6850</v>
      </c>
      <c r="M1750">
        <v>22400</v>
      </c>
    </row>
    <row r="1751" spans="1:13" x14ac:dyDescent="0.3">
      <c r="A1751" s="111">
        <v>46269</v>
      </c>
      <c r="B1751" t="s">
        <v>219</v>
      </c>
      <c r="C1751" s="11"/>
      <c r="D1751" s="11">
        <v>200000</v>
      </c>
      <c r="E1751" t="s">
        <v>109</v>
      </c>
      <c r="F1751" s="108" t="s">
        <v>108</v>
      </c>
      <c r="J1751">
        <v>5330</v>
      </c>
      <c r="K1751">
        <v>7500</v>
      </c>
      <c r="L1751">
        <v>22912</v>
      </c>
      <c r="M1751">
        <v>14650</v>
      </c>
    </row>
    <row r="1752" spans="1:13" x14ac:dyDescent="0.3">
      <c r="A1752" s="111">
        <v>46269</v>
      </c>
      <c r="B1752" t="s">
        <v>55</v>
      </c>
      <c r="C1752" s="11">
        <v>1500</v>
      </c>
      <c r="D1752" s="11"/>
      <c r="E1752" t="s">
        <v>1264</v>
      </c>
      <c r="F1752" s="108" t="s">
        <v>108</v>
      </c>
      <c r="J1752">
        <v>15158</v>
      </c>
      <c r="K1752">
        <v>23320</v>
      </c>
      <c r="L1752">
        <v>6250</v>
      </c>
    </row>
    <row r="1753" spans="1:13" x14ac:dyDescent="0.3">
      <c r="A1753" s="111">
        <v>46269</v>
      </c>
      <c r="B1753" t="s">
        <v>269</v>
      </c>
      <c r="C1753" s="11">
        <v>2000</v>
      </c>
      <c r="D1753" s="11"/>
      <c r="E1753" t="s">
        <v>1265</v>
      </c>
      <c r="F1753" s="108" t="s">
        <v>108</v>
      </c>
      <c r="J1753">
        <v>22400</v>
      </c>
      <c r="K1753">
        <v>15000</v>
      </c>
      <c r="L1753">
        <v>7500</v>
      </c>
      <c r="M1753">
        <v>9800</v>
      </c>
    </row>
    <row r="1754" spans="1:13" x14ac:dyDescent="0.3">
      <c r="A1754" s="111">
        <v>46269</v>
      </c>
      <c r="B1754" t="s">
        <v>357</v>
      </c>
      <c r="C1754" s="11">
        <v>4000</v>
      </c>
      <c r="D1754" s="11"/>
      <c r="F1754" s="108" t="s">
        <v>108</v>
      </c>
      <c r="J1754">
        <v>14660</v>
      </c>
      <c r="K1754">
        <v>130000</v>
      </c>
      <c r="L1754">
        <v>25000</v>
      </c>
      <c r="M1754">
        <v>6400</v>
      </c>
    </row>
    <row r="1755" spans="1:13" x14ac:dyDescent="0.3">
      <c r="A1755" s="111">
        <v>46269</v>
      </c>
      <c r="B1755" t="s">
        <v>253</v>
      </c>
      <c r="C1755" s="11">
        <v>13000</v>
      </c>
      <c r="D1755" s="11"/>
      <c r="E1755" t="s">
        <v>1268</v>
      </c>
      <c r="F1755" s="108" t="s">
        <v>108</v>
      </c>
      <c r="L1755">
        <v>19750</v>
      </c>
      <c r="M1755">
        <v>5330</v>
      </c>
    </row>
    <row r="1756" spans="1:13" x14ac:dyDescent="0.3">
      <c r="A1756" s="111">
        <v>46269</v>
      </c>
      <c r="B1756" t="s">
        <v>244</v>
      </c>
      <c r="C1756" s="11">
        <v>1000</v>
      </c>
      <c r="D1756" s="11"/>
      <c r="F1756" s="108" t="s">
        <v>108</v>
      </c>
      <c r="K1756">
        <v>6860</v>
      </c>
      <c r="L1756">
        <v>3750</v>
      </c>
    </row>
    <row r="1757" spans="1:13" x14ac:dyDescent="0.3">
      <c r="A1757" s="111">
        <v>46269</v>
      </c>
      <c r="B1757" t="s">
        <v>253</v>
      </c>
      <c r="C1757" s="11">
        <v>368450</v>
      </c>
      <c r="D1757" s="11"/>
      <c r="E1757" t="s">
        <v>1269</v>
      </c>
      <c r="F1757" s="108" t="s">
        <v>108</v>
      </c>
      <c r="K1757">
        <v>19750</v>
      </c>
      <c r="L1757">
        <v>130000</v>
      </c>
    </row>
    <row r="1758" spans="1:13" x14ac:dyDescent="0.3">
      <c r="A1758" s="111">
        <v>46269</v>
      </c>
      <c r="B1758" t="s">
        <v>219</v>
      </c>
      <c r="C1758" s="11">
        <v>5000</v>
      </c>
      <c r="D1758" s="11"/>
      <c r="E1758" t="s">
        <v>1270</v>
      </c>
      <c r="F1758" s="108" t="s">
        <v>108</v>
      </c>
      <c r="K1758">
        <v>22900</v>
      </c>
    </row>
    <row r="1759" spans="1:13" x14ac:dyDescent="0.3">
      <c r="A1759" s="111">
        <v>46269</v>
      </c>
      <c r="B1759" t="s">
        <v>488</v>
      </c>
      <c r="C1759" s="11">
        <v>5000</v>
      </c>
      <c r="D1759" s="11"/>
      <c r="E1759" t="s">
        <v>648</v>
      </c>
      <c r="F1759" s="108" t="s">
        <v>108</v>
      </c>
      <c r="K1759">
        <v>25000</v>
      </c>
    </row>
    <row r="1760" spans="1:13" x14ac:dyDescent="0.3">
      <c r="A1760" s="111">
        <v>46269</v>
      </c>
      <c r="B1760" t="s">
        <v>269</v>
      </c>
      <c r="C1760" s="11">
        <v>31000</v>
      </c>
      <c r="D1760" s="11"/>
      <c r="E1760" t="s">
        <v>1266</v>
      </c>
      <c r="F1760" s="108" t="s">
        <v>108</v>
      </c>
    </row>
    <row r="1761" spans="1:6" x14ac:dyDescent="0.3">
      <c r="A1761" s="111">
        <v>46269</v>
      </c>
      <c r="B1761" t="s">
        <v>219</v>
      </c>
      <c r="C1761" s="11"/>
      <c r="D1761" s="11">
        <v>11395</v>
      </c>
      <c r="E1761" t="s">
        <v>259</v>
      </c>
      <c r="F1761" s="108" t="s">
        <v>108</v>
      </c>
    </row>
    <row r="1762" spans="1:6" x14ac:dyDescent="0.3">
      <c r="A1762" s="111">
        <v>46269</v>
      </c>
      <c r="B1762" t="s">
        <v>219</v>
      </c>
      <c r="C1762" s="11"/>
      <c r="D1762" s="11">
        <v>2900</v>
      </c>
      <c r="E1762" t="s">
        <v>288</v>
      </c>
      <c r="F1762" s="108"/>
    </row>
    <row r="1763" spans="1:6" x14ac:dyDescent="0.3">
      <c r="A1763" s="111">
        <v>46269</v>
      </c>
      <c r="B1763" t="s">
        <v>219</v>
      </c>
      <c r="C1763" s="95"/>
      <c r="D1763" s="95">
        <v>40000</v>
      </c>
      <c r="E1763" t="s">
        <v>1292</v>
      </c>
      <c r="F1763" s="108"/>
    </row>
    <row r="1764" spans="1:6" x14ac:dyDescent="0.3">
      <c r="A1764" s="111">
        <v>46269</v>
      </c>
      <c r="B1764" t="s">
        <v>269</v>
      </c>
      <c r="C1764" s="11">
        <v>2900</v>
      </c>
      <c r="D1764" s="11"/>
      <c r="E1764" t="s">
        <v>288</v>
      </c>
      <c r="F1764" s="108"/>
    </row>
    <row r="1765" spans="1:6" x14ac:dyDescent="0.3">
      <c r="A1765" s="111">
        <v>46269</v>
      </c>
      <c r="B1765" t="s">
        <v>525</v>
      </c>
      <c r="C1765" s="95">
        <v>40000</v>
      </c>
      <c r="D1765" s="11"/>
      <c r="E1765" t="s">
        <v>1292</v>
      </c>
      <c r="F1765" s="108"/>
    </row>
    <row r="1766" spans="1:6" x14ac:dyDescent="0.3">
      <c r="A1766" s="111">
        <v>46270</v>
      </c>
      <c r="B1766" t="s">
        <v>219</v>
      </c>
      <c r="C1766" s="11"/>
      <c r="D1766" s="11">
        <v>12000</v>
      </c>
      <c r="E1766" t="s">
        <v>1291</v>
      </c>
      <c r="F1766" s="108"/>
    </row>
    <row r="1767" spans="1:6" x14ac:dyDescent="0.3">
      <c r="A1767" s="111">
        <v>46270</v>
      </c>
      <c r="B1767" t="s">
        <v>219</v>
      </c>
      <c r="C1767" s="11"/>
      <c r="D1767" s="11">
        <v>5000</v>
      </c>
      <c r="E1767" t="s">
        <v>1293</v>
      </c>
      <c r="F1767" s="108"/>
    </row>
    <row r="1768" spans="1:6" x14ac:dyDescent="0.3">
      <c r="A1768" s="111">
        <v>46270</v>
      </c>
      <c r="B1768" t="s">
        <v>488</v>
      </c>
      <c r="C1768" s="11">
        <v>12000</v>
      </c>
      <c r="D1768" s="11"/>
      <c r="E1768" t="s">
        <v>1291</v>
      </c>
      <c r="F1768" s="108"/>
    </row>
    <row r="1769" spans="1:6" x14ac:dyDescent="0.3">
      <c r="A1769" s="111">
        <v>46270</v>
      </c>
      <c r="B1769" t="s">
        <v>298</v>
      </c>
      <c r="C1769" s="11">
        <v>5000</v>
      </c>
      <c r="D1769" s="11">
        <v>5000</v>
      </c>
      <c r="E1769" t="s">
        <v>1293</v>
      </c>
      <c r="F1769" s="108"/>
    </row>
    <row r="1770" spans="1:6" x14ac:dyDescent="0.3">
      <c r="A1770" s="111">
        <v>46270</v>
      </c>
      <c r="B1770" t="s">
        <v>1294</v>
      </c>
      <c r="C1770" s="11">
        <v>5000</v>
      </c>
      <c r="D1770" s="11"/>
      <c r="F1770" s="108"/>
    </row>
    <row r="1771" spans="1:6" x14ac:dyDescent="0.3">
      <c r="A1771" s="111">
        <v>46271</v>
      </c>
      <c r="B1771" t="s">
        <v>55</v>
      </c>
      <c r="C1771" s="11">
        <v>11395</v>
      </c>
      <c r="D1771" s="11"/>
      <c r="E1771" t="s">
        <v>259</v>
      </c>
      <c r="F1771" s="108" t="s">
        <v>108</v>
      </c>
    </row>
    <row r="1772" spans="1:6" x14ac:dyDescent="0.3">
      <c r="A1772" s="111">
        <v>46271</v>
      </c>
      <c r="B1772" t="s">
        <v>269</v>
      </c>
      <c r="C1772" s="11">
        <v>5000</v>
      </c>
      <c r="D1772" s="11"/>
      <c r="E1772" t="s">
        <v>665</v>
      </c>
      <c r="F1772" s="108" t="s">
        <v>108</v>
      </c>
    </row>
    <row r="1773" spans="1:6" x14ac:dyDescent="0.3">
      <c r="A1773" s="111">
        <v>46271</v>
      </c>
      <c r="B1773" t="s">
        <v>55</v>
      </c>
      <c r="C1773" s="11">
        <v>4800</v>
      </c>
      <c r="D1773" s="11"/>
      <c r="F1773" s="108" t="s">
        <v>108</v>
      </c>
    </row>
    <row r="1774" spans="1:6" x14ac:dyDescent="0.3">
      <c r="A1774" s="111">
        <v>46271</v>
      </c>
      <c r="B1774" t="s">
        <v>55</v>
      </c>
      <c r="C1774" s="11">
        <v>3480</v>
      </c>
      <c r="D1774" s="11"/>
      <c r="F1774" s="108" t="s">
        <v>108</v>
      </c>
    </row>
    <row r="1775" spans="1:6" x14ac:dyDescent="0.3">
      <c r="A1775" s="111">
        <v>46271</v>
      </c>
      <c r="B1775" t="s">
        <v>55</v>
      </c>
      <c r="C1775" s="11">
        <v>1500</v>
      </c>
      <c r="D1775" s="11"/>
      <c r="F1775" s="108" t="s">
        <v>108</v>
      </c>
    </row>
    <row r="1776" spans="1:6" x14ac:dyDescent="0.3">
      <c r="A1776" s="111">
        <v>46271</v>
      </c>
      <c r="B1776" t="s">
        <v>488</v>
      </c>
      <c r="C1776" s="11">
        <v>600</v>
      </c>
      <c r="D1776" s="11"/>
      <c r="F1776" s="108" t="s">
        <v>108</v>
      </c>
    </row>
    <row r="1777" spans="1:6" x14ac:dyDescent="0.3">
      <c r="A1777" s="111">
        <v>46271</v>
      </c>
      <c r="B1777" t="s">
        <v>244</v>
      </c>
      <c r="C1777" s="11">
        <v>360</v>
      </c>
      <c r="D1777" s="11"/>
      <c r="F1777" s="108"/>
    </row>
    <row r="1778" spans="1:6" x14ac:dyDescent="0.3">
      <c r="A1778" s="111">
        <v>46271</v>
      </c>
      <c r="B1778" t="s">
        <v>488</v>
      </c>
      <c r="C1778" s="11">
        <v>4500</v>
      </c>
      <c r="D1778" s="11"/>
      <c r="E1778" t="s">
        <v>289</v>
      </c>
      <c r="F1778" s="108"/>
    </row>
    <row r="1779" spans="1:6" x14ac:dyDescent="0.3">
      <c r="A1779" s="111">
        <v>46271</v>
      </c>
      <c r="B1779" t="s">
        <v>357</v>
      </c>
      <c r="C1779" s="11">
        <v>3000</v>
      </c>
      <c r="D1779" s="11"/>
      <c r="F1779" s="108"/>
    </row>
    <row r="1780" spans="1:6" x14ac:dyDescent="0.3">
      <c r="A1780" s="111">
        <v>46271</v>
      </c>
      <c r="B1780" t="s">
        <v>488</v>
      </c>
      <c r="C1780" s="95">
        <v>5000</v>
      </c>
      <c r="D1780" s="95"/>
      <c r="E1780" t="s">
        <v>648</v>
      </c>
      <c r="F1780" s="108"/>
    </row>
    <row r="1781" spans="1:6" x14ac:dyDescent="0.3">
      <c r="A1781" s="111">
        <v>46272</v>
      </c>
      <c r="B1781" t="s">
        <v>219</v>
      </c>
      <c r="C1781" s="11"/>
      <c r="D1781" s="11">
        <v>200000</v>
      </c>
      <c r="E1781" t="s">
        <v>1255</v>
      </c>
      <c r="F1781" s="108" t="s">
        <v>108</v>
      </c>
    </row>
    <row r="1782" spans="1:6" x14ac:dyDescent="0.3">
      <c r="A1782" s="111">
        <v>46272</v>
      </c>
      <c r="B1782" t="s">
        <v>219</v>
      </c>
      <c r="C1782" s="11"/>
      <c r="D1782" s="11">
        <v>200000</v>
      </c>
      <c r="E1782" t="s">
        <v>1256</v>
      </c>
      <c r="F1782" s="108" t="s">
        <v>108</v>
      </c>
    </row>
    <row r="1783" spans="1:6" x14ac:dyDescent="0.3">
      <c r="A1783" s="111">
        <v>46272</v>
      </c>
      <c r="B1783" t="s">
        <v>222</v>
      </c>
      <c r="C1783" s="11">
        <v>200000</v>
      </c>
      <c r="D1783" s="11"/>
      <c r="E1783" t="s">
        <v>1198</v>
      </c>
      <c r="F1783" s="108"/>
    </row>
    <row r="1784" spans="1:6" x14ac:dyDescent="0.3">
      <c r="A1784" s="111">
        <v>46272</v>
      </c>
      <c r="B1784" t="s">
        <v>1199</v>
      </c>
      <c r="C1784" s="11">
        <v>200000</v>
      </c>
      <c r="D1784" s="11"/>
      <c r="E1784" t="s">
        <v>1200</v>
      </c>
      <c r="F1784" s="108"/>
    </row>
    <row r="1785" spans="1:6" x14ac:dyDescent="0.3">
      <c r="A1785" s="111">
        <v>46272</v>
      </c>
      <c r="B1785" t="s">
        <v>219</v>
      </c>
      <c r="C1785" s="11"/>
      <c r="D1785" s="11">
        <v>55000</v>
      </c>
      <c r="E1785" t="s">
        <v>1201</v>
      </c>
      <c r="F1785" s="108"/>
    </row>
    <row r="1786" spans="1:6" x14ac:dyDescent="0.3">
      <c r="A1786" s="111">
        <v>46272</v>
      </c>
      <c r="B1786" t="s">
        <v>269</v>
      </c>
      <c r="C1786" s="11">
        <v>50000</v>
      </c>
      <c r="D1786" s="11"/>
      <c r="E1786" t="s">
        <v>1173</v>
      </c>
      <c r="F1786" s="108"/>
    </row>
    <row r="1787" spans="1:6" x14ac:dyDescent="0.3">
      <c r="A1787" s="111">
        <v>46272</v>
      </c>
      <c r="B1787" t="s">
        <v>219</v>
      </c>
      <c r="C1787" s="11"/>
      <c r="D1787" s="11">
        <v>94000</v>
      </c>
      <c r="E1787" t="s">
        <v>1202</v>
      </c>
      <c r="F1787" s="108"/>
    </row>
    <row r="1788" spans="1:6" x14ac:dyDescent="0.3">
      <c r="A1788" s="111">
        <v>46272</v>
      </c>
      <c r="B1788" t="s">
        <v>219</v>
      </c>
      <c r="C1788" s="11"/>
      <c r="D1788" s="11">
        <v>70000</v>
      </c>
      <c r="E1788" t="s">
        <v>1257</v>
      </c>
      <c r="F1788" s="108"/>
    </row>
    <row r="1789" spans="1:6" x14ac:dyDescent="0.3">
      <c r="A1789" s="111">
        <v>46272</v>
      </c>
      <c r="B1789" t="s">
        <v>222</v>
      </c>
      <c r="C1789" s="11">
        <v>90000</v>
      </c>
      <c r="D1789" s="11"/>
      <c r="E1789" t="s">
        <v>240</v>
      </c>
      <c r="F1789" s="108"/>
    </row>
    <row r="1790" spans="1:6" x14ac:dyDescent="0.3">
      <c r="A1790" s="111">
        <v>46272</v>
      </c>
      <c r="B1790" t="s">
        <v>55</v>
      </c>
      <c r="C1790" s="11">
        <v>12895</v>
      </c>
      <c r="D1790" s="11"/>
      <c r="E1790" t="s">
        <v>259</v>
      </c>
      <c r="F1790" s="108"/>
    </row>
    <row r="1791" spans="1:6" x14ac:dyDescent="0.3">
      <c r="A1791" s="111">
        <v>46272</v>
      </c>
      <c r="B1791" t="s">
        <v>253</v>
      </c>
      <c r="C1791" s="11">
        <v>55000</v>
      </c>
      <c r="D1791" s="11"/>
      <c r="E1791" t="s">
        <v>1203</v>
      </c>
      <c r="F1791" s="108"/>
    </row>
    <row r="1792" spans="1:6" x14ac:dyDescent="0.3">
      <c r="A1792" s="111">
        <v>46272</v>
      </c>
      <c r="B1792" t="s">
        <v>386</v>
      </c>
      <c r="C1792" s="11">
        <v>5000</v>
      </c>
      <c r="D1792" s="11"/>
      <c r="E1792" t="s">
        <v>1179</v>
      </c>
      <c r="F1792" s="108"/>
    </row>
    <row r="1793" spans="1:6" x14ac:dyDescent="0.3">
      <c r="A1793" s="111">
        <v>46272</v>
      </c>
      <c r="B1793" t="s">
        <v>1136</v>
      </c>
      <c r="C1793" s="11">
        <v>7000</v>
      </c>
      <c r="D1793" s="11"/>
      <c r="E1793" t="s">
        <v>1204</v>
      </c>
      <c r="F1793" s="108"/>
    </row>
    <row r="1794" spans="1:6" x14ac:dyDescent="0.3">
      <c r="A1794" s="111">
        <v>46272</v>
      </c>
      <c r="B1794" t="s">
        <v>357</v>
      </c>
      <c r="C1794" s="11">
        <v>4270</v>
      </c>
      <c r="D1794" s="11"/>
      <c r="F1794" s="108"/>
    </row>
    <row r="1795" spans="1:6" x14ac:dyDescent="0.3">
      <c r="A1795" s="111">
        <v>46272</v>
      </c>
      <c r="B1795" t="s">
        <v>219</v>
      </c>
      <c r="C1795" s="11"/>
      <c r="D1795" s="11">
        <v>402119</v>
      </c>
      <c r="E1795" t="s">
        <v>1295</v>
      </c>
      <c r="F1795" s="108"/>
    </row>
    <row r="1796" spans="1:6" x14ac:dyDescent="0.3">
      <c r="A1796" s="111">
        <v>46272</v>
      </c>
      <c r="B1796" t="s">
        <v>1294</v>
      </c>
      <c r="C1796" s="11">
        <v>402119</v>
      </c>
      <c r="D1796" s="11"/>
      <c r="E1796" t="s">
        <v>1295</v>
      </c>
      <c r="F1796" s="108"/>
    </row>
    <row r="1797" spans="1:6" x14ac:dyDescent="0.3">
      <c r="A1797" s="111">
        <v>46272</v>
      </c>
      <c r="B1797" t="s">
        <v>219</v>
      </c>
      <c r="C1797" s="11"/>
      <c r="D1797" s="11">
        <v>6000</v>
      </c>
      <c r="E1797" t="s">
        <v>1296</v>
      </c>
      <c r="F1797" s="108"/>
    </row>
    <row r="1798" spans="1:6" x14ac:dyDescent="0.3">
      <c r="A1798" s="111">
        <v>46272</v>
      </c>
      <c r="B1798" t="s">
        <v>488</v>
      </c>
      <c r="C1798" s="11">
        <v>6000</v>
      </c>
      <c r="D1798" s="11"/>
      <c r="E1798" t="s">
        <v>1296</v>
      </c>
      <c r="F1798" s="108"/>
    </row>
    <row r="1799" spans="1:6" x14ac:dyDescent="0.3">
      <c r="A1799" s="111">
        <v>46273</v>
      </c>
      <c r="B1799" t="s">
        <v>219</v>
      </c>
      <c r="C1799" s="11"/>
      <c r="D1799" s="11">
        <v>30000</v>
      </c>
      <c r="E1799" t="s">
        <v>1205</v>
      </c>
      <c r="F1799" s="108"/>
    </row>
    <row r="1800" spans="1:6" x14ac:dyDescent="0.3">
      <c r="A1800" s="111">
        <v>46273</v>
      </c>
      <c r="B1800" t="s">
        <v>219</v>
      </c>
      <c r="C1800" s="11"/>
      <c r="D1800" s="11">
        <v>100000</v>
      </c>
      <c r="E1800" t="s">
        <v>871</v>
      </c>
      <c r="F1800" s="108"/>
    </row>
    <row r="1801" spans="1:6" x14ac:dyDescent="0.3">
      <c r="A1801" s="111">
        <v>46273</v>
      </c>
      <c r="B1801" t="s">
        <v>1199</v>
      </c>
      <c r="C1801" s="11">
        <v>100000</v>
      </c>
      <c r="D1801" s="11"/>
      <c r="E1801" t="s">
        <v>1206</v>
      </c>
      <c r="F1801" s="108"/>
    </row>
    <row r="1802" spans="1:6" x14ac:dyDescent="0.3">
      <c r="A1802" s="111">
        <v>46273</v>
      </c>
      <c r="B1802" t="s">
        <v>219</v>
      </c>
      <c r="C1802" s="11"/>
      <c r="D1802" s="11">
        <v>7500</v>
      </c>
      <c r="E1802" t="s">
        <v>318</v>
      </c>
      <c r="F1802" s="108"/>
    </row>
    <row r="1803" spans="1:6" x14ac:dyDescent="0.3">
      <c r="A1803" s="111">
        <v>46273</v>
      </c>
      <c r="B1803" t="s">
        <v>55</v>
      </c>
      <c r="C1803" s="11">
        <v>6500</v>
      </c>
      <c r="D1803" s="11"/>
      <c r="F1803" s="108"/>
    </row>
    <row r="1804" spans="1:6" x14ac:dyDescent="0.3">
      <c r="A1804" s="111">
        <v>46273</v>
      </c>
      <c r="B1804" t="s">
        <v>654</v>
      </c>
      <c r="C1804" s="11"/>
      <c r="D1804" s="11">
        <v>100000</v>
      </c>
      <c r="E1804" t="s">
        <v>1207</v>
      </c>
      <c r="F1804" s="108"/>
    </row>
    <row r="1805" spans="1:6" x14ac:dyDescent="0.3">
      <c r="A1805" s="111">
        <v>46273</v>
      </c>
      <c r="B1805" t="s">
        <v>55</v>
      </c>
      <c r="C1805" s="11">
        <f>6700+4300+750</f>
        <v>11750</v>
      </c>
      <c r="D1805" s="11"/>
      <c r="F1805" s="108"/>
    </row>
    <row r="1806" spans="1:6" x14ac:dyDescent="0.3">
      <c r="A1806" s="111">
        <v>46273</v>
      </c>
      <c r="B1806" t="s">
        <v>219</v>
      </c>
      <c r="C1806" s="11"/>
      <c r="D1806" s="11">
        <v>122000</v>
      </c>
      <c r="E1806" t="s">
        <v>1258</v>
      </c>
      <c r="F1806" s="108"/>
    </row>
    <row r="1807" spans="1:6" x14ac:dyDescent="0.3">
      <c r="A1807" s="111">
        <v>46273</v>
      </c>
      <c r="B1807" t="s">
        <v>219</v>
      </c>
      <c r="C1807" s="11"/>
      <c r="D1807" s="11">
        <v>13000</v>
      </c>
      <c r="E1807" t="s">
        <v>1298</v>
      </c>
      <c r="F1807" s="108"/>
    </row>
    <row r="1808" spans="1:6" x14ac:dyDescent="0.3">
      <c r="A1808" s="111">
        <v>46273</v>
      </c>
      <c r="B1808" t="s">
        <v>674</v>
      </c>
      <c r="C1808" s="11">
        <v>200000</v>
      </c>
      <c r="D1808" s="11"/>
      <c r="E1808" t="s">
        <v>1208</v>
      </c>
      <c r="F1808" s="108"/>
    </row>
    <row r="1809" spans="1:6" x14ac:dyDescent="0.3">
      <c r="A1809" s="111">
        <v>46273</v>
      </c>
      <c r="B1809" t="s">
        <v>269</v>
      </c>
      <c r="C1809" s="11">
        <v>22000</v>
      </c>
      <c r="D1809" s="11"/>
      <c r="E1809" t="s">
        <v>1209</v>
      </c>
      <c r="F1809" s="108"/>
    </row>
    <row r="1810" spans="1:6" x14ac:dyDescent="0.3">
      <c r="A1810" s="111">
        <v>46273</v>
      </c>
      <c r="B1810" t="s">
        <v>219</v>
      </c>
      <c r="C1810" s="11"/>
      <c r="D1810" s="11">
        <v>7100</v>
      </c>
      <c r="E1810" t="s">
        <v>288</v>
      </c>
      <c r="F1810" s="108"/>
    </row>
    <row r="1811" spans="1:6" x14ac:dyDescent="0.3">
      <c r="A1811" s="111">
        <v>46273</v>
      </c>
      <c r="B1811" t="s">
        <v>269</v>
      </c>
      <c r="C1811" s="11">
        <v>7100</v>
      </c>
      <c r="D1811" s="11"/>
      <c r="E1811" t="s">
        <v>288</v>
      </c>
      <c r="F1811" s="108"/>
    </row>
    <row r="1812" spans="1:6" x14ac:dyDescent="0.3">
      <c r="A1812" s="111">
        <v>46273</v>
      </c>
      <c r="B1812" t="s">
        <v>1275</v>
      </c>
      <c r="C1812" s="11"/>
      <c r="D1812" s="11">
        <v>387256</v>
      </c>
      <c r="E1812" t="s">
        <v>1276</v>
      </c>
      <c r="F1812" s="108"/>
    </row>
    <row r="1813" spans="1:6" x14ac:dyDescent="0.3">
      <c r="A1813" s="111">
        <v>46273</v>
      </c>
      <c r="B1813" t="s">
        <v>219</v>
      </c>
      <c r="C1813" s="11">
        <v>387256</v>
      </c>
      <c r="D1813" s="11"/>
      <c r="E1813" t="s">
        <v>1275</v>
      </c>
      <c r="F1813" s="108"/>
    </row>
    <row r="1814" spans="1:6" x14ac:dyDescent="0.3">
      <c r="A1814" s="38">
        <v>46273</v>
      </c>
      <c r="B1814" t="s">
        <v>219</v>
      </c>
      <c r="C1814" s="11"/>
      <c r="D1814" s="11">
        <v>12000</v>
      </c>
      <c r="E1814" t="s">
        <v>1293</v>
      </c>
      <c r="F1814" s="108"/>
    </row>
    <row r="1815" spans="1:6" x14ac:dyDescent="0.3">
      <c r="A1815" s="38">
        <v>46273</v>
      </c>
      <c r="B1815" t="s">
        <v>219</v>
      </c>
      <c r="C1815" s="11"/>
      <c r="D1815" s="11">
        <v>17000</v>
      </c>
      <c r="E1815" t="s">
        <v>1297</v>
      </c>
      <c r="F1815" s="108"/>
    </row>
    <row r="1816" spans="1:6" x14ac:dyDescent="0.3">
      <c r="A1816" s="38">
        <v>46273</v>
      </c>
      <c r="B1816" t="s">
        <v>1294</v>
      </c>
      <c r="C1816" s="11">
        <v>12000</v>
      </c>
      <c r="D1816" s="11"/>
      <c r="E1816" t="s">
        <v>1293</v>
      </c>
      <c r="F1816" s="108"/>
    </row>
    <row r="1817" spans="1:6" x14ac:dyDescent="0.3">
      <c r="A1817" s="38">
        <v>46273</v>
      </c>
      <c r="B1817" t="s">
        <v>298</v>
      </c>
      <c r="C1817" s="11">
        <v>12000</v>
      </c>
      <c r="D1817" s="11">
        <v>12000</v>
      </c>
      <c r="E1817" t="s">
        <v>1293</v>
      </c>
      <c r="F1817" s="108"/>
    </row>
    <row r="1818" spans="1:6" x14ac:dyDescent="0.3">
      <c r="A1818" s="38">
        <v>46273</v>
      </c>
      <c r="B1818" t="s">
        <v>654</v>
      </c>
      <c r="C1818" s="11"/>
      <c r="D1818" s="11">
        <v>280000</v>
      </c>
      <c r="E1818" t="s">
        <v>1317</v>
      </c>
      <c r="F1818" s="108"/>
    </row>
    <row r="1819" spans="1:6" x14ac:dyDescent="0.3">
      <c r="A1819" s="38">
        <v>46273</v>
      </c>
      <c r="B1819" t="s">
        <v>654</v>
      </c>
      <c r="C1819" s="11"/>
      <c r="D1819" s="11">
        <v>260000</v>
      </c>
      <c r="E1819" t="s">
        <v>1318</v>
      </c>
      <c r="F1819" s="108"/>
    </row>
    <row r="1820" spans="1:6" x14ac:dyDescent="0.3">
      <c r="A1820" s="111">
        <v>46273</v>
      </c>
      <c r="B1820" t="s">
        <v>654</v>
      </c>
      <c r="C1820" s="11"/>
      <c r="D1820" s="11">
        <v>300000</v>
      </c>
      <c r="E1820" t="s">
        <v>1319</v>
      </c>
      <c r="F1820" s="108"/>
    </row>
    <row r="1821" spans="1:6" x14ac:dyDescent="0.3">
      <c r="A1821" s="38">
        <v>46273</v>
      </c>
      <c r="B1821" t="s">
        <v>219</v>
      </c>
      <c r="C1821" s="11">
        <v>280000</v>
      </c>
      <c r="D1821" s="11"/>
      <c r="E1821" t="s">
        <v>1320</v>
      </c>
      <c r="F1821" s="108"/>
    </row>
    <row r="1822" spans="1:6" x14ac:dyDescent="0.3">
      <c r="A1822" s="38">
        <v>46273</v>
      </c>
      <c r="B1822" t="s">
        <v>219</v>
      </c>
      <c r="C1822" s="11">
        <v>260000</v>
      </c>
      <c r="D1822" s="11"/>
      <c r="E1822" t="s">
        <v>1321</v>
      </c>
      <c r="F1822" s="108"/>
    </row>
    <row r="1823" spans="1:6" x14ac:dyDescent="0.3">
      <c r="A1823" s="38">
        <v>46273</v>
      </c>
      <c r="B1823" t="s">
        <v>219</v>
      </c>
      <c r="C1823" s="11">
        <v>300000</v>
      </c>
      <c r="D1823" s="11"/>
      <c r="E1823" t="s">
        <v>1322</v>
      </c>
      <c r="F1823" s="108"/>
    </row>
    <row r="1824" spans="1:6" x14ac:dyDescent="0.3">
      <c r="A1824" s="38">
        <v>46274</v>
      </c>
      <c r="B1824" t="s">
        <v>219</v>
      </c>
      <c r="C1824" s="11"/>
      <c r="D1824" s="11">
        <v>40000</v>
      </c>
      <c r="E1824" t="s">
        <v>1210</v>
      </c>
      <c r="F1824" s="108"/>
    </row>
    <row r="1825" spans="1:11" x14ac:dyDescent="0.3">
      <c r="A1825" s="38">
        <v>46274</v>
      </c>
      <c r="B1825" t="s">
        <v>357</v>
      </c>
      <c r="C1825" s="11">
        <v>22310</v>
      </c>
      <c r="D1825" s="11"/>
      <c r="F1825" s="108"/>
    </row>
    <row r="1826" spans="1:11" x14ac:dyDescent="0.3">
      <c r="A1826" s="38">
        <v>46274</v>
      </c>
      <c r="B1826" t="s">
        <v>55</v>
      </c>
      <c r="C1826" s="11">
        <v>11632</v>
      </c>
      <c r="D1826" s="11"/>
      <c r="E1826" t="s">
        <v>259</v>
      </c>
      <c r="F1826" s="108"/>
    </row>
    <row r="1827" spans="1:11" x14ac:dyDescent="0.3">
      <c r="A1827" s="38">
        <v>46274</v>
      </c>
      <c r="B1827" t="s">
        <v>253</v>
      </c>
      <c r="C1827" s="11">
        <v>33287</v>
      </c>
      <c r="D1827" s="11"/>
      <c r="E1827" t="s">
        <v>1211</v>
      </c>
      <c r="F1827" s="108"/>
    </row>
    <row r="1828" spans="1:11" x14ac:dyDescent="0.3">
      <c r="A1828" s="38">
        <v>46274</v>
      </c>
      <c r="B1828" t="s">
        <v>253</v>
      </c>
      <c r="C1828" s="11">
        <v>50000</v>
      </c>
      <c r="D1828" s="11"/>
      <c r="E1828" t="s">
        <v>1212</v>
      </c>
      <c r="F1828" s="108"/>
    </row>
    <row r="1829" spans="1:11" x14ac:dyDescent="0.3">
      <c r="A1829" s="38">
        <v>46274</v>
      </c>
      <c r="B1829" t="s">
        <v>219</v>
      </c>
      <c r="C1829" s="11"/>
      <c r="D1829" s="11">
        <v>60000</v>
      </c>
      <c r="E1829" t="s">
        <v>1213</v>
      </c>
      <c r="F1829" s="108"/>
    </row>
    <row r="1830" spans="1:11" x14ac:dyDescent="0.3">
      <c r="A1830" s="38">
        <v>46274</v>
      </c>
      <c r="B1830" t="s">
        <v>219</v>
      </c>
      <c r="C1830" s="11"/>
      <c r="D1830" s="11">
        <v>33287</v>
      </c>
      <c r="E1830" t="s">
        <v>1211</v>
      </c>
      <c r="F1830" s="108"/>
    </row>
    <row r="1831" spans="1:11" x14ac:dyDescent="0.3">
      <c r="A1831" s="38">
        <v>46274</v>
      </c>
      <c r="B1831" t="s">
        <v>219</v>
      </c>
      <c r="C1831" s="11"/>
      <c r="D1831" s="11">
        <v>50000</v>
      </c>
      <c r="E1831" t="s">
        <v>1212</v>
      </c>
      <c r="F1831" s="108"/>
    </row>
    <row r="1832" spans="1:11" x14ac:dyDescent="0.3">
      <c r="A1832" s="38">
        <v>46274</v>
      </c>
      <c r="B1832" t="s">
        <v>253</v>
      </c>
      <c r="C1832" s="11">
        <v>35000</v>
      </c>
      <c r="D1832" s="11"/>
      <c r="E1832" t="s">
        <v>1214</v>
      </c>
      <c r="F1832" s="108"/>
    </row>
    <row r="1833" spans="1:11" x14ac:dyDescent="0.3">
      <c r="A1833" s="38">
        <v>46274</v>
      </c>
      <c r="B1833" t="s">
        <v>253</v>
      </c>
      <c r="C1833" s="11">
        <v>50000</v>
      </c>
      <c r="D1833" s="11"/>
      <c r="E1833" t="s">
        <v>1025</v>
      </c>
      <c r="F1833" s="108"/>
    </row>
    <row r="1834" spans="1:11" x14ac:dyDescent="0.3">
      <c r="A1834" s="38">
        <v>46274</v>
      </c>
      <c r="B1834" t="s">
        <v>253</v>
      </c>
      <c r="C1834" s="11">
        <v>50000</v>
      </c>
      <c r="D1834" s="11"/>
      <c r="E1834" t="s">
        <v>580</v>
      </c>
      <c r="F1834" s="108"/>
      <c r="J1834">
        <v>13000</v>
      </c>
      <c r="K1834">
        <v>20000</v>
      </c>
    </row>
    <row r="1835" spans="1:11" x14ac:dyDescent="0.3">
      <c r="A1835" s="38">
        <v>46274</v>
      </c>
      <c r="B1835" t="s">
        <v>253</v>
      </c>
      <c r="C1835" s="11">
        <v>110000</v>
      </c>
      <c r="D1835" s="11"/>
      <c r="E1835" t="s">
        <v>570</v>
      </c>
      <c r="F1835" s="108"/>
      <c r="J1835">
        <v>12540</v>
      </c>
      <c r="K1835">
        <v>20000</v>
      </c>
    </row>
    <row r="1836" spans="1:11" x14ac:dyDescent="0.3">
      <c r="A1836" s="111">
        <v>46274</v>
      </c>
      <c r="B1836" t="s">
        <v>253</v>
      </c>
      <c r="C1836" s="11">
        <v>45000</v>
      </c>
      <c r="D1836" s="11"/>
      <c r="E1836" t="s">
        <v>1018</v>
      </c>
      <c r="F1836" s="108"/>
      <c r="J1836">
        <v>13000</v>
      </c>
      <c r="K1836">
        <v>35000</v>
      </c>
    </row>
    <row r="1837" spans="1:11" x14ac:dyDescent="0.3">
      <c r="A1837" s="111">
        <v>46274</v>
      </c>
      <c r="B1837" t="s">
        <v>219</v>
      </c>
      <c r="C1837" s="11"/>
      <c r="D1837" s="11">
        <v>35000</v>
      </c>
      <c r="E1837" t="s">
        <v>1214</v>
      </c>
      <c r="F1837" s="108"/>
      <c r="J1837">
        <v>10350</v>
      </c>
      <c r="K1837">
        <v>60000</v>
      </c>
    </row>
    <row r="1838" spans="1:11" x14ac:dyDescent="0.3">
      <c r="A1838" s="111">
        <v>46274</v>
      </c>
      <c r="B1838" t="s">
        <v>219</v>
      </c>
      <c r="C1838" s="11"/>
      <c r="D1838" s="11">
        <v>50000</v>
      </c>
      <c r="E1838" t="s">
        <v>1025</v>
      </c>
      <c r="F1838" s="108"/>
      <c r="J1838">
        <v>4000</v>
      </c>
    </row>
    <row r="1839" spans="1:11" x14ac:dyDescent="0.3">
      <c r="A1839" s="111">
        <v>46274</v>
      </c>
      <c r="B1839" t="s">
        <v>219</v>
      </c>
      <c r="C1839" s="11"/>
      <c r="D1839" s="11">
        <v>50000</v>
      </c>
      <c r="E1839" t="s">
        <v>580</v>
      </c>
      <c r="F1839" s="108"/>
      <c r="J1839">
        <v>100000</v>
      </c>
    </row>
    <row r="1840" spans="1:11" x14ac:dyDescent="0.3">
      <c r="A1840" s="111">
        <v>46274</v>
      </c>
      <c r="B1840" t="s">
        <v>219</v>
      </c>
      <c r="C1840" s="11"/>
      <c r="D1840" s="11">
        <v>110000</v>
      </c>
      <c r="E1840" t="s">
        <v>570</v>
      </c>
      <c r="F1840" s="108"/>
      <c r="J1840">
        <v>1000</v>
      </c>
    </row>
    <row r="1841" spans="1:10" x14ac:dyDescent="0.3">
      <c r="A1841" s="111">
        <v>46274</v>
      </c>
      <c r="B1841" t="s">
        <v>219</v>
      </c>
      <c r="C1841" s="11"/>
      <c r="D1841" s="11">
        <v>45000</v>
      </c>
      <c r="E1841" t="s">
        <v>1018</v>
      </c>
      <c r="F1841" s="108"/>
      <c r="J1841">
        <v>1250</v>
      </c>
    </row>
    <row r="1842" spans="1:10" x14ac:dyDescent="0.3">
      <c r="A1842" s="111">
        <v>46274</v>
      </c>
      <c r="B1842" t="s">
        <v>222</v>
      </c>
      <c r="C1842" s="11">
        <v>55000</v>
      </c>
      <c r="D1842" s="11"/>
      <c r="E1842" t="s">
        <v>240</v>
      </c>
      <c r="F1842" s="108"/>
      <c r="J1842">
        <v>21000</v>
      </c>
    </row>
    <row r="1843" spans="1:10" x14ac:dyDescent="0.3">
      <c r="A1843" s="111">
        <v>46274</v>
      </c>
      <c r="B1843" t="s">
        <v>244</v>
      </c>
      <c r="C1843" s="11">
        <v>400</v>
      </c>
      <c r="D1843" s="11"/>
      <c r="F1843" s="108"/>
      <c r="J1843">
        <v>4500</v>
      </c>
    </row>
    <row r="1844" spans="1:10" x14ac:dyDescent="0.3">
      <c r="A1844" s="111">
        <v>46274</v>
      </c>
      <c r="B1844" t="s">
        <v>253</v>
      </c>
      <c r="C1844" s="11">
        <v>3300</v>
      </c>
      <c r="D1844" s="11"/>
      <c r="E1844" t="s">
        <v>1183</v>
      </c>
      <c r="F1844" s="108"/>
      <c r="J1844">
        <v>20000</v>
      </c>
    </row>
    <row r="1845" spans="1:10" x14ac:dyDescent="0.3">
      <c r="A1845" s="111">
        <v>46274</v>
      </c>
      <c r="B1845" t="s">
        <v>219</v>
      </c>
      <c r="C1845" s="11"/>
      <c r="D1845" s="11">
        <v>260000</v>
      </c>
      <c r="E1845" t="s">
        <v>568</v>
      </c>
      <c r="F1845" s="108"/>
      <c r="J1845">
        <v>10000</v>
      </c>
    </row>
    <row r="1846" spans="1:10" x14ac:dyDescent="0.3">
      <c r="A1846" s="111">
        <v>46274</v>
      </c>
      <c r="B1846" t="s">
        <v>568</v>
      </c>
      <c r="C1846" s="95">
        <v>260000</v>
      </c>
      <c r="D1846" s="95"/>
      <c r="E1846" t="s">
        <v>1215</v>
      </c>
      <c r="F1846" s="108"/>
    </row>
    <row r="1847" spans="1:10" x14ac:dyDescent="0.3">
      <c r="A1847" s="111">
        <v>46274</v>
      </c>
      <c r="B1847" t="s">
        <v>219</v>
      </c>
      <c r="C1847" s="95"/>
      <c r="D1847" s="95">
        <v>100000</v>
      </c>
      <c r="E1847" t="s">
        <v>1216</v>
      </c>
      <c r="F1847" s="108"/>
    </row>
    <row r="1848" spans="1:10" x14ac:dyDescent="0.3">
      <c r="A1848" s="111">
        <v>46274</v>
      </c>
      <c r="B1848" t="s">
        <v>253</v>
      </c>
      <c r="C1848" s="95">
        <v>70000</v>
      </c>
      <c r="D1848" s="95"/>
      <c r="E1848" t="s">
        <v>1217</v>
      </c>
      <c r="F1848" s="108"/>
    </row>
    <row r="1849" spans="1:10" x14ac:dyDescent="0.3">
      <c r="A1849" s="111">
        <v>46274</v>
      </c>
      <c r="B1849" t="s">
        <v>269</v>
      </c>
      <c r="C1849" s="95">
        <v>30000</v>
      </c>
      <c r="D1849" s="95"/>
      <c r="E1849" t="s">
        <v>1218</v>
      </c>
      <c r="F1849" s="108"/>
    </row>
    <row r="1850" spans="1:10" x14ac:dyDescent="0.3">
      <c r="A1850" s="111">
        <v>46274</v>
      </c>
      <c r="B1850" t="s">
        <v>488</v>
      </c>
      <c r="C1850" s="95">
        <v>900</v>
      </c>
      <c r="D1850" s="95"/>
      <c r="F1850" s="108"/>
    </row>
    <row r="1851" spans="1:10" x14ac:dyDescent="0.3">
      <c r="A1851" s="38">
        <v>46274</v>
      </c>
      <c r="B1851" t="s">
        <v>24</v>
      </c>
      <c r="C1851" s="11"/>
      <c r="D1851" s="11">
        <v>700000</v>
      </c>
      <c r="E1851" t="s">
        <v>21</v>
      </c>
      <c r="F1851" s="108"/>
    </row>
    <row r="1852" spans="1:10" x14ac:dyDescent="0.3">
      <c r="A1852" s="38">
        <v>46274</v>
      </c>
      <c r="B1852" t="s">
        <v>232</v>
      </c>
      <c r="C1852" s="11"/>
      <c r="D1852" s="11">
        <v>100000</v>
      </c>
      <c r="E1852" t="s">
        <v>21</v>
      </c>
      <c r="F1852" s="108"/>
    </row>
    <row r="1853" spans="1:10" x14ac:dyDescent="0.3">
      <c r="A1853" s="38">
        <v>46274</v>
      </c>
      <c r="B1853" t="s">
        <v>1277</v>
      </c>
      <c r="C1853" s="11"/>
      <c r="D1853" s="11">
        <v>315656</v>
      </c>
      <c r="E1853" t="s">
        <v>1278</v>
      </c>
      <c r="F1853" s="108"/>
    </row>
    <row r="1854" spans="1:10" x14ac:dyDescent="0.3">
      <c r="A1854" s="38">
        <v>46274</v>
      </c>
      <c r="B1854" t="s">
        <v>219</v>
      </c>
      <c r="C1854" s="11">
        <v>700000</v>
      </c>
      <c r="D1854" s="11"/>
      <c r="E1854" t="s">
        <v>24</v>
      </c>
      <c r="F1854" s="108"/>
    </row>
    <row r="1855" spans="1:10" x14ac:dyDescent="0.3">
      <c r="A1855" s="38">
        <v>46274</v>
      </c>
      <c r="B1855" t="s">
        <v>219</v>
      </c>
      <c r="C1855" s="11">
        <v>100000</v>
      </c>
      <c r="D1855" s="11"/>
      <c r="E1855" t="s">
        <v>232</v>
      </c>
      <c r="F1855" s="108"/>
    </row>
    <row r="1856" spans="1:10" x14ac:dyDescent="0.3">
      <c r="A1856" s="111">
        <v>46274</v>
      </c>
      <c r="B1856" t="s">
        <v>219</v>
      </c>
      <c r="C1856" s="11">
        <v>315656</v>
      </c>
      <c r="D1856" s="11"/>
      <c r="E1856" t="s">
        <v>1277</v>
      </c>
      <c r="F1856" s="108"/>
    </row>
    <row r="1857" spans="1:6" x14ac:dyDescent="0.3">
      <c r="A1857" s="111">
        <v>46274</v>
      </c>
      <c r="B1857" t="s">
        <v>219</v>
      </c>
      <c r="C1857" s="11"/>
      <c r="D1857" s="11">
        <v>57750</v>
      </c>
      <c r="E1857" t="s">
        <v>316</v>
      </c>
      <c r="F1857" s="108"/>
    </row>
    <row r="1858" spans="1:6" x14ac:dyDescent="0.3">
      <c r="A1858" s="111">
        <v>46274</v>
      </c>
      <c r="B1858" t="s">
        <v>219</v>
      </c>
      <c r="C1858" s="11"/>
      <c r="D1858" s="11">
        <v>5000</v>
      </c>
      <c r="E1858" t="s">
        <v>693</v>
      </c>
      <c r="F1858" s="108"/>
    </row>
    <row r="1859" spans="1:6" x14ac:dyDescent="0.3">
      <c r="A1859" s="111">
        <v>46274</v>
      </c>
      <c r="B1859" t="s">
        <v>219</v>
      </c>
      <c r="C1859" s="11"/>
      <c r="D1859" s="11">
        <v>58000</v>
      </c>
      <c r="E1859" t="s">
        <v>1292</v>
      </c>
      <c r="F1859" s="108"/>
    </row>
    <row r="1860" spans="1:6" x14ac:dyDescent="0.3">
      <c r="A1860" s="111">
        <v>46274</v>
      </c>
      <c r="B1860" t="s">
        <v>219</v>
      </c>
      <c r="C1860" s="11"/>
      <c r="D1860" s="11">
        <v>2000</v>
      </c>
      <c r="E1860" t="s">
        <v>1267</v>
      </c>
      <c r="F1860" s="108"/>
    </row>
    <row r="1861" spans="1:6" x14ac:dyDescent="0.3">
      <c r="A1861" s="111">
        <v>46274</v>
      </c>
      <c r="B1861" t="s">
        <v>219</v>
      </c>
      <c r="C1861" s="11"/>
      <c r="D1861" s="11">
        <v>1500</v>
      </c>
      <c r="E1861" t="s">
        <v>852</v>
      </c>
      <c r="F1861" s="108"/>
    </row>
    <row r="1862" spans="1:6" x14ac:dyDescent="0.3">
      <c r="A1862" s="111">
        <v>46274</v>
      </c>
      <c r="B1862" t="s">
        <v>363</v>
      </c>
      <c r="C1862" s="11">
        <v>17000</v>
      </c>
      <c r="D1862" s="11"/>
      <c r="E1862" t="s">
        <v>1297</v>
      </c>
      <c r="F1862" s="108"/>
    </row>
    <row r="1863" spans="1:6" x14ac:dyDescent="0.3">
      <c r="A1863" s="111">
        <v>46274</v>
      </c>
      <c r="B1863" t="s">
        <v>316</v>
      </c>
      <c r="C1863" s="11">
        <v>57750</v>
      </c>
      <c r="D1863" s="11"/>
      <c r="E1863" t="s">
        <v>316</v>
      </c>
      <c r="F1863" s="108"/>
    </row>
    <row r="1864" spans="1:6" x14ac:dyDescent="0.3">
      <c r="A1864" s="111">
        <v>46274</v>
      </c>
      <c r="B1864" t="s">
        <v>298</v>
      </c>
      <c r="C1864" s="11">
        <v>5000</v>
      </c>
      <c r="D1864" s="11"/>
      <c r="E1864" t="s">
        <v>693</v>
      </c>
      <c r="F1864" s="108"/>
    </row>
    <row r="1865" spans="1:6" x14ac:dyDescent="0.3">
      <c r="A1865" s="111">
        <v>46274</v>
      </c>
      <c r="B1865" t="s">
        <v>525</v>
      </c>
      <c r="C1865" s="11">
        <v>58000</v>
      </c>
      <c r="D1865" s="11"/>
      <c r="E1865" t="s">
        <v>1292</v>
      </c>
      <c r="F1865" s="108"/>
    </row>
    <row r="1866" spans="1:6" x14ac:dyDescent="0.3">
      <c r="A1866" s="111">
        <v>46274</v>
      </c>
      <c r="B1866" t="s">
        <v>269</v>
      </c>
      <c r="C1866" s="11">
        <v>2000</v>
      </c>
      <c r="D1866" s="11"/>
      <c r="E1866" t="s">
        <v>1267</v>
      </c>
      <c r="F1866" s="108"/>
    </row>
    <row r="1867" spans="1:6" x14ac:dyDescent="0.3">
      <c r="A1867" s="111">
        <v>46274</v>
      </c>
      <c r="B1867" t="s">
        <v>488</v>
      </c>
      <c r="C1867" s="11">
        <v>1500</v>
      </c>
      <c r="D1867" s="11"/>
      <c r="E1867" t="s">
        <v>852</v>
      </c>
      <c r="F1867" s="108"/>
    </row>
    <row r="1868" spans="1:6" x14ac:dyDescent="0.3">
      <c r="A1868" s="111">
        <v>46274</v>
      </c>
      <c r="B1868" t="s">
        <v>219</v>
      </c>
      <c r="C1868" s="11"/>
      <c r="D1868" s="11">
        <v>110000</v>
      </c>
      <c r="E1868" t="s">
        <v>288</v>
      </c>
      <c r="F1868" s="108"/>
    </row>
    <row r="1869" spans="1:6" x14ac:dyDescent="0.3">
      <c r="A1869" s="111">
        <v>46274</v>
      </c>
      <c r="B1869" t="s">
        <v>219</v>
      </c>
      <c r="C1869" s="11">
        <v>60000</v>
      </c>
      <c r="D1869" s="11"/>
      <c r="E1869" t="s">
        <v>27</v>
      </c>
      <c r="F1869" s="108"/>
    </row>
    <row r="1870" spans="1:6" x14ac:dyDescent="0.3">
      <c r="A1870" s="111">
        <v>46274</v>
      </c>
      <c r="B1870" t="s">
        <v>269</v>
      </c>
      <c r="C1870" s="11">
        <v>110000</v>
      </c>
      <c r="D1870" s="11"/>
      <c r="E1870" t="s">
        <v>288</v>
      </c>
      <c r="F1870" s="108"/>
    </row>
    <row r="1871" spans="1:6" x14ac:dyDescent="0.3">
      <c r="A1871" s="111">
        <v>46274</v>
      </c>
      <c r="B1871" t="s">
        <v>243</v>
      </c>
      <c r="C1871" s="11"/>
      <c r="D1871" s="11">
        <v>60000</v>
      </c>
      <c r="E1871" t="s">
        <v>277</v>
      </c>
      <c r="F1871" s="108"/>
    </row>
    <row r="1872" spans="1:6" x14ac:dyDescent="0.3">
      <c r="A1872" s="111">
        <v>46275</v>
      </c>
      <c r="B1872" t="s">
        <v>219</v>
      </c>
      <c r="C1872" s="95"/>
      <c r="D1872" s="95">
        <v>28000</v>
      </c>
      <c r="E1872" t="s">
        <v>1220</v>
      </c>
      <c r="F1872" s="108"/>
    </row>
    <row r="1873" spans="1:6" x14ac:dyDescent="0.3">
      <c r="A1873" s="111">
        <v>46275</v>
      </c>
      <c r="B1873" t="s">
        <v>219</v>
      </c>
      <c r="C1873" s="95"/>
      <c r="D1873" s="95">
        <v>61000</v>
      </c>
      <c r="E1873" t="s">
        <v>1259</v>
      </c>
      <c r="F1873" s="108"/>
    </row>
    <row r="1874" spans="1:6" x14ac:dyDescent="0.3">
      <c r="A1874" s="111">
        <v>46275</v>
      </c>
      <c r="B1874" t="s">
        <v>269</v>
      </c>
      <c r="C1874" s="95">
        <v>28000</v>
      </c>
      <c r="D1874" s="95"/>
      <c r="E1874" t="s">
        <v>1221</v>
      </c>
      <c r="F1874" s="108"/>
    </row>
    <row r="1875" spans="1:6" x14ac:dyDescent="0.3">
      <c r="A1875" s="111">
        <v>46275</v>
      </c>
      <c r="B1875" t="s">
        <v>222</v>
      </c>
      <c r="C1875" s="95">
        <v>55600</v>
      </c>
      <c r="D1875" s="95"/>
      <c r="E1875" t="s">
        <v>240</v>
      </c>
      <c r="F1875" s="108"/>
    </row>
    <row r="1876" spans="1:6" x14ac:dyDescent="0.3">
      <c r="A1876" s="111">
        <v>46275</v>
      </c>
      <c r="B1876" t="s">
        <v>1222</v>
      </c>
      <c r="C1876" s="95"/>
      <c r="D1876" s="95">
        <v>106900</v>
      </c>
      <c r="E1876" t="s">
        <v>1223</v>
      </c>
      <c r="F1876" s="108"/>
    </row>
    <row r="1877" spans="1:6" x14ac:dyDescent="0.3">
      <c r="A1877" s="111">
        <v>46275</v>
      </c>
      <c r="B1877" t="s">
        <v>55</v>
      </c>
      <c r="C1877" s="11">
        <v>3200</v>
      </c>
      <c r="D1877" s="11"/>
      <c r="F1877" s="108"/>
    </row>
    <row r="1878" spans="1:6" x14ac:dyDescent="0.3">
      <c r="A1878" s="111">
        <v>46275</v>
      </c>
      <c r="B1878" t="s">
        <v>55</v>
      </c>
      <c r="C1878" s="11">
        <v>2400</v>
      </c>
      <c r="D1878" s="11"/>
      <c r="F1878" s="108"/>
    </row>
    <row r="1879" spans="1:6" x14ac:dyDescent="0.3">
      <c r="A1879" s="111">
        <v>46275</v>
      </c>
      <c r="B1879" t="s">
        <v>55</v>
      </c>
      <c r="C1879" s="11">
        <v>73000</v>
      </c>
      <c r="D1879" s="11"/>
      <c r="E1879" t="s">
        <v>1224</v>
      </c>
      <c r="F1879" s="108"/>
    </row>
    <row r="1880" spans="1:6" x14ac:dyDescent="0.3">
      <c r="A1880" s="111">
        <v>46275</v>
      </c>
      <c r="B1880" t="s">
        <v>269</v>
      </c>
      <c r="C1880" s="11">
        <v>35000</v>
      </c>
      <c r="D1880" s="11"/>
      <c r="E1880" t="s">
        <v>1225</v>
      </c>
      <c r="F1880" s="108"/>
    </row>
    <row r="1881" spans="1:6" x14ac:dyDescent="0.3">
      <c r="A1881" s="111">
        <v>46275</v>
      </c>
      <c r="B1881" t="s">
        <v>219</v>
      </c>
      <c r="C1881" s="11"/>
      <c r="D1881" s="11">
        <v>35000</v>
      </c>
      <c r="E1881" t="s">
        <v>570</v>
      </c>
      <c r="F1881" s="108"/>
    </row>
    <row r="1882" spans="1:6" x14ac:dyDescent="0.3">
      <c r="A1882" s="111">
        <v>46275</v>
      </c>
      <c r="B1882" t="s">
        <v>269</v>
      </c>
      <c r="C1882" s="11">
        <v>35000</v>
      </c>
      <c r="D1882" s="11"/>
      <c r="E1882" t="s">
        <v>1225</v>
      </c>
      <c r="F1882" s="108"/>
    </row>
    <row r="1883" spans="1:6" x14ac:dyDescent="0.3">
      <c r="A1883" s="111">
        <v>46275</v>
      </c>
      <c r="B1883" t="s">
        <v>219</v>
      </c>
      <c r="C1883" s="11"/>
      <c r="D1883" s="11">
        <v>120000</v>
      </c>
      <c r="E1883" t="s">
        <v>1226</v>
      </c>
      <c r="F1883" s="108"/>
    </row>
    <row r="1884" spans="1:6" x14ac:dyDescent="0.3">
      <c r="A1884" s="111">
        <v>46275</v>
      </c>
      <c r="B1884" t="s">
        <v>298</v>
      </c>
      <c r="C1884" s="11">
        <v>15000</v>
      </c>
      <c r="D1884" s="11"/>
      <c r="E1884" t="s">
        <v>693</v>
      </c>
      <c r="F1884" s="108"/>
    </row>
    <row r="1885" spans="1:6" x14ac:dyDescent="0.3">
      <c r="A1885" s="111">
        <v>46275</v>
      </c>
      <c r="B1885" t="s">
        <v>222</v>
      </c>
      <c r="C1885" s="11">
        <v>50000</v>
      </c>
      <c r="D1885" s="11"/>
      <c r="E1885" t="s">
        <v>240</v>
      </c>
      <c r="F1885" s="108"/>
    </row>
    <row r="1886" spans="1:6" x14ac:dyDescent="0.3">
      <c r="A1886" s="111">
        <v>46275</v>
      </c>
      <c r="B1886" t="s">
        <v>219</v>
      </c>
      <c r="C1886" s="11"/>
      <c r="D1886" s="11">
        <v>200000</v>
      </c>
      <c r="E1886" t="s">
        <v>222</v>
      </c>
      <c r="F1886" s="108"/>
    </row>
    <row r="1887" spans="1:6" x14ac:dyDescent="0.3">
      <c r="A1887" s="111">
        <v>46275</v>
      </c>
      <c r="B1887" t="s">
        <v>222</v>
      </c>
      <c r="C1887" s="11">
        <v>200000</v>
      </c>
      <c r="D1887" s="11"/>
      <c r="E1887" t="s">
        <v>1227</v>
      </c>
      <c r="F1887" s="108"/>
    </row>
    <row r="1888" spans="1:6" x14ac:dyDescent="0.3">
      <c r="A1888" s="111">
        <v>46275</v>
      </c>
      <c r="B1888" t="s">
        <v>55</v>
      </c>
      <c r="C1888" s="11">
        <v>11833</v>
      </c>
      <c r="D1888" s="11"/>
      <c r="E1888" t="s">
        <v>259</v>
      </c>
      <c r="F1888" s="108"/>
    </row>
    <row r="1889" spans="1:6" x14ac:dyDescent="0.3">
      <c r="A1889" s="111">
        <v>46275</v>
      </c>
      <c r="B1889" t="s">
        <v>219</v>
      </c>
      <c r="C1889" s="11"/>
      <c r="D1889" s="11">
        <v>350000</v>
      </c>
      <c r="E1889" t="s">
        <v>1260</v>
      </c>
      <c r="F1889" s="108"/>
    </row>
    <row r="1890" spans="1:6" x14ac:dyDescent="0.3">
      <c r="A1890" s="111">
        <v>46275</v>
      </c>
      <c r="B1890" t="s">
        <v>269</v>
      </c>
      <c r="C1890" s="11">
        <v>2000</v>
      </c>
      <c r="D1890" s="11"/>
      <c r="E1890" t="s">
        <v>1271</v>
      </c>
      <c r="F1890" s="108"/>
    </row>
    <row r="1891" spans="1:6" x14ac:dyDescent="0.3">
      <c r="A1891" s="111">
        <v>46275</v>
      </c>
      <c r="B1891" t="s">
        <v>269</v>
      </c>
      <c r="C1891" s="11">
        <v>3000</v>
      </c>
      <c r="D1891" s="11"/>
      <c r="E1891" t="s">
        <v>1272</v>
      </c>
      <c r="F1891" s="108"/>
    </row>
    <row r="1892" spans="1:6" x14ac:dyDescent="0.3">
      <c r="A1892" s="111">
        <v>46275</v>
      </c>
      <c r="B1892" t="s">
        <v>357</v>
      </c>
      <c r="C1892" s="11">
        <v>16500</v>
      </c>
      <c r="D1892" s="11"/>
      <c r="E1892" t="s">
        <v>1273</v>
      </c>
      <c r="F1892" s="108"/>
    </row>
    <row r="1893" spans="1:6" x14ac:dyDescent="0.3">
      <c r="A1893" s="111">
        <v>46275</v>
      </c>
      <c r="B1893" t="s">
        <v>253</v>
      </c>
      <c r="C1893" s="11">
        <v>345650</v>
      </c>
      <c r="D1893" s="11"/>
      <c r="E1893" t="s">
        <v>1274</v>
      </c>
      <c r="F1893" s="108"/>
    </row>
    <row r="1894" spans="1:6" x14ac:dyDescent="0.3">
      <c r="A1894" s="111">
        <v>46275</v>
      </c>
      <c r="B1894" t="s">
        <v>35</v>
      </c>
      <c r="C1894" s="11"/>
      <c r="D1894" s="11">
        <v>539659</v>
      </c>
      <c r="E1894" t="s">
        <v>21</v>
      </c>
      <c r="F1894" s="108"/>
    </row>
    <row r="1895" spans="1:6" x14ac:dyDescent="0.3">
      <c r="A1895" s="111">
        <v>46275</v>
      </c>
      <c r="B1895" t="s">
        <v>219</v>
      </c>
      <c r="C1895" s="11">
        <v>539659</v>
      </c>
      <c r="D1895" s="11"/>
      <c r="E1895" t="s">
        <v>35</v>
      </c>
      <c r="F1895" s="108"/>
    </row>
    <row r="1896" spans="1:6" x14ac:dyDescent="0.3">
      <c r="A1896" s="111">
        <v>46275</v>
      </c>
      <c r="B1896" t="s">
        <v>219</v>
      </c>
      <c r="C1896" s="11"/>
      <c r="D1896" s="11">
        <v>11833</v>
      </c>
      <c r="E1896" t="s">
        <v>259</v>
      </c>
      <c r="F1896" s="108"/>
    </row>
    <row r="1897" spans="1:6" x14ac:dyDescent="0.3">
      <c r="A1897" s="111">
        <v>46275</v>
      </c>
      <c r="B1897" t="s">
        <v>253</v>
      </c>
      <c r="C1897" s="11">
        <v>15500</v>
      </c>
      <c r="D1897" s="11"/>
      <c r="E1897" t="s">
        <v>1228</v>
      </c>
      <c r="F1897" s="108"/>
    </row>
    <row r="1898" spans="1:6" x14ac:dyDescent="0.3">
      <c r="A1898" s="111">
        <v>46275</v>
      </c>
      <c r="B1898" t="s">
        <v>298</v>
      </c>
      <c r="C1898" s="11">
        <v>8500</v>
      </c>
      <c r="D1898" s="11"/>
      <c r="E1898" t="s">
        <v>693</v>
      </c>
      <c r="F1898" s="108"/>
    </row>
    <row r="1899" spans="1:6" x14ac:dyDescent="0.3">
      <c r="A1899" s="111">
        <v>46275</v>
      </c>
      <c r="B1899" t="s">
        <v>219</v>
      </c>
      <c r="C1899" s="11"/>
      <c r="D1899" s="11">
        <v>8500</v>
      </c>
      <c r="E1899" t="s">
        <v>1229</v>
      </c>
      <c r="F1899" s="108"/>
    </row>
    <row r="1900" spans="1:6" x14ac:dyDescent="0.3">
      <c r="A1900" s="111">
        <v>46275</v>
      </c>
      <c r="B1900" t="s">
        <v>386</v>
      </c>
      <c r="C1900" s="11">
        <v>1600</v>
      </c>
      <c r="D1900" s="11"/>
      <c r="E1900" t="s">
        <v>953</v>
      </c>
      <c r="F1900" s="108"/>
    </row>
    <row r="1901" spans="1:6" x14ac:dyDescent="0.3">
      <c r="A1901" s="111">
        <v>46275</v>
      </c>
      <c r="B1901" t="s">
        <v>386</v>
      </c>
      <c r="C1901" s="11">
        <v>1000</v>
      </c>
      <c r="D1901" s="11"/>
      <c r="E1901" t="s">
        <v>1285</v>
      </c>
      <c r="F1901" s="108"/>
    </row>
    <row r="1902" spans="1:6" x14ac:dyDescent="0.3">
      <c r="A1902" s="111">
        <v>46275</v>
      </c>
      <c r="B1902" t="s">
        <v>211</v>
      </c>
      <c r="C1902" s="11">
        <v>1500</v>
      </c>
      <c r="D1902" s="11"/>
      <c r="F1902" s="108"/>
    </row>
    <row r="1903" spans="1:6" x14ac:dyDescent="0.3">
      <c r="A1903" s="111">
        <v>46275</v>
      </c>
      <c r="B1903" t="s">
        <v>386</v>
      </c>
      <c r="C1903" s="11">
        <v>500</v>
      </c>
      <c r="D1903" s="11"/>
      <c r="E1903" t="s">
        <v>1286</v>
      </c>
      <c r="F1903" s="108"/>
    </row>
    <row r="1904" spans="1:6" x14ac:dyDescent="0.3">
      <c r="A1904" s="111">
        <v>46275</v>
      </c>
      <c r="B1904" t="s">
        <v>211</v>
      </c>
      <c r="C1904" s="11">
        <v>650</v>
      </c>
      <c r="D1904" s="11"/>
      <c r="F1904" s="108"/>
    </row>
    <row r="1905" spans="1:6" x14ac:dyDescent="0.3">
      <c r="A1905" s="111">
        <v>46275</v>
      </c>
      <c r="B1905" t="s">
        <v>386</v>
      </c>
      <c r="C1905" s="11">
        <v>1100</v>
      </c>
      <c r="D1905" s="11"/>
      <c r="E1905" t="s">
        <v>832</v>
      </c>
      <c r="F1905" s="108"/>
    </row>
    <row r="1906" spans="1:6" x14ac:dyDescent="0.3">
      <c r="A1906" s="111">
        <v>46275</v>
      </c>
      <c r="B1906" t="s">
        <v>219</v>
      </c>
      <c r="C1906" s="11"/>
      <c r="D1906" s="11">
        <v>6000</v>
      </c>
      <c r="E1906" t="s">
        <v>1291</v>
      </c>
      <c r="F1906" s="108"/>
    </row>
    <row r="1907" spans="1:6" x14ac:dyDescent="0.3">
      <c r="A1907" s="111">
        <v>46275</v>
      </c>
      <c r="B1907" t="s">
        <v>219</v>
      </c>
      <c r="C1907" s="11"/>
      <c r="D1907" s="11">
        <v>135000</v>
      </c>
      <c r="E1907" t="s">
        <v>1299</v>
      </c>
      <c r="F1907" s="108"/>
    </row>
    <row r="1908" spans="1:6" x14ac:dyDescent="0.3">
      <c r="A1908" s="111">
        <v>46275</v>
      </c>
      <c r="B1908" t="s">
        <v>219</v>
      </c>
      <c r="C1908" s="11"/>
      <c r="D1908" s="11">
        <v>3000</v>
      </c>
      <c r="E1908" t="s">
        <v>265</v>
      </c>
      <c r="F1908" s="108"/>
    </row>
    <row r="1909" spans="1:6" x14ac:dyDescent="0.3">
      <c r="A1909" s="111">
        <v>46275</v>
      </c>
      <c r="B1909" t="s">
        <v>222</v>
      </c>
      <c r="C1909" s="11">
        <v>6000</v>
      </c>
      <c r="D1909" s="11"/>
      <c r="E1909" t="s">
        <v>265</v>
      </c>
      <c r="F1909" s="108"/>
    </row>
    <row r="1910" spans="1:6" x14ac:dyDescent="0.3">
      <c r="A1910" s="111">
        <v>46275</v>
      </c>
      <c r="B1910" t="s">
        <v>488</v>
      </c>
      <c r="C1910" s="11">
        <v>6000</v>
      </c>
      <c r="D1910" s="11"/>
      <c r="E1910" t="s">
        <v>1291</v>
      </c>
      <c r="F1910" s="108"/>
    </row>
    <row r="1911" spans="1:6" x14ac:dyDescent="0.3">
      <c r="A1911" s="111">
        <v>46275</v>
      </c>
      <c r="B1911" t="s">
        <v>760</v>
      </c>
      <c r="C1911" s="11">
        <v>135000</v>
      </c>
      <c r="D1911" s="11"/>
      <c r="E1911" t="s">
        <v>267</v>
      </c>
      <c r="F1911" s="108"/>
    </row>
    <row r="1912" spans="1:6" x14ac:dyDescent="0.3">
      <c r="A1912" s="111">
        <v>46275</v>
      </c>
      <c r="C1912" s="11"/>
      <c r="D1912" s="11"/>
      <c r="F1912" s="108"/>
    </row>
    <row r="1913" spans="1:6" x14ac:dyDescent="0.3">
      <c r="A1913" s="111">
        <v>46275</v>
      </c>
      <c r="B1913" t="s">
        <v>219</v>
      </c>
      <c r="C1913" s="11"/>
      <c r="D1913" s="11"/>
      <c r="E1913" t="s">
        <v>265</v>
      </c>
      <c r="F1913" s="108"/>
    </row>
    <row r="1914" spans="1:6" x14ac:dyDescent="0.3">
      <c r="A1914" s="111">
        <v>46276</v>
      </c>
      <c r="B1914" t="s">
        <v>269</v>
      </c>
      <c r="C1914" s="11">
        <v>7000</v>
      </c>
      <c r="D1914" s="11"/>
      <c r="E1914" t="s">
        <v>1267</v>
      </c>
      <c r="F1914" s="108"/>
    </row>
    <row r="1915" spans="1:6" x14ac:dyDescent="0.3">
      <c r="A1915" s="111">
        <v>46276</v>
      </c>
      <c r="B1915" t="s">
        <v>219</v>
      </c>
      <c r="C1915" s="11"/>
      <c r="D1915" s="11">
        <v>160000</v>
      </c>
      <c r="E1915" t="s">
        <v>1230</v>
      </c>
      <c r="F1915" s="108"/>
    </row>
    <row r="1916" spans="1:6" x14ac:dyDescent="0.3">
      <c r="A1916" s="111">
        <v>46276</v>
      </c>
      <c r="B1916" t="s">
        <v>1231</v>
      </c>
      <c r="C1916" s="11">
        <v>100600</v>
      </c>
      <c r="D1916" s="11"/>
      <c r="E1916" t="s">
        <v>1232</v>
      </c>
      <c r="F1916" s="108"/>
    </row>
    <row r="1917" spans="1:6" x14ac:dyDescent="0.3">
      <c r="A1917" s="111">
        <v>46276</v>
      </c>
      <c r="B1917" t="s">
        <v>222</v>
      </c>
      <c r="C1917" s="11">
        <v>57000</v>
      </c>
      <c r="D1917" s="11"/>
      <c r="E1917" t="s">
        <v>240</v>
      </c>
      <c r="F1917" s="108"/>
    </row>
    <row r="1918" spans="1:6" x14ac:dyDescent="0.3">
      <c r="A1918" s="111">
        <v>46276</v>
      </c>
      <c r="B1918" t="s">
        <v>386</v>
      </c>
      <c r="C1918" s="11">
        <v>5000</v>
      </c>
      <c r="D1918" s="11"/>
      <c r="E1918" t="s">
        <v>901</v>
      </c>
      <c r="F1918" s="108"/>
    </row>
    <row r="1919" spans="1:6" x14ac:dyDescent="0.3">
      <c r="A1919" s="111">
        <v>46276</v>
      </c>
      <c r="B1919" t="s">
        <v>55</v>
      </c>
      <c r="C1919" s="11">
        <v>11994</v>
      </c>
      <c r="D1919" s="11"/>
      <c r="E1919" t="s">
        <v>259</v>
      </c>
      <c r="F1919" s="108"/>
    </row>
    <row r="1920" spans="1:6" x14ac:dyDescent="0.3">
      <c r="A1920" s="111">
        <v>46276</v>
      </c>
      <c r="B1920" t="s">
        <v>211</v>
      </c>
      <c r="C1920" s="11"/>
      <c r="D1920" s="11">
        <v>1000</v>
      </c>
      <c r="F1920" s="108"/>
    </row>
    <row r="1921" spans="1:6" x14ac:dyDescent="0.3">
      <c r="A1921" s="111">
        <v>46276</v>
      </c>
      <c r="B1921" t="s">
        <v>222</v>
      </c>
      <c r="C1921" s="11">
        <v>1500</v>
      </c>
      <c r="D1921" s="11"/>
      <c r="E1921" t="s">
        <v>265</v>
      </c>
      <c r="F1921" s="108"/>
    </row>
    <row r="1922" spans="1:6" x14ac:dyDescent="0.3">
      <c r="A1922" s="111">
        <v>46276</v>
      </c>
      <c r="B1922" t="s">
        <v>386</v>
      </c>
      <c r="C1922" s="11">
        <v>9000</v>
      </c>
      <c r="D1922" s="11"/>
      <c r="E1922" t="s">
        <v>1287</v>
      </c>
      <c r="F1922" s="108"/>
    </row>
    <row r="1923" spans="1:6" x14ac:dyDescent="0.3">
      <c r="A1923" s="111">
        <v>46276</v>
      </c>
      <c r="B1923" t="s">
        <v>219</v>
      </c>
      <c r="C1923" s="11"/>
      <c r="D1923" s="11">
        <v>12000</v>
      </c>
      <c r="E1923" t="s">
        <v>1291</v>
      </c>
      <c r="F1923" s="108"/>
    </row>
    <row r="1924" spans="1:6" x14ac:dyDescent="0.3">
      <c r="A1924" s="111">
        <v>46276</v>
      </c>
      <c r="B1924" t="s">
        <v>488</v>
      </c>
      <c r="C1924" s="11">
        <v>12000</v>
      </c>
      <c r="D1924" s="11"/>
      <c r="E1924" t="s">
        <v>1291</v>
      </c>
      <c r="F1924" s="108"/>
    </row>
    <row r="1925" spans="1:6" x14ac:dyDescent="0.3">
      <c r="A1925" s="111">
        <v>46277</v>
      </c>
      <c r="B1925" t="s">
        <v>219</v>
      </c>
      <c r="C1925" s="95"/>
      <c r="D1925" s="95">
        <v>115000</v>
      </c>
      <c r="E1925" t="s">
        <v>1233</v>
      </c>
      <c r="F1925" s="108"/>
    </row>
    <row r="1926" spans="1:6" x14ac:dyDescent="0.3">
      <c r="A1926" s="111">
        <v>46277</v>
      </c>
      <c r="B1926" t="s">
        <v>568</v>
      </c>
      <c r="C1926" s="11">
        <v>45000</v>
      </c>
      <c r="D1926" s="11"/>
      <c r="E1926" t="s">
        <v>163</v>
      </c>
      <c r="F1926" s="108"/>
    </row>
    <row r="1927" spans="1:6" x14ac:dyDescent="0.3">
      <c r="A1927" s="111">
        <v>46277</v>
      </c>
      <c r="B1927" t="s">
        <v>219</v>
      </c>
      <c r="C1927" s="11"/>
      <c r="D1927" s="11">
        <v>45000</v>
      </c>
      <c r="E1927" t="s">
        <v>568</v>
      </c>
      <c r="F1927" s="108"/>
    </row>
    <row r="1928" spans="1:6" x14ac:dyDescent="0.3">
      <c r="A1928" s="111">
        <v>46277</v>
      </c>
      <c r="B1928" t="s">
        <v>222</v>
      </c>
      <c r="C1928" s="11">
        <v>115000</v>
      </c>
      <c r="D1928" s="11"/>
      <c r="E1928" t="s">
        <v>240</v>
      </c>
      <c r="F1928" s="108"/>
    </row>
    <row r="1929" spans="1:6" x14ac:dyDescent="0.3">
      <c r="A1929" s="111">
        <v>46277</v>
      </c>
      <c r="B1929" t="s">
        <v>219</v>
      </c>
      <c r="C1929" s="11"/>
      <c r="D1929" s="11">
        <v>10000</v>
      </c>
      <c r="E1929" t="s">
        <v>1234</v>
      </c>
      <c r="F1929" s="108"/>
    </row>
    <row r="1930" spans="1:6" x14ac:dyDescent="0.3">
      <c r="A1930" s="111">
        <v>46277</v>
      </c>
      <c r="B1930" t="s">
        <v>55</v>
      </c>
      <c r="C1930" s="11">
        <v>4140</v>
      </c>
      <c r="D1930" s="11"/>
      <c r="F1930" s="108"/>
    </row>
    <row r="1931" spans="1:6" x14ac:dyDescent="0.3">
      <c r="A1931" s="111">
        <v>46277</v>
      </c>
      <c r="B1931" t="s">
        <v>55</v>
      </c>
      <c r="C1931" s="11">
        <v>5500</v>
      </c>
      <c r="D1931" s="11"/>
      <c r="E1931" t="s">
        <v>1235</v>
      </c>
      <c r="F1931" s="108"/>
    </row>
    <row r="1932" spans="1:6" x14ac:dyDescent="0.3">
      <c r="A1932" s="111">
        <v>46277</v>
      </c>
      <c r="B1932" t="s">
        <v>219</v>
      </c>
      <c r="C1932" s="11"/>
      <c r="D1932" s="11">
        <v>19000</v>
      </c>
      <c r="E1932" t="s">
        <v>318</v>
      </c>
      <c r="F1932" s="108"/>
    </row>
    <row r="1933" spans="1:6" x14ac:dyDescent="0.3">
      <c r="A1933" s="38">
        <v>46277</v>
      </c>
      <c r="B1933" t="s">
        <v>1136</v>
      </c>
      <c r="C1933" s="11">
        <v>20000</v>
      </c>
      <c r="D1933" s="11"/>
      <c r="E1933" t="s">
        <v>109</v>
      </c>
      <c r="F1933" s="108"/>
    </row>
    <row r="1934" spans="1:6" x14ac:dyDescent="0.3">
      <c r="A1934" s="38">
        <v>46277</v>
      </c>
      <c r="B1934" t="s">
        <v>219</v>
      </c>
      <c r="C1934" s="11"/>
      <c r="D1934" s="11">
        <v>290000</v>
      </c>
      <c r="E1934" t="s">
        <v>1236</v>
      </c>
      <c r="F1934" s="108"/>
    </row>
    <row r="1935" spans="1:6" x14ac:dyDescent="0.3">
      <c r="A1935" s="38">
        <v>46277</v>
      </c>
      <c r="B1935" t="s">
        <v>222</v>
      </c>
      <c r="C1935" s="11">
        <v>200000</v>
      </c>
      <c r="D1935" s="11"/>
      <c r="E1935" t="s">
        <v>1237</v>
      </c>
      <c r="F1935" s="108"/>
    </row>
    <row r="1936" spans="1:6" x14ac:dyDescent="0.3">
      <c r="A1936" s="111">
        <v>46277</v>
      </c>
      <c r="B1936" t="s">
        <v>55</v>
      </c>
      <c r="C1936" s="11">
        <v>12153</v>
      </c>
      <c r="D1936" s="11"/>
      <c r="E1936" t="s">
        <v>259</v>
      </c>
      <c r="F1936" s="108"/>
    </row>
    <row r="1937" spans="1:6" x14ac:dyDescent="0.3">
      <c r="A1937" s="111">
        <v>46277</v>
      </c>
      <c r="B1937" t="s">
        <v>55</v>
      </c>
      <c r="C1937" s="11">
        <v>16732</v>
      </c>
      <c r="D1937" s="11"/>
      <c r="E1937" t="s">
        <v>259</v>
      </c>
      <c r="F1937" s="108"/>
    </row>
    <row r="1938" spans="1:6" x14ac:dyDescent="0.3">
      <c r="A1938" s="111">
        <v>46277</v>
      </c>
      <c r="B1938" t="s">
        <v>219</v>
      </c>
      <c r="C1938" s="11"/>
      <c r="D1938" s="11">
        <v>8800</v>
      </c>
      <c r="E1938" t="s">
        <v>1300</v>
      </c>
      <c r="F1938" s="108"/>
    </row>
    <row r="1939" spans="1:6" x14ac:dyDescent="0.3">
      <c r="A1939" s="111">
        <v>46277</v>
      </c>
      <c r="B1939" t="s">
        <v>219</v>
      </c>
      <c r="C1939" s="11"/>
      <c r="D1939" s="11">
        <v>15000</v>
      </c>
      <c r="E1939" t="s">
        <v>1301</v>
      </c>
      <c r="F1939" s="108"/>
    </row>
    <row r="1940" spans="1:6" x14ac:dyDescent="0.3">
      <c r="A1940" s="38">
        <v>46277</v>
      </c>
      <c r="B1940" t="s">
        <v>219</v>
      </c>
      <c r="C1940" s="11"/>
      <c r="D1940" s="11">
        <v>12000</v>
      </c>
      <c r="E1940" t="s">
        <v>1291</v>
      </c>
      <c r="F1940" s="108"/>
    </row>
    <row r="1941" spans="1:6" x14ac:dyDescent="0.3">
      <c r="A1941" s="111">
        <v>46277</v>
      </c>
      <c r="B1941" t="s">
        <v>219</v>
      </c>
      <c r="C1941" s="11"/>
      <c r="D1941" s="11">
        <v>100000</v>
      </c>
      <c r="E1941" t="s">
        <v>1299</v>
      </c>
      <c r="F1941" s="108"/>
    </row>
    <row r="1942" spans="1:6" x14ac:dyDescent="0.3">
      <c r="A1942" s="111">
        <v>46277</v>
      </c>
      <c r="B1942" t="s">
        <v>219</v>
      </c>
      <c r="C1942" s="11"/>
      <c r="D1942" s="11">
        <v>29875</v>
      </c>
      <c r="E1942" t="s">
        <v>568</v>
      </c>
      <c r="F1942" s="108"/>
    </row>
    <row r="1943" spans="1:6" x14ac:dyDescent="0.3">
      <c r="A1943" s="111">
        <v>46277</v>
      </c>
      <c r="B1943" t="s">
        <v>219</v>
      </c>
      <c r="C1943" s="11"/>
      <c r="D1943" s="11">
        <v>9826</v>
      </c>
      <c r="E1943" t="s">
        <v>1019</v>
      </c>
      <c r="F1943" s="108"/>
    </row>
    <row r="1944" spans="1:6" x14ac:dyDescent="0.3">
      <c r="A1944" s="111">
        <v>46277</v>
      </c>
      <c r="B1944" t="s">
        <v>219</v>
      </c>
      <c r="C1944" s="11"/>
      <c r="D1944" s="11">
        <v>8000</v>
      </c>
      <c r="E1944" t="s">
        <v>1302</v>
      </c>
      <c r="F1944" s="108"/>
    </row>
    <row r="1945" spans="1:6" x14ac:dyDescent="0.3">
      <c r="A1945" s="111">
        <v>46277</v>
      </c>
      <c r="B1945" t="s">
        <v>55</v>
      </c>
      <c r="C1945" s="11">
        <v>8800</v>
      </c>
      <c r="D1945" s="11"/>
      <c r="E1945" t="s">
        <v>1300</v>
      </c>
      <c r="F1945" s="108"/>
    </row>
    <row r="1946" spans="1:6" x14ac:dyDescent="0.3">
      <c r="A1946" s="38">
        <v>46277</v>
      </c>
      <c r="B1946" t="s">
        <v>55</v>
      </c>
      <c r="C1946" s="11">
        <v>15000</v>
      </c>
      <c r="D1946" s="11"/>
      <c r="E1946" t="s">
        <v>1301</v>
      </c>
      <c r="F1946" s="108"/>
    </row>
    <row r="1947" spans="1:6" x14ac:dyDescent="0.3">
      <c r="A1947" s="111">
        <v>46277</v>
      </c>
      <c r="B1947" t="s">
        <v>488</v>
      </c>
      <c r="C1947" s="11">
        <v>12000</v>
      </c>
      <c r="D1947" s="11"/>
      <c r="E1947" t="s">
        <v>1291</v>
      </c>
      <c r="F1947" s="108"/>
    </row>
    <row r="1948" spans="1:6" x14ac:dyDescent="0.3">
      <c r="A1948" s="111">
        <v>46277</v>
      </c>
      <c r="B1948" t="s">
        <v>760</v>
      </c>
      <c r="C1948" s="11">
        <v>100000</v>
      </c>
      <c r="D1948" s="11"/>
      <c r="E1948" t="s">
        <v>1299</v>
      </c>
      <c r="F1948" s="108"/>
    </row>
    <row r="1949" spans="1:6" x14ac:dyDescent="0.3">
      <c r="A1949" s="111">
        <v>46277</v>
      </c>
      <c r="B1949" t="s">
        <v>568</v>
      </c>
      <c r="C1949" s="11">
        <v>29875</v>
      </c>
      <c r="D1949" s="11"/>
      <c r="E1949" t="s">
        <v>1303</v>
      </c>
      <c r="F1949" s="108"/>
    </row>
    <row r="1950" spans="1:6" x14ac:dyDescent="0.3">
      <c r="A1950" s="111">
        <v>46277</v>
      </c>
      <c r="B1950" t="s">
        <v>55</v>
      </c>
      <c r="C1950" s="11">
        <v>9826</v>
      </c>
      <c r="D1950" s="11"/>
      <c r="E1950" t="s">
        <v>1019</v>
      </c>
      <c r="F1950" s="108"/>
    </row>
    <row r="1951" spans="1:6" x14ac:dyDescent="0.3">
      <c r="A1951" s="111">
        <v>46277</v>
      </c>
      <c r="B1951" t="s">
        <v>55</v>
      </c>
      <c r="C1951" s="11">
        <v>8000</v>
      </c>
      <c r="D1951" s="11"/>
      <c r="E1951" t="s">
        <v>1302</v>
      </c>
      <c r="F1951" s="108"/>
    </row>
    <row r="1952" spans="1:6" x14ac:dyDescent="0.3">
      <c r="A1952" s="111">
        <v>46278</v>
      </c>
      <c r="B1952" t="s">
        <v>674</v>
      </c>
      <c r="C1952" s="11">
        <v>50000</v>
      </c>
      <c r="D1952" s="11"/>
      <c r="E1952" t="s">
        <v>240</v>
      </c>
      <c r="F1952" s="108"/>
    </row>
    <row r="1953" spans="1:6" x14ac:dyDescent="0.3">
      <c r="A1953" s="111">
        <v>46278</v>
      </c>
      <c r="B1953" t="s">
        <v>55</v>
      </c>
      <c r="C1953" s="11">
        <v>8000</v>
      </c>
      <c r="D1953" s="11"/>
      <c r="E1953" t="s">
        <v>1238</v>
      </c>
      <c r="F1953" s="108"/>
    </row>
    <row r="1954" spans="1:6" x14ac:dyDescent="0.3">
      <c r="A1954" s="111">
        <v>46278</v>
      </c>
      <c r="B1954" t="s">
        <v>219</v>
      </c>
      <c r="C1954" s="11"/>
      <c r="D1954" s="11">
        <v>4500</v>
      </c>
      <c r="F1954" s="108"/>
    </row>
    <row r="1955" spans="1:6" x14ac:dyDescent="0.3">
      <c r="A1955" s="111">
        <v>46278</v>
      </c>
      <c r="B1955" t="s">
        <v>298</v>
      </c>
      <c r="C1955" s="11">
        <v>5500</v>
      </c>
      <c r="D1955" s="11"/>
      <c r="E1955" t="s">
        <v>1239</v>
      </c>
      <c r="F1955" s="108"/>
    </row>
    <row r="1956" spans="1:6" x14ac:dyDescent="0.3">
      <c r="A1956" s="111">
        <v>46278</v>
      </c>
      <c r="B1956" t="s">
        <v>1177</v>
      </c>
      <c r="C1956" s="11">
        <v>5500</v>
      </c>
      <c r="D1956" s="11"/>
      <c r="F1956" s="108"/>
    </row>
    <row r="1957" spans="1:6" x14ac:dyDescent="0.3">
      <c r="A1957" s="111">
        <v>46278</v>
      </c>
      <c r="B1957" t="s">
        <v>298</v>
      </c>
      <c r="C1957" s="11"/>
      <c r="D1957" s="11">
        <v>5500</v>
      </c>
      <c r="E1957" t="s">
        <v>1239</v>
      </c>
      <c r="F1957" s="108"/>
    </row>
    <row r="1958" spans="1:6" x14ac:dyDescent="0.3">
      <c r="A1958" s="111">
        <v>46278</v>
      </c>
      <c r="B1958" t="s">
        <v>55</v>
      </c>
      <c r="C1958" s="11">
        <v>1440</v>
      </c>
      <c r="D1958" s="11"/>
      <c r="F1958" s="108"/>
    </row>
    <row r="1959" spans="1:6" x14ac:dyDescent="0.3">
      <c r="A1959" s="111">
        <v>46278</v>
      </c>
      <c r="B1959" t="s">
        <v>244</v>
      </c>
      <c r="C1959" s="11">
        <v>600</v>
      </c>
      <c r="D1959" s="11"/>
      <c r="F1959" s="108"/>
    </row>
    <row r="1960" spans="1:6" x14ac:dyDescent="0.3">
      <c r="A1960" s="111">
        <v>46278</v>
      </c>
      <c r="B1960" t="s">
        <v>386</v>
      </c>
      <c r="C1960" s="11">
        <v>1200</v>
      </c>
      <c r="D1960" s="11"/>
      <c r="E1960" t="s">
        <v>953</v>
      </c>
      <c r="F1960" s="108"/>
    </row>
    <row r="1961" spans="1:6" x14ac:dyDescent="0.3">
      <c r="A1961" s="111">
        <v>46278</v>
      </c>
      <c r="B1961" t="s">
        <v>488</v>
      </c>
      <c r="C1961" s="11">
        <v>4000</v>
      </c>
      <c r="D1961" s="11"/>
      <c r="E1961" t="s">
        <v>648</v>
      </c>
      <c r="F1961" s="108"/>
    </row>
    <row r="1962" spans="1:6" x14ac:dyDescent="0.3">
      <c r="A1962" s="111">
        <v>46278</v>
      </c>
      <c r="B1962" t="s">
        <v>386</v>
      </c>
      <c r="C1962" s="11">
        <v>4500</v>
      </c>
      <c r="D1962" s="11"/>
      <c r="E1962" t="s">
        <v>1077</v>
      </c>
      <c r="F1962" s="108"/>
    </row>
    <row r="1963" spans="1:6" x14ac:dyDescent="0.3">
      <c r="A1963" s="111">
        <v>46278</v>
      </c>
      <c r="B1963" t="s">
        <v>386</v>
      </c>
      <c r="C1963" s="11">
        <v>1000</v>
      </c>
      <c r="D1963" s="11"/>
      <c r="E1963" t="s">
        <v>1288</v>
      </c>
      <c r="F1963" s="108"/>
    </row>
    <row r="1964" spans="1:6" x14ac:dyDescent="0.3">
      <c r="A1964" s="111">
        <v>46278</v>
      </c>
      <c r="B1964" t="s">
        <v>386</v>
      </c>
      <c r="C1964" s="95">
        <f>500+910</f>
        <v>1410</v>
      </c>
      <c r="D1964" s="95"/>
      <c r="E1964" t="s">
        <v>1289</v>
      </c>
      <c r="F1964" s="108"/>
    </row>
    <row r="1965" spans="1:6" x14ac:dyDescent="0.3">
      <c r="A1965" s="111">
        <v>46278</v>
      </c>
      <c r="B1965" t="s">
        <v>211</v>
      </c>
      <c r="C1965" s="95">
        <v>5000</v>
      </c>
      <c r="D1965" s="95"/>
      <c r="E1965" t="s">
        <v>648</v>
      </c>
      <c r="F1965" s="108"/>
    </row>
    <row r="1966" spans="1:6" x14ac:dyDescent="0.3">
      <c r="A1966" s="111">
        <v>46278</v>
      </c>
      <c r="B1966" t="s">
        <v>211</v>
      </c>
      <c r="C1966" s="95">
        <v>800</v>
      </c>
      <c r="D1966" s="95"/>
      <c r="E1966" t="s">
        <v>1290</v>
      </c>
      <c r="F1966" s="108"/>
    </row>
    <row r="1967" spans="1:6" x14ac:dyDescent="0.3">
      <c r="A1967" s="111">
        <v>46278</v>
      </c>
      <c r="B1967" t="s">
        <v>488</v>
      </c>
      <c r="C1967" s="95">
        <v>6000</v>
      </c>
      <c r="D1967" s="95"/>
      <c r="E1967" t="s">
        <v>648</v>
      </c>
      <c r="F1967" s="108"/>
    </row>
    <row r="1968" spans="1:6" x14ac:dyDescent="0.3">
      <c r="A1968" s="111">
        <v>46279</v>
      </c>
      <c r="B1968" t="s">
        <v>219</v>
      </c>
      <c r="C1968" s="11"/>
      <c r="D1968" s="11">
        <v>20000</v>
      </c>
      <c r="E1968" t="s">
        <v>1240</v>
      </c>
      <c r="F1968" s="108"/>
    </row>
    <row r="1969" spans="1:6" x14ac:dyDescent="0.3">
      <c r="A1969" s="111">
        <v>46279</v>
      </c>
      <c r="B1969" t="s">
        <v>357</v>
      </c>
      <c r="C1969" s="11">
        <v>12660</v>
      </c>
      <c r="D1969" s="11"/>
      <c r="F1969" s="108"/>
    </row>
    <row r="1970" spans="1:6" x14ac:dyDescent="0.3">
      <c r="A1970" s="111">
        <v>46279</v>
      </c>
      <c r="B1970" t="s">
        <v>253</v>
      </c>
      <c r="C1970" s="11">
        <v>1000</v>
      </c>
      <c r="D1970" s="11"/>
      <c r="E1970" t="s">
        <v>1279</v>
      </c>
      <c r="F1970" s="108"/>
    </row>
    <row r="1971" spans="1:6" x14ac:dyDescent="0.3">
      <c r="A1971" s="111">
        <v>46279</v>
      </c>
      <c r="B1971" t="s">
        <v>269</v>
      </c>
      <c r="C1971" s="11">
        <v>5000</v>
      </c>
      <c r="D1971" s="11"/>
      <c r="E1971" t="s">
        <v>1280</v>
      </c>
      <c r="F1971" s="108"/>
    </row>
    <row r="1972" spans="1:6" x14ac:dyDescent="0.3">
      <c r="A1972" s="111">
        <v>46279</v>
      </c>
      <c r="B1972" t="s">
        <v>253</v>
      </c>
      <c r="C1972" s="11">
        <v>6000</v>
      </c>
      <c r="D1972" s="11"/>
      <c r="E1972" t="s">
        <v>1284</v>
      </c>
      <c r="F1972" s="108"/>
    </row>
    <row r="1973" spans="1:6" x14ac:dyDescent="0.3">
      <c r="A1973" s="111">
        <v>46279</v>
      </c>
      <c r="B1973" t="s">
        <v>253</v>
      </c>
      <c r="C1973" s="11">
        <f>6000+6650</f>
        <v>12650</v>
      </c>
      <c r="D1973" s="11"/>
      <c r="E1973" t="s">
        <v>1281</v>
      </c>
      <c r="F1973" s="108"/>
    </row>
    <row r="1974" spans="1:6" x14ac:dyDescent="0.3">
      <c r="A1974" s="111">
        <v>46279</v>
      </c>
      <c r="B1974" t="s">
        <v>253</v>
      </c>
      <c r="C1974" s="11">
        <v>22265</v>
      </c>
      <c r="D1974" s="11"/>
      <c r="E1974" t="s">
        <v>1018</v>
      </c>
      <c r="F1974" s="108"/>
    </row>
    <row r="1975" spans="1:6" x14ac:dyDescent="0.3">
      <c r="A1975" s="111">
        <v>46279</v>
      </c>
      <c r="B1975" t="s">
        <v>253</v>
      </c>
      <c r="C1975" s="11">
        <f>7200+3000</f>
        <v>10200</v>
      </c>
      <c r="D1975" s="11"/>
      <c r="E1975" t="s">
        <v>1282</v>
      </c>
      <c r="F1975" s="108"/>
    </row>
    <row r="1976" spans="1:6" x14ac:dyDescent="0.3">
      <c r="A1976" s="111">
        <v>46279</v>
      </c>
      <c r="B1976" t="s">
        <v>253</v>
      </c>
      <c r="C1976" s="11">
        <v>14400</v>
      </c>
      <c r="D1976" s="11"/>
      <c r="E1976" t="s">
        <v>1283</v>
      </c>
      <c r="F1976" s="108"/>
    </row>
    <row r="1977" spans="1:6" x14ac:dyDescent="0.3">
      <c r="A1977" s="111">
        <v>46279</v>
      </c>
      <c r="B1977" t="s">
        <v>1136</v>
      </c>
      <c r="C1977" s="11"/>
      <c r="D1977" s="11"/>
      <c r="E1977" t="s">
        <v>1261</v>
      </c>
      <c r="F1977" s="108"/>
    </row>
    <row r="1978" spans="1:6" x14ac:dyDescent="0.3">
      <c r="A1978" s="111">
        <v>46279</v>
      </c>
      <c r="B1978" t="s">
        <v>219</v>
      </c>
      <c r="C1978" s="11"/>
      <c r="D1978" s="11">
        <v>200000</v>
      </c>
      <c r="E1978" t="s">
        <v>1263</v>
      </c>
      <c r="F1978" s="108"/>
    </row>
    <row r="1979" spans="1:6" x14ac:dyDescent="0.3">
      <c r="A1979" s="111">
        <v>46279</v>
      </c>
      <c r="B1979" t="s">
        <v>219</v>
      </c>
      <c r="C1979" s="11"/>
      <c r="D1979" s="11">
        <v>15000</v>
      </c>
      <c r="E1979" t="s">
        <v>1262</v>
      </c>
      <c r="F1979" s="108"/>
    </row>
    <row r="1980" spans="1:6" x14ac:dyDescent="0.3">
      <c r="A1980" s="111">
        <v>46279</v>
      </c>
      <c r="B1980" t="s">
        <v>55</v>
      </c>
      <c r="C1980" s="11">
        <v>12153</v>
      </c>
      <c r="D1980" s="11"/>
      <c r="F1980" s="108"/>
    </row>
    <row r="1981" spans="1:6" x14ac:dyDescent="0.3">
      <c r="A1981" s="111">
        <v>46279</v>
      </c>
      <c r="B1981" t="s">
        <v>363</v>
      </c>
      <c r="C1981" s="11">
        <v>38500</v>
      </c>
      <c r="D1981" s="11"/>
      <c r="E1981" t="s">
        <v>316</v>
      </c>
      <c r="F1981" s="108"/>
    </row>
    <row r="1982" spans="1:6" x14ac:dyDescent="0.3">
      <c r="A1982" s="111">
        <v>46279</v>
      </c>
      <c r="B1982" t="s">
        <v>211</v>
      </c>
      <c r="C1982" s="11">
        <v>700</v>
      </c>
      <c r="D1982" s="11"/>
      <c r="F1982" s="108"/>
    </row>
    <row r="1983" spans="1:6" x14ac:dyDescent="0.3">
      <c r="A1983" s="111">
        <v>46279</v>
      </c>
      <c r="B1983" t="s">
        <v>488</v>
      </c>
      <c r="C1983" s="11">
        <v>900</v>
      </c>
      <c r="D1983" s="11"/>
      <c r="F1983" s="108"/>
    </row>
    <row r="1984" spans="1:6" x14ac:dyDescent="0.3">
      <c r="A1984" s="111">
        <v>46279</v>
      </c>
      <c r="B1984" t="s">
        <v>219</v>
      </c>
      <c r="C1984" s="11"/>
      <c r="D1984" s="11">
        <v>100000</v>
      </c>
      <c r="E1984" t="s">
        <v>1241</v>
      </c>
      <c r="F1984" s="108"/>
    </row>
    <row r="1985" spans="1:6" x14ac:dyDescent="0.3">
      <c r="A1985" s="111">
        <v>46279</v>
      </c>
      <c r="B1985" t="s">
        <v>253</v>
      </c>
      <c r="C1985" s="11">
        <v>215000</v>
      </c>
      <c r="D1985" s="11"/>
      <c r="E1985" t="s">
        <v>1242</v>
      </c>
      <c r="F1985" s="108"/>
    </row>
    <row r="1986" spans="1:6" x14ac:dyDescent="0.3">
      <c r="A1986" s="111">
        <v>46279</v>
      </c>
      <c r="B1986" t="s">
        <v>219</v>
      </c>
      <c r="C1986" s="11"/>
      <c r="D1986" s="11">
        <v>10000</v>
      </c>
      <c r="E1986" t="s">
        <v>1243</v>
      </c>
      <c r="F1986" s="108"/>
    </row>
    <row r="1987" spans="1:6" x14ac:dyDescent="0.3">
      <c r="A1987" s="111">
        <v>46279</v>
      </c>
      <c r="B1987" t="s">
        <v>219</v>
      </c>
      <c r="C1987" s="11"/>
      <c r="D1987" s="11">
        <v>200000</v>
      </c>
      <c r="E1987" t="s">
        <v>1244</v>
      </c>
      <c r="F1987" s="108"/>
    </row>
    <row r="1988" spans="1:6" x14ac:dyDescent="0.3">
      <c r="A1988" s="111">
        <v>46279</v>
      </c>
      <c r="B1988" t="s">
        <v>222</v>
      </c>
      <c r="C1988" s="11">
        <v>200000</v>
      </c>
      <c r="D1988" s="11"/>
      <c r="E1988" t="s">
        <v>1245</v>
      </c>
      <c r="F1988" s="108"/>
    </row>
    <row r="1989" spans="1:6" x14ac:dyDescent="0.3">
      <c r="A1989" s="111">
        <v>46280</v>
      </c>
      <c r="B1989" t="s">
        <v>219</v>
      </c>
      <c r="C1989" s="11"/>
      <c r="D1989" s="11">
        <v>300002</v>
      </c>
      <c r="E1989" t="s">
        <v>1118</v>
      </c>
      <c r="F1989" s="108"/>
    </row>
    <row r="1990" spans="1:6" x14ac:dyDescent="0.3">
      <c r="A1990" s="111">
        <v>46280</v>
      </c>
      <c r="B1990" t="s">
        <v>1118</v>
      </c>
      <c r="C1990" s="11">
        <v>300002</v>
      </c>
      <c r="D1990" s="11"/>
      <c r="E1990" t="s">
        <v>1246</v>
      </c>
      <c r="F1990" s="108"/>
    </row>
    <row r="1991" spans="1:6" x14ac:dyDescent="0.3">
      <c r="A1991" s="111">
        <v>46280</v>
      </c>
      <c r="B1991" t="s">
        <v>367</v>
      </c>
      <c r="C1991" s="11"/>
      <c r="D1991" s="11">
        <v>500000</v>
      </c>
      <c r="E1991" t="s">
        <v>1247</v>
      </c>
      <c r="F1991" s="108"/>
    </row>
    <row r="1992" spans="1:6" x14ac:dyDescent="0.3">
      <c r="A1992" s="111">
        <v>46280</v>
      </c>
      <c r="B1992" t="s">
        <v>222</v>
      </c>
      <c r="C1992" s="11">
        <v>200120</v>
      </c>
      <c r="D1992" s="11"/>
      <c r="E1992" t="s">
        <v>1248</v>
      </c>
      <c r="F1992" s="108"/>
    </row>
    <row r="1993" spans="1:6" x14ac:dyDescent="0.3">
      <c r="A1993" s="111">
        <v>46280</v>
      </c>
      <c r="B1993" t="s">
        <v>674</v>
      </c>
      <c r="C1993" s="11">
        <v>200200</v>
      </c>
      <c r="D1993" s="11"/>
      <c r="E1993" t="s">
        <v>1249</v>
      </c>
      <c r="F1993" s="108"/>
    </row>
    <row r="1994" spans="1:6" x14ac:dyDescent="0.3">
      <c r="A1994" s="111">
        <v>46280</v>
      </c>
      <c r="B1994" t="s">
        <v>298</v>
      </c>
      <c r="C1994" s="11"/>
      <c r="D1994" s="11">
        <f>19005*5</f>
        <v>95025</v>
      </c>
      <c r="E1994" t="s">
        <v>1250</v>
      </c>
      <c r="F1994" s="108"/>
    </row>
    <row r="1995" spans="1:6" x14ac:dyDescent="0.3">
      <c r="A1995" s="111">
        <v>46280</v>
      </c>
      <c r="B1995" t="s">
        <v>1131</v>
      </c>
      <c r="C1995" s="11">
        <v>95025</v>
      </c>
      <c r="D1995" s="11"/>
      <c r="E1995" t="s">
        <v>1250</v>
      </c>
      <c r="F1995" s="108"/>
    </row>
    <row r="1996" spans="1:6" x14ac:dyDescent="0.3">
      <c r="A1996" s="111">
        <v>46280</v>
      </c>
      <c r="B1996" t="s">
        <v>1199</v>
      </c>
      <c r="C1996" s="11">
        <v>93425</v>
      </c>
      <c r="D1996" s="11"/>
      <c r="F1996" s="108"/>
    </row>
    <row r="1997" spans="1:6" x14ac:dyDescent="0.3">
      <c r="A1997" s="111">
        <v>46280</v>
      </c>
      <c r="B1997" t="s">
        <v>244</v>
      </c>
      <c r="C1997" s="11">
        <v>2000</v>
      </c>
      <c r="D1997" s="11"/>
      <c r="E1997" t="s">
        <v>1251</v>
      </c>
      <c r="F1997" s="108"/>
    </row>
    <row r="1998" spans="1:6" x14ac:dyDescent="0.3">
      <c r="A1998" s="111">
        <v>46280</v>
      </c>
      <c r="B1998" t="s">
        <v>219</v>
      </c>
      <c r="C1998" s="11"/>
      <c r="D1998" s="11">
        <v>24489</v>
      </c>
      <c r="E1998" t="s">
        <v>259</v>
      </c>
      <c r="F1998" s="108"/>
    </row>
    <row r="1999" spans="1:6" x14ac:dyDescent="0.3">
      <c r="A1999" s="111">
        <v>46280</v>
      </c>
      <c r="B1999" t="s">
        <v>55</v>
      </c>
      <c r="C1999" s="11">
        <v>24489</v>
      </c>
      <c r="D1999" s="11"/>
      <c r="E1999" t="s">
        <v>259</v>
      </c>
      <c r="F1999" s="108"/>
    </row>
    <row r="2000" spans="1:6" x14ac:dyDescent="0.3">
      <c r="A2000" s="111">
        <v>46280</v>
      </c>
      <c r="B2000" t="s">
        <v>219</v>
      </c>
      <c r="C2000" s="11"/>
      <c r="D2000" s="11">
        <v>15000</v>
      </c>
      <c r="E2000" t="s">
        <v>1252</v>
      </c>
      <c r="F2000" s="108"/>
    </row>
    <row r="2001" spans="1:6" x14ac:dyDescent="0.3">
      <c r="A2001" s="111">
        <v>46280</v>
      </c>
      <c r="B2001" t="s">
        <v>269</v>
      </c>
      <c r="C2001" s="11">
        <v>10000</v>
      </c>
      <c r="D2001" s="11"/>
      <c r="E2001" t="s">
        <v>288</v>
      </c>
      <c r="F2001" s="108"/>
    </row>
    <row r="2002" spans="1:6" x14ac:dyDescent="0.3">
      <c r="A2002" s="111">
        <v>46280</v>
      </c>
      <c r="B2002" t="s">
        <v>211</v>
      </c>
      <c r="C2002" s="11">
        <v>1600</v>
      </c>
      <c r="D2002" s="11"/>
      <c r="F2002" s="108"/>
    </row>
    <row r="2003" spans="1:6" x14ac:dyDescent="0.3">
      <c r="A2003" s="111"/>
      <c r="C2003" s="11"/>
      <c r="D2003" s="11"/>
      <c r="F2003" s="108"/>
    </row>
    <row r="2004" spans="1:6" x14ac:dyDescent="0.3">
      <c r="A2004" s="111"/>
      <c r="C2004" s="11"/>
      <c r="D2004" s="11"/>
      <c r="F2004" s="108"/>
    </row>
    <row r="2005" spans="1:6" x14ac:dyDescent="0.3">
      <c r="A2005" s="38"/>
      <c r="C2005" s="95"/>
      <c r="D2005" s="95"/>
      <c r="F2005" s="108"/>
    </row>
    <row r="2006" spans="1:6" x14ac:dyDescent="0.3">
      <c r="A2006" s="38"/>
      <c r="C2006" s="14">
        <f>SUBTOTAL(109,Table14[Debit])</f>
        <v>68635685.680000007</v>
      </c>
      <c r="D2006" s="14">
        <f>SUBTOTAL(109,Table14[Credit])</f>
        <v>68655345.229517192</v>
      </c>
      <c r="F2006" s="54">
        <f>(Table14[[#Totals],[Credit]]-Table14[[#Totals],[Debit]])</f>
        <v>19659.549517184496</v>
      </c>
    </row>
  </sheetData>
  <phoneticPr fontId="4" type="noConversion"/>
  <hyperlinks>
    <hyperlink ref="E1492"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2" zoomScale="107" zoomScaleNormal="210" workbookViewId="0">
      <selection activeCell="D52" sqref="D5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27">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27">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7">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27">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859</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813</v>
      </c>
      <c r="C39">
        <v>8</v>
      </c>
      <c r="E39">
        <v>255750</v>
      </c>
      <c r="F39" t="s">
        <v>871</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871</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871</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930</v>
      </c>
      <c r="F42" t="s">
        <v>871</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871</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871</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871</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871</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871</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v>316875</v>
      </c>
      <c r="F50" t="s">
        <v>175</v>
      </c>
      <c r="G50">
        <f>SUMIFS(Table14[Debit], Table14[Date], Table8[[#This Row],[Date]], Table14[Party], Table8[[#This Row],[Party]])</f>
        <v>260000</v>
      </c>
      <c r="H50">
        <f>Table8[[#This Row],[Price]]-Table8[[#This Row],[Paid]]</f>
        <v>56875</v>
      </c>
      <c r="L50" t="s">
        <v>114</v>
      </c>
      <c r="M50">
        <v>1</v>
      </c>
      <c r="N50">
        <v>20</v>
      </c>
      <c r="O50">
        <v>1130</v>
      </c>
      <c r="P50">
        <f>Table23[[#This Row],[boxes]]*Table23[[#This Row],[kgs]]*Table23[[#This Row],[Rate]]</f>
        <v>22600</v>
      </c>
    </row>
    <row r="51" spans="1:16" x14ac:dyDescent="0.3">
      <c r="A51" s="117">
        <v>46280</v>
      </c>
      <c r="B51" t="s">
        <v>264</v>
      </c>
      <c r="E51">
        <v>93425</v>
      </c>
      <c r="F51" t="s">
        <v>871</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E54">
        <f>SUBTOTAL(109,Table8[Price])</f>
        <v>4104255</v>
      </c>
      <c r="G54">
        <f>SUBTOTAL(109,Table8[Paid])</f>
        <v>4379055</v>
      </c>
      <c r="H54">
        <f>SUBTOTAL(109,Table8[Balance])</f>
        <v>791325</v>
      </c>
      <c r="L54" t="s">
        <v>160</v>
      </c>
      <c r="M54">
        <v>1</v>
      </c>
      <c r="N54">
        <v>10</v>
      </c>
      <c r="O54">
        <v>1000</v>
      </c>
      <c r="P54">
        <f>Table23[[#This Row],[boxes]]*Table23[[#This Row],[kgs]]*Table23[[#This Row],[Rate]]</f>
        <v>10000</v>
      </c>
    </row>
    <row r="55" spans="1:16" x14ac:dyDescent="0.3">
      <c r="L55" t="s">
        <v>161</v>
      </c>
      <c r="M55">
        <v>1</v>
      </c>
      <c r="N55">
        <v>5</v>
      </c>
      <c r="O55">
        <v>1000</v>
      </c>
      <c r="P55">
        <f>Table23[[#This Row],[boxes]]*Table23[[#This Row],[kgs]]*Table23[[#This Row],[Rate]]</f>
        <v>5000</v>
      </c>
    </row>
    <row r="56" spans="1: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7"/>
  <sheetViews>
    <sheetView topLeftCell="A34" zoomScale="104" workbookViewId="0">
      <selection activeCell="G52" sqref="G52:G5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865950</v>
      </c>
      <c r="L6">
        <v>821200</v>
      </c>
      <c r="M6">
        <v>44750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275700</v>
      </c>
      <c r="L9">
        <v>305575</v>
      </c>
      <c r="M9">
        <v>-29875</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53000</v>
      </c>
      <c r="M12">
        <v>117500</v>
      </c>
    </row>
    <row r="13" spans="1:13" x14ac:dyDescent="0.3">
      <c r="A13" s="1">
        <v>46125</v>
      </c>
      <c r="B13" s="1" t="s">
        <v>194</v>
      </c>
      <c r="F13">
        <v>98950</v>
      </c>
      <c r="G13">
        <f>SUMIFS(Table14[Debit], Table14[Date], Table2[[#This Row],[Date]], Table14[Party], Table2[[#This Row],[Party Name]])</f>
        <v>98950</v>
      </c>
      <c r="H13">
        <f>Table2[[#This Row],[Price]]-Table2[[#This Row],[Paid]]</f>
        <v>0</v>
      </c>
      <c r="J13" s="4" t="s">
        <v>1195</v>
      </c>
      <c r="K13">
        <v>0</v>
      </c>
      <c r="L13">
        <v>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1347150</v>
      </c>
      <c r="L14">
        <v>1635775</v>
      </c>
      <c r="M14">
        <v>132375</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691</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1195</v>
      </c>
      <c r="C51" t="s">
        <v>1196</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1219</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46274</v>
      </c>
      <c r="B56" s="1"/>
      <c r="F56">
        <f>Table2[[#This Row],[Quantity]]*200*Table2[[#This Row],[Boxes]]</f>
        <v>0</v>
      </c>
      <c r="G56">
        <f>SUMIFS(Table14[Debit], Table14[Date], Table2[[#This Row],[Date]], Table14[Party], Table2[[#This Row],[Party Name]])</f>
        <v>0</v>
      </c>
      <c r="H56">
        <f>Table2[[#This Row],[Price]]-Table2[[#This Row],[Paid]]</f>
        <v>0</v>
      </c>
    </row>
    <row r="57" spans="1:8" x14ac:dyDescent="0.3">
      <c r="A57" s="1"/>
      <c r="F57">
        <f>SUBTOTAL(109,Table2[Price])</f>
        <v>1347150</v>
      </c>
      <c r="G57">
        <f>SUBTOTAL(109,Table2[Paid])</f>
        <v>1635775</v>
      </c>
      <c r="H57">
        <f>SUBTOTAL(109,Table2[Balance])</f>
        <v>132375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9">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9">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9">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9">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9">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3" zoomScale="90" workbookViewId="0">
      <selection activeCell="D191" sqref="D191:I209"/>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4763975</v>
      </c>
      <c r="C2" s="32">
        <f>GETPIVOTDATA("Sum of Tiyaar/gaz",$A$3)</f>
        <v>4717297</v>
      </c>
      <c r="D2" s="31">
        <f>((B2*48)+((C2/1.0936)*10))/C2</f>
        <v>57.619074714934783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27467</v>
      </c>
      <c r="C4" s="14">
        <v>20953</v>
      </c>
      <c r="D4" s="28">
        <f>I4</f>
        <v>72.066652117319322</v>
      </c>
      <c r="E4" s="11">
        <f>B4 * 1.0936</f>
        <v>30037.911199999999</v>
      </c>
      <c r="F4" s="11">
        <f t="shared" si="0"/>
        <v>20953</v>
      </c>
      <c r="G4" s="78">
        <f>100- (F4/E4 *100)</f>
        <v>30.244816756765687</v>
      </c>
      <c r="H4" s="28">
        <f>F4/1.0936</f>
        <v>19159.656181419166</v>
      </c>
      <c r="I4" s="28">
        <f>((B4*48)+(H4*10))/C4</f>
        <v>72.066652117319322</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762</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827</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856</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857</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872</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873</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895</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996</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999</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23318</v>
      </c>
      <c r="D160" s="28">
        <f t="shared" si="61"/>
        <v>118.24026009023925</v>
      </c>
      <c r="E160" s="11">
        <f t="shared" si="62"/>
        <v>57958.612799999995</v>
      </c>
      <c r="F160" s="11">
        <f t="shared" si="63"/>
        <v>23318</v>
      </c>
      <c r="G160" s="78">
        <f t="shared" si="64"/>
        <v>59.767843166874414</v>
      </c>
      <c r="H160" s="28">
        <f t="shared" si="65"/>
        <v>21322.238478419898</v>
      </c>
      <c r="I160" s="28">
        <f t="shared" si="66"/>
        <v>118.24026009023925</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61290</v>
      </c>
      <c r="D163" s="28">
        <f t="shared" si="61"/>
        <v>48.807351525235958</v>
      </c>
      <c r="E163" s="11">
        <f t="shared" si="62"/>
        <v>55385.371999999996</v>
      </c>
      <c r="F163" s="11">
        <f t="shared" si="63"/>
        <v>61290</v>
      </c>
      <c r="G163" s="78">
        <f t="shared" si="64"/>
        <v>-10.660988247943877</v>
      </c>
      <c r="H163" s="28">
        <f t="shared" si="65"/>
        <v>56044.25749817118</v>
      </c>
      <c r="I163" s="28">
        <f t="shared" si="66"/>
        <v>48.807351525235958</v>
      </c>
    </row>
    <row r="164" spans="1:9" x14ac:dyDescent="0.3">
      <c r="A164" s="16">
        <v>2294</v>
      </c>
      <c r="B164" s="14">
        <v>30026</v>
      </c>
      <c r="C164" s="14">
        <v>23007</v>
      </c>
      <c r="D164" s="28">
        <f t="shared" si="61"/>
        <v>71.788002182090892</v>
      </c>
      <c r="E164" s="11">
        <f t="shared" si="62"/>
        <v>32836.433599999997</v>
      </c>
      <c r="F164" s="11">
        <f t="shared" si="63"/>
        <v>23007</v>
      </c>
      <c r="G164" s="78">
        <f t="shared" si="64"/>
        <v>29.934534668831986</v>
      </c>
      <c r="H164" s="28">
        <f t="shared" si="65"/>
        <v>21037.856620336504</v>
      </c>
      <c r="I164" s="28">
        <f t="shared" si="66"/>
        <v>71.788002182090892</v>
      </c>
    </row>
    <row r="165" spans="1:9" x14ac:dyDescent="0.3">
      <c r="A165" s="16">
        <v>2235</v>
      </c>
      <c r="B165" s="14">
        <v>55950</v>
      </c>
      <c r="C165" s="14">
        <v>94449</v>
      </c>
      <c r="D165" s="28">
        <f t="shared" si="61"/>
        <v>37.578504356957104</v>
      </c>
      <c r="E165" s="11">
        <f t="shared" si="62"/>
        <v>61186.92</v>
      </c>
      <c r="F165" s="11">
        <f t="shared" si="63"/>
        <v>94449</v>
      </c>
      <c r="G165" s="78">
        <f t="shared" si="64"/>
        <v>-54.361422343206698</v>
      </c>
      <c r="H165" s="28">
        <f t="shared" si="65"/>
        <v>86365.215801024155</v>
      </c>
      <c r="I165" s="28">
        <f t="shared" si="66"/>
        <v>37.578504356957104</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8">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8">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1306</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v>52646</v>
      </c>
      <c r="C177" s="14">
        <v>56064</v>
      </c>
      <c r="D177" s="28">
        <f t="shared" si="61"/>
        <v>54.217741329378406</v>
      </c>
      <c r="E177" s="11">
        <f t="shared" si="62"/>
        <v>57573.665599999993</v>
      </c>
      <c r="F177" s="11">
        <f t="shared" si="63"/>
        <v>56064</v>
      </c>
      <c r="G177" s="78">
        <f t="shared" si="64"/>
        <v>2.6221460528300895</v>
      </c>
      <c r="H177" s="28">
        <f t="shared" si="65"/>
        <v>51265.544989027068</v>
      </c>
      <c r="I177" s="28">
        <f t="shared" si="66"/>
        <v>54.217741329378406</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8">
        <f t="shared" si="64"/>
        <v>2.7147637267722615</v>
      </c>
      <c r="H179" s="28">
        <f t="shared" si="65"/>
        <v>25633.686905632774</v>
      </c>
      <c r="I179" s="28">
        <f t="shared" si="66"/>
        <v>54.260652411669383</v>
      </c>
    </row>
    <row r="180" spans="1:9" x14ac:dyDescent="0.3">
      <c r="A180" s="16" t="s">
        <v>1313</v>
      </c>
      <c r="B180" s="14">
        <v>9961</v>
      </c>
      <c r="C180" s="14">
        <v>9950</v>
      </c>
      <c r="D180" s="28">
        <f t="shared" si="61"/>
        <v>57.19717651902527</v>
      </c>
      <c r="E180" s="11">
        <f t="shared" si="62"/>
        <v>10893.3496</v>
      </c>
      <c r="F180" s="11">
        <f t="shared" si="63"/>
        <v>9950</v>
      </c>
      <c r="G180" s="78">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8">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8">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8">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8">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8">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8">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8">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8">
        <f t="shared" si="64"/>
        <v>3.6548660220192914</v>
      </c>
      <c r="H188" s="28">
        <f t="shared" si="65"/>
        <v>35893.379663496715</v>
      </c>
      <c r="I188" s="28">
        <f t="shared" si="66"/>
        <v>54.70088392313879</v>
      </c>
    </row>
    <row r="189" spans="1:9" x14ac:dyDescent="0.3">
      <c r="A189" s="16" t="s">
        <v>1315</v>
      </c>
      <c r="B189" s="14">
        <v>52169</v>
      </c>
      <c r="C189" s="14">
        <v>39357</v>
      </c>
      <c r="D189" s="28">
        <f t="shared" si="61"/>
        <v>72.769692410472757</v>
      </c>
      <c r="E189" s="11">
        <f t="shared" si="62"/>
        <v>57052.018399999994</v>
      </c>
      <c r="F189" s="11">
        <f t="shared" si="63"/>
        <v>39357</v>
      </c>
      <c r="G189" s="78">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8">
        <f t="shared" si="64"/>
        <v>10.023853729107529</v>
      </c>
      <c r="H190" s="28">
        <f t="shared" si="65"/>
        <v>9659.839063643014</v>
      </c>
      <c r="I190" s="28">
        <f t="shared" si="66"/>
        <v>57.925633343092592</v>
      </c>
    </row>
    <row r="191" spans="1:9" x14ac:dyDescent="0.3">
      <c r="A191" s="16" t="s">
        <v>1314</v>
      </c>
      <c r="B191" s="14">
        <v>52169</v>
      </c>
      <c r="C191" s="14">
        <v>15828</v>
      </c>
      <c r="D191" s="28">
        <f t="shared" si="61"/>
        <v>167.35184432355206</v>
      </c>
      <c r="E191" s="11">
        <f t="shared" si="62"/>
        <v>57052.018399999994</v>
      </c>
      <c r="F191" s="11">
        <f t="shared" si="63"/>
        <v>15828</v>
      </c>
      <c r="G191" s="78">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8">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6754</v>
      </c>
      <c r="D193" s="28">
        <f t="shared" si="67"/>
        <v>204.41328501531186</v>
      </c>
      <c r="E193" s="11">
        <f t="shared" si="68"/>
        <v>30047.753599999996</v>
      </c>
      <c r="F193" s="11">
        <f t="shared" si="69"/>
        <v>6754</v>
      </c>
      <c r="G193" s="78">
        <f t="shared" si="70"/>
        <v>77.522446137204739</v>
      </c>
      <c r="H193" s="28">
        <f t="shared" si="71"/>
        <v>6175.9326993416244</v>
      </c>
      <c r="I193" s="28">
        <f t="shared" si="72"/>
        <v>204.41328501531186</v>
      </c>
    </row>
    <row r="194" spans="1:9" x14ac:dyDescent="0.3">
      <c r="A194" s="16">
        <v>2292</v>
      </c>
      <c r="B194" s="14">
        <v>49260</v>
      </c>
      <c r="C194" s="14">
        <v>52146</v>
      </c>
      <c r="D194" s="28">
        <f t="shared" si="67"/>
        <v>54.487569942823576</v>
      </c>
      <c r="E194" s="11">
        <f t="shared" si="68"/>
        <v>53870.735999999997</v>
      </c>
      <c r="F194" s="11">
        <f t="shared" si="69"/>
        <v>52146</v>
      </c>
      <c r="G194" s="78">
        <f t="shared" si="70"/>
        <v>3.2016195212183476</v>
      </c>
      <c r="H194" s="28">
        <f t="shared" si="71"/>
        <v>47682.882223847846</v>
      </c>
      <c r="I194" s="28">
        <f t="shared" si="72"/>
        <v>54.487569942823576</v>
      </c>
    </row>
    <row r="195" spans="1:9" x14ac:dyDescent="0.3">
      <c r="A195" s="16" t="s">
        <v>28</v>
      </c>
      <c r="B195" s="30">
        <v>107006</v>
      </c>
      <c r="C195" s="30">
        <v>4717297</v>
      </c>
      <c r="D195" s="28">
        <f t="shared" si="67"/>
        <v>10.232931336639961</v>
      </c>
      <c r="E195" s="11">
        <f t="shared" si="68"/>
        <v>117021.76159999998</v>
      </c>
      <c r="F195" s="11">
        <f t="shared" si="69"/>
        <v>4717297</v>
      </c>
      <c r="G195" s="78">
        <f t="shared" si="70"/>
        <v>-3931.1280017510867</v>
      </c>
      <c r="H195" s="28">
        <f t="shared" si="71"/>
        <v>4313548.829553768</v>
      </c>
      <c r="I195" s="28">
        <f t="shared" si="72"/>
        <v>10.232931336639961</v>
      </c>
    </row>
    <row r="196" spans="1:9" x14ac:dyDescent="0.3">
      <c r="D196" s="28" t="e">
        <f t="shared" si="67"/>
        <v>#DIV/0!</v>
      </c>
      <c r="E196" s="11">
        <f t="shared" si="68"/>
        <v>0</v>
      </c>
      <c r="F196" s="11">
        <f t="shared" si="69"/>
        <v>0</v>
      </c>
      <c r="G196" s="78" t="e">
        <f t="shared" si="70"/>
        <v>#DIV/0!</v>
      </c>
      <c r="H196" s="28">
        <f t="shared" si="71"/>
        <v>0</v>
      </c>
      <c r="I196" s="28" t="e">
        <f t="shared" si="72"/>
        <v>#DIV/0!</v>
      </c>
    </row>
    <row r="197" spans="1:9" x14ac:dyDescent="0.3">
      <c r="D197" s="28" t="e">
        <f t="shared" si="67"/>
        <v>#DIV/0!</v>
      </c>
      <c r="E197" s="11">
        <f t="shared" si="68"/>
        <v>0</v>
      </c>
      <c r="F197" s="11">
        <f t="shared" si="69"/>
        <v>0</v>
      </c>
      <c r="G197" s="78" t="e">
        <f t="shared" si="70"/>
        <v>#DIV/0!</v>
      </c>
      <c r="H197" s="28">
        <f t="shared" si="71"/>
        <v>0</v>
      </c>
      <c r="I197" s="28" t="e">
        <f t="shared" si="72"/>
        <v>#DIV/0!</v>
      </c>
    </row>
    <row r="198" spans="1:9" x14ac:dyDescent="0.3">
      <c r="D198" s="28" t="e">
        <f t="shared" si="67"/>
        <v>#DIV/0!</v>
      </c>
      <c r="E198" s="11">
        <f t="shared" si="68"/>
        <v>0</v>
      </c>
      <c r="F198" s="11">
        <f t="shared" si="69"/>
        <v>0</v>
      </c>
      <c r="G198" s="78" t="e">
        <f t="shared" si="70"/>
        <v>#DIV/0!</v>
      </c>
      <c r="H198" s="28">
        <f t="shared" si="71"/>
        <v>0</v>
      </c>
      <c r="I198" s="28" t="e">
        <f t="shared" si="72"/>
        <v>#DIV/0!</v>
      </c>
    </row>
    <row r="199" spans="1:9" x14ac:dyDescent="0.3">
      <c r="D199" s="28" t="e">
        <f t="shared" si="67"/>
        <v>#DIV/0!</v>
      </c>
      <c r="E199" s="11">
        <f t="shared" si="68"/>
        <v>0</v>
      </c>
      <c r="F199" s="11">
        <f t="shared" si="69"/>
        <v>0</v>
      </c>
      <c r="G199" s="78" t="e">
        <f t="shared" si="70"/>
        <v>#DIV/0!</v>
      </c>
      <c r="H199" s="28">
        <f t="shared" si="71"/>
        <v>0</v>
      </c>
      <c r="I199" s="28" t="e">
        <f t="shared" si="72"/>
        <v>#DIV/0!</v>
      </c>
    </row>
    <row r="200" spans="1:9" x14ac:dyDescent="0.3">
      <c r="D200" s="28" t="e">
        <f t="shared" si="67"/>
        <v>#DIV/0!</v>
      </c>
      <c r="E200" s="11">
        <f t="shared" si="68"/>
        <v>0</v>
      </c>
      <c r="F200" s="11">
        <f t="shared" si="69"/>
        <v>0</v>
      </c>
      <c r="G200" s="78" t="e">
        <f t="shared" si="70"/>
        <v>#DIV/0!</v>
      </c>
      <c r="H200" s="28">
        <f t="shared" si="71"/>
        <v>0</v>
      </c>
      <c r="I200" s="28" t="e">
        <f t="shared" si="72"/>
        <v>#DIV/0!</v>
      </c>
    </row>
    <row r="201" spans="1:9" x14ac:dyDescent="0.3">
      <c r="D201" s="28" t="e">
        <f t="shared" si="67"/>
        <v>#DIV/0!</v>
      </c>
      <c r="E201" s="11">
        <f t="shared" si="68"/>
        <v>0</v>
      </c>
      <c r="F201" s="11">
        <f t="shared" si="69"/>
        <v>0</v>
      </c>
      <c r="G201" s="78" t="e">
        <f t="shared" si="70"/>
        <v>#DIV/0!</v>
      </c>
      <c r="H201" s="28">
        <f t="shared" si="71"/>
        <v>0</v>
      </c>
      <c r="I201" s="28" t="e">
        <f t="shared" si="72"/>
        <v>#DIV/0!</v>
      </c>
    </row>
    <row r="202" spans="1:9" x14ac:dyDescent="0.3">
      <c r="D202" s="28" t="e">
        <f t="shared" si="67"/>
        <v>#DIV/0!</v>
      </c>
      <c r="E202" s="11">
        <f t="shared" si="68"/>
        <v>0</v>
      </c>
      <c r="F202" s="11">
        <f t="shared" si="69"/>
        <v>0</v>
      </c>
      <c r="G202" s="78" t="e">
        <f t="shared" si="70"/>
        <v>#DIV/0!</v>
      </c>
      <c r="H202" s="28">
        <f t="shared" si="71"/>
        <v>0</v>
      </c>
      <c r="I202" s="28" t="e">
        <f t="shared" si="72"/>
        <v>#DIV/0!</v>
      </c>
    </row>
    <row r="203" spans="1:9" x14ac:dyDescent="0.3">
      <c r="D203" s="28" t="e">
        <f t="shared" si="67"/>
        <v>#DIV/0!</v>
      </c>
      <c r="E203" s="11">
        <f t="shared" si="68"/>
        <v>0</v>
      </c>
      <c r="F203" s="11">
        <f t="shared" si="69"/>
        <v>0</v>
      </c>
      <c r="G203" s="78" t="e">
        <f t="shared" si="70"/>
        <v>#DIV/0!</v>
      </c>
      <c r="H203" s="28">
        <f t="shared" si="71"/>
        <v>0</v>
      </c>
      <c r="I203" s="28" t="e">
        <f t="shared" si="72"/>
        <v>#DIV/0!</v>
      </c>
    </row>
    <row r="204" spans="1:9" x14ac:dyDescent="0.3">
      <c r="D204" s="28" t="e">
        <f t="shared" si="67"/>
        <v>#DIV/0!</v>
      </c>
      <c r="E204" s="11">
        <f t="shared" si="68"/>
        <v>0</v>
      </c>
      <c r="F204" s="11">
        <f t="shared" si="69"/>
        <v>0</v>
      </c>
      <c r="G204" s="78" t="e">
        <f t="shared" si="70"/>
        <v>#DIV/0!</v>
      </c>
      <c r="H204" s="28">
        <f t="shared" si="71"/>
        <v>0</v>
      </c>
      <c r="I204" s="28" t="e">
        <f t="shared" si="72"/>
        <v>#DIV/0!</v>
      </c>
    </row>
    <row r="205" spans="1:9" x14ac:dyDescent="0.3">
      <c r="D205" s="28" t="e">
        <f t="shared" si="67"/>
        <v>#DIV/0!</v>
      </c>
      <c r="E205" s="11">
        <f t="shared" si="68"/>
        <v>0</v>
      </c>
      <c r="F205" s="11">
        <f t="shared" si="69"/>
        <v>0</v>
      </c>
      <c r="G205" s="78" t="e">
        <f t="shared" si="70"/>
        <v>#DIV/0!</v>
      </c>
      <c r="H205" s="28">
        <f t="shared" si="71"/>
        <v>0</v>
      </c>
      <c r="I205" s="28" t="e">
        <f t="shared" si="72"/>
        <v>#DIV/0!</v>
      </c>
    </row>
    <row r="206" spans="1:9" x14ac:dyDescent="0.3">
      <c r="D206" s="28" t="e">
        <f t="shared" si="67"/>
        <v>#DIV/0!</v>
      </c>
      <c r="E206" s="11">
        <f t="shared" si="68"/>
        <v>0</v>
      </c>
      <c r="F206" s="11">
        <f t="shared" si="69"/>
        <v>0</v>
      </c>
      <c r="G206" s="78" t="e">
        <f t="shared" si="70"/>
        <v>#DIV/0!</v>
      </c>
      <c r="H206" s="28">
        <f t="shared" si="71"/>
        <v>0</v>
      </c>
      <c r="I206" s="28" t="e">
        <f t="shared" si="72"/>
        <v>#DIV/0!</v>
      </c>
    </row>
    <row r="207" spans="1:9" x14ac:dyDescent="0.3">
      <c r="D207" s="28" t="e">
        <f t="shared" si="67"/>
        <v>#DIV/0!</v>
      </c>
      <c r="E207" s="11">
        <f t="shared" si="68"/>
        <v>0</v>
      </c>
      <c r="F207" s="11">
        <f t="shared" si="69"/>
        <v>0</v>
      </c>
      <c r="G207" s="78" t="e">
        <f t="shared" si="70"/>
        <v>#DIV/0!</v>
      </c>
      <c r="H207" s="28">
        <f t="shared" si="71"/>
        <v>0</v>
      </c>
      <c r="I207" s="28" t="e">
        <f t="shared" si="72"/>
        <v>#DIV/0!</v>
      </c>
    </row>
    <row r="208" spans="1:9" x14ac:dyDescent="0.3">
      <c r="D208" s="28" t="e">
        <f t="shared" si="67"/>
        <v>#DIV/0!</v>
      </c>
      <c r="E208" s="11">
        <f t="shared" si="68"/>
        <v>0</v>
      </c>
      <c r="F208" s="11">
        <f t="shared" si="69"/>
        <v>0</v>
      </c>
      <c r="G208" s="78" t="e">
        <f t="shared" si="70"/>
        <v>#DIV/0!</v>
      </c>
      <c r="H208" s="28">
        <f t="shared" si="71"/>
        <v>0</v>
      </c>
      <c r="I208" s="28" t="e">
        <f t="shared" si="72"/>
        <v>#DIV/0!</v>
      </c>
    </row>
    <row r="209" spans="4:9" x14ac:dyDescent="0.3">
      <c r="D209" s="28" t="e">
        <f t="shared" si="67"/>
        <v>#DIV/0!</v>
      </c>
      <c r="E209" s="11">
        <f t="shared" si="68"/>
        <v>0</v>
      </c>
      <c r="F209" s="11">
        <f t="shared" si="69"/>
        <v>0</v>
      </c>
      <c r="G209" s="78" t="e">
        <f t="shared" si="70"/>
        <v>#DIV/0!</v>
      </c>
      <c r="H209" s="28">
        <f t="shared" si="71"/>
        <v>0</v>
      </c>
      <c r="I209" s="28" t="e">
        <f t="shared" si="7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07"/>
  <sheetViews>
    <sheetView topLeftCell="E186" workbookViewId="0">
      <selection activeCell="H146" sqref="H146:H206"/>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c r="D206">
        <f>SUM(Table5[Amount])</f>
        <v>581950</v>
      </c>
      <c r="H206" s="1">
        <v>46276</v>
      </c>
      <c r="J206">
        <f>SUMIFS(Table14[Debit], Table14[Date], Table15[[#This Row],[Date]], Table14[Party], "Parts")</f>
        <v>11994</v>
      </c>
    </row>
    <row r="207" spans="2:10" x14ac:dyDescent="0.3">
      <c r="H207" s="1"/>
      <c r="J207">
        <f>SUM(Table15[Amount])</f>
        <v>4130738</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Billing!AG5</f>
        <v>19750734</v>
      </c>
      <c r="C2" s="102">
        <f>Billing!AH5</f>
        <v>36222999.379663512</v>
      </c>
    </row>
    <row r="3" spans="1:3" ht="21" x14ac:dyDescent="0.4">
      <c r="A3" s="101" t="str">
        <f>Billing!S38</f>
        <v>Rauf Khan</v>
      </c>
      <c r="B3" s="104">
        <f>Billing!AG38</f>
        <v>5146879</v>
      </c>
      <c r="C3" s="102">
        <f>Billing!AH38</f>
        <v>214347.40819312446</v>
      </c>
    </row>
    <row r="4" spans="1:3" ht="21" x14ac:dyDescent="0.4">
      <c r="A4" s="101" t="str">
        <f>Billing!S15</f>
        <v>Hafiz Qureshi</v>
      </c>
      <c r="B4" s="104">
        <f>Billing!AG15</f>
        <v>6695853</v>
      </c>
      <c r="C4" s="102">
        <f>Billing!AH15</f>
        <v>927918.03145574313</v>
      </c>
    </row>
    <row r="5" spans="1:3" ht="21" x14ac:dyDescent="0.4">
      <c r="A5" s="101" t="str">
        <f>Billing!S11</f>
        <v>Raaz Fabrics</v>
      </c>
      <c r="B5" s="104">
        <f>Billing!AG11</f>
        <v>2176321</v>
      </c>
      <c r="C5" s="103">
        <f>Billing!AH11</f>
        <v>417808.48061448475</v>
      </c>
    </row>
    <row r="6" spans="1:3" ht="21" x14ac:dyDescent="0.4">
      <c r="A6" s="101" t="str">
        <f>Billing!S6</f>
        <v>Ejaz Sahab</v>
      </c>
      <c r="B6" s="104">
        <f>Billing!AG6</f>
        <v>7214622</v>
      </c>
      <c r="C6" s="102">
        <f>Billing!AH6</f>
        <v>643830.81638624799</v>
      </c>
    </row>
    <row r="7" spans="1:3" ht="21" x14ac:dyDescent="0.4">
      <c r="A7" s="101" t="str">
        <f>Billing!S34</f>
        <v>Hafiz Shawl</v>
      </c>
      <c r="B7" s="104">
        <f>Billing!AG34</f>
        <v>55855</v>
      </c>
      <c r="C7" s="102">
        <f>Billing!AH34</f>
        <v>544044.4147768839</v>
      </c>
    </row>
    <row r="8" spans="1:3" ht="21" x14ac:dyDescent="0.4">
      <c r="A8" s="101" t="str">
        <f>Billing!S23</f>
        <v>Amjad sohail</v>
      </c>
      <c r="B8" s="104">
        <f>Billing!AG23</f>
        <v>4517830</v>
      </c>
      <c r="C8" s="102">
        <f>Billing!AH23</f>
        <v>374868.42721287534</v>
      </c>
    </row>
    <row r="9" spans="1:3" ht="21" x14ac:dyDescent="0.4">
      <c r="A9" s="101" t="str">
        <f>Billing!S22</f>
        <v>Shafique Ansari</v>
      </c>
      <c r="B9" s="104">
        <f>Billing!AG22</f>
        <v>3801017</v>
      </c>
      <c r="C9" s="103">
        <f>Billing!AH22</f>
        <v>1576640.2787125101</v>
      </c>
    </row>
    <row r="10" spans="1:3" ht="21" x14ac:dyDescent="0.4">
      <c r="A10" s="101" t="str">
        <f>Billing!S42</f>
        <v>Moeez badshah</v>
      </c>
      <c r="B10" s="104">
        <f>Billing!AG42</f>
        <v>1742500</v>
      </c>
      <c r="C10" s="102">
        <f>Billing!AH42</f>
        <v>-13302.852962692035</v>
      </c>
    </row>
    <row r="11" spans="1:3" ht="21" x14ac:dyDescent="0.4">
      <c r="A11" s="101" t="str">
        <f>Billing!S14</f>
        <v>Ashraf Zia</v>
      </c>
      <c r="B11" s="104">
        <f>Billing!AG14</f>
        <v>130000</v>
      </c>
      <c r="C11" s="102">
        <f>Billing!AH14</f>
        <v>125724.21360643749</v>
      </c>
    </row>
    <row r="12" spans="1:3" ht="21" x14ac:dyDescent="0.4">
      <c r="A12" s="101" t="str">
        <f>Billing!S16</f>
        <v>Badshah Fabrics</v>
      </c>
      <c r="B12" s="104">
        <f>Billing!AG16</f>
        <v>6545761</v>
      </c>
      <c r="C12" s="102">
        <f>Billing!AH16</f>
        <v>91938.341623995453</v>
      </c>
    </row>
    <row r="13" spans="1:3" ht="21" x14ac:dyDescent="0.4">
      <c r="A13" s="101" t="str">
        <f>Billing!S32</f>
        <v>Rehman Ali</v>
      </c>
      <c r="B13" s="104">
        <f>Billing!AG32</f>
        <v>550000</v>
      </c>
      <c r="C13" s="102">
        <f>Billing!AH32</f>
        <v>45924.46964155091</v>
      </c>
    </row>
    <row r="14" spans="1:3" ht="21" x14ac:dyDescent="0.4">
      <c r="A14" s="101" t="str">
        <f>Billing!S21</f>
        <v>Faizan</v>
      </c>
      <c r="B14" s="104">
        <f>Billing!AG21</f>
        <v>6728187</v>
      </c>
      <c r="C14" s="103">
        <f>Billing!AH21</f>
        <v>25885.787125092931</v>
      </c>
    </row>
    <row r="15" spans="1:3" ht="21" x14ac:dyDescent="0.4">
      <c r="A15" s="101" t="str">
        <f>Billing!S30</f>
        <v>Ahmad Javaid</v>
      </c>
      <c r="B15" s="104">
        <f>Billing!AG30</f>
        <v>130000</v>
      </c>
      <c r="C15" s="102">
        <f>Billing!AH30</f>
        <v>21504.206291148497</v>
      </c>
    </row>
    <row r="16" spans="1:3" ht="21" x14ac:dyDescent="0.4">
      <c r="A16" s="101" t="str">
        <f>Billing!S25</f>
        <v>Shahid Qasayi</v>
      </c>
      <c r="B16" s="104">
        <f>Billing!AG25</f>
        <v>4752127</v>
      </c>
      <c r="C16" s="102">
        <f>Billing!AH25</f>
        <v>15621.719824433327</v>
      </c>
    </row>
    <row r="17" spans="1:3" ht="21" x14ac:dyDescent="0.4">
      <c r="A17" s="101" t="str">
        <f>Billing!S36</f>
        <v>Faizan Kamoki</v>
      </c>
      <c r="B17" s="104">
        <f>Billing!AG36</f>
        <v>10129845.493050475</v>
      </c>
      <c r="C17" s="102">
        <f>Billing!AH36</f>
        <v>-237139.75054864585</v>
      </c>
    </row>
    <row r="18" spans="1:3" ht="21" x14ac:dyDescent="0.4">
      <c r="A18" s="101" t="str">
        <f>Billing!S18</f>
        <v>Amjad 7up</v>
      </c>
      <c r="B18" s="104">
        <f>Billing!AG18</f>
        <v>480000</v>
      </c>
      <c r="C18" s="103">
        <f>Billing!AH18</f>
        <v>3851.4996342355735</v>
      </c>
    </row>
    <row r="19" spans="1:3" ht="21" x14ac:dyDescent="0.4">
      <c r="A19" s="101" t="str">
        <f>Billing!S27</f>
        <v>ibraheem behraam</v>
      </c>
      <c r="B19" s="104">
        <f>Billing!AG27</f>
        <v>1902400</v>
      </c>
      <c r="C19" s="102">
        <f>Billing!AH27</f>
        <v>3379.0782735920511</v>
      </c>
    </row>
    <row r="20" spans="1:3" ht="21" x14ac:dyDescent="0.4">
      <c r="A20" s="101" t="str">
        <f>Billing!S13</f>
        <v>Ubaidullah</v>
      </c>
      <c r="B20" s="104">
        <f>Billing!AG13</f>
        <v>3649649</v>
      </c>
      <c r="C20" s="102">
        <f>Billing!AH13</f>
        <v>1614.7161667887121</v>
      </c>
    </row>
    <row r="21" spans="1:3" ht="21" x14ac:dyDescent="0.4">
      <c r="A21" s="101" t="str">
        <f>Billing!S37</f>
        <v>KK fabrics</v>
      </c>
      <c r="B21" s="104">
        <f>Billing!AG37</f>
        <v>544000</v>
      </c>
      <c r="C21" s="102">
        <f>Billing!AH37</f>
        <v>1345.6474030724494</v>
      </c>
    </row>
    <row r="22" spans="1:3" ht="21" x14ac:dyDescent="0.4">
      <c r="A22" s="101" t="str">
        <f>Billing!S8</f>
        <v>Shehzad Kamoki</v>
      </c>
      <c r="B22" s="104">
        <f>Billing!AG8</f>
        <v>1353710</v>
      </c>
      <c r="C22" s="103">
        <f>Billing!AH8</f>
        <v>531.99729334330186</v>
      </c>
    </row>
    <row r="23" spans="1:3" ht="21" x14ac:dyDescent="0.4">
      <c r="A23" s="101" t="str">
        <f>Billing!S12</f>
        <v>Azam</v>
      </c>
      <c r="B23" s="104">
        <f>Billing!AG12</f>
        <v>7402540</v>
      </c>
      <c r="C23" s="102">
        <f>Billing!AH12</f>
        <v>531.50694952532649</v>
      </c>
    </row>
    <row r="24" spans="1:3" ht="21" x14ac:dyDescent="0.4">
      <c r="A24" s="101" t="str">
        <f>Billing!S33</f>
        <v>Ahmad Shafique</v>
      </c>
      <c r="B24" s="104">
        <f>Billing!AG33</f>
        <v>636000</v>
      </c>
      <c r="C24" s="102">
        <f>Billing!AH33</f>
        <v>460.3145574250957</v>
      </c>
    </row>
    <row r="25" spans="1:3" ht="21" x14ac:dyDescent="0.4">
      <c r="A25" s="101" t="str">
        <f>Billing!S40</f>
        <v>ACM salman zaffar</v>
      </c>
      <c r="B25" s="104">
        <f>Billing!AG40</f>
        <v>628000</v>
      </c>
      <c r="C25" s="102">
        <f>Billing!AH40</f>
        <v>245119.97073884436</v>
      </c>
    </row>
    <row r="26" spans="1:3" ht="21" x14ac:dyDescent="0.4">
      <c r="A26" s="101">
        <f>Billing!S41</f>
        <v>0</v>
      </c>
      <c r="B26" s="104">
        <f>Billing!AG41</f>
        <v>0</v>
      </c>
      <c r="C26" s="102">
        <f>Billing!AH41</f>
        <v>0</v>
      </c>
    </row>
    <row r="27" spans="1:3" ht="21" x14ac:dyDescent="0.4">
      <c r="A27" s="101" t="str">
        <f>Billing!S10</f>
        <v>Sajad Khan</v>
      </c>
      <c r="B27" s="104">
        <f>Billing!AG10</f>
        <v>10448871</v>
      </c>
      <c r="C27" s="102">
        <f>Billing!AH10</f>
        <v>144.17922458052635</v>
      </c>
    </row>
    <row r="28" spans="1:3" ht="21" x14ac:dyDescent="0.4">
      <c r="A28" s="101" t="str">
        <f>Billing!S29</f>
        <v>ZA</v>
      </c>
      <c r="B28" s="104">
        <f>Billing!AG29</f>
        <v>385000</v>
      </c>
      <c r="C28" s="102">
        <f>Billing!AH29</f>
        <v>138.07607900514267</v>
      </c>
    </row>
    <row r="29" spans="1:3" ht="21" x14ac:dyDescent="0.4">
      <c r="A29" s="101" t="str">
        <f>Billing!S7</f>
        <v>Arshad</v>
      </c>
      <c r="B29" s="104">
        <f>Billing!AG7</f>
        <v>9812586</v>
      </c>
      <c r="C29" s="103">
        <f>Billing!AH7</f>
        <v>210400.46671543643</v>
      </c>
    </row>
    <row r="30" spans="1:3" ht="21" x14ac:dyDescent="0.4">
      <c r="A30" s="101" t="str">
        <f>Billing!S28</f>
        <v>Zia-ullah karachi</v>
      </c>
      <c r="B30" s="104">
        <f>Billing!AG28</f>
        <v>124560</v>
      </c>
      <c r="C30" s="102">
        <f>Billing!AH28</f>
        <v>1.0826627651840681</v>
      </c>
    </row>
    <row r="31" spans="1:3" ht="21" x14ac:dyDescent="0.4">
      <c r="A31" s="101" t="str">
        <f>Billing!S17</f>
        <v>Gauhar Kashif</v>
      </c>
      <c r="B31" s="104">
        <f>Billing!AG17</f>
        <v>1214045</v>
      </c>
      <c r="C31" s="102">
        <f>Billing!AH17</f>
        <v>0.35479151434265077</v>
      </c>
    </row>
    <row r="32" spans="1:3" ht="21" x14ac:dyDescent="0.4">
      <c r="A32" s="101" t="str">
        <f>Billing!S26</f>
        <v>Hameed corporation</v>
      </c>
      <c r="B32" s="104">
        <f>Billing!AG26</f>
        <v>424323</v>
      </c>
      <c r="C32" s="102">
        <f>Billing!AH26</f>
        <v>0.33577176299877465</v>
      </c>
    </row>
    <row r="33" spans="1:3" ht="21" x14ac:dyDescent="0.4">
      <c r="A33" s="101" t="str">
        <f>Billing!S9</f>
        <v>Sufi Nawaz Sahab</v>
      </c>
      <c r="B33" s="104">
        <f>Billing!AG9</f>
        <v>12178764</v>
      </c>
      <c r="C33" s="102">
        <f>Billing!AH9</f>
        <v>398410.99195318297</v>
      </c>
    </row>
    <row r="34" spans="1:3" ht="21" x14ac:dyDescent="0.4">
      <c r="A34" s="101" t="str">
        <f>Billing!S39</f>
        <v>Farhaan ali</v>
      </c>
      <c r="B34" s="104">
        <f>Billing!AG39</f>
        <v>2147000</v>
      </c>
      <c r="C34" s="102">
        <f>Billing!AH39</f>
        <v>326.26188734453171</v>
      </c>
    </row>
    <row r="35" spans="1:3" ht="21" x14ac:dyDescent="0.4">
      <c r="A35" s="101" t="str">
        <f>Billing!S43</f>
        <v>Bablu</v>
      </c>
      <c r="B35" s="104" t="e">
        <f>Billing!AG43</f>
        <v>#REF!</v>
      </c>
      <c r="C35" s="102" t="e">
        <f>Billing!AH43</f>
        <v>#REF!</v>
      </c>
    </row>
    <row r="36" spans="1:3" ht="21" x14ac:dyDescent="0.4">
      <c r="A36" s="101" t="str">
        <f>Billing!S31</f>
        <v>Shani Badshah</v>
      </c>
      <c r="B36" s="104">
        <f>Billing!AG31</f>
        <v>3116071</v>
      </c>
      <c r="C36" s="102">
        <f>Billing!AH31</f>
        <v>-0.22457937058061361</v>
      </c>
    </row>
    <row r="37" spans="1:3" ht="21" x14ac:dyDescent="0.4">
      <c r="A37" s="101" t="str">
        <f>Billing!S20</f>
        <v>Haseeb Shamsi</v>
      </c>
      <c r="B37" s="104">
        <f>Billing!AG20</f>
        <v>594405</v>
      </c>
      <c r="C37" s="102">
        <f>Billing!AH20</f>
        <v>-0.28163862461224198</v>
      </c>
    </row>
    <row r="38" spans="1:3" ht="21" x14ac:dyDescent="0.4">
      <c r="A38" s="101" t="str">
        <f>Billing!S19</f>
        <v>Hazrat Khan</v>
      </c>
      <c r="B38" s="104">
        <f>Billing!AG19</f>
        <v>95000</v>
      </c>
      <c r="C38" s="103">
        <f>Billing!AH19</f>
        <v>-5844.9158741770225</v>
      </c>
    </row>
    <row r="39" spans="1:3" ht="21" x14ac:dyDescent="0.4">
      <c r="A39" s="101" t="str">
        <f>Billing!S35</f>
        <v>Zahid Ejaz</v>
      </c>
      <c r="B39" s="104">
        <f>Billing!AG35</f>
        <v>169278</v>
      </c>
      <c r="C39" s="102">
        <f>Billing!AH35</f>
        <v>-7738.1316752011771</v>
      </c>
    </row>
    <row r="40" spans="1:3" ht="21" x14ac:dyDescent="0.4">
      <c r="A40" s="101" t="str">
        <f>Billing!S24</f>
        <v>Salman Zaffar</v>
      </c>
      <c r="B40" s="104">
        <f>Billing!AG24</f>
        <v>3296025</v>
      </c>
      <c r="C40" s="102">
        <f>Billing!AH24</f>
        <v>-26245.373079736717</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9"/>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t="str">
        <f t="shared" si="0"/>
        <v>Farhaan ali</v>
      </c>
      <c r="B36" s="10" t="e">
        <f>_xlfn.XLOOKUP($A36,[1]Billing!$R$5:$R$40,[1]Billing!$AF$5:$AF$40)</f>
        <v>#N/A</v>
      </c>
      <c r="G36" t="str">
        <v>Farhaan ali</v>
      </c>
    </row>
    <row r="37" spans="1:7" x14ac:dyDescent="0.3">
      <c r="A37" s="80" t="str">
        <f t="shared" si="0"/>
        <v>ACM salman zaffar</v>
      </c>
      <c r="B37" s="10" t="e">
        <f>_xlfn.XLOOKUP($A37,[1]Billing!$R$5:$R$40,[1]Billing!$AF$5:$AF$40)</f>
        <v>#N/A</v>
      </c>
      <c r="G37" t="str">
        <v>ACM salman zaffar</v>
      </c>
    </row>
    <row r="38" spans="1:7" x14ac:dyDescent="0.3">
      <c r="A38" s="80">
        <f t="shared" si="0"/>
        <v>0</v>
      </c>
      <c r="B38" s="10" t="e">
        <f>_xlfn.XLOOKUP($A38,[1]Billing!$R$5:$R$40,[1]Billing!$AD$5:$AD$40)</f>
        <v>#N/A</v>
      </c>
      <c r="G38">
        <v>0</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2026-09-18T14:16:50Z</dcterms:modified>
  <cp:category/>
  <cp:contentStatus/>
</cp:coreProperties>
</file>