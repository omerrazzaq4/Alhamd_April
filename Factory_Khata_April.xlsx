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50" documentId="8_{7831D67F-D179-4A48-BF3D-D20C81F1E395}" xr6:coauthVersionLast="47" xr6:coauthVersionMax="47" xr10:uidLastSave="{1709A2F2-B5D0-4D9C-A9E1-CA09926A8F51}"/>
  <bookViews>
    <workbookView xWindow="-108" yWindow="-108" windowWidth="23256" windowHeight="12456" tabRatio="597" firstSheet="2"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 i="22" l="1"/>
  <c r="H22" i="22"/>
  <c r="K4" i="22"/>
  <c r="K5" i="22"/>
  <c r="K6" i="22"/>
  <c r="K7" i="22"/>
  <c r="L7" i="22" s="1"/>
  <c r="K8" i="22"/>
  <c r="K9" i="22"/>
  <c r="L9" i="22" s="1"/>
  <c r="K10" i="22"/>
  <c r="K11" i="22"/>
  <c r="K12" i="22"/>
  <c r="L12" i="22" s="1"/>
  <c r="K13" i="22"/>
  <c r="L13" i="22" s="1"/>
  <c r="K14" i="22"/>
  <c r="L14" i="22" s="1"/>
  <c r="K15" i="22"/>
  <c r="K16" i="22"/>
  <c r="K17" i="22"/>
  <c r="K18" i="22"/>
  <c r="L18" i="22" s="1"/>
  <c r="K19" i="22"/>
  <c r="L19" i="22" s="1"/>
  <c r="K20" i="22"/>
  <c r="L20" i="22" s="1"/>
  <c r="K21" i="22"/>
  <c r="L21" i="22" s="1"/>
  <c r="K3" i="22"/>
  <c r="G36" i="7"/>
  <c r="H36" i="7" s="1"/>
  <c r="L2" i="22"/>
  <c r="J2" i="22"/>
  <c r="J3" i="22"/>
  <c r="J4" i="22"/>
  <c r="J5" i="22"/>
  <c r="J6" i="22"/>
  <c r="J7" i="22"/>
  <c r="J8" i="22"/>
  <c r="J9" i="22"/>
  <c r="J10" i="22"/>
  <c r="J11" i="22"/>
  <c r="J12" i="22"/>
  <c r="J13" i="22"/>
  <c r="J14" i="22"/>
  <c r="J15" i="22"/>
  <c r="J16" i="22"/>
  <c r="J17" i="22"/>
  <c r="J18" i="22"/>
  <c r="J19" i="22"/>
  <c r="J20" i="22"/>
  <c r="J21" i="22"/>
  <c r="J292" i="1" a="1"/>
  <c r="J292" i="1" s="1"/>
  <c r="J293" i="1" a="1"/>
  <c r="J293" i="1" s="1"/>
  <c r="J291" i="1"/>
  <c r="I291" i="1"/>
  <c r="J290" i="1"/>
  <c r="J283" i="1" a="1"/>
  <c r="J283" i="1" s="1"/>
  <c r="I281" i="1"/>
  <c r="J281" i="1" a="1"/>
  <c r="J281" i="1" s="1"/>
  <c r="I282" i="1"/>
  <c r="J282" i="1" a="1"/>
  <c r="J282" i="1" s="1"/>
  <c r="I283" i="1"/>
  <c r="I284" i="1"/>
  <c r="J284" i="1" s="1" a="1"/>
  <c r="J284" i="1" s="1"/>
  <c r="I285" i="1"/>
  <c r="J285" i="1" s="1" a="1"/>
  <c r="J285" i="1" s="1"/>
  <c r="I286" i="1"/>
  <c r="J286" i="1" s="1" a="1"/>
  <c r="J286" i="1" s="1"/>
  <c r="I287" i="1"/>
  <c r="J287" i="1" s="1" a="1"/>
  <c r="J287" i="1" s="1"/>
  <c r="I288" i="1"/>
  <c r="J288" i="1" a="1"/>
  <c r="J288" i="1" s="1"/>
  <c r="I289" i="1"/>
  <c r="J289" i="1" a="1"/>
  <c r="J289" i="1" s="1"/>
  <c r="I290" i="1"/>
  <c r="I292" i="1"/>
  <c r="I293" i="1"/>
  <c r="I294" i="1"/>
  <c r="J294" i="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a="1"/>
  <c r="J279" i="1" s="1"/>
  <c r="I278" i="1"/>
  <c r="J278" i="1"/>
  <c r="I271" i="1"/>
  <c r="J271" i="1" s="1" a="1"/>
  <c r="J271" i="1" s="1"/>
  <c r="I272" i="1"/>
  <c r="J272" i="1" a="1"/>
  <c r="J272" i="1" s="1"/>
  <c r="I273" i="1"/>
  <c r="J273" i="1" a="1"/>
  <c r="J273" i="1" s="1"/>
  <c r="I274" i="1"/>
  <c r="J274" i="1" a="1"/>
  <c r="J274" i="1" s="1"/>
  <c r="I275" i="1"/>
  <c r="J275" i="1" a="1"/>
  <c r="J275" i="1" s="1"/>
  <c r="I276" i="1"/>
  <c r="J276" i="1" s="1" a="1"/>
  <c r="J276" i="1" s="1"/>
  <c r="I277" i="1"/>
  <c r="J277" i="1" a="1"/>
  <c r="J277" i="1" s="1"/>
  <c r="C1063" i="17"/>
  <c r="C1058" i="17"/>
  <c r="C1053" i="17"/>
  <c r="I263" i="1"/>
  <c r="J263" i="1" a="1"/>
  <c r="J263" i="1" s="1"/>
  <c r="I264" i="1"/>
  <c r="J264" i="1" s="1" a="1"/>
  <c r="J264" i="1" s="1"/>
  <c r="I265" i="1"/>
  <c r="J265" i="1" a="1"/>
  <c r="J265" i="1" s="1"/>
  <c r="I266" i="1"/>
  <c r="J266" i="1" a="1"/>
  <c r="J266" i="1" s="1"/>
  <c r="I267" i="1"/>
  <c r="J267" i="1" a="1"/>
  <c r="J267" i="1" s="1"/>
  <c r="I268" i="1"/>
  <c r="J268" i="1" a="1"/>
  <c r="J268" i="1" s="1"/>
  <c r="I269" i="1"/>
  <c r="J269" i="1" s="1" a="1"/>
  <c r="J269" i="1" s="1"/>
  <c r="I270" i="1"/>
  <c r="J270" i="1" a="1"/>
  <c r="J270" i="1" s="1"/>
  <c r="G215" i="1"/>
  <c r="H287" i="1"/>
  <c r="H288" i="1"/>
  <c r="H289" i="1"/>
  <c r="H294" i="1"/>
  <c r="H295" i="1"/>
  <c r="H296" i="1"/>
  <c r="H297" i="1"/>
  <c r="H298" i="1"/>
  <c r="H299" i="1"/>
  <c r="H300" i="1"/>
  <c r="H301" i="1"/>
  <c r="H302" i="1"/>
  <c r="H303" i="1"/>
  <c r="H304" i="1"/>
  <c r="H305" i="1"/>
  <c r="H306" i="1"/>
  <c r="H307" i="1"/>
  <c r="E119" i="2"/>
  <c r="F119" i="2"/>
  <c r="E120" i="2"/>
  <c r="F120" i="2"/>
  <c r="H120" i="2" s="1"/>
  <c r="I120" i="2" s="1"/>
  <c r="D120" i="2" s="1"/>
  <c r="E121" i="2"/>
  <c r="F121" i="2"/>
  <c r="E122" i="2"/>
  <c r="F122" i="2"/>
  <c r="H122" i="2" s="1"/>
  <c r="I122" i="2" s="1"/>
  <c r="D122" i="2" s="1"/>
  <c r="E123" i="2"/>
  <c r="F123" i="2"/>
  <c r="E124" i="2"/>
  <c r="F124" i="2"/>
  <c r="H124" i="2" s="1"/>
  <c r="I124" i="2" s="1"/>
  <c r="D124" i="2" s="1"/>
  <c r="E125" i="2"/>
  <c r="F125" i="2"/>
  <c r="E126" i="2"/>
  <c r="F126" i="2"/>
  <c r="G126" i="2" s="1"/>
  <c r="H274" i="1" s="1"/>
  <c r="H126" i="2"/>
  <c r="I126" i="2" s="1"/>
  <c r="D126" i="2" s="1"/>
  <c r="E127" i="2"/>
  <c r="F127" i="2"/>
  <c r="I258" i="1"/>
  <c r="J258" i="1" s="1" a="1"/>
  <c r="J258" i="1" s="1"/>
  <c r="I259" i="1"/>
  <c r="J259" i="1" a="1"/>
  <c r="J259" i="1" s="1"/>
  <c r="I260" i="1"/>
  <c r="J260" i="1" a="1"/>
  <c r="J260" i="1" s="1"/>
  <c r="I261" i="1"/>
  <c r="J261" i="1" a="1"/>
  <c r="J261" i="1" s="1"/>
  <c r="I262" i="1"/>
  <c r="J262" i="1" a="1"/>
  <c r="J262" i="1" s="1"/>
  <c r="G38" i="7"/>
  <c r="H38" i="7" s="1"/>
  <c r="G39" i="7"/>
  <c r="H39" i="7" s="1"/>
  <c r="G40" i="7"/>
  <c r="H40" i="7" s="1"/>
  <c r="G41" i="7"/>
  <c r="H41" i="7" s="1"/>
  <c r="F48" i="15"/>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a="1"/>
  <c r="J255" i="1" s="1"/>
  <c r="I256" i="1"/>
  <c r="J256" i="1" s="1" a="1"/>
  <c r="J256" i="1" s="1"/>
  <c r="I243" i="1"/>
  <c r="J243" i="1" a="1"/>
  <c r="J243" i="1" s="1"/>
  <c r="I244" i="1"/>
  <c r="J244" i="1" s="1" a="1"/>
  <c r="J244" i="1" s="1"/>
  <c r="I245" i="1"/>
  <c r="J245" i="1" a="1"/>
  <c r="J245" i="1" s="1"/>
  <c r="I246" i="1"/>
  <c r="J246" i="1"/>
  <c r="I247" i="1"/>
  <c r="J247" i="1" s="1" a="1"/>
  <c r="J247" i="1" s="1"/>
  <c r="I248" i="1"/>
  <c r="J248" i="1" a="1"/>
  <c r="J248" i="1" s="1"/>
  <c r="I249" i="1"/>
  <c r="J249" i="1" s="1" a="1"/>
  <c r="J249" i="1" s="1"/>
  <c r="I250" i="1"/>
  <c r="J250" i="1" s="1" a="1"/>
  <c r="J250" i="1" s="1"/>
  <c r="I251" i="1"/>
  <c r="J251" i="1" a="1"/>
  <c r="J251" i="1" s="1"/>
  <c r="I252" i="1"/>
  <c r="J252" i="1" a="1"/>
  <c r="J252" i="1" s="1"/>
  <c r="C875" i="17"/>
  <c r="C857" i="17"/>
  <c r="G35" i="7"/>
  <c r="H35" i="7" s="1"/>
  <c r="G37" i="7"/>
  <c r="H37" i="7" s="1"/>
  <c r="I239" i="1"/>
  <c r="J239" i="1" s="1" a="1"/>
  <c r="J239" i="1" s="1"/>
  <c r="I240" i="1"/>
  <c r="J240" i="1" a="1"/>
  <c r="J240" i="1" s="1"/>
  <c r="I241" i="1"/>
  <c r="J241" i="1" a="1"/>
  <c r="J241" i="1" s="1"/>
  <c r="I242" i="1"/>
  <c r="J242" i="1" s="1" a="1"/>
  <c r="J242" i="1" s="1"/>
  <c r="I232" i="1"/>
  <c r="J232" i="1" a="1"/>
  <c r="J232" i="1" s="1"/>
  <c r="I233" i="1"/>
  <c r="J233" i="1" a="1"/>
  <c r="J233" i="1" s="1"/>
  <c r="I234" i="1"/>
  <c r="J234" i="1"/>
  <c r="I235" i="1"/>
  <c r="J235" i="1"/>
  <c r="I236" i="1"/>
  <c r="J236" i="1" s="1" a="1"/>
  <c r="J236" i="1" s="1"/>
  <c r="I237" i="1"/>
  <c r="J237" i="1" s="1" a="1"/>
  <c r="J237" i="1" s="1"/>
  <c r="I238" i="1"/>
  <c r="J238" i="1" a="1"/>
  <c r="J238" i="1" s="1"/>
  <c r="I226" i="1"/>
  <c r="J226" i="1" a="1"/>
  <c r="J226" i="1" s="1"/>
  <c r="I227" i="1"/>
  <c r="J227" i="1" a="1"/>
  <c r="J227" i="1" s="1"/>
  <c r="I228" i="1"/>
  <c r="J228" i="1" a="1"/>
  <c r="J228" i="1" s="1"/>
  <c r="I229" i="1"/>
  <c r="J229" i="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c r="I221" i="1"/>
  <c r="J221" i="1"/>
  <c r="I222" i="1"/>
  <c r="J222" i="1"/>
  <c r="I223" i="1"/>
  <c r="J223" i="1" s="1"/>
  <c r="I215" i="1"/>
  <c r="J215" i="1" a="1"/>
  <c r="J215" i="1" s="1"/>
  <c r="I216" i="1"/>
  <c r="J216" i="1" a="1"/>
  <c r="J216" i="1" s="1"/>
  <c r="I219" i="1"/>
  <c r="J219" i="1" s="1" a="1"/>
  <c r="J219" i="1" s="1"/>
  <c r="I220" i="1"/>
  <c r="J220" i="1" a="1"/>
  <c r="J220" i="1" s="1"/>
  <c r="I211" i="1"/>
  <c r="J211" i="1" s="1"/>
  <c r="I212" i="1"/>
  <c r="J212" i="1"/>
  <c r="I208" i="1"/>
  <c r="J208" i="1" a="1"/>
  <c r="J208" i="1" s="1"/>
  <c r="I209" i="1"/>
  <c r="J209" i="1" a="1"/>
  <c r="J209" i="1" s="1"/>
  <c r="I210" i="1"/>
  <c r="J210" i="1" a="1"/>
  <c r="J210" i="1" s="1"/>
  <c r="I213" i="1"/>
  <c r="J213" i="1" a="1"/>
  <c r="J213" i="1" s="1"/>
  <c r="I214" i="1"/>
  <c r="J214" i="1" s="1" a="1"/>
  <c r="J214" i="1" s="1"/>
  <c r="C669" i="17"/>
  <c r="C649" i="17"/>
  <c r="G38" i="15"/>
  <c r="H38" i="15" s="1"/>
  <c r="G39" i="15"/>
  <c r="H39" i="15" s="1"/>
  <c r="G40" i="15"/>
  <c r="H40" i="15" s="1"/>
  <c r="G41" i="15"/>
  <c r="H41" i="15" s="1"/>
  <c r="G42" i="15"/>
  <c r="H42" i="15" s="1"/>
  <c r="B49" i="9" a="1"/>
  <c r="L88" i="9" s="1" a="1"/>
  <c r="L88" i="9" s="1"/>
  <c r="I97" i="1"/>
  <c r="J97" i="1" s="1" a="1"/>
  <c r="J97" i="1" s="1"/>
  <c r="I105" i="1"/>
  <c r="J105" i="1" a="1"/>
  <c r="J105" i="1" s="1"/>
  <c r="I111" i="1"/>
  <c r="J111" i="1" a="1"/>
  <c r="J111" i="1" s="1"/>
  <c r="I112" i="1"/>
  <c r="J112" i="1" a="1"/>
  <c r="J112" i="1" s="1"/>
  <c r="I113" i="1"/>
  <c r="J113" i="1" s="1" a="1"/>
  <c r="J113" i="1" s="1"/>
  <c r="I120" i="1"/>
  <c r="J120" i="1" a="1"/>
  <c r="J120" i="1" s="1"/>
  <c r="I121" i="1"/>
  <c r="J121" i="1" a="1"/>
  <c r="J121" i="1" s="1"/>
  <c r="I132" i="1"/>
  <c r="J132" i="1" a="1"/>
  <c r="J132" i="1" s="1"/>
  <c r="I133" i="1"/>
  <c r="J133" i="1" a="1"/>
  <c r="J133" i="1" s="1"/>
  <c r="I143" i="1"/>
  <c r="J143" i="1" s="1" a="1"/>
  <c r="J143" i="1" s="1"/>
  <c r="I145" i="1"/>
  <c r="J145" i="1" a="1"/>
  <c r="J145" i="1" s="1"/>
  <c r="I154" i="1"/>
  <c r="J154" i="1" s="1" a="1"/>
  <c r="J154" i="1" s="1"/>
  <c r="I155" i="1"/>
  <c r="J155" i="1" a="1"/>
  <c r="J155" i="1" s="1"/>
  <c r="I156" i="1"/>
  <c r="J156" i="1" s="1" a="1"/>
  <c r="J156" i="1" s="1"/>
  <c r="I157" i="1"/>
  <c r="J157" i="1" s="1" a="1"/>
  <c r="J157" i="1" s="1"/>
  <c r="I158" i="1"/>
  <c r="J158" i="1" a="1"/>
  <c r="J158" i="1" s="1"/>
  <c r="I160" i="1"/>
  <c r="J160" i="1" s="1" a="1"/>
  <c r="J160" i="1" s="1"/>
  <c r="I161" i="1"/>
  <c r="J161" i="1" a="1"/>
  <c r="J161" i="1" s="1"/>
  <c r="I162" i="1"/>
  <c r="J162" i="1" s="1" a="1"/>
  <c r="J162" i="1" s="1"/>
  <c r="I163" i="1"/>
  <c r="J163" i="1" s="1" a="1"/>
  <c r="J163" i="1" s="1"/>
  <c r="I164" i="1"/>
  <c r="J164" i="1" a="1"/>
  <c r="J164" i="1" s="1"/>
  <c r="I165" i="1"/>
  <c r="J165" i="1" a="1"/>
  <c r="J165" i="1" s="1"/>
  <c r="I166" i="1"/>
  <c r="J166" i="1" a="1"/>
  <c r="J166" i="1" s="1"/>
  <c r="I167" i="1"/>
  <c r="J167" i="1" s="1" a="1"/>
  <c r="J167" i="1" s="1"/>
  <c r="I168" i="1"/>
  <c r="J168" i="1" s="1" a="1"/>
  <c r="J168" i="1" s="1"/>
  <c r="I170" i="1"/>
  <c r="J170" i="1" a="1"/>
  <c r="J170" i="1" s="1"/>
  <c r="I169" i="1"/>
  <c r="J169" i="1" a="1"/>
  <c r="J169" i="1" s="1"/>
  <c r="I172" i="1"/>
  <c r="J172" i="1" a="1"/>
  <c r="J172" i="1" s="1"/>
  <c r="I185" i="1"/>
  <c r="J185" i="1" s="1" a="1"/>
  <c r="J185" i="1" s="1"/>
  <c r="I186" i="1"/>
  <c r="J186" i="1" a="1"/>
  <c r="J186" i="1" s="1"/>
  <c r="I187" i="1"/>
  <c r="J187" i="1" a="1"/>
  <c r="J187" i="1" s="1"/>
  <c r="I189" i="1"/>
  <c r="J189" i="1" a="1"/>
  <c r="J189" i="1" s="1"/>
  <c r="I203" i="1"/>
  <c r="J203" i="1" a="1"/>
  <c r="J203" i="1" s="1"/>
  <c r="I188" i="1"/>
  <c r="J188" i="1" s="1" a="1"/>
  <c r="J188" i="1" s="1"/>
  <c r="I190" i="1"/>
  <c r="J190" i="1" a="1"/>
  <c r="J190" i="1" s="1"/>
  <c r="I191" i="1"/>
  <c r="J191" i="1" s="1" a="1"/>
  <c r="J191" i="1" s="1"/>
  <c r="I192" i="1"/>
  <c r="J192" i="1" a="1"/>
  <c r="J192" i="1" s="1"/>
  <c r="I193" i="1"/>
  <c r="J193" i="1" s="1" a="1"/>
  <c r="J193" i="1" s="1"/>
  <c r="I194" i="1"/>
  <c r="J194" i="1" s="1" a="1"/>
  <c r="J194" i="1" s="1"/>
  <c r="I196" i="1"/>
  <c r="J196" i="1" a="1"/>
  <c r="J196" i="1" s="1"/>
  <c r="I197" i="1"/>
  <c r="J197" i="1" s="1" a="1"/>
  <c r="J197" i="1" s="1"/>
  <c r="I206" i="1"/>
  <c r="J206" i="1" a="1"/>
  <c r="J206" i="1" s="1"/>
  <c r="I207" i="1"/>
  <c r="J207" i="1" a="1"/>
  <c r="J207" i="1" s="1"/>
  <c r="I95" i="1"/>
  <c r="J95" i="1" s="1" a="1"/>
  <c r="J95" i="1" s="1"/>
  <c r="I96" i="1"/>
  <c r="J96" i="1" a="1"/>
  <c r="J96" i="1" s="1"/>
  <c r="I103" i="1"/>
  <c r="J103" i="1" a="1"/>
  <c r="J103" i="1" s="1"/>
  <c r="I104" i="1"/>
  <c r="J104" i="1" a="1"/>
  <c r="J104" i="1" s="1"/>
  <c r="I108" i="1"/>
  <c r="J108" i="1" a="1"/>
  <c r="J108" i="1" s="1"/>
  <c r="I110" i="1"/>
  <c r="J110" i="1" s="1" a="1"/>
  <c r="J110" i="1" s="1"/>
  <c r="I171" i="1"/>
  <c r="J171" i="1" s="1" a="1"/>
  <c r="J171" i="1" s="1"/>
  <c r="I181" i="1"/>
  <c r="J181" i="1" a="1"/>
  <c r="J181" i="1" s="1"/>
  <c r="I107" i="1"/>
  <c r="J107" i="1" a="1"/>
  <c r="J107" i="1" s="1"/>
  <c r="I109" i="1"/>
  <c r="J109" i="1" a="1"/>
  <c r="J109" i="1" s="1"/>
  <c r="I131" i="1"/>
  <c r="J131" i="1" s="1" a="1"/>
  <c r="J131" i="1" s="1"/>
  <c r="I198" i="1"/>
  <c r="J198" i="1" s="1" a="1"/>
  <c r="J198" i="1" s="1"/>
  <c r="R5" i="9" a="1"/>
  <c r="A34" i="20" s="1"/>
  <c r="I98" i="1"/>
  <c r="J98" i="1" a="1"/>
  <c r="J98" i="1" s="1"/>
  <c r="I100" i="1"/>
  <c r="J100" i="1" a="1"/>
  <c r="J100" i="1" s="1"/>
  <c r="I106" i="1"/>
  <c r="J106" i="1" a="1"/>
  <c r="J106" i="1" s="1"/>
  <c r="I93" i="1"/>
  <c r="J93" i="1" s="1" a="1"/>
  <c r="J93" i="1" s="1"/>
  <c r="I94" i="1"/>
  <c r="J94" i="1" a="1"/>
  <c r="J94" i="1" s="1"/>
  <c r="I99" i="1"/>
  <c r="J99" i="1" s="1" a="1"/>
  <c r="J99" i="1" s="1"/>
  <c r="I140" i="1"/>
  <c r="J140" i="1" a="1"/>
  <c r="J140" i="1" s="1"/>
  <c r="I117" i="1"/>
  <c r="J117" i="1" s="1" a="1"/>
  <c r="J117" i="1" s="1"/>
  <c r="I205" i="1"/>
  <c r="J205" i="1" s="1" a="1"/>
  <c r="J205" i="1" s="1"/>
  <c r="I137" i="1"/>
  <c r="J137" i="1" a="1"/>
  <c r="J137" i="1" s="1"/>
  <c r="I134" i="1"/>
  <c r="J134" i="1" s="1" a="1"/>
  <c r="J134" i="1" s="1"/>
  <c r="I142" i="1"/>
  <c r="J142" i="1" a="1"/>
  <c r="J142" i="1" s="1"/>
  <c r="I144" i="1"/>
  <c r="J144" i="1" s="1" a="1"/>
  <c r="J144" i="1" s="1"/>
  <c r="I202" i="1"/>
  <c r="J202" i="1" s="1" a="1"/>
  <c r="J202" i="1" s="1"/>
  <c r="I201" i="1"/>
  <c r="J201" i="1" a="1"/>
  <c r="J201" i="1" s="1"/>
  <c r="I141" i="1"/>
  <c r="J141" i="1" a="1"/>
  <c r="J141" i="1" s="1"/>
  <c r="I122" i="1"/>
  <c r="J122" i="1" a="1"/>
  <c r="J122" i="1" s="1"/>
  <c r="I123" i="1"/>
  <c r="J123" i="1" s="1" a="1"/>
  <c r="J123" i="1" s="1"/>
  <c r="I124" i="1"/>
  <c r="J124" i="1" s="1" a="1"/>
  <c r="J124" i="1" s="1"/>
  <c r="I125" i="1"/>
  <c r="J125" i="1" a="1"/>
  <c r="J125" i="1" s="1"/>
  <c r="I126" i="1"/>
  <c r="J126" i="1" a="1"/>
  <c r="J126" i="1" s="1"/>
  <c r="I127" i="1"/>
  <c r="J127" i="1" a="1"/>
  <c r="J127" i="1" s="1"/>
  <c r="I128" i="1"/>
  <c r="J128" i="1" s="1" a="1"/>
  <c r="J128" i="1" s="1"/>
  <c r="I101" i="1"/>
  <c r="J101" i="1" a="1"/>
  <c r="J101" i="1" s="1"/>
  <c r="I102" i="1"/>
  <c r="J102" i="1" a="1"/>
  <c r="J102" i="1" s="1"/>
  <c r="I129" i="1"/>
  <c r="J129" i="1" a="1"/>
  <c r="J129" i="1" s="1"/>
  <c r="I130" i="1"/>
  <c r="J130" i="1" a="1"/>
  <c r="J130" i="1" s="1"/>
  <c r="I146" i="1"/>
  <c r="J146" i="1" s="1" a="1"/>
  <c r="J146" i="1" s="1"/>
  <c r="I147" i="1"/>
  <c r="J147" i="1" a="1"/>
  <c r="J147" i="1" s="1"/>
  <c r="I148" i="1"/>
  <c r="J148" i="1" s="1" a="1"/>
  <c r="J148" i="1" s="1"/>
  <c r="I177" i="1"/>
  <c r="J177" i="1" a="1"/>
  <c r="J177" i="1" s="1"/>
  <c r="I178" i="1"/>
  <c r="J178" i="1" s="1" a="1"/>
  <c r="J178" i="1" s="1"/>
  <c r="I179" i="1"/>
  <c r="J179" i="1" s="1" a="1"/>
  <c r="J179" i="1" s="1"/>
  <c r="I180" i="1"/>
  <c r="J180" i="1" a="1"/>
  <c r="J180" i="1" s="1"/>
  <c r="I115" i="1"/>
  <c r="J115" i="1" s="1" a="1"/>
  <c r="J115" i="1" s="1"/>
  <c r="I116" i="1"/>
  <c r="J116" i="1" a="1"/>
  <c r="J116" i="1" s="1"/>
  <c r="I138" i="1"/>
  <c r="J138" i="1" s="1" a="1"/>
  <c r="J138" i="1" s="1"/>
  <c r="I139" i="1"/>
  <c r="J139" i="1" s="1" a="1"/>
  <c r="J139" i="1" s="1"/>
  <c r="I114" i="1"/>
  <c r="J114" i="1" a="1"/>
  <c r="J114" i="1" s="1"/>
  <c r="I135" i="1"/>
  <c r="J135" i="1" a="1"/>
  <c r="J135" i="1" s="1"/>
  <c r="I136" i="1"/>
  <c r="J136" i="1" a="1"/>
  <c r="J136" i="1" s="1"/>
  <c r="I173" i="1"/>
  <c r="J173" i="1" s="1"/>
  <c r="I174" i="1"/>
  <c r="J174" i="1" s="1"/>
  <c r="I175" i="1"/>
  <c r="J175" i="1"/>
  <c r="I176" i="1"/>
  <c r="J176" i="1" s="1"/>
  <c r="I118" i="1"/>
  <c r="J118" i="1" a="1"/>
  <c r="J118" i="1" s="1"/>
  <c r="I119" i="1"/>
  <c r="J119" i="1" s="1" a="1"/>
  <c r="J119" i="1" s="1"/>
  <c r="I204" i="1"/>
  <c r="J204" i="1" s="1" a="1"/>
  <c r="J204" i="1" s="1"/>
  <c r="I149" i="1"/>
  <c r="J149" i="1" a="1"/>
  <c r="J149" i="1" s="1"/>
  <c r="I150" i="1"/>
  <c r="J150" i="1" a="1"/>
  <c r="J150" i="1" s="1"/>
  <c r="I151" i="1"/>
  <c r="J151" i="1" a="1"/>
  <c r="J151" i="1" s="1"/>
  <c r="I152" i="1"/>
  <c r="J152" i="1" s="1" a="1"/>
  <c r="J152" i="1" s="1"/>
  <c r="I153" i="1"/>
  <c r="J153" i="1" a="1"/>
  <c r="J153" i="1" s="1"/>
  <c r="I182" i="1"/>
  <c r="J182" i="1" s="1" a="1"/>
  <c r="J182" i="1" s="1"/>
  <c r="I183" i="1"/>
  <c r="J183" i="1" a="1"/>
  <c r="J183" i="1" s="1"/>
  <c r="I159" i="1"/>
  <c r="J159" i="1" s="1" a="1"/>
  <c r="J159" i="1" s="1"/>
  <c r="I184" i="1"/>
  <c r="J184" i="1" s="1" a="1"/>
  <c r="J184" i="1" s="1"/>
  <c r="I195" i="1"/>
  <c r="J195" i="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s="1"/>
  <c r="H276" i="1" s="1"/>
  <c r="F129" i="2"/>
  <c r="H129" i="2" s="1"/>
  <c r="I129" i="2" s="1"/>
  <c r="D129" i="2" s="1"/>
  <c r="E130" i="2"/>
  <c r="F130" i="2"/>
  <c r="E131" i="2"/>
  <c r="F131" i="2"/>
  <c r="E132" i="2"/>
  <c r="F132" i="2"/>
  <c r="E133" i="2"/>
  <c r="G133" i="2" s="1"/>
  <c r="H290" i="1" s="1"/>
  <c r="F133" i="2"/>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H139" i="2"/>
  <c r="I139" i="2" s="1"/>
  <c r="D139" i="2" s="1"/>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s="1"/>
  <c r="F83" i="2"/>
  <c r="H83" i="2" s="1"/>
  <c r="I83" i="2" s="1"/>
  <c r="D83" i="2" s="1"/>
  <c r="E84" i="2"/>
  <c r="F84" i="2"/>
  <c r="H84" i="2" s="1"/>
  <c r="I84" i="2" s="1"/>
  <c r="D84" i="2" s="1"/>
  <c r="E85" i="2"/>
  <c r="F85" i="2"/>
  <c r="H85" i="2"/>
  <c r="I85" i="2" s="1"/>
  <c r="D85" i="2" s="1"/>
  <c r="E86" i="2"/>
  <c r="F86" i="2"/>
  <c r="E87" i="2"/>
  <c r="G87" i="2" s="1"/>
  <c r="H215" i="1" s="1"/>
  <c r="F87" i="2"/>
  <c r="E88" i="2"/>
  <c r="F88" i="2"/>
  <c r="E89" i="2"/>
  <c r="F89" i="2"/>
  <c r="E90" i="2"/>
  <c r="F90" i="2"/>
  <c r="G90" i="2" s="1"/>
  <c r="E91" i="2"/>
  <c r="F91" i="2"/>
  <c r="G91" i="2" s="1"/>
  <c r="H226" i="1" s="1"/>
  <c r="E92" i="2"/>
  <c r="F92" i="2"/>
  <c r="H92" i="2" s="1"/>
  <c r="I92" i="2" s="1"/>
  <c r="D92" i="2" s="1"/>
  <c r="E93" i="2"/>
  <c r="F93" i="2"/>
  <c r="H93" i="2" s="1"/>
  <c r="I93" i="2" s="1"/>
  <c r="D93" i="2" s="1"/>
  <c r="E94" i="2"/>
  <c r="G94" i="2" s="1"/>
  <c r="H230" i="1" s="1"/>
  <c r="F94" i="2"/>
  <c r="H94" i="2" s="1"/>
  <c r="I94" i="2" s="1"/>
  <c r="D94" i="2" s="1"/>
  <c r="E95" i="2"/>
  <c r="F95" i="2"/>
  <c r="H95" i="2" s="1"/>
  <c r="I95" i="2" s="1"/>
  <c r="D95" i="2" s="1"/>
  <c r="E96" i="2"/>
  <c r="F96" i="2"/>
  <c r="H96" i="2" s="1"/>
  <c r="I96" i="2" s="1"/>
  <c r="D96" i="2" s="1"/>
  <c r="E97" i="2"/>
  <c r="F97" i="2"/>
  <c r="E98" i="2"/>
  <c r="F98" i="2"/>
  <c r="H98" i="2" s="1"/>
  <c r="I98" i="2" s="1"/>
  <c r="D98" i="2" s="1"/>
  <c r="E99" i="2"/>
  <c r="F99" i="2"/>
  <c r="E100" i="2"/>
  <c r="F100" i="2"/>
  <c r="E101" i="2"/>
  <c r="F101" i="2"/>
  <c r="H101" i="2" s="1"/>
  <c r="I101" i="2" s="1"/>
  <c r="D101" i="2" s="1"/>
  <c r="E102" i="2"/>
  <c r="F102" i="2"/>
  <c r="G102" i="2" s="1"/>
  <c r="H239" i="1" s="1"/>
  <c r="E103" i="2"/>
  <c r="F103" i="2"/>
  <c r="E104" i="2"/>
  <c r="F104" i="2"/>
  <c r="H104" i="2" s="1"/>
  <c r="I104" i="2" s="1"/>
  <c r="D104" i="2" s="1"/>
  <c r="E105" i="2"/>
  <c r="F105" i="2"/>
  <c r="E106" i="2"/>
  <c r="F106" i="2"/>
  <c r="E107" i="2"/>
  <c r="F107" i="2"/>
  <c r="H107" i="2" s="1"/>
  <c r="I107" i="2" s="1"/>
  <c r="D107" i="2" s="1"/>
  <c r="E108" i="2"/>
  <c r="F108" i="2"/>
  <c r="H108" i="2" s="1"/>
  <c r="I108" i="2" s="1"/>
  <c r="D108" i="2" s="1"/>
  <c r="E109" i="2"/>
  <c r="G109" i="2" s="1"/>
  <c r="H247" i="1" s="1"/>
  <c r="F109" i="2"/>
  <c r="H109" i="2"/>
  <c r="I109" i="2" s="1"/>
  <c r="D109" i="2" s="1"/>
  <c r="E110" i="2"/>
  <c r="F110" i="2"/>
  <c r="H110" i="2" s="1"/>
  <c r="I110" i="2" s="1"/>
  <c r="D110" i="2" s="1"/>
  <c r="E111" i="2"/>
  <c r="G111" i="2" s="1"/>
  <c r="H252" i="1" s="1"/>
  <c r="F111" i="2"/>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c r="I117" i="2" s="1"/>
  <c r="D117" i="2" s="1"/>
  <c r="E118" i="2"/>
  <c r="F118" i="2"/>
  <c r="H118" i="2" s="1"/>
  <c r="I118" i="2" s="1"/>
  <c r="D118" i="2" s="1"/>
  <c r="E74" i="2"/>
  <c r="F74" i="2"/>
  <c r="H74" i="2"/>
  <c r="I74" i="2" s="1"/>
  <c r="D74" i="2" s="1"/>
  <c r="E75" i="2"/>
  <c r="F75" i="2"/>
  <c r="H75" i="2" s="1"/>
  <c r="I75" i="2" s="1"/>
  <c r="D75" i="2" s="1"/>
  <c r="E76" i="2"/>
  <c r="F76" i="2"/>
  <c r="E77" i="2"/>
  <c r="F77" i="2"/>
  <c r="H77" i="2" s="1"/>
  <c r="I77" i="2" s="1"/>
  <c r="D77" i="2" s="1"/>
  <c r="E78" i="2"/>
  <c r="F78" i="2"/>
  <c r="H78" i="2" s="1"/>
  <c r="I78" i="2" s="1"/>
  <c r="D78" i="2" s="1"/>
  <c r="E79" i="2"/>
  <c r="F79" i="2"/>
  <c r="G79" i="2" s="1"/>
  <c r="H204" i="1"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E58" i="2"/>
  <c r="F58" i="2"/>
  <c r="G58" i="2" s="1"/>
  <c r="F27" i="2"/>
  <c r="G27" i="2" s="1"/>
  <c r="H124" i="1" s="1"/>
  <c r="E27" i="2"/>
  <c r="E59" i="2"/>
  <c r="F59" i="2"/>
  <c r="H59" i="2" s="1"/>
  <c r="I59" i="2" s="1"/>
  <c r="D59" i="2" s="1"/>
  <c r="F28" i="2"/>
  <c r="H28" i="2" s="1"/>
  <c r="I28" i="2" s="1"/>
  <c r="D28" i="2" s="1"/>
  <c r="E28" i="2"/>
  <c r="G28" i="2" s="1"/>
  <c r="H125" i="1" s="1"/>
  <c r="E60" i="2"/>
  <c r="F60" i="2"/>
  <c r="E61" i="2"/>
  <c r="F61" i="2"/>
  <c r="G61" i="2" s="1"/>
  <c r="H181" i="1" s="1"/>
  <c r="F62" i="2"/>
  <c r="H62" i="2" s="1"/>
  <c r="I62" i="2" s="1"/>
  <c r="D62" i="2" s="1"/>
  <c r="E62" i="2"/>
  <c r="E63" i="2"/>
  <c r="G63" i="2" s="1"/>
  <c r="F63" i="2"/>
  <c r="H63" i="2"/>
  <c r="I63" i="2" s="1"/>
  <c r="D63" i="2" s="1"/>
  <c r="E64" i="2"/>
  <c r="F64" i="2"/>
  <c r="H64" i="2"/>
  <c r="I64" i="2" s="1"/>
  <c r="D64" i="2" s="1"/>
  <c r="E65" i="2"/>
  <c r="F65" i="2"/>
  <c r="H65" i="2" s="1"/>
  <c r="I65" i="2" s="1"/>
  <c r="D65" i="2" s="1"/>
  <c r="E66" i="2"/>
  <c r="F66" i="2"/>
  <c r="H66" i="2" s="1"/>
  <c r="I66" i="2" s="1"/>
  <c r="D66" i="2" s="1"/>
  <c r="E67" i="2"/>
  <c r="F67" i="2"/>
  <c r="H67" i="2" s="1"/>
  <c r="I67" i="2" s="1"/>
  <c r="D67" i="2" s="1"/>
  <c r="G67" i="2"/>
  <c r="H191" i="1" s="1"/>
  <c r="E68" i="2"/>
  <c r="F68" i="2"/>
  <c r="H68" i="2" s="1"/>
  <c r="I68" i="2" s="1"/>
  <c r="D68" i="2" s="1"/>
  <c r="E69" i="2"/>
  <c r="F69" i="2"/>
  <c r="H69" i="2" s="1"/>
  <c r="I69" i="2" s="1"/>
  <c r="D69" i="2" s="1"/>
  <c r="E70" i="2"/>
  <c r="F70" i="2"/>
  <c r="H70" i="2" s="1"/>
  <c r="I70" i="2" s="1"/>
  <c r="D70" i="2" s="1"/>
  <c r="E71" i="2"/>
  <c r="F71" i="2"/>
  <c r="H71" i="2"/>
  <c r="I71" i="2" s="1"/>
  <c r="D71" i="2" s="1"/>
  <c r="E72" i="2"/>
  <c r="F72" i="2"/>
  <c r="H72" i="2" s="1"/>
  <c r="I72" i="2" s="1"/>
  <c r="D72" i="2" s="1"/>
  <c r="E73" i="2"/>
  <c r="F73" i="2"/>
  <c r="E45" i="2"/>
  <c r="G45" i="2" s="1"/>
  <c r="F45" i="2"/>
  <c r="H45" i="2"/>
  <c r="E46" i="2"/>
  <c r="F46" i="2"/>
  <c r="H46" i="2" s="1"/>
  <c r="I46" i="2" s="1"/>
  <c r="D46" i="2" s="1"/>
  <c r="E47" i="2"/>
  <c r="F47" i="2"/>
  <c r="G47" i="2" s="1"/>
  <c r="H151" i="1" s="1"/>
  <c r="E48" i="2"/>
  <c r="F48" i="2"/>
  <c r="H48" i="2" s="1"/>
  <c r="I48" i="2" s="1"/>
  <c r="D48" i="2" s="1"/>
  <c r="F20" i="2"/>
  <c r="E20" i="2"/>
  <c r="E49" i="2"/>
  <c r="F49" i="2"/>
  <c r="H49" i="2"/>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F22" i="2"/>
  <c r="H22" i="2"/>
  <c r="I22" i="2" s="1"/>
  <c r="D22" i="2" s="1"/>
  <c r="E22" i="2"/>
  <c r="F7" i="2"/>
  <c r="E7" i="2"/>
  <c r="E37" i="2"/>
  <c r="F37" i="2"/>
  <c r="H37" i="2" s="1"/>
  <c r="I37" i="2" s="1"/>
  <c r="D37" i="2" s="1"/>
  <c r="E39" i="2"/>
  <c r="F39" i="2"/>
  <c r="H39" i="2" s="1"/>
  <c r="I39" i="2" s="1"/>
  <c r="D39" i="2" s="1"/>
  <c r="E40" i="2"/>
  <c r="F40" i="2"/>
  <c r="H40" i="2" s="1"/>
  <c r="I40" i="2" s="1"/>
  <c r="D40" i="2" s="1"/>
  <c r="E41" i="2"/>
  <c r="F41" i="2"/>
  <c r="H41" i="2"/>
  <c r="I41" i="2" s="1"/>
  <c r="D41" i="2" s="1"/>
  <c r="E42" i="2"/>
  <c r="F42" i="2"/>
  <c r="H42" i="2" s="1"/>
  <c r="I42" i="2" s="1"/>
  <c r="D42" i="2" s="1"/>
  <c r="F43" i="2"/>
  <c r="H43" i="2" s="1"/>
  <c r="I43" i="2" s="1"/>
  <c r="D43" i="2" s="1"/>
  <c r="E43" i="2"/>
  <c r="E44" i="2"/>
  <c r="F44" i="2"/>
  <c r="H44" i="2" s="1"/>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E15" i="2"/>
  <c r="F16" i="2"/>
  <c r="E16" i="2"/>
  <c r="G16" i="2" s="1"/>
  <c r="H108" i="1" s="1"/>
  <c r="F17" i="2"/>
  <c r="H17" i="2" s="1"/>
  <c r="I17" i="2" s="1"/>
  <c r="D17" i="2" s="1"/>
  <c r="E17" i="2"/>
  <c r="F29" i="2"/>
  <c r="H29" i="2" s="1"/>
  <c r="I29" i="2" s="1"/>
  <c r="D29" i="2" s="1"/>
  <c r="E29" i="2"/>
  <c r="F30" i="2"/>
  <c r="F31" i="2"/>
  <c r="G31" i="2" s="1"/>
  <c r="H123" i="1" s="1"/>
  <c r="E31" i="2"/>
  <c r="F32" i="2"/>
  <c r="H32" i="2" s="1"/>
  <c r="I32" i="2" s="1"/>
  <c r="D32" i="2" s="1"/>
  <c r="F14" i="2"/>
  <c r="H14" i="2" s="1"/>
  <c r="I14" i="2" s="1"/>
  <c r="D14" i="2" s="1"/>
  <c r="E14" i="2"/>
  <c r="E30" i="2"/>
  <c r="E32" i="2"/>
  <c r="N4" i="17"/>
  <c r="F12" i="2"/>
  <c r="H12" i="2"/>
  <c r="I12" i="2" s="1"/>
  <c r="D12" i="2" s="1"/>
  <c r="E12" i="2"/>
  <c r="F11" i="2"/>
  <c r="H11" i="2" s="1"/>
  <c r="I11" i="2" s="1"/>
  <c r="E11" i="2"/>
  <c r="F9" i="2"/>
  <c r="G9" i="2" s="1"/>
  <c r="H96" i="1" s="1"/>
  <c r="E9" i="2"/>
  <c r="E8" i="2"/>
  <c r="F8" i="2"/>
  <c r="E10" i="2"/>
  <c r="F10" i="2"/>
  <c r="H10" i="2" s="1"/>
  <c r="I10" i="2" s="1"/>
  <c r="D10" i="2" s="1"/>
  <c r="E4" i="2"/>
  <c r="F4" i="2"/>
  <c r="G4" i="2" s="1"/>
  <c r="H4" i="2"/>
  <c r="I4" i="2" s="1"/>
  <c r="D4" i="2" s="1"/>
  <c r="N3" i="7"/>
  <c r="N5" i="7"/>
  <c r="E6" i="11"/>
  <c r="D6" i="11"/>
  <c r="F3" i="2"/>
  <c r="J15" i="14"/>
  <c r="B2" i="2"/>
  <c r="H97" i="6"/>
  <c r="I51" i="6"/>
  <c r="C114" i="23"/>
  <c r="C116" i="23"/>
  <c r="C92" i="23"/>
  <c r="C69" i="23"/>
  <c r="C46" i="23"/>
  <c r="C48" i="23"/>
  <c r="C21" i="23"/>
  <c r="H133" i="2"/>
  <c r="I133" i="2"/>
  <c r="D133" i="2" s="1"/>
  <c r="H131" i="2"/>
  <c r="I131" i="2" s="1"/>
  <c r="D131" i="2" s="1"/>
  <c r="H82" i="2"/>
  <c r="I82" i="2" s="1"/>
  <c r="D82" i="2" s="1"/>
  <c r="H112" i="2"/>
  <c r="I112" i="2" s="1"/>
  <c r="D112" i="2" s="1"/>
  <c r="G131" i="2"/>
  <c r="G93" i="2"/>
  <c r="H228" i="1" s="1"/>
  <c r="H128" i="2"/>
  <c r="I128" i="2" s="1"/>
  <c r="D128" i="2" s="1"/>
  <c r="G112" i="2"/>
  <c r="H255" i="1" s="1"/>
  <c r="G125" i="2"/>
  <c r="H273" i="1"/>
  <c r="H279" i="1"/>
  <c r="G39" i="2"/>
  <c r="H137" i="1" s="1"/>
  <c r="G57" i="2"/>
  <c r="H185" i="1" s="1"/>
  <c r="H88" i="2"/>
  <c r="I88" i="2"/>
  <c r="D88" i="2" s="1"/>
  <c r="G110" i="2"/>
  <c r="H250" i="1" s="1"/>
  <c r="G23" i="2"/>
  <c r="H119" i="1" s="1"/>
  <c r="G75" i="2"/>
  <c r="H200" i="1" s="1"/>
  <c r="G69" i="2"/>
  <c r="H193" i="1"/>
  <c r="H89" i="2"/>
  <c r="I89" i="2" s="1"/>
  <c r="D89" i="2" s="1"/>
  <c r="G20" i="2"/>
  <c r="H114" i="1" s="1"/>
  <c r="G96" i="2"/>
  <c r="H232" i="1" s="1"/>
  <c r="H9" i="2"/>
  <c r="I9" i="2" s="1"/>
  <c r="D9" i="2" s="1"/>
  <c r="G66" i="2"/>
  <c r="H190" i="1" s="1"/>
  <c r="H61" i="2"/>
  <c r="I61" i="2" s="1"/>
  <c r="D61" i="2" s="1"/>
  <c r="C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5" i="2"/>
  <c r="I125" i="2" s="1"/>
  <c r="D125" i="2" s="1"/>
  <c r="H121" i="2"/>
  <c r="I121" i="2" s="1"/>
  <c r="D121" i="2" s="1"/>
  <c r="H119" i="2"/>
  <c r="I119" i="2" s="1"/>
  <c r="D119" i="2" s="1"/>
  <c r="C93" i="23"/>
  <c r="C94" i="23" s="1"/>
  <c r="H8" i="2"/>
  <c r="I8" i="2" s="1"/>
  <c r="D8" i="2" s="1"/>
  <c r="H54" i="2"/>
  <c r="I54" i="2" s="1"/>
  <c r="D54" i="2" s="1"/>
  <c r="G65" i="2"/>
  <c r="H188" i="1" s="1"/>
  <c r="G108" i="2"/>
  <c r="H246" i="1" s="1"/>
  <c r="G81" i="2"/>
  <c r="H207" i="1" s="1"/>
  <c r="G32" i="2"/>
  <c r="H128" i="1" s="1"/>
  <c r="G52" i="2"/>
  <c r="H159" i="1" s="1"/>
  <c r="H57" i="2"/>
  <c r="I57" i="2"/>
  <c r="D57" i="2" s="1"/>
  <c r="H87" i="2"/>
  <c r="I87" i="2"/>
  <c r="D87" i="2"/>
  <c r="G104" i="2"/>
  <c r="H242" i="1"/>
  <c r="H20" i="2"/>
  <c r="I20" i="2" s="1"/>
  <c r="D20" i="2" s="1"/>
  <c r="H171" i="1"/>
  <c r="I45" i="2"/>
  <c r="D45" i="2" s="1"/>
  <c r="C70" i="23"/>
  <c r="C71" i="23" s="1"/>
  <c r="H16" i="2"/>
  <c r="I16" i="2"/>
  <c r="D16" i="2" s="1"/>
  <c r="G35" i="2"/>
  <c r="H111" i="2"/>
  <c r="I111" i="2" s="1"/>
  <c r="D111" i="2" s="1"/>
  <c r="H105" i="2"/>
  <c r="I105" i="2" s="1"/>
  <c r="D105" i="2" s="1"/>
  <c r="G98" i="2"/>
  <c r="H234" i="1" s="1"/>
  <c r="K6" i="6"/>
  <c r="I97" i="6"/>
  <c r="G97" i="6"/>
  <c r="E92" i="7"/>
  <c r="H256" i="1"/>
  <c r="C2" i="2"/>
  <c r="H13" i="7" l="1"/>
  <c r="H21" i="7"/>
  <c r="C1138" i="17"/>
  <c r="K4" i="17" s="1"/>
  <c r="H17" i="7"/>
  <c r="C7" i="8"/>
  <c r="C9" i="8"/>
  <c r="D1138" i="17"/>
  <c r="K5" i="17" s="1"/>
  <c r="N5" i="17"/>
  <c r="E42" i="7"/>
  <c r="K22" i="22"/>
  <c r="L6" i="22"/>
  <c r="L17" i="22"/>
  <c r="L5" i="22"/>
  <c r="L10" i="22"/>
  <c r="L16" i="22"/>
  <c r="L4" i="22"/>
  <c r="L11" i="22"/>
  <c r="L8" i="22"/>
  <c r="L3" i="22"/>
  <c r="L15" i="22"/>
  <c r="H15" i="7"/>
  <c r="H10" i="7"/>
  <c r="I37" i="12"/>
  <c r="C5" i="8"/>
  <c r="D148" i="18"/>
  <c r="D148" i="14"/>
  <c r="C10" i="8" s="1"/>
  <c r="J148" i="14"/>
  <c r="C12" i="8" s="1"/>
  <c r="E148" i="18"/>
  <c r="C43" i="12"/>
  <c r="G42" i="7"/>
  <c r="G50" i="15"/>
  <c r="H50" i="15"/>
  <c r="C16" i="10"/>
  <c r="C12" i="10"/>
  <c r="N6" i="17"/>
  <c r="G59" i="2"/>
  <c r="H178" i="1" s="1"/>
  <c r="G10" i="2"/>
  <c r="G17" i="2"/>
  <c r="H110" i="1" s="1"/>
  <c r="G7" i="2"/>
  <c r="G5" i="2"/>
  <c r="H220" i="1" s="1"/>
  <c r="G73" i="2"/>
  <c r="H198" i="1" s="1"/>
  <c r="G116" i="2"/>
  <c r="H260" i="1" s="1"/>
  <c r="H137" i="2"/>
  <c r="I137" i="2" s="1"/>
  <c r="D137" i="2" s="1"/>
  <c r="G8" i="2"/>
  <c r="H91" i="2"/>
  <c r="I91" i="2" s="1"/>
  <c r="D91" i="2" s="1"/>
  <c r="H90" i="2"/>
  <c r="I90" i="2" s="1"/>
  <c r="D90" i="2" s="1"/>
  <c r="G6" i="2"/>
  <c r="H117" i="1" s="1"/>
  <c r="G72" i="2"/>
  <c r="H197" i="1" s="1"/>
  <c r="H58" i="2"/>
  <c r="I58" i="2" s="1"/>
  <c r="D58" i="2" s="1"/>
  <c r="H79" i="2"/>
  <c r="I79" i="2" s="1"/>
  <c r="D79" i="2" s="1"/>
  <c r="G74" i="2"/>
  <c r="H199" i="1" s="1"/>
  <c r="G101" i="2"/>
  <c r="H238" i="1" s="1"/>
  <c r="G85" i="2"/>
  <c r="H213" i="1" s="1"/>
  <c r="G132" i="2"/>
  <c r="H283" i="1" s="1"/>
  <c r="G15" i="2"/>
  <c r="G136" i="2"/>
  <c r="H293" i="1" s="1"/>
  <c r="G121" i="2"/>
  <c r="H267" i="1" s="1"/>
  <c r="G80" i="2"/>
  <c r="H205" i="1" s="1"/>
  <c r="G89" i="2"/>
  <c r="H222" i="1" s="1"/>
  <c r="H282" i="1"/>
  <c r="G107" i="2"/>
  <c r="H245" i="1" s="1"/>
  <c r="H102" i="2"/>
  <c r="I102" i="2" s="1"/>
  <c r="D102" i="2" s="1"/>
  <c r="H31" i="2"/>
  <c r="I31" i="2" s="1"/>
  <c r="D31" i="2" s="1"/>
  <c r="G44" i="2"/>
  <c r="H143" i="1" s="1"/>
  <c r="G46" i="2"/>
  <c r="G60" i="2"/>
  <c r="G118" i="2"/>
  <c r="H263" i="1" s="1"/>
  <c r="G135" i="2"/>
  <c r="H292" i="1" s="1"/>
  <c r="H281" i="1"/>
  <c r="H138" i="2"/>
  <c r="I138" i="2" s="1"/>
  <c r="D138" i="2" s="1"/>
  <c r="G134" i="2"/>
  <c r="H291" i="1" s="1"/>
  <c r="G48" i="2"/>
  <c r="H152" i="1" s="1"/>
  <c r="G12" i="2"/>
  <c r="H101" i="1" s="1"/>
  <c r="G13" i="2"/>
  <c r="H102" i="1" s="1"/>
  <c r="G43" i="2"/>
  <c r="H141" i="1" s="1"/>
  <c r="G37" i="2"/>
  <c r="G54" i="2"/>
  <c r="G49" i="2"/>
  <c r="H153" i="1" s="1"/>
  <c r="G64" i="2"/>
  <c r="H186" i="1" s="1"/>
  <c r="G76" i="2"/>
  <c r="H201" i="1" s="1"/>
  <c r="I106" i="9"/>
  <c r="Y13" i="9" s="1" a="1"/>
  <c r="Y13" i="9" s="1"/>
  <c r="F115" i="9"/>
  <c r="V22" i="9" s="1" a="1"/>
  <c r="V22" i="9" s="1"/>
  <c r="N84" i="9" a="1"/>
  <c r="N84" i="9" s="1"/>
  <c r="L134" i="9"/>
  <c r="AB41" i="9" s="1" a="1"/>
  <c r="AB41" i="9" s="1"/>
  <c r="H102" i="9"/>
  <c r="X9" i="9" s="1" a="1"/>
  <c r="X9" i="9" s="1"/>
  <c r="G83" i="9" a="1"/>
  <c r="G83" i="9" s="1"/>
  <c r="N110" i="9"/>
  <c r="AD17" i="9" s="1" a="1"/>
  <c r="AD17" i="9" s="1"/>
  <c r="J135" i="9"/>
  <c r="Z42" i="9" s="1" a="1"/>
  <c r="Z42" i="9" s="1"/>
  <c r="L67" i="9" a="1"/>
  <c r="L67" i="9" s="1"/>
  <c r="G116" i="9"/>
  <c r="W23" i="9" s="1" a="1"/>
  <c r="W23" i="9" s="1"/>
  <c r="H126" i="9"/>
  <c r="X33" i="9" s="1" a="1"/>
  <c r="X33" i="9" s="1"/>
  <c r="G117" i="9"/>
  <c r="W24" i="9" s="1" a="1"/>
  <c r="W24" i="9" s="1"/>
  <c r="H101" i="9"/>
  <c r="X8" i="9" s="1" a="1"/>
  <c r="X8" i="9" s="1"/>
  <c r="N115" i="9"/>
  <c r="E99" i="9"/>
  <c r="U6" i="9" s="1" a="1"/>
  <c r="U6" i="9" s="1"/>
  <c r="P100" i="9"/>
  <c r="A38" i="20"/>
  <c r="A25" i="20"/>
  <c r="A16" i="20"/>
  <c r="A21" i="20"/>
  <c r="H72" i="9" a="1"/>
  <c r="H72" i="9" s="1"/>
  <c r="G56" i="9" a="1"/>
  <c r="G56" i="9" s="1"/>
  <c r="C124" i="9"/>
  <c r="S31" i="9" s="1" a="1"/>
  <c r="S31" i="9" s="1"/>
  <c r="D115" i="9"/>
  <c r="T22" i="9" s="1" a="1"/>
  <c r="T22" i="9" s="1"/>
  <c r="A13" i="20"/>
  <c r="A15" i="20"/>
  <c r="A37" i="20"/>
  <c r="A8" i="20"/>
  <c r="P75" i="9"/>
  <c r="A40" i="20"/>
  <c r="P116" i="9"/>
  <c r="AF23" i="9" s="1"/>
  <c r="B8" i="20" s="1"/>
  <c r="M102" i="9"/>
  <c r="AC9" i="9" s="1" a="1"/>
  <c r="AC9" i="9" s="1"/>
  <c r="G58" i="9" a="1"/>
  <c r="G58" i="9" s="1"/>
  <c r="J53" i="9" a="1"/>
  <c r="J53" i="9" s="1"/>
  <c r="K122" i="9"/>
  <c r="AA29" i="9" s="1" a="1"/>
  <c r="AA29" i="9" s="1"/>
  <c r="F118" i="9"/>
  <c r="V25" i="9" s="1" a="1"/>
  <c r="V25" i="9" s="1"/>
  <c r="J85" i="9" a="1"/>
  <c r="J85" i="9" s="1"/>
  <c r="M107" i="9"/>
  <c r="AC14" i="9" s="1" a="1"/>
  <c r="AC14" i="9" s="1"/>
  <c r="H77" i="9" a="1"/>
  <c r="H77" i="9" s="1"/>
  <c r="L129" i="9"/>
  <c r="F130" i="9"/>
  <c r="V37" i="9" s="1" a="1"/>
  <c r="V37" i="9" s="1"/>
  <c r="N74" i="9" a="1"/>
  <c r="N74" i="9" s="1"/>
  <c r="L65" i="9" a="1"/>
  <c r="L65" i="9" s="1"/>
  <c r="F128" i="9"/>
  <c r="V35" i="9" s="1" a="1"/>
  <c r="V35" i="9" s="1"/>
  <c r="H73" i="9" a="1"/>
  <c r="H73" i="9" s="1"/>
  <c r="P58" i="9"/>
  <c r="M127" i="9"/>
  <c r="AC34" i="9" s="1" a="1"/>
  <c r="AC34" i="9" s="1"/>
  <c r="B18" i="9"/>
  <c r="C18" i="9" s="1"/>
  <c r="P66" i="9"/>
  <c r="K128" i="9"/>
  <c r="AA35" i="9" s="1" a="1"/>
  <c r="AA35" i="9" s="1"/>
  <c r="E132" i="9"/>
  <c r="U39" i="9" s="1" a="1"/>
  <c r="U39" i="9" s="1"/>
  <c r="M132" i="9"/>
  <c r="AC39" i="9" s="1" a="1"/>
  <c r="AC39" i="9" s="1"/>
  <c r="M55" i="9" a="1"/>
  <c r="M55" i="9" s="1"/>
  <c r="P109" i="9"/>
  <c r="AF16" i="9" s="1"/>
  <c r="B12" i="20" s="1"/>
  <c r="G122" i="9"/>
  <c r="W29" i="9" s="1" a="1"/>
  <c r="W29" i="9" s="1"/>
  <c r="H85" i="9" a="1"/>
  <c r="H85" i="9" s="1"/>
  <c r="C100" i="9"/>
  <c r="S7" i="9" s="1" a="1"/>
  <c r="S7" i="9" s="1"/>
  <c r="K84" i="9" a="1"/>
  <c r="K84" i="9" s="1"/>
  <c r="L100" i="9"/>
  <c r="AB7" i="9" s="1" a="1"/>
  <c r="AB7" i="9" s="1"/>
  <c r="E105" i="9"/>
  <c r="U12" i="9" s="1" a="1"/>
  <c r="U12" i="9" s="1"/>
  <c r="I54" i="9" a="1"/>
  <c r="I54" i="9" s="1"/>
  <c r="C133" i="9"/>
  <c r="S40" i="9" s="1" a="1"/>
  <c r="S40" i="9" s="1"/>
  <c r="L60" i="9" a="1"/>
  <c r="L60" i="9" s="1"/>
  <c r="D109" i="9"/>
  <c r="T16" i="9" s="1" a="1"/>
  <c r="T16" i="9" s="1"/>
  <c r="P128" i="9"/>
  <c r="AF35" i="9" s="1"/>
  <c r="B39" i="20" s="1"/>
  <c r="A39" i="20"/>
  <c r="H129" i="9"/>
  <c r="X36" i="9" s="1" a="1"/>
  <c r="X36" i="9" s="1"/>
  <c r="G57" i="9" a="1"/>
  <c r="G57" i="9" s="1"/>
  <c r="M75" i="9" a="1"/>
  <c r="M75" i="9" s="1"/>
  <c r="D133" i="9"/>
  <c r="T40" i="9" s="1" a="1"/>
  <c r="T40" i="9" s="1"/>
  <c r="A8" i="21"/>
  <c r="B8" i="21" s="1"/>
  <c r="I70" i="9" a="1"/>
  <c r="I70" i="9" s="1"/>
  <c r="L85" i="9" a="1"/>
  <c r="L85" i="9" s="1"/>
  <c r="H58" i="9" a="1"/>
  <c r="H58" i="9" s="1"/>
  <c r="G105" i="9"/>
  <c r="W12" i="9" s="1" a="1"/>
  <c r="W12" i="9" s="1"/>
  <c r="P122" i="9"/>
  <c r="A27" i="20"/>
  <c r="K100" i="9"/>
  <c r="AA7" i="9" s="1" a="1"/>
  <c r="AA7" i="9" s="1"/>
  <c r="P108" i="9"/>
  <c r="AF15" i="9" s="1"/>
  <c r="B4" i="20" s="1"/>
  <c r="J63" i="9" a="1"/>
  <c r="J63" i="9" s="1"/>
  <c r="I75" i="9" a="1"/>
  <c r="I75" i="9" s="1"/>
  <c r="H108" i="9"/>
  <c r="X15" i="9" s="1" a="1"/>
  <c r="X15" i="9" s="1"/>
  <c r="L53" i="9" a="1"/>
  <c r="L53" i="9" s="1"/>
  <c r="I112" i="9"/>
  <c r="N123" i="9"/>
  <c r="AD30" i="9" s="1" a="1"/>
  <c r="AD30" i="9" s="1"/>
  <c r="E117" i="9"/>
  <c r="U24" i="9" s="1" a="1"/>
  <c r="U24" i="9" s="1"/>
  <c r="K54" i="9" a="1"/>
  <c r="K54" i="9" s="1"/>
  <c r="P99" i="9"/>
  <c r="AF6" i="9" s="1"/>
  <c r="B6" i="20" s="1"/>
  <c r="H111" i="9"/>
  <c r="X18" i="9" s="1" a="1"/>
  <c r="X18" i="9" s="1"/>
  <c r="A22" i="20"/>
  <c r="P64" i="9"/>
  <c r="N55" i="9" a="1"/>
  <c r="N55" i="9" s="1"/>
  <c r="A20" i="20"/>
  <c r="M57" i="9" a="1"/>
  <c r="M57" i="9" s="1"/>
  <c r="M106" i="9"/>
  <c r="AC13" i="9" s="1" a="1"/>
  <c r="AC13" i="9" s="1"/>
  <c r="L57" i="9" a="1"/>
  <c r="L57" i="9" s="1"/>
  <c r="AD43" i="9" a="1"/>
  <c r="AD43" i="9" s="1"/>
  <c r="M83" i="9" a="1"/>
  <c r="M83" i="9" s="1"/>
  <c r="K73" i="9" a="1"/>
  <c r="K73" i="9" s="1"/>
  <c r="L55" i="9" a="1"/>
  <c r="L55" i="9" s="1"/>
  <c r="M80" i="9" a="1"/>
  <c r="M80" i="9" s="1"/>
  <c r="J113" i="9"/>
  <c r="Z20" i="9" s="1" a="1"/>
  <c r="Z20" i="9" s="1"/>
  <c r="N121" i="9"/>
  <c r="AD28" i="9" s="1" a="1"/>
  <c r="AD28" i="9" s="1"/>
  <c r="J114" i="9"/>
  <c r="Z21" i="9" s="1" a="1"/>
  <c r="Z21" i="9" s="1"/>
  <c r="J68" i="9" a="1"/>
  <c r="J68" i="9" s="1"/>
  <c r="I84" i="9" a="1"/>
  <c r="I84" i="9" s="1"/>
  <c r="J128" i="9"/>
  <c r="Z35" i="9" s="1" a="1"/>
  <c r="Z35" i="9" s="1"/>
  <c r="A30" i="20"/>
  <c r="A29" i="20"/>
  <c r="E108" i="9"/>
  <c r="U15" i="9" s="1" a="1"/>
  <c r="U15" i="9" s="1"/>
  <c r="F99" i="9"/>
  <c r="V6" i="9" s="1" a="1"/>
  <c r="V6" i="9" s="1"/>
  <c r="J80" i="9" a="1"/>
  <c r="J80" i="9" s="1"/>
  <c r="D101" i="9"/>
  <c r="T8" i="9" s="1" a="1"/>
  <c r="T8" i="9" s="1"/>
  <c r="J52" i="9" a="1"/>
  <c r="J52" i="9" s="1"/>
  <c r="P102" i="9"/>
  <c r="AF9" i="9" s="1"/>
  <c r="B33" i="20" s="1"/>
  <c r="N127" i="9"/>
  <c r="F105" i="9"/>
  <c r="V12" i="9" s="1" a="1"/>
  <c r="V12" i="9" s="1"/>
  <c r="J121" i="9"/>
  <c r="Z28" i="9" s="1" a="1"/>
  <c r="Z28" i="9" s="1"/>
  <c r="C134" i="9"/>
  <c r="S41" i="9" s="1" a="1"/>
  <c r="S41" i="9" s="1"/>
  <c r="L111" i="9"/>
  <c r="AB18" i="9" s="1" a="1"/>
  <c r="AB18" i="9" s="1"/>
  <c r="D130" i="9"/>
  <c r="T37" i="9" s="1" a="1"/>
  <c r="T37" i="9" s="1"/>
  <c r="N122" i="9"/>
  <c r="AD29" i="9" s="1" a="1"/>
  <c r="AD29" i="9" s="1"/>
  <c r="H74" i="9" a="1"/>
  <c r="H74" i="9" s="1"/>
  <c r="J72" i="9" a="1"/>
  <c r="J72" i="9" s="1"/>
  <c r="D102" i="9"/>
  <c r="T9" i="9" s="1" a="1"/>
  <c r="T9" i="9" s="1"/>
  <c r="J106" i="9"/>
  <c r="Z13" i="9" s="1" a="1"/>
  <c r="Z13" i="9" s="1"/>
  <c r="A24" i="21"/>
  <c r="B24" i="21" s="1"/>
  <c r="J71" i="9" a="1"/>
  <c r="J71" i="9" s="1"/>
  <c r="K134" i="9"/>
  <c r="AA41" i="9" s="1" a="1"/>
  <c r="AA41" i="9" s="1"/>
  <c r="H56" i="9" a="1"/>
  <c r="H56" i="9" s="1"/>
  <c r="J99" i="9"/>
  <c r="Z6" i="9" s="1" a="1"/>
  <c r="Z6" i="9" s="1"/>
  <c r="K99" i="9"/>
  <c r="AA6" i="9" s="1" a="1"/>
  <c r="AA6" i="9" s="1"/>
  <c r="J123" i="9"/>
  <c r="Z30" i="9" s="1" a="1"/>
  <c r="Z30" i="9" s="1"/>
  <c r="L75" i="9" a="1"/>
  <c r="L75" i="9" s="1"/>
  <c r="P71" i="9"/>
  <c r="E114" i="9"/>
  <c r="U21" i="9" s="1" a="1"/>
  <c r="U21" i="9" s="1"/>
  <c r="G109" i="9"/>
  <c r="W16" i="9" s="1" a="1"/>
  <c r="W16" i="9" s="1"/>
  <c r="I109" i="9"/>
  <c r="Y16" i="9" s="1" a="1"/>
  <c r="Y16" i="9" s="1"/>
  <c r="N107" i="9"/>
  <c r="AD14" i="9" s="1" a="1"/>
  <c r="AD14" i="9" s="1"/>
  <c r="M116" i="9"/>
  <c r="AC23" i="9" s="1" a="1"/>
  <c r="AC23" i="9" s="1"/>
  <c r="D134" i="9"/>
  <c r="T41" i="9" s="1" a="1"/>
  <c r="T41" i="9" s="1"/>
  <c r="J104" i="9"/>
  <c r="Z11" i="9" s="1" a="1"/>
  <c r="Z11" i="9" s="1"/>
  <c r="J67" i="9" a="1"/>
  <c r="J67" i="9" s="1"/>
  <c r="L68" i="9" a="1"/>
  <c r="L68" i="9" s="1"/>
  <c r="P84" i="9"/>
  <c r="I105" i="9"/>
  <c r="Y12" i="9" s="1" a="1"/>
  <c r="Y12" i="9" s="1"/>
  <c r="H123" i="9"/>
  <c r="X30" i="9" s="1" a="1"/>
  <c r="X30" i="9" s="1"/>
  <c r="G131" i="9"/>
  <c r="W38" i="9" s="1" a="1"/>
  <c r="W38" i="9" s="1"/>
  <c r="N58" i="9" a="1"/>
  <c r="N58" i="9" s="1"/>
  <c r="N63" i="9" a="1"/>
  <c r="N63" i="9" s="1"/>
  <c r="K114" i="9"/>
  <c r="AA21" i="9" s="1" a="1"/>
  <c r="AA21" i="9" s="1"/>
  <c r="E120" i="9"/>
  <c r="P73" i="9"/>
  <c r="M59" i="9" a="1"/>
  <c r="M59" i="9" s="1"/>
  <c r="L127" i="9"/>
  <c r="AB34" i="9" s="1" a="1"/>
  <c r="AB34" i="9" s="1"/>
  <c r="C101" i="9"/>
  <c r="S8" i="9" s="1" a="1"/>
  <c r="S8" i="9" s="1"/>
  <c r="K111" i="9"/>
  <c r="AA18" i="9" s="1" a="1"/>
  <c r="AA18" i="9" s="1"/>
  <c r="K127" i="9"/>
  <c r="AA34" i="9" s="1" a="1"/>
  <c r="AA34" i="9" s="1"/>
  <c r="I135" i="9"/>
  <c r="Y42" i="9" s="1" a="1"/>
  <c r="Y42" i="9" s="1"/>
  <c r="E111" i="9"/>
  <c r="U18" i="9" s="1" a="1"/>
  <c r="U18" i="9" s="1"/>
  <c r="H122" i="9"/>
  <c r="X29" i="9" s="1" a="1"/>
  <c r="X29" i="9" s="1"/>
  <c r="L107" i="9"/>
  <c r="AB14" i="9" s="1" a="1"/>
  <c r="AB14" i="9" s="1"/>
  <c r="P57" i="9"/>
  <c r="G64" i="9" a="1"/>
  <c r="G64" i="9" s="1"/>
  <c r="H55" i="9" a="1"/>
  <c r="H55" i="9" s="1"/>
  <c r="B9" i="9"/>
  <c r="C9" i="9" s="1"/>
  <c r="K57" i="9" a="1"/>
  <c r="K57" i="9" s="1"/>
  <c r="M51" i="9" a="1"/>
  <c r="M51" i="9" s="1"/>
  <c r="K109" i="9"/>
  <c r="AA16" i="9" s="1" a="1"/>
  <c r="AA16" i="9" s="1"/>
  <c r="P55" i="9"/>
  <c r="H134" i="9"/>
  <c r="X41" i="9" s="1" a="1"/>
  <c r="X41" i="9" s="1"/>
  <c r="J102" i="9"/>
  <c r="Z9" i="9" s="1" a="1"/>
  <c r="Z9" i="9" s="1"/>
  <c r="A11" i="20"/>
  <c r="I124" i="9"/>
  <c r="Y31" i="9" s="1" a="1"/>
  <c r="Y31" i="9" s="1"/>
  <c r="B12" i="9"/>
  <c r="E12" i="9" s="1"/>
  <c r="H119" i="9"/>
  <c r="X26" i="9" s="1" a="1"/>
  <c r="X26" i="9" s="1"/>
  <c r="D99" i="9"/>
  <c r="T6" i="9" s="1" a="1"/>
  <c r="T6" i="9" s="1"/>
  <c r="N71" i="9" a="1"/>
  <c r="N71" i="9" s="1"/>
  <c r="P115" i="9"/>
  <c r="AF22" i="9" s="1"/>
  <c r="B9" i="20" s="1"/>
  <c r="G120" i="9"/>
  <c r="W27" i="9" s="1" a="1"/>
  <c r="W27" i="9" s="1"/>
  <c r="P124" i="9"/>
  <c r="AF31" i="9" s="1"/>
  <c r="B36" i="20" s="1"/>
  <c r="L126" i="9"/>
  <c r="AB33" i="9" s="1" a="1"/>
  <c r="AB33" i="9" s="1"/>
  <c r="N50" i="9" a="1"/>
  <c r="N50" i="9" s="1"/>
  <c r="H70" i="9" a="1"/>
  <c r="H70" i="9" s="1"/>
  <c r="A3" i="20"/>
  <c r="A34" i="21"/>
  <c r="B34" i="21" s="1"/>
  <c r="L61" i="9" a="1"/>
  <c r="L61" i="9" s="1"/>
  <c r="A4" i="20"/>
  <c r="P68" i="9"/>
  <c r="G129" i="9"/>
  <c r="W36" i="9" s="1" a="1"/>
  <c r="W36" i="9" s="1"/>
  <c r="N79" i="9" a="1"/>
  <c r="N79" i="9" s="1"/>
  <c r="H120" i="9"/>
  <c r="N64" i="9" a="1"/>
  <c r="N64" i="9" s="1"/>
  <c r="I99" i="9"/>
  <c r="Y6" i="9" s="1" a="1"/>
  <c r="Y6" i="9" s="1"/>
  <c r="I66" i="9" a="1"/>
  <c r="I66" i="9" s="1"/>
  <c r="J100" i="9"/>
  <c r="Z7" i="9" s="1" a="1"/>
  <c r="Z7" i="9" s="1"/>
  <c r="L133" i="9"/>
  <c r="AB40" i="9" s="1" a="1"/>
  <c r="AB40" i="9" s="1"/>
  <c r="I101" i="9"/>
  <c r="Y8" i="9" s="1" a="1"/>
  <c r="Y8" i="9" s="1"/>
  <c r="K123" i="9"/>
  <c r="AA30" i="9" s="1" a="1"/>
  <c r="AA30" i="9" s="1"/>
  <c r="M121" i="9"/>
  <c r="AC28" i="9" s="1" a="1"/>
  <c r="AC28" i="9" s="1"/>
  <c r="G53" i="9" a="1"/>
  <c r="G53" i="9" s="1"/>
  <c r="A28" i="21"/>
  <c r="B28" i="21" s="1"/>
  <c r="M120" i="9"/>
  <c r="AC27" i="9" s="1" a="1"/>
  <c r="AC27" i="9" s="1"/>
  <c r="M68" i="9" a="1"/>
  <c r="M68" i="9" s="1"/>
  <c r="M113" i="9"/>
  <c r="AC20" i="9" s="1" a="1"/>
  <c r="AC20" i="9" s="1"/>
  <c r="I131" i="9"/>
  <c r="Y38" i="9" s="1" a="1"/>
  <c r="Y38" i="9" s="1"/>
  <c r="E112" i="9"/>
  <c r="U19" i="9" s="1" a="1"/>
  <c r="U19" i="9" s="1"/>
  <c r="N111" i="9"/>
  <c r="AD18" i="9" s="1" a="1"/>
  <c r="AD18" i="9" s="1"/>
  <c r="G135" i="9"/>
  <c r="W42" i="9" s="1" a="1"/>
  <c r="W42" i="9" s="1"/>
  <c r="J86" i="9" a="1"/>
  <c r="J86" i="9" s="1"/>
  <c r="E129" i="9"/>
  <c r="U36" i="9" s="1" a="1"/>
  <c r="U36" i="9" s="1"/>
  <c r="C122" i="9"/>
  <c r="S29" i="9" s="1" a="1"/>
  <c r="S29" i="9" s="1"/>
  <c r="K64" i="9" a="1"/>
  <c r="K64" i="9" s="1"/>
  <c r="D104" i="9"/>
  <c r="T11" i="9" s="1" a="1"/>
  <c r="T11" i="9" s="1"/>
  <c r="I102" i="9"/>
  <c r="Y9" i="9" s="1" a="1"/>
  <c r="Y9" i="9" s="1"/>
  <c r="C99" i="9"/>
  <c r="S6" i="9" s="1" a="1"/>
  <c r="S6" i="9" s="1"/>
  <c r="K71" i="9" a="1"/>
  <c r="K71" i="9" s="1"/>
  <c r="K69" i="9" a="1"/>
  <c r="K69" i="9" s="1"/>
  <c r="D113" i="9"/>
  <c r="T20" i="9" s="1" a="1"/>
  <c r="T20" i="9" s="1"/>
  <c r="F124" i="9"/>
  <c r="G65" i="9" a="1"/>
  <c r="G65" i="9" s="1"/>
  <c r="K50" i="9" a="1"/>
  <c r="K50" i="9" s="1"/>
  <c r="G100" i="9"/>
  <c r="W7" i="9" s="1" a="1"/>
  <c r="W7" i="9" s="1"/>
  <c r="M71" i="9" a="1"/>
  <c r="M71" i="9" s="1"/>
  <c r="C103" i="9"/>
  <c r="S10" i="9" s="1" a="1"/>
  <c r="S10" i="9" s="1"/>
  <c r="P107" i="9"/>
  <c r="AF14" i="9" s="1"/>
  <c r="B11" i="20" s="1"/>
  <c r="P106" i="9"/>
  <c r="AF13" i="9" s="1"/>
  <c r="B20" i="20" s="1"/>
  <c r="H127" i="9"/>
  <c r="X34" i="9" s="1" a="1"/>
  <c r="X34" i="9" s="1"/>
  <c r="M63" i="9" a="1"/>
  <c r="M63" i="9" s="1"/>
  <c r="H112" i="9"/>
  <c r="X19" i="9" s="1" a="1"/>
  <c r="X19" i="9" s="1"/>
  <c r="H67" i="9" a="1"/>
  <c r="H67" i="9" s="1"/>
  <c r="C117" i="9"/>
  <c r="S24" i="9" s="1" a="1"/>
  <c r="S24" i="9" s="1"/>
  <c r="J84" i="9" a="1"/>
  <c r="J84" i="9" s="1"/>
  <c r="M114" i="9"/>
  <c r="AC21" i="9" s="1" a="1"/>
  <c r="AC21" i="9" s="1"/>
  <c r="I103" i="9"/>
  <c r="Y10" i="9" s="1" a="1"/>
  <c r="Y10" i="9" s="1"/>
  <c r="A36" i="20"/>
  <c r="I69" i="9" a="1"/>
  <c r="I69" i="9" s="1"/>
  <c r="M65" i="9" a="1"/>
  <c r="M65" i="9" s="1"/>
  <c r="F131" i="9"/>
  <c r="V38" i="9" s="1" a="1"/>
  <c r="V38" i="9" s="1"/>
  <c r="A7" i="20"/>
  <c r="A6" i="21"/>
  <c r="B6" i="21" s="1"/>
  <c r="P118" i="9"/>
  <c r="AF25" i="9" s="1"/>
  <c r="B16" i="20" s="1"/>
  <c r="G107" i="9"/>
  <c r="W14" i="9" s="1" a="1"/>
  <c r="W14" i="9" s="1"/>
  <c r="L58" i="9" a="1"/>
  <c r="L58" i="9" s="1"/>
  <c r="A14" i="20"/>
  <c r="N81" i="9" a="1"/>
  <c r="N81" i="9" s="1"/>
  <c r="H135" i="9"/>
  <c r="E126" i="9"/>
  <c r="U33" i="9" s="1" a="1"/>
  <c r="U33" i="9" s="1"/>
  <c r="M130" i="9"/>
  <c r="AC37" i="9" s="1" a="1"/>
  <c r="AC37" i="9" s="1"/>
  <c r="I134" i="9"/>
  <c r="Y41" i="9" s="1" a="1"/>
  <c r="Y41" i="9" s="1"/>
  <c r="N61" i="9" a="1"/>
  <c r="N61" i="9" s="1"/>
  <c r="E109" i="9"/>
  <c r="U16" i="9" s="1" a="1"/>
  <c r="U16" i="9" s="1"/>
  <c r="K108" i="9"/>
  <c r="AA15" i="9" s="1" a="1"/>
  <c r="AA15" i="9" s="1"/>
  <c r="J60" i="9" a="1"/>
  <c r="J60" i="9" s="1"/>
  <c r="E119" i="9"/>
  <c r="U26" i="9" s="1" a="1"/>
  <c r="U26" i="9" s="1"/>
  <c r="I55" i="9" a="1"/>
  <c r="I55" i="9" s="1"/>
  <c r="H75" i="9" a="1"/>
  <c r="H75" i="9" s="1"/>
  <c r="N73" i="9" a="1"/>
  <c r="N73" i="9" s="1"/>
  <c r="A14" i="21"/>
  <c r="B14" i="21" s="1"/>
  <c r="J109" i="9"/>
  <c r="Z16" i="9" s="1" a="1"/>
  <c r="Z16" i="9" s="1"/>
  <c r="F125" i="9"/>
  <c r="V32" i="9" s="1" a="1"/>
  <c r="V32" i="9" s="1"/>
  <c r="L120" i="9"/>
  <c r="AB27" i="9" s="1" a="1"/>
  <c r="AB27" i="9" s="1"/>
  <c r="J105" i="9"/>
  <c r="Z12" i="9" s="1" a="1"/>
  <c r="Z12" i="9" s="1"/>
  <c r="R5" i="9"/>
  <c r="D14" i="19" s="1" a="1"/>
  <c r="D14" i="19" s="1"/>
  <c r="E14" i="19" s="1"/>
  <c r="A28" i="20"/>
  <c r="K86" i="9" a="1"/>
  <c r="K86" i="9" s="1"/>
  <c r="F104" i="9"/>
  <c r="V11" i="9" s="1" a="1"/>
  <c r="V11" i="9" s="1"/>
  <c r="H114" i="9"/>
  <c r="X21" i="9" s="1" a="1"/>
  <c r="X21" i="9" s="1"/>
  <c r="Y44" i="9" a="1"/>
  <c r="Y44" i="9" s="1"/>
  <c r="I119" i="9"/>
  <c r="Y26" i="9" s="1" a="1"/>
  <c r="Y26" i="9" s="1"/>
  <c r="M123" i="9"/>
  <c r="L122" i="9"/>
  <c r="AB29" i="9" s="1" a="1"/>
  <c r="AB29" i="9" s="1"/>
  <c r="K104" i="9"/>
  <c r="AA11" i="9" s="1" a="1"/>
  <c r="AA11" i="9" s="1"/>
  <c r="D107" i="9"/>
  <c r="T14" i="9" s="1" a="1"/>
  <c r="T14" i="9" s="1"/>
  <c r="G101" i="9"/>
  <c r="W8" i="9" s="1" a="1"/>
  <c r="W8" i="9" s="1"/>
  <c r="K130" i="9"/>
  <c r="AA37" i="9" s="1" a="1"/>
  <c r="AA37" i="9" s="1"/>
  <c r="P86" i="9"/>
  <c r="P123" i="9"/>
  <c r="AF30" i="9" s="1"/>
  <c r="B15" i="20" s="1"/>
  <c r="I80" i="9" a="1"/>
  <c r="I80" i="9" s="1"/>
  <c r="G67" i="9" a="1"/>
  <c r="G67" i="9" s="1"/>
  <c r="I127" i="9"/>
  <c r="Y34" i="9" s="1" a="1"/>
  <c r="Y34" i="9" s="1"/>
  <c r="A13" i="21"/>
  <c r="B13" i="21" s="1"/>
  <c r="K81" i="9" a="1"/>
  <c r="K81" i="9" s="1"/>
  <c r="M58" i="9" a="1"/>
  <c r="M58" i="9" s="1"/>
  <c r="M54" i="9" a="1"/>
  <c r="M54" i="9" s="1"/>
  <c r="F106" i="9"/>
  <c r="V13" i="9" s="1" a="1"/>
  <c r="V13" i="9" s="1"/>
  <c r="H63" i="9" a="1"/>
  <c r="H63" i="9" s="1"/>
  <c r="D120" i="9"/>
  <c r="T27" i="9" s="1" a="1"/>
  <c r="T27" i="9" s="1"/>
  <c r="P82" i="9"/>
  <c r="L56" i="9" a="1"/>
  <c r="L56" i="9" s="1"/>
  <c r="I73" i="9" a="1"/>
  <c r="I73" i="9" s="1"/>
  <c r="P112" i="9"/>
  <c r="AF19" i="9" s="1"/>
  <c r="B38" i="20" s="1"/>
  <c r="H87" i="9" a="1"/>
  <c r="H87" i="9" s="1"/>
  <c r="G76" i="9" a="1"/>
  <c r="G76" i="9" s="1"/>
  <c r="I89" i="9" a="1"/>
  <c r="I89" i="9" s="1"/>
  <c r="L59" i="9" a="1"/>
  <c r="L59" i="9" s="1"/>
  <c r="AC44" i="9" a="1"/>
  <c r="AC44" i="9" s="1"/>
  <c r="J87" i="9" a="1"/>
  <c r="J87" i="9" s="1"/>
  <c r="H99" i="9"/>
  <c r="X6" i="9" s="1" a="1"/>
  <c r="X6" i="9" s="1"/>
  <c r="M101" i="9"/>
  <c r="AC8" i="9" s="1" a="1"/>
  <c r="AC8" i="9" s="1"/>
  <c r="H78" i="9" a="1"/>
  <c r="H78" i="9" s="1"/>
  <c r="J120" i="9"/>
  <c r="Z27" i="9" s="1" a="1"/>
  <c r="Z27" i="9" s="1"/>
  <c r="L79" i="9" a="1"/>
  <c r="L79" i="9" s="1"/>
  <c r="K53" i="9" a="1"/>
  <c r="K53" i="9" s="1"/>
  <c r="K115" i="9"/>
  <c r="AA22" i="9" s="1" a="1"/>
  <c r="AA22" i="9" s="1"/>
  <c r="I122" i="9"/>
  <c r="Y29" i="9" s="1" a="1"/>
  <c r="Y29" i="9" s="1"/>
  <c r="J131" i="9"/>
  <c r="AD44" i="9" a="1"/>
  <c r="AD44" i="9" s="1"/>
  <c r="H79" i="9" a="1"/>
  <c r="H79" i="9" s="1"/>
  <c r="L69" i="9" a="1"/>
  <c r="L69" i="9" s="1"/>
  <c r="L128" i="9"/>
  <c r="AB35" i="9" s="1" a="1"/>
  <c r="AB35" i="9" s="1"/>
  <c r="P104" i="9"/>
  <c r="AF11" i="9" s="1"/>
  <c r="B5" i="20" s="1"/>
  <c r="J79" i="9" a="1"/>
  <c r="J79" i="9" s="1"/>
  <c r="B11" i="9"/>
  <c r="C11" i="9" s="1"/>
  <c r="K135" i="9"/>
  <c r="AA42" i="9" s="1" a="1"/>
  <c r="AA42" i="9" s="1"/>
  <c r="Y43" i="9" a="1"/>
  <c r="Y43" i="9" s="1"/>
  <c r="L86" i="9" a="1"/>
  <c r="L86" i="9" s="1"/>
  <c r="M124" i="9"/>
  <c r="AC31" i="9" s="1" a="1"/>
  <c r="AC31" i="9" s="1"/>
  <c r="P87" i="9"/>
  <c r="D127" i="9"/>
  <c r="T34" i="9" s="1" a="1"/>
  <c r="T34" i="9" s="1"/>
  <c r="J124" i="9"/>
  <c r="Z31" i="9" s="1" a="1"/>
  <c r="Z31" i="9" s="1"/>
  <c r="B15" i="9"/>
  <c r="C15" i="9" s="1"/>
  <c r="I71" i="9" a="1"/>
  <c r="I71" i="9" s="1"/>
  <c r="G124" i="9"/>
  <c r="W31" i="9" s="1" a="1"/>
  <c r="W31" i="9" s="1"/>
  <c r="G61" i="9" a="1"/>
  <c r="G61" i="9" s="1"/>
  <c r="M61" i="9" a="1"/>
  <c r="M61" i="9" s="1"/>
  <c r="I60" i="9" a="1"/>
  <c r="I60" i="9" s="1"/>
  <c r="I116" i="9"/>
  <c r="H130" i="9"/>
  <c r="X37" i="9" s="1" a="1"/>
  <c r="X37" i="9" s="1"/>
  <c r="P105" i="9"/>
  <c r="AF12" i="9" s="1"/>
  <c r="B23" i="20" s="1"/>
  <c r="I65" i="9" a="1"/>
  <c r="I65" i="9" s="1"/>
  <c r="I100" i="9"/>
  <c r="Y7" i="9" s="1" a="1"/>
  <c r="Y7" i="9" s="1"/>
  <c r="K121" i="9"/>
  <c r="AA28" i="9" s="1" a="1"/>
  <c r="AA28" i="9" s="1"/>
  <c r="E100" i="9"/>
  <c r="U7" i="9" s="1" a="1"/>
  <c r="U7" i="9" s="1"/>
  <c r="H83" i="9" a="1"/>
  <c r="H83" i="9" s="1"/>
  <c r="J61" i="9" a="1"/>
  <c r="J61" i="9" s="1"/>
  <c r="L81" i="9" a="1"/>
  <c r="L81" i="9" s="1"/>
  <c r="G121" i="9"/>
  <c r="W28" i="9" s="1" a="1"/>
  <c r="W28" i="9" s="1"/>
  <c r="N105" i="9"/>
  <c r="P85" i="9"/>
  <c r="K110" i="9"/>
  <c r="AA17" i="9" s="1" a="1"/>
  <c r="AA17" i="9" s="1"/>
  <c r="B16" i="9"/>
  <c r="E16" i="9" s="1"/>
  <c r="N132" i="9"/>
  <c r="AD39" i="9" s="1" a="1"/>
  <c r="AD39" i="9" s="1"/>
  <c r="I126" i="9"/>
  <c r="Y33" i="9" s="1" a="1"/>
  <c r="Y33" i="9" s="1"/>
  <c r="E130" i="9"/>
  <c r="U37" i="9" s="1" a="1"/>
  <c r="U37" i="9" s="1"/>
  <c r="M86" i="9" a="1"/>
  <c r="M86" i="9" s="1"/>
  <c r="N129" i="9"/>
  <c r="AD36" i="9" s="1" a="1"/>
  <c r="AD36" i="9" s="1"/>
  <c r="E134" i="9"/>
  <c r="U41" i="9" s="1" a="1"/>
  <c r="U41" i="9" s="1"/>
  <c r="G70" i="9" a="1"/>
  <c r="G70" i="9" s="1"/>
  <c r="L109" i="9"/>
  <c r="AB16" i="9" s="1" a="1"/>
  <c r="AB16" i="9" s="1"/>
  <c r="M84" i="9" a="1"/>
  <c r="M84" i="9" s="1"/>
  <c r="L74" i="9" a="1"/>
  <c r="L74" i="9" s="1"/>
  <c r="D105" i="9"/>
  <c r="T12" i="9" s="1" a="1"/>
  <c r="T12" i="9" s="1"/>
  <c r="G52" i="9" a="1"/>
  <c r="G52" i="9" s="1"/>
  <c r="H124" i="9"/>
  <c r="X31" i="9" s="1" a="1"/>
  <c r="X31" i="9" s="1"/>
  <c r="N59" i="9" a="1"/>
  <c r="N59" i="9" s="1"/>
  <c r="G71" i="9" a="1"/>
  <c r="G71" i="9" s="1"/>
  <c r="K79" i="9" a="1"/>
  <c r="K79" i="9" s="1"/>
  <c r="C108" i="9"/>
  <c r="S15" i="9" s="1" a="1"/>
  <c r="S15" i="9" s="1"/>
  <c r="P78" i="9"/>
  <c r="L104" i="9"/>
  <c r="AB11" i="9" s="1" a="1"/>
  <c r="AB11" i="9" s="1"/>
  <c r="P120" i="9"/>
  <c r="AF27" i="9" s="1"/>
  <c r="B19" i="20" s="1"/>
  <c r="J111" i="9"/>
  <c r="Z18" i="9" s="1" a="1"/>
  <c r="Z18" i="9" s="1"/>
  <c r="D118" i="9"/>
  <c r="T25" i="9" s="1" a="1"/>
  <c r="T25" i="9" s="1"/>
  <c r="L132" i="9"/>
  <c r="AB39" i="9" s="1" a="1"/>
  <c r="AB39" i="9" s="1"/>
  <c r="C106" i="9"/>
  <c r="S13" i="9" s="1" a="1"/>
  <c r="S13" i="9" s="1"/>
  <c r="D125" i="9"/>
  <c r="T32" i="9" s="1" a="1"/>
  <c r="T32" i="9" s="1"/>
  <c r="I83" i="9" a="1"/>
  <c r="I83" i="9" s="1"/>
  <c r="E102" i="9"/>
  <c r="U9" i="9" s="1" a="1"/>
  <c r="U9" i="9" s="1"/>
  <c r="D116" i="9"/>
  <c r="T23" i="9" s="1" a="1"/>
  <c r="T23" i="9" s="1"/>
  <c r="H132" i="9"/>
  <c r="X39" i="9" s="1" a="1"/>
  <c r="X39" i="9" s="1"/>
  <c r="W43" i="9" a="1"/>
  <c r="W43" i="9" s="1"/>
  <c r="E104" i="9"/>
  <c r="U11" i="9" s="1" a="1"/>
  <c r="U11" i="9" s="1"/>
  <c r="I107" i="9"/>
  <c r="Y14" i="9" s="1" a="1"/>
  <c r="Y14" i="9" s="1"/>
  <c r="I72" i="9" a="1"/>
  <c r="I72" i="9" s="1"/>
  <c r="P60" i="9"/>
  <c r="P61" i="9"/>
  <c r="C113" i="9"/>
  <c r="S20" i="9" s="1" a="1"/>
  <c r="S20" i="9" s="1"/>
  <c r="J74" i="9" a="1"/>
  <c r="J74" i="9" s="1"/>
  <c r="N118" i="9"/>
  <c r="AD25" i="9" s="1" a="1"/>
  <c r="AD25" i="9" s="1"/>
  <c r="P53" i="9"/>
  <c r="H54" i="9" a="1"/>
  <c r="H54" i="9" s="1"/>
  <c r="X44" i="9" a="1"/>
  <c r="X44" i="9" s="1"/>
  <c r="K52" i="9" a="1"/>
  <c r="K52" i="9" s="1"/>
  <c r="M70" i="9" a="1"/>
  <c r="M70" i="9" s="1"/>
  <c r="I111" i="9"/>
  <c r="Y18" i="9" s="1" a="1"/>
  <c r="Y18" i="9" s="1"/>
  <c r="L89" i="9" a="1"/>
  <c r="L89" i="9" s="1"/>
  <c r="K89" i="9" a="1"/>
  <c r="K89" i="9" s="1"/>
  <c r="G114" i="9"/>
  <c r="W21" i="9" s="1" a="1"/>
  <c r="W21" i="9" s="1"/>
  <c r="B17" i="9"/>
  <c r="C17" i="9" s="1"/>
  <c r="M72" i="9" a="1"/>
  <c r="M72" i="9" s="1"/>
  <c r="L78" i="9" a="1"/>
  <c r="L78" i="9" s="1"/>
  <c r="P113" i="9"/>
  <c r="AF20" i="9" s="1"/>
  <c r="B37" i="20" s="1"/>
  <c r="J57" i="9" a="1"/>
  <c r="J57" i="9" s="1"/>
  <c r="I53" i="9" a="1"/>
  <c r="I53" i="9" s="1"/>
  <c r="N86" i="9" a="1"/>
  <c r="N86" i="9" s="1"/>
  <c r="D100" i="9"/>
  <c r="T7" i="9" s="1" a="1"/>
  <c r="T7" i="9" s="1"/>
  <c r="I81" i="9" a="1"/>
  <c r="I81" i="9" s="1"/>
  <c r="N131" i="9"/>
  <c r="AD38" i="9" s="1" a="1"/>
  <c r="AD38" i="9" s="1"/>
  <c r="G60" i="9" a="1"/>
  <c r="G60" i="9" s="1"/>
  <c r="H109" i="9"/>
  <c r="X16" i="9" s="1" a="1"/>
  <c r="X16" i="9" s="1"/>
  <c r="L113" i="9"/>
  <c r="AB20" i="9" s="1" a="1"/>
  <c r="AB20" i="9" s="1"/>
  <c r="H106" i="9"/>
  <c r="K63" i="9" a="1"/>
  <c r="K63" i="9" s="1"/>
  <c r="C109" i="9"/>
  <c r="S16" i="9" s="1" a="1"/>
  <c r="S16" i="9" s="1"/>
  <c r="N113" i="9"/>
  <c r="AD20" i="9" s="1" a="1"/>
  <c r="AD20" i="9" s="1"/>
  <c r="M73" i="9" a="1"/>
  <c r="M73" i="9" s="1"/>
  <c r="K74" i="9" a="1"/>
  <c r="K74" i="9" s="1"/>
  <c r="G54" i="9" a="1"/>
  <c r="G54" i="9" s="1"/>
  <c r="K87" i="9" a="1"/>
  <c r="K87" i="9" s="1"/>
  <c r="I104" i="9"/>
  <c r="Y11" i="9" s="1" a="1"/>
  <c r="Y11" i="9" s="1"/>
  <c r="K62" i="9" a="1"/>
  <c r="K62" i="9" s="1"/>
  <c r="J59" i="9" a="1"/>
  <c r="J59" i="9" s="1"/>
  <c r="B5" i="9"/>
  <c r="C5" i="9" s="1"/>
  <c r="F111" i="9"/>
  <c r="V18" i="9" s="1" a="1"/>
  <c r="V18" i="9" s="1"/>
  <c r="L99" i="9"/>
  <c r="AB6" i="9" s="1" a="1"/>
  <c r="AB6" i="9" s="1"/>
  <c r="J101" i="9"/>
  <c r="Z8" i="9" s="1" a="1"/>
  <c r="Z8" i="9" s="1"/>
  <c r="L73" i="9" a="1"/>
  <c r="L73" i="9" s="1"/>
  <c r="E116" i="9"/>
  <c r="U23" i="9" s="1" a="1"/>
  <c r="U23" i="9" s="1"/>
  <c r="M112" i="9"/>
  <c r="AC19" i="9" s="1" a="1"/>
  <c r="AC19" i="9" s="1"/>
  <c r="D108" i="9"/>
  <c r="T15" i="9" s="1" a="1"/>
  <c r="T15" i="9" s="1"/>
  <c r="J116" i="9"/>
  <c r="Z23" i="9" s="1" a="1"/>
  <c r="Z23" i="9" s="1"/>
  <c r="H65" i="9" a="1"/>
  <c r="H65" i="9" s="1"/>
  <c r="C120" i="9"/>
  <c r="S27" i="9" s="1" a="1"/>
  <c r="S27" i="9" s="1"/>
  <c r="P133" i="9"/>
  <c r="AF40" i="9" s="1"/>
  <c r="B25" i="20" s="1"/>
  <c r="N126" i="9"/>
  <c r="AD33" i="9" s="1" a="1"/>
  <c r="AD33" i="9" s="1"/>
  <c r="C111" i="9"/>
  <c r="S18" i="9" s="1" a="1"/>
  <c r="S18" i="9" s="1"/>
  <c r="G133" i="9"/>
  <c r="W40" i="9" s="1" a="1"/>
  <c r="W40" i="9" s="1"/>
  <c r="P77" i="9"/>
  <c r="J56" i="9" a="1"/>
  <c r="J56" i="9" s="1"/>
  <c r="G127" i="9"/>
  <c r="W34" i="9" s="1" a="1"/>
  <c r="W34" i="9" s="1"/>
  <c r="K132" i="9"/>
  <c r="AA39" i="9" s="1" a="1"/>
  <c r="AA39" i="9" s="1"/>
  <c r="L63" i="9" a="1"/>
  <c r="L63" i="9" s="1"/>
  <c r="I120" i="9"/>
  <c r="Y27" i="9" s="1" a="1"/>
  <c r="Y27" i="9" s="1"/>
  <c r="L115" i="9"/>
  <c r="AB22" i="9" s="1" a="1"/>
  <c r="AB22" i="9" s="1"/>
  <c r="I61" i="9" a="1"/>
  <c r="I61" i="9" s="1"/>
  <c r="F133" i="9"/>
  <c r="V40" i="9" s="1" a="1"/>
  <c r="V40" i="9" s="1"/>
  <c r="L72" i="9" a="1"/>
  <c r="L72" i="9" s="1"/>
  <c r="M99" i="9"/>
  <c r="AC6" i="9" s="1" a="1"/>
  <c r="AC6" i="9" s="1"/>
  <c r="P50" i="9"/>
  <c r="J132" i="9"/>
  <c r="Z39" i="9" s="1" a="1"/>
  <c r="Z39" i="9" s="1"/>
  <c r="I86" i="9" a="1"/>
  <c r="I86" i="9" s="1"/>
  <c r="C107" i="9"/>
  <c r="S14" i="9" s="1" a="1"/>
  <c r="S14" i="9" s="1"/>
  <c r="E133" i="9"/>
  <c r="U40" i="9" s="1" a="1"/>
  <c r="U40" i="9" s="1"/>
  <c r="F100" i="9"/>
  <c r="V7" i="9" s="1" a="1"/>
  <c r="V7" i="9" s="1"/>
  <c r="N114" i="9"/>
  <c r="AD21" i="9" s="1" a="1"/>
  <c r="AD21" i="9" s="1"/>
  <c r="H173" i="1"/>
  <c r="H176" i="1"/>
  <c r="H174" i="1"/>
  <c r="H175" i="1"/>
  <c r="H150" i="1"/>
  <c r="H149" i="1"/>
  <c r="H144" i="1"/>
  <c r="H134" i="1"/>
  <c r="H142" i="1"/>
  <c r="H99" i="1"/>
  <c r="H93" i="1"/>
  <c r="H94" i="1"/>
  <c r="H104" i="1"/>
  <c r="H103" i="1"/>
  <c r="H95" i="1"/>
  <c r="G19" i="2"/>
  <c r="H113" i="1" s="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s="1"/>
  <c r="G120" i="2"/>
  <c r="H265" i="1" s="1"/>
  <c r="G24" i="2"/>
  <c r="H120" i="1" s="1"/>
  <c r="G22" i="2"/>
  <c r="H118" i="1" s="1"/>
  <c r="G71" i="2"/>
  <c r="H196" i="1" s="1"/>
  <c r="G117" i="2"/>
  <c r="G99" i="2"/>
  <c r="H236" i="1" s="1"/>
  <c r="G26" i="2"/>
  <c r="H122" i="1" s="1"/>
  <c r="G40" i="2"/>
  <c r="H138" i="1" s="1"/>
  <c r="G36" i="2"/>
  <c r="G119" i="2"/>
  <c r="H264" i="1" s="1"/>
  <c r="G113" i="2"/>
  <c r="H56" i="2"/>
  <c r="I56" i="2" s="1"/>
  <c r="D56" i="2" s="1"/>
  <c r="G82" i="2"/>
  <c r="H208" i="1" s="1"/>
  <c r="G84" i="2"/>
  <c r="G50" i="2"/>
  <c r="H157" i="1" s="1"/>
  <c r="G55" i="2"/>
  <c r="H163" i="1" s="1"/>
  <c r="H73" i="2"/>
  <c r="I73" i="2" s="1"/>
  <c r="D73" i="2" s="1"/>
  <c r="G21" i="2"/>
  <c r="G33" i="2"/>
  <c r="H130" i="1" s="1"/>
  <c r="G88" i="2"/>
  <c r="H216" i="1" s="1"/>
  <c r="H135" i="2"/>
  <c r="I135" i="2" s="1"/>
  <c r="D135" i="2" s="1"/>
  <c r="G127" i="2"/>
  <c r="H275" i="1" s="1"/>
  <c r="G34" i="2"/>
  <c r="H131" i="1" s="1"/>
  <c r="G14" i="2"/>
  <c r="H106" i="1" s="1"/>
  <c r="G42" i="2"/>
  <c r="H140" i="1" s="1"/>
  <c r="H47" i="2"/>
  <c r="I47" i="2" s="1"/>
  <c r="D47" i="2" s="1"/>
  <c r="G115" i="2"/>
  <c r="H258" i="1" s="1"/>
  <c r="H251" i="1"/>
  <c r="H100" i="1"/>
  <c r="G130" i="2"/>
  <c r="H278" i="1" s="1"/>
  <c r="H130" i="2"/>
  <c r="I130" i="2" s="1"/>
  <c r="D130" i="2" s="1"/>
  <c r="H109" i="1"/>
  <c r="H107" i="1"/>
  <c r="H229" i="1"/>
  <c r="H225" i="1"/>
  <c r="H224" i="1"/>
  <c r="H105" i="1"/>
  <c r="H97" i="1"/>
  <c r="H111" i="1"/>
  <c r="H145" i="1"/>
  <c r="H155" i="1"/>
  <c r="H211" i="1"/>
  <c r="H212" i="1"/>
  <c r="H53" i="2"/>
  <c r="I53" i="2" s="1"/>
  <c r="D53" i="2" s="1"/>
  <c r="G53" i="2"/>
  <c r="G100" i="2"/>
  <c r="H100" i="2"/>
  <c r="I100" i="2" s="1"/>
  <c r="D100" i="2" s="1"/>
  <c r="H97" i="2"/>
  <c r="I97" i="2" s="1"/>
  <c r="D97" i="2" s="1"/>
  <c r="G97" i="2"/>
  <c r="H233" i="1" s="1"/>
  <c r="H123" i="2"/>
  <c r="I123" i="2" s="1"/>
  <c r="D123" i="2" s="1"/>
  <c r="G123" i="2"/>
  <c r="H30" i="2"/>
  <c r="I30" i="2" s="1"/>
  <c r="D30" i="2" s="1"/>
  <c r="G30" i="2"/>
  <c r="H127" i="1" s="1"/>
  <c r="H147" i="1"/>
  <c r="H146" i="1"/>
  <c r="G103" i="2"/>
  <c r="H241" i="1" s="1"/>
  <c r="H103" i="2"/>
  <c r="I103" i="2" s="1"/>
  <c r="D103" i="2" s="1"/>
  <c r="H132" i="1"/>
  <c r="H189" i="1"/>
  <c r="H209" i="1"/>
  <c r="H210" i="1"/>
  <c r="H182" i="1"/>
  <c r="H183" i="1"/>
  <c r="H179" i="1"/>
  <c r="H219" i="1"/>
  <c r="H180" i="1"/>
  <c r="H195" i="1"/>
  <c r="H184" i="1"/>
  <c r="H133" i="1"/>
  <c r="G18" i="2"/>
  <c r="C22" i="23"/>
  <c r="C23" i="23" s="1"/>
  <c r="G106" i="2"/>
  <c r="H244" i="1" s="1"/>
  <c r="H106" i="2"/>
  <c r="I106" i="2" s="1"/>
  <c r="D106" i="2" s="1"/>
  <c r="G29" i="2"/>
  <c r="H126" i="1" s="1"/>
  <c r="G77" i="2"/>
  <c r="H202" i="1" s="1"/>
  <c r="H253" i="1"/>
  <c r="H127" i="2"/>
  <c r="I127" i="2" s="1"/>
  <c r="D127" i="2" s="1"/>
  <c r="G62" i="2"/>
  <c r="H177" i="1" s="1"/>
  <c r="H132" i="2"/>
  <c r="I132" i="2" s="1"/>
  <c r="D132" i="2" s="1"/>
  <c r="H172" i="1"/>
  <c r="H60" i="2"/>
  <c r="I60" i="2" s="1"/>
  <c r="D60" i="2" s="1"/>
  <c r="G95" i="2"/>
  <c r="H231" i="1" s="1"/>
  <c r="G70" i="2"/>
  <c r="H18" i="2"/>
  <c r="I18" i="2" s="1"/>
  <c r="D18" i="2" s="1"/>
  <c r="G78" i="2"/>
  <c r="H203" i="1" s="1"/>
  <c r="G122" i="2"/>
  <c r="H38" i="2"/>
  <c r="I38" i="2" s="1"/>
  <c r="D38" i="2" s="1"/>
  <c r="H36" i="2"/>
  <c r="I36" i="2" s="1"/>
  <c r="D36" i="2" s="1"/>
  <c r="H26" i="2"/>
  <c r="I26" i="2" s="1"/>
  <c r="D26" i="2" s="1"/>
  <c r="H99" i="2"/>
  <c r="I99" i="2" s="1"/>
  <c r="D99" i="2" s="1"/>
  <c r="H187" i="1"/>
  <c r="G51" i="2"/>
  <c r="G25" i="2"/>
  <c r="H86" i="2"/>
  <c r="I86" i="2" s="1"/>
  <c r="D86" i="2" s="1"/>
  <c r="H261" i="1"/>
  <c r="H221" i="1"/>
  <c r="G92" i="2"/>
  <c r="H227" i="1" s="1"/>
  <c r="H254" i="1"/>
  <c r="G124" i="2"/>
  <c r="H272" i="1" s="1"/>
  <c r="A11" i="21"/>
  <c r="B11" i="21" s="1"/>
  <c r="A33" i="21"/>
  <c r="B33" i="21" s="1"/>
  <c r="A22" i="21"/>
  <c r="B22" i="21" s="1"/>
  <c r="A9" i="20"/>
  <c r="J70" i="9" a="1"/>
  <c r="J70" i="9" s="1"/>
  <c r="AB43" i="9" a="1"/>
  <c r="AB43" i="9" s="1"/>
  <c r="C119" i="9"/>
  <c r="S26" i="9" s="1" a="1"/>
  <c r="S26" i="9" s="1"/>
  <c r="F127" i="9"/>
  <c r="V34" i="9" s="1" a="1"/>
  <c r="V34" i="9" s="1"/>
  <c r="G84" i="9" a="1"/>
  <c r="G84" i="9" s="1"/>
  <c r="F121" i="9"/>
  <c r="V28" i="9" s="1" a="1"/>
  <c r="V28" i="9" s="1"/>
  <c r="L116" i="9"/>
  <c r="AB23" i="9" s="1" a="1"/>
  <c r="AB23" i="9" s="1"/>
  <c r="I110" i="9"/>
  <c r="Y17" i="9" s="1" a="1"/>
  <c r="Y17" i="9" s="1"/>
  <c r="C128" i="9"/>
  <c r="S35" i="9" s="1" a="1"/>
  <c r="S35" i="9" s="1"/>
  <c r="P65" i="9"/>
  <c r="D121" i="9"/>
  <c r="T28" i="9" s="1" a="1"/>
  <c r="T28" i="9" s="1"/>
  <c r="A10" i="20"/>
  <c r="H53" i="9" a="1"/>
  <c r="H53" i="9" s="1"/>
  <c r="G2" i="21"/>
  <c r="A2" i="21" s="1"/>
  <c r="B2" i="21" s="1"/>
  <c r="A31" i="21"/>
  <c r="B31" i="21" s="1"/>
  <c r="E18" i="9"/>
  <c r="A29" i="21"/>
  <c r="B29" i="21" s="1"/>
  <c r="A36" i="21"/>
  <c r="B36" i="21" s="1"/>
  <c r="A12" i="21"/>
  <c r="B12" i="21" s="1"/>
  <c r="A3" i="21"/>
  <c r="B3" i="21" s="1"/>
  <c r="A21" i="21"/>
  <c r="B21" i="21" s="1"/>
  <c r="A10" i="21"/>
  <c r="B10" i="21" s="1"/>
  <c r="A19" i="21"/>
  <c r="B19" i="21" s="1"/>
  <c r="L130" i="9"/>
  <c r="AB37" i="9" s="1" a="1"/>
  <c r="AB37" i="9" s="1"/>
  <c r="P119" i="9"/>
  <c r="AF26" i="9" s="1"/>
  <c r="B32" i="20" s="1"/>
  <c r="H76" i="9" a="1"/>
  <c r="H76" i="9" s="1"/>
  <c r="K102" i="9"/>
  <c r="AA9" i="9" s="1" a="1"/>
  <c r="AA9" i="9" s="1"/>
  <c r="N117" i="9"/>
  <c r="AD24" i="9" s="1" a="1"/>
  <c r="AD24" i="9" s="1"/>
  <c r="L71" i="9" a="1"/>
  <c r="L71" i="9" s="1"/>
  <c r="B49" i="9"/>
  <c r="I98" i="9" s="1"/>
  <c r="Y5" i="9" s="1" a="1"/>
  <c r="Y5" i="9" s="1"/>
  <c r="P110" i="9"/>
  <c r="AF17" i="9" s="1"/>
  <c r="B31" i="20" s="1"/>
  <c r="M108" i="9"/>
  <c r="AC15" i="9" s="1" a="1"/>
  <c r="AC15" i="9" s="1"/>
  <c r="G79" i="9" a="1"/>
  <c r="G79" i="9" s="1"/>
  <c r="H52" i="9" a="1"/>
  <c r="H52" i="9" s="1"/>
  <c r="L112" i="9"/>
  <c r="AB19" i="9" s="1" a="1"/>
  <c r="AB19" i="9" s="1"/>
  <c r="H110" i="9"/>
  <c r="X17" i="9" s="1" a="1"/>
  <c r="X17" i="9" s="1"/>
  <c r="E125" i="9"/>
  <c r="U32" i="9" s="1" a="1"/>
  <c r="U32" i="9" s="1"/>
  <c r="N62" i="9" a="1"/>
  <c r="N62" i="9" s="1"/>
  <c r="D119" i="9"/>
  <c r="T26" i="9" s="1" a="1"/>
  <c r="T26" i="9" s="1"/>
  <c r="M118" i="9"/>
  <c r="AC25" i="9" s="1" a="1"/>
  <c r="AC25" i="9" s="1"/>
  <c r="K124" i="9"/>
  <c r="AA31" i="9" s="1" a="1"/>
  <c r="AA31" i="9" s="1"/>
  <c r="I78" i="9" a="1"/>
  <c r="I78" i="9" s="1"/>
  <c r="A25" i="21"/>
  <c r="B25" i="21" s="1"/>
  <c r="G126" i="9"/>
  <c r="W33" i="9" s="1" a="1"/>
  <c r="W33" i="9" s="1"/>
  <c r="G103" i="9"/>
  <c r="W10" i="9" s="1" a="1"/>
  <c r="W10" i="9" s="1"/>
  <c r="P130" i="9"/>
  <c r="AF37" i="9" s="1"/>
  <c r="B21" i="20" s="1"/>
  <c r="D103" i="9"/>
  <c r="T10" i="9" s="1" a="1"/>
  <c r="T10" i="9" s="1"/>
  <c r="J77" i="9" a="1"/>
  <c r="J77" i="9" s="1"/>
  <c r="G50" i="9" a="1"/>
  <c r="G50" i="9" s="1"/>
  <c r="I50" i="9" a="1"/>
  <c r="I50" i="9" s="1"/>
  <c r="A26" i="20"/>
  <c r="J65" i="9" a="1"/>
  <c r="J65" i="9" s="1"/>
  <c r="N125" i="9"/>
  <c r="AD32" i="9" s="1" a="1"/>
  <c r="AD32" i="9" s="1"/>
  <c r="A30" i="21"/>
  <c r="B30" i="21" s="1"/>
  <c r="Z43" i="9" a="1"/>
  <c r="Z43" i="9" s="1"/>
  <c r="K65" i="9" a="1"/>
  <c r="K65" i="9" s="1"/>
  <c r="D117" i="9"/>
  <c r="T24" i="9" s="1" a="1"/>
  <c r="T24" i="9" s="1"/>
  <c r="C104" i="9"/>
  <c r="S11" i="9" s="1" a="1"/>
  <c r="S11" i="9" s="1"/>
  <c r="M104" i="9"/>
  <c r="AC11" i="9" s="1" a="1"/>
  <c r="AC11" i="9" s="1"/>
  <c r="N109" i="9"/>
  <c r="AD16" i="9" s="1" a="1"/>
  <c r="AD16" i="9" s="1"/>
  <c r="G75" i="9" a="1"/>
  <c r="G75" i="9" s="1"/>
  <c r="F116" i="9"/>
  <c r="V23" i="9" s="1" a="1"/>
  <c r="V23" i="9" s="1"/>
  <c r="B14" i="9"/>
  <c r="E14" i="9" s="1"/>
  <c r="A33" i="20"/>
  <c r="E131" i="9"/>
  <c r="U38" i="9" s="1" a="1"/>
  <c r="U38" i="9" s="1"/>
  <c r="K133" i="9"/>
  <c r="AA40" i="9" s="1" a="1"/>
  <c r="AA40" i="9" s="1"/>
  <c r="K88" i="9" a="1"/>
  <c r="K88" i="9" s="1"/>
  <c r="A5" i="21"/>
  <c r="B5" i="21" s="1"/>
  <c r="A18" i="21"/>
  <c r="B18" i="21" s="1"/>
  <c r="A38" i="21"/>
  <c r="B38" i="21" s="1"/>
  <c r="A17" i="21"/>
  <c r="B17" i="21" s="1"/>
  <c r="J89" i="9" a="1"/>
  <c r="J89" i="9" s="1"/>
  <c r="A20" i="21"/>
  <c r="B20" i="21" s="1"/>
  <c r="A27" i="21"/>
  <c r="B27" i="21" s="1"/>
  <c r="A35" i="20"/>
  <c r="A35" i="21"/>
  <c r="B35" i="21" s="1"/>
  <c r="A7" i="21"/>
  <c r="B7" i="21" s="1"/>
  <c r="A6" i="20"/>
  <c r="A23" i="20"/>
  <c r="H68" i="9" a="1"/>
  <c r="H68" i="9" s="1"/>
  <c r="B13" i="9"/>
  <c r="E13" i="9" s="1"/>
  <c r="H88" i="9" a="1"/>
  <c r="H88" i="9" s="1"/>
  <c r="AF7" i="9"/>
  <c r="B29" i="20" s="1"/>
  <c r="AF29" i="9"/>
  <c r="B28" i="20" s="1"/>
  <c r="P98" i="9"/>
  <c r="AF5" i="9" s="1"/>
  <c r="B2" i="20" s="1"/>
  <c r="H98" i="9"/>
  <c r="X5" i="9" s="1" a="1"/>
  <c r="X5" i="9" s="1"/>
  <c r="J49" i="9" a="1"/>
  <c r="J49" i="9" s="1"/>
  <c r="B2" i="9"/>
  <c r="L49" i="9" a="1"/>
  <c r="L49" i="9" s="1"/>
  <c r="G63" i="9" a="1"/>
  <c r="G63" i="9" s="1"/>
  <c r="N52" i="9" a="1"/>
  <c r="N52" i="9" s="1"/>
  <c r="C131" i="9"/>
  <c r="S38" i="9" s="1" a="1"/>
  <c r="S38" i="9" s="1"/>
  <c r="AC30" i="9" a="1"/>
  <c r="AC30" i="9" s="1"/>
  <c r="I118" i="9"/>
  <c r="Y25" i="9" s="1" a="1"/>
  <c r="Y25" i="9" s="1"/>
  <c r="E101" i="9"/>
  <c r="U8" i="9" s="1" a="1"/>
  <c r="U8" i="9" s="1"/>
  <c r="L84" i="9" a="1"/>
  <c r="L84" i="9" s="1"/>
  <c r="H125" i="9"/>
  <c r="X32" i="9" s="1" a="1"/>
  <c r="X32" i="9" s="1"/>
  <c r="N108" i="9"/>
  <c r="AD15" i="9" s="1" a="1"/>
  <c r="AD15" i="9" s="1"/>
  <c r="M128" i="9"/>
  <c r="AC35" i="9" s="1" a="1"/>
  <c r="AC35" i="9" s="1"/>
  <c r="N119" i="9"/>
  <c r="AD26" i="9" s="1" a="1"/>
  <c r="AD26" i="9" s="1"/>
  <c r="C114" i="9"/>
  <c r="S21" i="9" s="1" a="1"/>
  <c r="S21" i="9" s="1"/>
  <c r="J66" i="9" a="1"/>
  <c r="J66" i="9" s="1"/>
  <c r="H51" i="9" a="1"/>
  <c r="H51" i="9" s="1"/>
  <c r="C132" i="9"/>
  <c r="S39" i="9" s="1" a="1"/>
  <c r="S39" i="9" s="1"/>
  <c r="E121" i="9"/>
  <c r="U28" i="9" s="1" a="1"/>
  <c r="U28" i="9" s="1"/>
  <c r="H131" i="9"/>
  <c r="X38" i="9" s="1" a="1"/>
  <c r="X38" i="9" s="1"/>
  <c r="K125" i="9"/>
  <c r="AA32" i="9" s="1" a="1"/>
  <c r="AA32" i="9" s="1"/>
  <c r="N60" i="9" a="1"/>
  <c r="N60" i="9" s="1"/>
  <c r="N54" i="9" a="1"/>
  <c r="N54" i="9" s="1"/>
  <c r="E122" i="9"/>
  <c r="U29" i="9" s="1" a="1"/>
  <c r="U29" i="9" s="1"/>
  <c r="J125" i="9"/>
  <c r="Z32" i="9" s="1" a="1"/>
  <c r="Z32" i="9" s="1"/>
  <c r="D131" i="9"/>
  <c r="T38" i="9" s="1" a="1"/>
  <c r="T38" i="9" s="1"/>
  <c r="C121" i="9"/>
  <c r="S28" i="9" s="1" a="1"/>
  <c r="S28" i="9" s="1"/>
  <c r="G106" i="9"/>
  <c r="W13" i="9" s="1" a="1"/>
  <c r="W13" i="9" s="1"/>
  <c r="M133" i="9"/>
  <c r="AC40" i="9" s="1" a="1"/>
  <c r="AC40" i="9" s="1"/>
  <c r="J69" i="9" a="1"/>
  <c r="J69" i="9" s="1"/>
  <c r="P72" i="9"/>
  <c r="P70" i="9"/>
  <c r="C135" i="9"/>
  <c r="S42" i="9" s="1" a="1"/>
  <c r="S42" i="9" s="1"/>
  <c r="M105" i="9"/>
  <c r="AC12" i="9" s="1" a="1"/>
  <c r="AC12" i="9" s="1"/>
  <c r="I58" i="9" a="1"/>
  <c r="I58" i="9" s="1"/>
  <c r="H133" i="9"/>
  <c r="X40" i="9" s="1" a="1"/>
  <c r="X40" i="9" s="1"/>
  <c r="K82" i="9" a="1"/>
  <c r="K82" i="9" s="1"/>
  <c r="N76" i="9" a="1"/>
  <c r="N76" i="9" s="1"/>
  <c r="J73" i="9" a="1"/>
  <c r="J73" i="9" s="1"/>
  <c r="J117" i="9"/>
  <c r="Z24" i="9" s="1" a="1"/>
  <c r="Z24" i="9" s="1"/>
  <c r="G87" i="9" a="1"/>
  <c r="G87" i="9" s="1"/>
  <c r="L131" i="9"/>
  <c r="AB38" i="9" s="1" a="1"/>
  <c r="AB38" i="9" s="1"/>
  <c r="I74" i="9" a="1"/>
  <c r="I74" i="9" s="1"/>
  <c r="K76" i="9" a="1"/>
  <c r="K76" i="9" s="1"/>
  <c r="M122" i="9"/>
  <c r="AC29" i="9" s="1" a="1"/>
  <c r="AC29" i="9" s="1"/>
  <c r="F120" i="9"/>
  <c r="V27" i="9" s="1" a="1"/>
  <c r="V27" i="9" s="1"/>
  <c r="D114" i="9"/>
  <c r="T21" i="9" s="1" a="1"/>
  <c r="T21" i="9" s="1"/>
  <c r="K85" i="9" a="1"/>
  <c r="K85" i="9" s="1"/>
  <c r="G128" i="9"/>
  <c r="W35" i="9" s="1" a="1"/>
  <c r="W35" i="9" s="1"/>
  <c r="P125" i="9"/>
  <c r="AF32" i="9" s="1"/>
  <c r="B13" i="20" s="1"/>
  <c r="C102" i="9"/>
  <c r="S9" i="9" s="1" a="1"/>
  <c r="S9" i="9" s="1"/>
  <c r="N102" i="9"/>
  <c r="AD9" i="9" s="1" a="1"/>
  <c r="AD9" i="9" s="1"/>
  <c r="P56" i="9"/>
  <c r="K101" i="9"/>
  <c r="AA8" i="9" s="1" a="1"/>
  <c r="AA8" i="9" s="1"/>
  <c r="N116" i="9"/>
  <c r="AD23" i="9" s="1" a="1"/>
  <c r="AD23" i="9" s="1"/>
  <c r="I108" i="9"/>
  <c r="Y15" i="9" s="1" a="1"/>
  <c r="Y15" i="9" s="1"/>
  <c r="B7" i="9"/>
  <c r="I67" i="9" a="1"/>
  <c r="I67" i="9" s="1"/>
  <c r="AB44" i="9" a="1"/>
  <c r="AB44" i="9" s="1"/>
  <c r="D49" i="9" a="1"/>
  <c r="D49" i="9" s="1"/>
  <c r="N101" i="9"/>
  <c r="AD8" i="9" s="1" a="1"/>
  <c r="AD8" i="9" s="1"/>
  <c r="L110" i="9"/>
  <c r="AB17" i="9" s="1" a="1"/>
  <c r="AB17" i="9" s="1"/>
  <c r="L118" i="9"/>
  <c r="AB25" i="9" s="1" a="1"/>
  <c r="AB25" i="9" s="1"/>
  <c r="K105" i="9"/>
  <c r="AA12" i="9" s="1" a="1"/>
  <c r="AA12" i="9" s="1"/>
  <c r="F114" i="9"/>
  <c r="V21" i="9" s="1" a="1"/>
  <c r="V21" i="9" s="1"/>
  <c r="G123" i="9"/>
  <c r="W30" i="9" s="1" a="1"/>
  <c r="W30" i="9" s="1"/>
  <c r="F113" i="9"/>
  <c r="K126" i="9"/>
  <c r="AA33" i="9" s="1" a="1"/>
  <c r="AA33" i="9" s="1"/>
  <c r="F109" i="9"/>
  <c r="V16" i="9" s="1" a="1"/>
  <c r="V16" i="9" s="1"/>
  <c r="F135" i="9"/>
  <c r="V42" i="9" s="1" a="1"/>
  <c r="V42" i="9" s="1"/>
  <c r="K60" i="9" a="1"/>
  <c r="K60" i="9" s="1"/>
  <c r="J127" i="9"/>
  <c r="Z34" i="9" s="1" a="1"/>
  <c r="Z34" i="9" s="1"/>
  <c r="K113" i="9"/>
  <c r="AA20" i="9" s="1" a="1"/>
  <c r="AA20" i="9" s="1"/>
  <c r="I117" i="9"/>
  <c r="Y24" i="9" s="1" a="1"/>
  <c r="Y24" i="9" s="1"/>
  <c r="B4" i="9"/>
  <c r="M78" i="9" a="1"/>
  <c r="M78" i="9" s="1"/>
  <c r="E124" i="9"/>
  <c r="J76" i="9" a="1"/>
  <c r="J76" i="9" s="1"/>
  <c r="L114" i="9"/>
  <c r="AB21" i="9" s="1" a="1"/>
  <c r="AB21" i="9" s="1"/>
  <c r="M77" i="9" a="1"/>
  <c r="M77" i="9" s="1"/>
  <c r="F119" i="9"/>
  <c r="V26" i="9" s="1" a="1"/>
  <c r="V26" i="9" s="1"/>
  <c r="N99" i="9"/>
  <c r="AD6" i="9" s="1" a="1"/>
  <c r="AD6" i="9" s="1"/>
  <c r="I85" i="9" a="1"/>
  <c r="I85" i="9" s="1"/>
  <c r="F123" i="9"/>
  <c r="V30" i="9" s="1" a="1"/>
  <c r="V30" i="9" s="1"/>
  <c r="N51" i="9" a="1"/>
  <c r="N51" i="9" s="1"/>
  <c r="N106" i="9"/>
  <c r="AD13" i="9" s="1" a="1"/>
  <c r="AD13" i="9" s="1"/>
  <c r="K51" i="9" a="1"/>
  <c r="K51" i="9" s="1"/>
  <c r="D111" i="9"/>
  <c r="T18" i="9" s="1" a="1"/>
  <c r="T18" i="9" s="1"/>
  <c r="K112" i="9"/>
  <c r="AA19" i="9" s="1" a="1"/>
  <c r="AA19" i="9" s="1"/>
  <c r="J83" i="9" a="1"/>
  <c r="J83" i="9" s="1"/>
  <c r="H121" i="9"/>
  <c r="X28" i="9" s="1" a="1"/>
  <c r="X28" i="9" s="1"/>
  <c r="P59" i="9"/>
  <c r="J134" i="9"/>
  <c r="Z41" i="9" s="1" a="1"/>
  <c r="Z41" i="9" s="1"/>
  <c r="I62" i="9" a="1"/>
  <c r="I62" i="9" s="1"/>
  <c r="F129" i="9"/>
  <c r="V36" i="9" s="1" a="1"/>
  <c r="V36" i="9" s="1"/>
  <c r="G132" i="9"/>
  <c r="N65" i="9" a="1"/>
  <c r="N65" i="9" s="1"/>
  <c r="H61" i="9" a="1"/>
  <c r="H61" i="9" s="1"/>
  <c r="F112" i="9"/>
  <c r="V19" i="9" s="1" a="1"/>
  <c r="V19" i="9" s="1"/>
  <c r="M62" i="9" a="1"/>
  <c r="M62" i="9" s="1"/>
  <c r="N69" i="9" a="1"/>
  <c r="N69" i="9" s="1"/>
  <c r="G77" i="9" a="1"/>
  <c r="G77" i="9" s="1"/>
  <c r="M69" i="9" a="1"/>
  <c r="M69" i="9" s="1"/>
  <c r="N56" i="9" a="1"/>
  <c r="N56" i="9" s="1"/>
  <c r="J62" i="9" a="1"/>
  <c r="J62" i="9" s="1"/>
  <c r="M115" i="9"/>
  <c r="AC22" i="9" s="1" a="1"/>
  <c r="AC22" i="9" s="1"/>
  <c r="M131" i="9"/>
  <c r="AC38" i="9" s="1" a="1"/>
  <c r="AC38" i="9" s="1"/>
  <c r="I130" i="9"/>
  <c r="Y37" i="9" s="1" a="1"/>
  <c r="Y37" i="9" s="1"/>
  <c r="K80" i="9" a="1"/>
  <c r="K80" i="9" s="1"/>
  <c r="L101" i="9"/>
  <c r="AB8" i="9" s="1" a="1"/>
  <c r="AB8" i="9" s="1"/>
  <c r="I59" i="9" a="1"/>
  <c r="I59" i="9" s="1"/>
  <c r="N112" i="9"/>
  <c r="AD19" i="9" s="1" a="1"/>
  <c r="AD19" i="9" s="1"/>
  <c r="N103" i="9"/>
  <c r="AD10" i="9" s="1" a="1"/>
  <c r="AD10" i="9" s="1"/>
  <c r="J112" i="9"/>
  <c r="Z19" i="9" s="1" a="1"/>
  <c r="Z19" i="9" s="1"/>
  <c r="N130" i="9"/>
  <c r="AD37" i="9" s="1" a="1"/>
  <c r="AD37" i="9" s="1"/>
  <c r="G134" i="9"/>
  <c r="W41" i="9" s="1" a="1"/>
  <c r="W41" i="9" s="1"/>
  <c r="H113" i="9"/>
  <c r="X20" i="9" s="1" a="1"/>
  <c r="X20" i="9" s="1"/>
  <c r="G115" i="9"/>
  <c r="W22" i="9" s="1" a="1"/>
  <c r="W22" i="9" s="1"/>
  <c r="J54" i="9" a="1"/>
  <c r="J54" i="9" s="1"/>
  <c r="L102" i="9"/>
  <c r="AB9" i="9" s="1" a="1"/>
  <c r="AB9" i="9" s="1"/>
  <c r="C118" i="9"/>
  <c r="S25" i="9" s="1" a="1"/>
  <c r="S25" i="9" s="1"/>
  <c r="G108" i="9"/>
  <c r="W15" i="9" s="1" a="1"/>
  <c r="W15" i="9" s="1"/>
  <c r="I88" i="9" a="1"/>
  <c r="I88" i="9" s="1"/>
  <c r="H66" i="9" a="1"/>
  <c r="H66" i="9" s="1"/>
  <c r="I77" i="9" a="1"/>
  <c r="I77" i="9" s="1"/>
  <c r="L103" i="9"/>
  <c r="AB10" i="9" s="1" a="1"/>
  <c r="AB10" i="9" s="1"/>
  <c r="N134" i="9"/>
  <c r="AD41" i="9" s="1" a="1"/>
  <c r="AD41" i="9" s="1"/>
  <c r="G110" i="9"/>
  <c r="W17" i="9" s="1" a="1"/>
  <c r="W17" i="9" s="1"/>
  <c r="I57" i="9" a="1"/>
  <c r="I57" i="9" s="1"/>
  <c r="P52" i="9"/>
  <c r="C123" i="9"/>
  <c r="S30" i="9" s="1" a="1"/>
  <c r="S30" i="9" s="1"/>
  <c r="J130" i="9"/>
  <c r="Z37" i="9" s="1" a="1"/>
  <c r="Z37" i="9" s="1"/>
  <c r="E128" i="9"/>
  <c r="U35" i="9" s="1" a="1"/>
  <c r="U35" i="9" s="1"/>
  <c r="P74" i="9"/>
  <c r="P54" i="9"/>
  <c r="N72" i="9" a="1"/>
  <c r="N72" i="9" s="1"/>
  <c r="H115" i="9"/>
  <c r="X22" i="9" s="1" a="1"/>
  <c r="X22" i="9" s="1"/>
  <c r="H62" i="9" a="1"/>
  <c r="H62" i="9" s="1"/>
  <c r="L51" i="9" a="1"/>
  <c r="L51" i="9" s="1"/>
  <c r="L108" i="9"/>
  <c r="AB15" i="9" s="1" a="1"/>
  <c r="AB15" i="9" s="1"/>
  <c r="M126" i="9"/>
  <c r="AC33" i="9" s="1" a="1"/>
  <c r="AC33" i="9" s="1"/>
  <c r="C110" i="9"/>
  <c r="S17" i="9" s="1" a="1"/>
  <c r="S17" i="9" s="1"/>
  <c r="N53" i="9" a="1"/>
  <c r="N53" i="9" s="1"/>
  <c r="C130" i="9"/>
  <c r="S37" i="9" s="1" a="1"/>
  <c r="S37" i="9" s="1"/>
  <c r="H60" i="9" a="1"/>
  <c r="H60" i="9" s="1"/>
  <c r="J81" i="9" a="1"/>
  <c r="J81" i="9" s="1"/>
  <c r="K68" i="9" a="1"/>
  <c r="K68" i="9" s="1"/>
  <c r="E115" i="9"/>
  <c r="U22" i="9" s="1" a="1"/>
  <c r="U22" i="9" s="1"/>
  <c r="G74" i="9" a="1"/>
  <c r="G74" i="9" s="1"/>
  <c r="H105" i="9"/>
  <c r="X12" i="9" s="1" a="1"/>
  <c r="X12" i="9" s="1"/>
  <c r="K55" i="9" a="1"/>
  <c r="K55" i="9" s="1"/>
  <c r="M50" i="9" a="1"/>
  <c r="M50" i="9" s="1"/>
  <c r="I128" i="9"/>
  <c r="Y35" i="9" s="1" a="1"/>
  <c r="Y35" i="9" s="1"/>
  <c r="L124" i="9"/>
  <c r="AB31" i="9" s="1" a="1"/>
  <c r="AB31" i="9" s="1"/>
  <c r="K116" i="9"/>
  <c r="AA23" i="9" s="1" a="1"/>
  <c r="AA23" i="9" s="1"/>
  <c r="C127" i="9"/>
  <c r="S34" i="9" s="1" a="1"/>
  <c r="S34" i="9" s="1"/>
  <c r="J108" i="9"/>
  <c r="Z15" i="9" s="1" a="1"/>
  <c r="Z15" i="9" s="1"/>
  <c r="G72" i="9" a="1"/>
  <c r="G72" i="9" s="1"/>
  <c r="M111" i="9"/>
  <c r="AC18" i="9" s="1" a="1"/>
  <c r="AC18" i="9" s="1"/>
  <c r="M109" i="9"/>
  <c r="AC16" i="9" s="1" a="1"/>
  <c r="AC16" i="9" s="1"/>
  <c r="K70" i="9" a="1"/>
  <c r="K70" i="9" s="1"/>
  <c r="G102" i="9"/>
  <c r="W9" i="9" s="1" a="1"/>
  <c r="W9" i="9" s="1"/>
  <c r="P89" i="9"/>
  <c r="N88" i="9" a="1"/>
  <c r="N88" i="9" s="1"/>
  <c r="F126" i="9"/>
  <c r="V33" i="9" s="1" a="1"/>
  <c r="V33" i="9" s="1"/>
  <c r="K59" i="9" a="1"/>
  <c r="K59" i="9" s="1"/>
  <c r="P67" i="9"/>
  <c r="P134" i="9"/>
  <c r="AF41" i="9" s="1"/>
  <c r="B26" i="20" s="1"/>
  <c r="J107" i="9"/>
  <c r="Z14" i="9" s="1" a="1"/>
  <c r="Z14" i="9" s="1"/>
  <c r="N124" i="9"/>
  <c r="AD31" i="9" s="1" a="1"/>
  <c r="AD31" i="9" s="1"/>
  <c r="P121" i="9"/>
  <c r="AF28" i="9" s="1"/>
  <c r="B30" i="20" s="1"/>
  <c r="M134" i="9"/>
  <c r="AC41" i="9" s="1" a="1"/>
  <c r="AC41" i="9" s="1"/>
  <c r="C116" i="9"/>
  <c r="S23" i="9" s="1" a="1"/>
  <c r="S23" i="9" s="1"/>
  <c r="L77" i="9" a="1"/>
  <c r="L77" i="9" s="1"/>
  <c r="N75" i="9" a="1"/>
  <c r="N75" i="9" s="1"/>
  <c r="K78" i="9" a="1"/>
  <c r="K78" i="9" s="1"/>
  <c r="L52" i="9" a="1"/>
  <c r="L52" i="9" s="1"/>
  <c r="N57" i="9" a="1"/>
  <c r="N57" i="9" s="1"/>
  <c r="H128" i="9"/>
  <c r="X35" i="9" s="1" a="1"/>
  <c r="X35" i="9" s="1"/>
  <c r="P69" i="9"/>
  <c r="C129" i="9"/>
  <c r="S36" i="9" s="1" a="1"/>
  <c r="S36" i="9" s="1"/>
  <c r="E113" i="9"/>
  <c r="U20" i="9" s="1" a="1"/>
  <c r="U20" i="9" s="1"/>
  <c r="P80" i="9"/>
  <c r="L117" i="9"/>
  <c r="AB24" i="9" s="1" a="1"/>
  <c r="AB24" i="9" s="1"/>
  <c r="P83" i="9"/>
  <c r="N133" i="9"/>
  <c r="AD40" i="9" s="1" a="1"/>
  <c r="AD40" i="9" s="1"/>
  <c r="E106" i="9"/>
  <c r="U13" i="9" s="1" a="1"/>
  <c r="U13" i="9" s="1"/>
  <c r="K117" i="9"/>
  <c r="AA24" i="9" s="1" a="1"/>
  <c r="AA24" i="9" s="1"/>
  <c r="K56" i="9" a="1"/>
  <c r="K56" i="9" s="1"/>
  <c r="J75" i="9" a="1"/>
  <c r="J75" i="9" s="1"/>
  <c r="K75" i="9" a="1"/>
  <c r="K75" i="9" s="1"/>
  <c r="H64" i="9" a="1"/>
  <c r="H64" i="9" s="1"/>
  <c r="L54" i="9" a="1"/>
  <c r="L54" i="9" s="1"/>
  <c r="M89" i="9" a="1"/>
  <c r="M89" i="9" s="1"/>
  <c r="J88" i="9" a="1"/>
  <c r="J88" i="9" s="1"/>
  <c r="F107" i="9"/>
  <c r="V14" i="9" s="1" a="1"/>
  <c r="V14" i="9" s="1"/>
  <c r="P131" i="9"/>
  <c r="AF38" i="9" s="1"/>
  <c r="M125" i="9"/>
  <c r="AC32" i="9" s="1" a="1"/>
  <c r="AC32" i="9" s="1"/>
  <c r="M87" i="9" a="1"/>
  <c r="M87" i="9" s="1"/>
  <c r="B8" i="9"/>
  <c r="N67" i="9" a="1"/>
  <c r="N67" i="9" s="1"/>
  <c r="I114" i="9"/>
  <c r="Y21" i="9" s="1" a="1"/>
  <c r="Y21" i="9" s="1"/>
  <c r="G118" i="9"/>
  <c r="W25" i="9" s="1" a="1"/>
  <c r="W25" i="9" s="1"/>
  <c r="H103" i="9"/>
  <c r="X10" i="9" s="1" a="1"/>
  <c r="X10" i="9" s="1"/>
  <c r="D135" i="9"/>
  <c r="T42" i="9" s="1" a="1"/>
  <c r="T42" i="9" s="1"/>
  <c r="I123" i="9"/>
  <c r="Y30" i="9" s="1" a="1"/>
  <c r="Y30" i="9" s="1"/>
  <c r="N85" i="9" a="1"/>
  <c r="N85" i="9" s="1"/>
  <c r="G125" i="9"/>
  <c r="W32" i="9" s="1" a="1"/>
  <c r="W32" i="9" s="1"/>
  <c r="J133" i="9"/>
  <c r="Z40" i="9" s="1" a="1"/>
  <c r="Z40" i="9" s="1"/>
  <c r="L125" i="9"/>
  <c r="AB32" i="9" s="1" a="1"/>
  <c r="AB32" i="9" s="1"/>
  <c r="I68" i="9" a="1"/>
  <c r="I68" i="9" s="1"/>
  <c r="I132" i="9"/>
  <c r="Y39" i="9" s="1" a="1"/>
  <c r="Y39" i="9" s="1"/>
  <c r="N100" i="9"/>
  <c r="AD7" i="9" s="1" a="1"/>
  <c r="AD7" i="9" s="1"/>
  <c r="D124" i="9"/>
  <c r="T31" i="9" s="1" a="1"/>
  <c r="T31" i="9" s="1"/>
  <c r="I129" i="9"/>
  <c r="D126" i="9"/>
  <c r="T33" i="9" s="1" a="1"/>
  <c r="T33" i="9" s="1"/>
  <c r="I64" i="9" a="1"/>
  <c r="I64" i="9" s="1"/>
  <c r="E118" i="9"/>
  <c r="U25" i="9" s="1" a="1"/>
  <c r="U25" i="9" s="1"/>
  <c r="P132" i="9"/>
  <c r="AF39" i="9" s="1"/>
  <c r="B34" i="20" s="1"/>
  <c r="H107" i="9"/>
  <c r="X14" i="9" s="1" a="1"/>
  <c r="X14" i="9" s="1"/>
  <c r="M64" i="9" a="1"/>
  <c r="M64" i="9" s="1"/>
  <c r="I87" i="9" a="1"/>
  <c r="I87" i="9" s="1"/>
  <c r="AA43" i="9" a="1"/>
  <c r="AA43" i="9" s="1"/>
  <c r="AA44" i="9" a="1"/>
  <c r="AA44" i="9" s="1"/>
  <c r="G111" i="9"/>
  <c r="W18" i="9" s="1" a="1"/>
  <c r="W18" i="9" s="1"/>
  <c r="L64" i="9" a="1"/>
  <c r="L64" i="9" s="1"/>
  <c r="M110" i="9"/>
  <c r="AC17" i="9" s="1" a="1"/>
  <c r="AC17" i="9" s="1"/>
  <c r="G130" i="9"/>
  <c r="W37" i="9" s="1" a="1"/>
  <c r="W37" i="9" s="1"/>
  <c r="M85" i="9" a="1"/>
  <c r="M85" i="9" s="1"/>
  <c r="P114" i="9"/>
  <c r="AF21" i="9" s="1"/>
  <c r="B14" i="20" s="1"/>
  <c r="L83" i="9" a="1"/>
  <c r="L83" i="9" s="1"/>
  <c r="P103" i="9"/>
  <c r="AF10" i="9" s="1"/>
  <c r="B27" i="20" s="1"/>
  <c r="G68" i="9" a="1"/>
  <c r="G68" i="9" s="1"/>
  <c r="K67" i="9" a="1"/>
  <c r="K67" i="9" s="1"/>
  <c r="P76" i="9"/>
  <c r="N83" i="9" a="1"/>
  <c r="N83" i="9" s="1"/>
  <c r="P127" i="9"/>
  <c r="AF34" i="9" s="1"/>
  <c r="B7" i="20" s="1"/>
  <c r="M117" i="9"/>
  <c r="AC24" i="9" s="1" a="1"/>
  <c r="AC24" i="9" s="1"/>
  <c r="E135" i="9"/>
  <c r="U42" i="9" s="1" a="1"/>
  <c r="U42" i="9" s="1"/>
  <c r="H81" i="9" a="1"/>
  <c r="H81" i="9" s="1"/>
  <c r="K119" i="9"/>
  <c r="AA26" i="9" s="1" a="1"/>
  <c r="AA26" i="9" s="1"/>
  <c r="M79" i="9" a="1"/>
  <c r="M79" i="9" s="1"/>
  <c r="P117" i="9"/>
  <c r="AF24" i="9" s="1"/>
  <c r="B40" i="20" s="1"/>
  <c r="C112" i="9"/>
  <c r="S19" i="9" s="1" a="1"/>
  <c r="S19" i="9" s="1"/>
  <c r="H118" i="9"/>
  <c r="X25" i="9" s="1" a="1"/>
  <c r="X25" i="9" s="1"/>
  <c r="I56" i="9" a="1"/>
  <c r="I56" i="9" s="1"/>
  <c r="J129" i="9"/>
  <c r="Z36" i="9" s="1" a="1"/>
  <c r="Z36" i="9" s="1"/>
  <c r="I51" i="9" a="1"/>
  <c r="I51" i="9" s="1"/>
  <c r="J126" i="9"/>
  <c r="Z33" i="9" s="1" a="1"/>
  <c r="Z33" i="9" s="1"/>
  <c r="X43" i="9" a="1"/>
  <c r="X43" i="9" s="1"/>
  <c r="I63" i="9" a="1"/>
  <c r="I63" i="9" s="1"/>
  <c r="F103" i="9"/>
  <c r="V10" i="9" s="1" a="1"/>
  <c r="V10" i="9" s="1"/>
  <c r="I113" i="9"/>
  <c r="Y20" i="9" s="1" a="1"/>
  <c r="Y20" i="9" s="1"/>
  <c r="G112" i="9"/>
  <c r="W19" i="9" s="1" a="1"/>
  <c r="W19" i="9" s="1"/>
  <c r="M66" i="9" a="1"/>
  <c r="M66" i="9" s="1"/>
  <c r="M52" i="9" a="1"/>
  <c r="M52" i="9" s="1"/>
  <c r="M82" i="9" a="1"/>
  <c r="M82" i="9" s="1"/>
  <c r="P111" i="9"/>
  <c r="AF18" i="9" s="1"/>
  <c r="B18" i="20" s="1"/>
  <c r="E123" i="9"/>
  <c r="U30" i="9" s="1" a="1"/>
  <c r="U30" i="9" s="1"/>
  <c r="J78" i="9" a="1"/>
  <c r="J78" i="9" s="1"/>
  <c r="M76" i="9" a="1"/>
  <c r="M76" i="9" s="1"/>
  <c r="P63" i="9"/>
  <c r="P135" i="9"/>
  <c r="AF42" i="9" s="1"/>
  <c r="B10" i="20" s="1"/>
  <c r="K106" i="9"/>
  <c r="AA13" i="9" s="1" a="1"/>
  <c r="AA13" i="9" s="1"/>
  <c r="K120" i="9"/>
  <c r="AA27" i="9" s="1" a="1"/>
  <c r="AA27" i="9" s="1"/>
  <c r="I115" i="9"/>
  <c r="Y22" i="9" s="1" a="1"/>
  <c r="Y22" i="9" s="1"/>
  <c r="I82" i="9" a="1"/>
  <c r="I82" i="9" s="1"/>
  <c r="E127" i="9"/>
  <c r="U34" i="9" s="1" a="1"/>
  <c r="U34" i="9" s="1"/>
  <c r="J64" i="9" a="1"/>
  <c r="J64" i="9" s="1"/>
  <c r="J103" i="9"/>
  <c r="Z10" i="9" s="1" a="1"/>
  <c r="Z10" i="9" s="1"/>
  <c r="M129" i="9"/>
  <c r="AC36" i="9" s="1" a="1"/>
  <c r="AC36" i="9" s="1"/>
  <c r="I52" i="9" a="1"/>
  <c r="I52" i="9" s="1"/>
  <c r="L76" i="9" a="1"/>
  <c r="L76" i="9" s="1"/>
  <c r="J110" i="9"/>
  <c r="Z17" i="9" s="1" a="1"/>
  <c r="Z17" i="9" s="1"/>
  <c r="M81" i="9" a="1"/>
  <c r="M81" i="9" s="1"/>
  <c r="D128" i="9"/>
  <c r="T35" i="9" s="1" a="1"/>
  <c r="T35" i="9" s="1"/>
  <c r="L82" i="9" a="1"/>
  <c r="L82" i="9" s="1"/>
  <c r="U31" i="9" a="1"/>
  <c r="U31" i="9" s="1"/>
  <c r="P101" i="9"/>
  <c r="AF8" i="9" s="1"/>
  <c r="B22" i="20" s="1"/>
  <c r="G104" i="9"/>
  <c r="W11" i="9" s="1" a="1"/>
  <c r="W11" i="9" s="1"/>
  <c r="J50" i="9" a="1"/>
  <c r="J50" i="9" s="1"/>
  <c r="F110" i="9"/>
  <c r="V17" i="9" s="1" a="1"/>
  <c r="V17" i="9" s="1"/>
  <c r="C126" i="9"/>
  <c r="S33" i="9" s="1" a="1"/>
  <c r="S33" i="9" s="1"/>
  <c r="I125" i="9"/>
  <c r="Y32" i="9" s="1" a="1"/>
  <c r="Y32" i="9" s="1"/>
  <c r="K118" i="9"/>
  <c r="AA25" i="9" s="1" a="1"/>
  <c r="AA25" i="9" s="1"/>
  <c r="C115" i="9"/>
  <c r="S22" i="9" s="1" a="1"/>
  <c r="S22" i="9" s="1"/>
  <c r="K77" i="9" a="1"/>
  <c r="K77" i="9" s="1"/>
  <c r="D106" i="9"/>
  <c r="T13" i="9" s="1" a="1"/>
  <c r="T13" i="9" s="1"/>
  <c r="V20" i="9" a="1"/>
  <c r="V20" i="9" s="1"/>
  <c r="P62" i="9"/>
  <c r="D122" i="9"/>
  <c r="T29" i="9" s="1" a="1"/>
  <c r="T29" i="9" s="1"/>
  <c r="P126" i="9"/>
  <c r="AF33" i="9" s="1"/>
  <c r="B24" i="20" s="1"/>
  <c r="Y23" i="9" a="1"/>
  <c r="Y23" i="9" s="1"/>
  <c r="K61" i="9" a="1"/>
  <c r="K61" i="9" s="1"/>
  <c r="B10" i="9"/>
  <c r="P79" i="9"/>
  <c r="L119" i="9"/>
  <c r="AB26" i="9" s="1" a="1"/>
  <c r="AB26" i="9" s="1"/>
  <c r="P81" i="9"/>
  <c r="K103" i="9"/>
  <c r="AA10" i="9" s="1" a="1"/>
  <c r="AA10" i="9" s="1"/>
  <c r="L121" i="9"/>
  <c r="AB28" i="9" s="1" a="1"/>
  <c r="AB28" i="9" s="1"/>
  <c r="J115" i="9"/>
  <c r="Z22" i="9" s="1" a="1"/>
  <c r="Z22" i="9" s="1"/>
  <c r="G73" i="9" a="1"/>
  <c r="G73" i="9" s="1"/>
  <c r="E103" i="9"/>
  <c r="U10" i="9" s="1" a="1"/>
  <c r="U10" i="9" s="1"/>
  <c r="Y19" i="9" a="1"/>
  <c r="Y19" i="9" s="1"/>
  <c r="B6" i="9"/>
  <c r="L123" i="9"/>
  <c r="AB30" i="9" s="1" a="1"/>
  <c r="AB30" i="9" s="1"/>
  <c r="J122" i="9"/>
  <c r="Z29" i="9" s="1" a="1"/>
  <c r="Z29" i="9" s="1"/>
  <c r="K72" i="9" a="1"/>
  <c r="K72" i="9" s="1"/>
  <c r="J51" i="9" a="1"/>
  <c r="J51" i="9" s="1"/>
  <c r="L50" i="9" a="1"/>
  <c r="L50" i="9" s="1"/>
  <c r="N82" i="9" a="1"/>
  <c r="N82" i="9" s="1"/>
  <c r="H104" i="9"/>
  <c r="X11" i="9" s="1" a="1"/>
  <c r="X11" i="9" s="1"/>
  <c r="J55" i="9" a="1"/>
  <c r="J55" i="9" s="1"/>
  <c r="M103" i="9"/>
  <c r="AC10" i="9" s="1" a="1"/>
  <c r="AC10" i="9" s="1"/>
  <c r="F134" i="9"/>
  <c r="V41" i="9" s="1" a="1"/>
  <c r="V41" i="9" s="1"/>
  <c r="D132" i="9"/>
  <c r="T39" i="9" s="1" a="1"/>
  <c r="T39" i="9" s="1"/>
  <c r="K129" i="9"/>
  <c r="AA36" i="9" s="1" a="1"/>
  <c r="AA36" i="9" s="1"/>
  <c r="H117" i="9"/>
  <c r="X24" i="9" s="1" a="1"/>
  <c r="X24" i="9" s="1"/>
  <c r="M60" i="9" a="1"/>
  <c r="M60" i="9" s="1"/>
  <c r="N135" i="9"/>
  <c r="AD42" i="9" s="1" a="1"/>
  <c r="AD42" i="9" s="1"/>
  <c r="I133" i="9"/>
  <c r="Y40" i="9" s="1" a="1"/>
  <c r="Y40" i="9" s="1"/>
  <c r="N120" i="9"/>
  <c r="AD27" i="9" s="1" a="1"/>
  <c r="AD27" i="9" s="1"/>
  <c r="I121" i="9"/>
  <c r="Y28" i="9" s="1" a="1"/>
  <c r="Y28" i="9" s="1"/>
  <c r="K58" i="9" a="1"/>
  <c r="K58" i="9" s="1"/>
  <c r="M119" i="9"/>
  <c r="AC26" i="9" s="1" a="1"/>
  <c r="AC26" i="9" s="1"/>
  <c r="D112" i="9"/>
  <c r="T19" i="9" s="1" a="1"/>
  <c r="T19" i="9" s="1"/>
  <c r="K131" i="9"/>
  <c r="M56" i="9" a="1"/>
  <c r="M56" i="9" s="1"/>
  <c r="K83" i="9" a="1"/>
  <c r="K83" i="9" s="1"/>
  <c r="N128" i="9"/>
  <c r="AD35" i="9" s="1" a="1"/>
  <c r="AD35" i="9" s="1"/>
  <c r="G99" i="9"/>
  <c r="H100" i="9"/>
  <c r="X7" i="9" s="1" a="1"/>
  <c r="X7" i="9" s="1"/>
  <c r="AC43" i="9" a="1"/>
  <c r="AC43" i="9" s="1"/>
  <c r="N87" i="9" a="1"/>
  <c r="N87" i="9" s="1"/>
  <c r="I79" i="9" a="1"/>
  <c r="I79" i="9" s="1"/>
  <c r="F122" i="9"/>
  <c r="V29" i="9" s="1" a="1"/>
  <c r="V29" i="9" s="1"/>
  <c r="H116" i="9"/>
  <c r="X23" i="9" s="1" a="1"/>
  <c r="X23" i="9" s="1"/>
  <c r="L70" i="9" a="1"/>
  <c r="L70" i="9" s="1"/>
  <c r="L106" i="9"/>
  <c r="AB13" i="9" s="1" a="1"/>
  <c r="AB13" i="9" s="1"/>
  <c r="G78" i="9" a="1"/>
  <c r="G78" i="9" s="1"/>
  <c r="C125" i="9"/>
  <c r="S32" i="9" s="1" a="1"/>
  <c r="S32" i="9" s="1"/>
  <c r="G119" i="9"/>
  <c r="W26" i="9" s="1" a="1"/>
  <c r="W26" i="9" s="1"/>
  <c r="E110" i="9"/>
  <c r="U17" i="9" s="1" a="1"/>
  <c r="U17" i="9" s="1"/>
  <c r="G113" i="9"/>
  <c r="W20" i="9" s="1" a="1"/>
  <c r="W20" i="9" s="1"/>
  <c r="F101" i="9"/>
  <c r="V8" i="9" s="1" a="1"/>
  <c r="V8" i="9" s="1"/>
  <c r="V31" i="9" a="1"/>
  <c r="V31" i="9" s="1"/>
  <c r="M74" i="9" a="1"/>
  <c r="M74" i="9" s="1"/>
  <c r="B3" i="9"/>
  <c r="F117" i="9"/>
  <c r="V24" i="9" s="1" a="1"/>
  <c r="V24" i="9" s="1"/>
  <c r="D110" i="9"/>
  <c r="T17" i="9" s="1" a="1"/>
  <c r="T17" i="9" s="1"/>
  <c r="F102" i="9"/>
  <c r="V9" i="9" s="1" a="1"/>
  <c r="V9" i="9" s="1"/>
  <c r="P88" i="9"/>
  <c r="H89" i="9" a="1"/>
  <c r="H89" i="9" s="1"/>
  <c r="M67" i="9" a="1"/>
  <c r="M67" i="9" s="1"/>
  <c r="P129" i="9"/>
  <c r="AF36" i="9" s="1"/>
  <c r="B17" i="20" s="1"/>
  <c r="C105" i="9"/>
  <c r="S12" i="9" s="1" a="1"/>
  <c r="S12" i="9" s="1"/>
  <c r="G62" i="9" a="1"/>
  <c r="G62" i="9" s="1"/>
  <c r="K107" i="9"/>
  <c r="AA14" i="9" s="1" a="1"/>
  <c r="AA14" i="9" s="1"/>
  <c r="F132" i="9"/>
  <c r="V39" i="9" s="1" a="1"/>
  <c r="V39" i="9" s="1"/>
  <c r="L87" i="9" a="1"/>
  <c r="L87" i="9" s="1"/>
  <c r="N104" i="9"/>
  <c r="AD11" i="9" s="1" a="1"/>
  <c r="AD11" i="9" s="1"/>
  <c r="P51" i="9"/>
  <c r="E107" i="9"/>
  <c r="U14" i="9" s="1" a="1"/>
  <c r="U14" i="9" s="1"/>
  <c r="D129" i="9"/>
  <c r="T36" i="9" s="1" a="1"/>
  <c r="T36" i="9" s="1"/>
  <c r="N70" i="9" a="1"/>
  <c r="N70" i="9" s="1"/>
  <c r="U27" i="9" a="1"/>
  <c r="U27" i="9" s="1"/>
  <c r="M53" i="9" a="1"/>
  <c r="M53" i="9" s="1"/>
  <c r="F108" i="9"/>
  <c r="V15" i="9" s="1" a="1"/>
  <c r="V15" i="9" s="1"/>
  <c r="D123" i="9"/>
  <c r="T30" i="9" s="1" a="1"/>
  <c r="T30" i="9" s="1"/>
  <c r="L62" i="9" a="1"/>
  <c r="L62" i="9" s="1"/>
  <c r="N77" i="9" a="1"/>
  <c r="N77" i="9" s="1"/>
  <c r="M135" i="9"/>
  <c r="AC42" i="9" s="1" a="1"/>
  <c r="AC42" i="9" s="1"/>
  <c r="J118" i="9"/>
  <c r="Z25" i="9" s="1" a="1"/>
  <c r="Z25" i="9" s="1"/>
  <c r="J58" i="9" a="1"/>
  <c r="J58" i="9" s="1"/>
  <c r="G80" i="9" a="1"/>
  <c r="G80" i="9" s="1"/>
  <c r="L135" i="9"/>
  <c r="AB42" i="9" s="1" a="1"/>
  <c r="AB42" i="9" s="1"/>
  <c r="I76" i="9" a="1"/>
  <c r="I76" i="9" s="1"/>
  <c r="J119" i="9"/>
  <c r="Z26" i="9" s="1" a="1"/>
  <c r="Z26" i="9" s="1"/>
  <c r="M100" i="9"/>
  <c r="AC7" i="9" s="1" a="1"/>
  <c r="AC7" i="9" s="1"/>
  <c r="M88" i="9" a="1"/>
  <c r="M88" i="9" s="1"/>
  <c r="L105" i="9"/>
  <c r="AB12" i="9" s="1" a="1"/>
  <c r="AB12" i="9" s="1"/>
  <c r="K66" i="9" a="1"/>
  <c r="K66" i="9" s="1"/>
  <c r="Z44" i="9" a="1"/>
  <c r="Z44" i="9" s="1"/>
  <c r="A26" i="21"/>
  <c r="B26" i="21" s="1"/>
  <c r="A15" i="21"/>
  <c r="B15" i="21" s="1"/>
  <c r="A24" i="20"/>
  <c r="A4" i="21"/>
  <c r="B4" i="21" s="1"/>
  <c r="A32" i="21"/>
  <c r="B32" i="21" s="1"/>
  <c r="A18" i="20"/>
  <c r="A31" i="20"/>
  <c r="A19" i="20"/>
  <c r="A42" i="21"/>
  <c r="B42" i="21" s="1"/>
  <c r="A9" i="21"/>
  <c r="B9" i="21" s="1"/>
  <c r="A23" i="21"/>
  <c r="B23" i="21" s="1"/>
  <c r="A5" i="20"/>
  <c r="A32" i="20"/>
  <c r="A12" i="20"/>
  <c r="G81" i="9" a="1"/>
  <c r="G81" i="9" s="1"/>
  <c r="G55" i="9" a="1"/>
  <c r="G55" i="9" s="1"/>
  <c r="H71" i="9" a="1"/>
  <c r="H71" i="9" s="1"/>
  <c r="G89" i="9" a="1"/>
  <c r="G89" i="9" s="1"/>
  <c r="A37" i="21"/>
  <c r="B37" i="21" s="1"/>
  <c r="A40" i="21"/>
  <c r="B40" i="21" s="1"/>
  <c r="A39" i="21"/>
  <c r="B39" i="21" s="1"/>
  <c r="A17" i="20"/>
  <c r="G66" i="9" a="1"/>
  <c r="G66" i="9" s="1"/>
  <c r="L66" i="9" a="1"/>
  <c r="L66" i="9" s="1"/>
  <c r="I345" i="1" a="1"/>
  <c r="I345" i="1" s="1"/>
  <c r="E12" i="8" s="1"/>
  <c r="AD22" i="9" a="1"/>
  <c r="AD22" i="9" s="1"/>
  <c r="H69" i="9" a="1"/>
  <c r="H69" i="9" s="1"/>
  <c r="H50" i="9" a="1"/>
  <c r="H50" i="9" s="1"/>
  <c r="H84" i="9" a="1"/>
  <c r="H84" i="9" s="1"/>
  <c r="N78" i="9" a="1"/>
  <c r="N78" i="9" s="1"/>
  <c r="H57" i="9" a="1"/>
  <c r="H57" i="9" s="1"/>
  <c r="J345" i="1" a="1"/>
  <c r="J345" i="1" s="1"/>
  <c r="G49" i="9" a="1"/>
  <c r="G49" i="9" s="1"/>
  <c r="H86" i="9" a="1"/>
  <c r="H86" i="9" s="1"/>
  <c r="X42" i="9" a="1"/>
  <c r="X42" i="9" s="1"/>
  <c r="G69" i="9" a="1"/>
  <c r="G69" i="9" s="1"/>
  <c r="G85" i="9" a="1"/>
  <c r="G85" i="9" s="1"/>
  <c r="H59" i="9" a="1"/>
  <c r="H59" i="9" s="1"/>
  <c r="H82" i="9" a="1"/>
  <c r="H82" i="9" s="1"/>
  <c r="G59" i="9" a="1"/>
  <c r="G59" i="9" s="1"/>
  <c r="AB36" i="9" a="1"/>
  <c r="AB36" i="9" s="1"/>
  <c r="L80" i="9" a="1"/>
  <c r="L80" i="9" s="1"/>
  <c r="G51" i="9" a="1"/>
  <c r="G51" i="9" s="1"/>
  <c r="J82" i="9" a="1"/>
  <c r="J82" i="9" s="1"/>
  <c r="Z38" i="9" a="1"/>
  <c r="Z38" i="9" s="1"/>
  <c r="N68" i="9" a="1"/>
  <c r="N68" i="9" s="1"/>
  <c r="AD12" i="9" a="1"/>
  <c r="AD12" i="9" s="1"/>
  <c r="G86" i="9" a="1"/>
  <c r="G86" i="9" s="1"/>
  <c r="G82" i="9" a="1"/>
  <c r="G82" i="9" s="1"/>
  <c r="A41" i="21"/>
  <c r="B41" i="21" s="1"/>
  <c r="AD34" i="9" a="1"/>
  <c r="AD34" i="9" s="1"/>
  <c r="N80" i="9" a="1"/>
  <c r="N80" i="9" s="1"/>
  <c r="N66" i="9" a="1"/>
  <c r="N66" i="9" s="1"/>
  <c r="N89" i="9" a="1"/>
  <c r="N89" i="9" s="1"/>
  <c r="H80" i="9" a="1"/>
  <c r="H80" i="9" s="1"/>
  <c r="K345" i="1"/>
  <c r="H49" i="9" a="1"/>
  <c r="H49" i="9" s="1"/>
  <c r="F98" i="9"/>
  <c r="V5" i="9" s="1" a="1"/>
  <c r="V5" i="9" s="1"/>
  <c r="G98" i="9"/>
  <c r="K49" i="9" a="1"/>
  <c r="K49" i="9" s="1"/>
  <c r="G88" i="9" a="1"/>
  <c r="G88" i="9" s="1"/>
  <c r="W44" i="9" a="1"/>
  <c r="W44" i="9" s="1"/>
  <c r="X27" i="9" a="1"/>
  <c r="X27" i="9" s="1"/>
  <c r="X13" i="9" a="1"/>
  <c r="X13" i="9" s="1"/>
  <c r="D2" i="2"/>
  <c r="K6" i="17" l="1"/>
  <c r="F1138" i="17"/>
  <c r="N7" i="17"/>
  <c r="P7" i="17" s="1"/>
  <c r="L22" i="22"/>
  <c r="H42" i="7"/>
  <c r="F148" i="18"/>
  <c r="C11" i="8"/>
  <c r="C14" i="8" s="1"/>
  <c r="C4" i="10" s="1"/>
  <c r="C15" i="10" s="1"/>
  <c r="C17" i="10" s="1"/>
  <c r="H223" i="1"/>
  <c r="H240" i="1"/>
  <c r="H129" i="1"/>
  <c r="H148" i="1"/>
  <c r="H262" i="1"/>
  <c r="H285" i="1"/>
  <c r="H269" i="1"/>
  <c r="C12" i="19" a="1"/>
  <c r="C12" i="19" s="1"/>
  <c r="N98" i="9"/>
  <c r="AD5" i="9" s="1" a="1"/>
  <c r="AD5" i="9" s="1"/>
  <c r="J98" i="9"/>
  <c r="Z5" i="9" s="1" a="1"/>
  <c r="Z5" i="9" s="1"/>
  <c r="M49" i="9" a="1"/>
  <c r="M49" i="9" s="1"/>
  <c r="E9" i="9"/>
  <c r="I49" i="9" a="1"/>
  <c r="I49" i="9" s="1"/>
  <c r="E17" i="9"/>
  <c r="E5" i="9"/>
  <c r="C16" i="9"/>
  <c r="D12" i="19" a="1"/>
  <c r="D12" i="19" s="1"/>
  <c r="A2" i="20"/>
  <c r="C12" i="9"/>
  <c r="O124" i="9"/>
  <c r="Q124" i="9" s="1"/>
  <c r="E15" i="9"/>
  <c r="D8" i="19" a="1"/>
  <c r="D8" i="19" s="1"/>
  <c r="O127" i="9"/>
  <c r="D10" i="19" a="1"/>
  <c r="D10" i="19" s="1"/>
  <c r="E11" i="9"/>
  <c r="O110" i="9"/>
  <c r="Q110" i="9" s="1"/>
  <c r="O134" i="9"/>
  <c r="O114" i="9"/>
  <c r="Q114" i="9" s="1"/>
  <c r="O111" i="9"/>
  <c r="Q111" i="9" s="1"/>
  <c r="H116" i="1"/>
  <c r="H115" i="1"/>
  <c r="H266" i="1"/>
  <c r="H167" i="1"/>
  <c r="H257" i="1"/>
  <c r="H259" i="1"/>
  <c r="H135" i="1"/>
  <c r="H170" i="1"/>
  <c r="H154" i="1"/>
  <c r="H121" i="1"/>
  <c r="H112" i="1"/>
  <c r="H156" i="1"/>
  <c r="H158" i="1"/>
  <c r="H165" i="1"/>
  <c r="H168" i="1"/>
  <c r="H166" i="1"/>
  <c r="H169" i="1"/>
  <c r="H164" i="1"/>
  <c r="H161" i="1"/>
  <c r="H206" i="1"/>
  <c r="H194" i="1"/>
  <c r="H243" i="1"/>
  <c r="H237" i="1"/>
  <c r="H162" i="1"/>
  <c r="H160" i="1"/>
  <c r="H268" i="1"/>
  <c r="H280" i="1"/>
  <c r="H271" i="1"/>
  <c r="H270" i="1"/>
  <c r="O71" i="9"/>
  <c r="Q71" i="9" s="1"/>
  <c r="C14" i="9"/>
  <c r="O109" i="9"/>
  <c r="Q109" i="9" s="1"/>
  <c r="O115" i="9"/>
  <c r="Q115" i="9" s="1"/>
  <c r="O118" i="9"/>
  <c r="Q118" i="9" s="1"/>
  <c r="O65" i="9"/>
  <c r="Q65" i="9" s="1"/>
  <c r="O129" i="9"/>
  <c r="Q129" i="9" s="1"/>
  <c r="O123" i="9"/>
  <c r="Q123" i="9" s="1"/>
  <c r="O116" i="9"/>
  <c r="Q116" i="9" s="1"/>
  <c r="O104" i="9"/>
  <c r="Q104" i="9" s="1"/>
  <c r="O100" i="9"/>
  <c r="Q100" i="9" s="1"/>
  <c r="Q127" i="9"/>
  <c r="P49" i="9"/>
  <c r="D98" i="9"/>
  <c r="N49" i="9" a="1"/>
  <c r="N49" i="9" s="1"/>
  <c r="E49" i="9" a="1"/>
  <c r="E49" i="9" s="1"/>
  <c r="L98" i="9"/>
  <c r="AB5" i="9" s="1" a="1"/>
  <c r="AB5" i="9" s="1"/>
  <c r="K98" i="9"/>
  <c r="AA5" i="9" s="1" a="1"/>
  <c r="AA5" i="9" s="1"/>
  <c r="C98" i="9"/>
  <c r="S5" i="9" s="1" a="1"/>
  <c r="S5" i="9" s="1"/>
  <c r="M98" i="9"/>
  <c r="AC5" i="9" s="1" a="1"/>
  <c r="AC5" i="9" s="1"/>
  <c r="E98" i="9"/>
  <c r="C49" i="9" a="1"/>
  <c r="C49" i="9" s="1"/>
  <c r="F49" i="9" a="1"/>
  <c r="F49" i="9" s="1"/>
  <c r="O133" i="9"/>
  <c r="C13" i="9"/>
  <c r="O130" i="9"/>
  <c r="Q130" i="9" s="1"/>
  <c r="AE8" i="9"/>
  <c r="AG8" i="9" s="1"/>
  <c r="C22" i="20" s="1"/>
  <c r="O54" i="9"/>
  <c r="Q54" i="9" s="1"/>
  <c r="O61" i="9"/>
  <c r="Q61" i="9" s="1"/>
  <c r="O84" i="9"/>
  <c r="Q84" i="9" s="1"/>
  <c r="O55" i="9"/>
  <c r="Q55" i="9" s="1"/>
  <c r="O76" i="9"/>
  <c r="Q76" i="9" s="1"/>
  <c r="AE40" i="9"/>
  <c r="AG40" i="9" s="1"/>
  <c r="C25" i="20" s="1"/>
  <c r="AE34" i="9"/>
  <c r="AG34" i="9" s="1"/>
  <c r="C7" i="20" s="1"/>
  <c r="AE32" i="9"/>
  <c r="AG32" i="9" s="1"/>
  <c r="C13" i="20" s="1"/>
  <c r="O57" i="9"/>
  <c r="Q57" i="9" s="1"/>
  <c r="O113" i="9"/>
  <c r="Q113" i="9" s="1"/>
  <c r="O121" i="9"/>
  <c r="Q121" i="9" s="1"/>
  <c r="O119" i="9"/>
  <c r="Q119" i="9" s="1"/>
  <c r="O79" i="9"/>
  <c r="Q79" i="9" s="1"/>
  <c r="O125" i="9"/>
  <c r="Q125" i="9" s="1"/>
  <c r="O81" i="9"/>
  <c r="Q81" i="9" s="1"/>
  <c r="AE21" i="9"/>
  <c r="AG21" i="9" s="1"/>
  <c r="C14" i="20" s="1"/>
  <c r="O63" i="9"/>
  <c r="Q63" i="9" s="1"/>
  <c r="AE26" i="9"/>
  <c r="AG26" i="9" s="1"/>
  <c r="C32" i="20" s="1"/>
  <c r="O83" i="9"/>
  <c r="Q83" i="9" s="1"/>
  <c r="AE14" i="9"/>
  <c r="AG14" i="9" s="1"/>
  <c r="C11" i="20" s="1"/>
  <c r="AE29" i="9"/>
  <c r="AG29" i="9" s="1"/>
  <c r="C28" i="20" s="1"/>
  <c r="AE31" i="9"/>
  <c r="AG31" i="9" s="1"/>
  <c r="C36" i="20" s="1"/>
  <c r="AE9" i="9"/>
  <c r="AG9" i="9" s="1"/>
  <c r="C33" i="20" s="1"/>
  <c r="AE23" i="9"/>
  <c r="AG23" i="9" s="1"/>
  <c r="C8" i="20" s="1"/>
  <c r="O73" i="9"/>
  <c r="Q73" i="9" s="1"/>
  <c r="O58" i="9"/>
  <c r="Q58" i="9" s="1"/>
  <c r="O52" i="9"/>
  <c r="Q52" i="9" s="1"/>
  <c r="O72" i="9"/>
  <c r="Q72" i="9" s="1"/>
  <c r="AE28" i="9"/>
  <c r="AG28" i="9" s="1"/>
  <c r="C30" i="20" s="1"/>
  <c r="O60" i="9"/>
  <c r="Q60" i="9" s="1"/>
  <c r="O74" i="9"/>
  <c r="Q74" i="9" s="1"/>
  <c r="AE24" i="9"/>
  <c r="AG24" i="9" s="1"/>
  <c r="C40" i="20" s="1"/>
  <c r="AE37" i="9"/>
  <c r="AG37" i="9" s="1"/>
  <c r="C21" i="20" s="1"/>
  <c r="AE18" i="9"/>
  <c r="AG18" i="9" s="1"/>
  <c r="C18" i="20" s="1"/>
  <c r="O53" i="9"/>
  <c r="Q53" i="9" s="1"/>
  <c r="AE33" i="9"/>
  <c r="AG33" i="9" s="1"/>
  <c r="C24" i="20" s="1"/>
  <c r="O87" i="9"/>
  <c r="Q87" i="9" s="1"/>
  <c r="O75" i="9"/>
  <c r="Q75" i="9" s="1"/>
  <c r="AE35" i="9"/>
  <c r="AG35" i="9" s="1"/>
  <c r="C39" i="20" s="1"/>
  <c r="O67" i="9"/>
  <c r="Q67" i="9" s="1"/>
  <c r="O78" i="9"/>
  <c r="Q78" i="9" s="1"/>
  <c r="AE42" i="9"/>
  <c r="AG42" i="9" s="1"/>
  <c r="C10" i="20" s="1"/>
  <c r="O56" i="9"/>
  <c r="Q56" i="9" s="1"/>
  <c r="AE30" i="9"/>
  <c r="AG30" i="9" s="1"/>
  <c r="C15" i="20" s="1"/>
  <c r="AE19" i="9"/>
  <c r="AG19" i="9" s="1"/>
  <c r="C38" i="20" s="1"/>
  <c r="O64" i="9"/>
  <c r="Q64" i="9" s="1"/>
  <c r="O85" i="9"/>
  <c r="Q85" i="9" s="1"/>
  <c r="O70" i="9"/>
  <c r="Q70" i="9" s="1"/>
  <c r="O77" i="9"/>
  <c r="Q77" i="9" s="1"/>
  <c r="AE20" i="9"/>
  <c r="AG20" i="9" s="1"/>
  <c r="C37" i="20" s="1"/>
  <c r="O51" i="9"/>
  <c r="Q51" i="9" s="1"/>
  <c r="O50" i="9"/>
  <c r="Q50" i="9" s="1"/>
  <c r="O62" i="9"/>
  <c r="Q62" i="9" s="1"/>
  <c r="AE17" i="9"/>
  <c r="AG17" i="9" s="1"/>
  <c r="C31" i="20" s="1"/>
  <c r="AE27" i="9"/>
  <c r="AG27" i="9" s="1"/>
  <c r="C19" i="20" s="1"/>
  <c r="O126" i="9"/>
  <c r="Q126" i="9" s="1"/>
  <c r="AE15" i="9"/>
  <c r="AG15" i="9" s="1"/>
  <c r="C4" i="20" s="1"/>
  <c r="AE25" i="9"/>
  <c r="AG25" i="9" s="1"/>
  <c r="C16" i="20" s="1"/>
  <c r="O103" i="9"/>
  <c r="Q103" i="9" s="1"/>
  <c r="O66" i="9"/>
  <c r="Q66" i="9" s="1"/>
  <c r="AE16" i="9"/>
  <c r="AG16" i="9" s="1"/>
  <c r="C12" i="20" s="1"/>
  <c r="O117" i="9"/>
  <c r="Q117" i="9" s="1"/>
  <c r="O128" i="9"/>
  <c r="Q128" i="9" s="1"/>
  <c r="AE41" i="9"/>
  <c r="AG41" i="9" s="1"/>
  <c r="C26" i="20" s="1"/>
  <c r="O135" i="9"/>
  <c r="O122" i="9"/>
  <c r="Q122" i="9" s="1"/>
  <c r="AE10" i="9"/>
  <c r="AG10" i="9" s="1"/>
  <c r="C27" i="20" s="1"/>
  <c r="O112" i="9"/>
  <c r="Q112" i="9" s="1"/>
  <c r="W6" i="9" a="1"/>
  <c r="W6" i="9" s="1"/>
  <c r="AE6" i="9" s="1"/>
  <c r="AG6" i="9" s="1"/>
  <c r="C6" i="20" s="1"/>
  <c r="O99" i="9"/>
  <c r="Q99" i="9" s="1"/>
  <c r="E2" i="9"/>
  <c r="C2" i="9"/>
  <c r="AE12" i="9"/>
  <c r="AG12" i="9" s="1"/>
  <c r="C23" i="20" s="1"/>
  <c r="O69" i="9"/>
  <c r="Q69" i="9" s="1"/>
  <c r="AE11" i="9"/>
  <c r="AG11" i="9" s="1"/>
  <c r="C5" i="20" s="1"/>
  <c r="C10" i="9"/>
  <c r="E10" i="9"/>
  <c r="C8" i="9"/>
  <c r="E8" i="9"/>
  <c r="O108" i="9"/>
  <c r="Q108" i="9" s="1"/>
  <c r="O102" i="9"/>
  <c r="Q102" i="9" s="1"/>
  <c r="C7" i="9"/>
  <c r="E7" i="9" a="1"/>
  <c r="E7" i="9" s="1"/>
  <c r="O105" i="9"/>
  <c r="Q105" i="9" s="1"/>
  <c r="B3" i="20"/>
  <c r="E18" i="19" a="1"/>
  <c r="E18" i="19" s="1"/>
  <c r="Y36" i="9" a="1"/>
  <c r="Y36" i="9" s="1"/>
  <c r="AE36" i="9" s="1"/>
  <c r="AG36" i="9" s="1"/>
  <c r="C17" i="20" s="1"/>
  <c r="W39" i="9" a="1"/>
  <c r="W39" i="9" s="1"/>
  <c r="AE39" i="9" s="1"/>
  <c r="AG39" i="9" s="1"/>
  <c r="C34" i="20" s="1"/>
  <c r="O132" i="9"/>
  <c r="Q132" i="9" s="1"/>
  <c r="O68" i="9"/>
  <c r="Q68" i="9" s="1"/>
  <c r="C3" i="9"/>
  <c r="E3" i="9"/>
  <c r="O131" i="9"/>
  <c r="Q131" i="9" s="1"/>
  <c r="AA38" i="9" a="1"/>
  <c r="AA38" i="9" s="1"/>
  <c r="AE38" i="9" s="1"/>
  <c r="AG38" i="9" s="1"/>
  <c r="O88" i="9"/>
  <c r="Q88" i="9" s="1"/>
  <c r="O89" i="9"/>
  <c r="Q89" i="9" s="1"/>
  <c r="AE7" i="9"/>
  <c r="AG7" i="9" s="1"/>
  <c r="C29" i="20" s="1"/>
  <c r="C4" i="9"/>
  <c r="E4" i="9"/>
  <c r="C6" i="9"/>
  <c r="E6" i="9"/>
  <c r="O106" i="9"/>
  <c r="Q106" i="9" s="1"/>
  <c r="O120" i="9"/>
  <c r="Q120" i="9" s="1"/>
  <c r="O107" i="9"/>
  <c r="Q107" i="9" s="1"/>
  <c r="O101" i="9"/>
  <c r="Q101" i="9" s="1"/>
  <c r="O59" i="9"/>
  <c r="Q59" i="9" s="1"/>
  <c r="E8" i="8"/>
  <c r="E6" i="8"/>
  <c r="E7" i="8"/>
  <c r="E4" i="8"/>
  <c r="E5" i="8"/>
  <c r="E9" i="8"/>
  <c r="O86" i="9"/>
  <c r="Q86" i="9" s="1"/>
  <c r="E13" i="8"/>
  <c r="O80" i="9"/>
  <c r="Q80" i="9" s="1"/>
  <c r="E10" i="8"/>
  <c r="AE22" i="9"/>
  <c r="AG22" i="9" s="1"/>
  <c r="C9" i="20" s="1"/>
  <c r="O82" i="9"/>
  <c r="Q82" i="9" s="1"/>
  <c r="W5" i="9" a="1"/>
  <c r="W5" i="9" s="1"/>
  <c r="AE13" i="9"/>
  <c r="AG13" i="9" s="1"/>
  <c r="C20" i="20" s="1"/>
  <c r="C19" i="10" l="1"/>
  <c r="E11" i="8"/>
  <c r="E14" i="8" s="1"/>
  <c r="E12" i="19"/>
  <c r="E16" i="19" s="1"/>
  <c r="O49" i="9"/>
  <c r="AE5" i="9"/>
  <c r="AG5" i="9" s="1"/>
  <c r="AL5" i="9" s="1"/>
  <c r="U5" i="9" a="1"/>
  <c r="U5" i="9" s="1"/>
  <c r="T5" i="9" a="1"/>
  <c r="T5" i="9" s="1"/>
  <c r="O98" i="9"/>
  <c r="Q98" i="9" s="1"/>
  <c r="C3" i="20"/>
  <c r="E20" i="19" a="1"/>
  <c r="E20" i="19" s="1"/>
  <c r="Q49" i="9"/>
  <c r="C23" i="9"/>
  <c r="C3" i="10" s="1"/>
  <c r="C21" i="9"/>
  <c r="C2" i="20" l="1"/>
  <c r="C5" i="10"/>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<sst xmlns="http://schemas.openxmlformats.org/spreadsheetml/2006/main" count="4841" uniqueCount="959">
  <si>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</si>
  <si>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</si>
  <si>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</si>
  <si>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</si>
  <si>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</si>
  <si>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</si>
  <si>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</si>
  <si>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</si>
  <si>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</si>
  <si>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</si>
  <si>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</si>
  <si>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</si>
  <si>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</si>
  <si>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</si>
  <si>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</si>
  <si>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</si>
  <si>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</si>
  <si>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</si>
  <si>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</si>
  <si>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</si>
  <si>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</si>
  <si>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</si>
  <si>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</si>
  <si>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</si>
  <si>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</si>
  <si>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</si>
  <si>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</si>
  <si>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</si>
  <si>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</si>
  <si>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</si>
  <si>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</si>
  <si>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</si>
  <si>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</si>
  <si>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</si>
  <si>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</si>
  <si>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</si>
  <si>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</si>
  <si>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</si>
  <si>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</si>
  <si>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</si>
  <si>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</si>
  <si>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</si>
  <si>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</si>
  <si>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</si>
  <si>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</si>
  <si>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</si>
  <si>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</si>
  <si>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</si>
  <si>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</si>
  <si>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</si>
  <si>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</si>
  <si>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</si>
  <si>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</si>
  <si>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</si>
  <si>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</si>
  <si>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</si>
  <si>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</si>
  <si>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</si>
  <si>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</si>
  <si>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</si>
  <si>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</si>
  <si>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</si>
  <si>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</si>
  <si>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</si>
  <si>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</si>
  <si>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</si>
  <si>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</si>
  <si>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</si>
  <si>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</si>
  <si>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</si>
  <si>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</si>
  <si>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</si>
  <si>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</si>
  <si>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</si>
  <si>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</si>
  <si>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</si>
  <si>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</si>
  <si>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</si>
  <si>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</si>
  <si>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</si>
  <si>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</si>
  <si>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</si>
  <si>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</si>
  <si>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</si>
  <si>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</si>
  <si>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</si>
  <si>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</si>
  <si>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</si>
  <si>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</si>
  <si>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</si>
  <si>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</si>
  <si>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</si>
  <si>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</si>
  <si>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</si>
  <si>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</si>
  <si>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</si>
  <si>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</si>
  <si>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</si>
  <si>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</si>
  <si>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</si>
  <si>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</si>
  <si>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</si>
  <si>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</si>
  <si>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</si>
  <si>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</si>
  <si>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</si>
  <si>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</si>
  <si>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</si>
  <si>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</si>
  <si>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</si>
  <si>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</si>
  <si>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</si>
  <si>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</si>
  <si>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</si>
  <si>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</si>
  <si>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</si>
  <si>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</si>
  <si>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</si>
  <si>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</si>
  <si>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</si>
  <si>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</si>
  <si>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</si>
  <si>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</si>
  <si>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</si>
  <si>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</si>
  <si>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</si>
  <si>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</si>
  <si>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</si>
  <si>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</si>
  <si>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</si>
  <si>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</si>
  <si>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</si>
  <si>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</si>
  <si>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</si>
  <si>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</si>
  <si>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</si>
  <si>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</si>
  <si>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</si>
  <si>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</si>
  <si>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</si>
  <si>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</si>
  <si>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</si>
  <si>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</si>
  <si>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</si>
  <si>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</si>
  <si>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</si>
  <si>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</si>
  <si>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</si>
  <si>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</si>
  <si>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</si>
  <si>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</si>
  <si>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</si>
  <si>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</si>
  <si>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</si>
  <si>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</si>
  <si>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</si>
  <si>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</si>
  <si>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</si>
  <si>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</si>
  <si>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</si>
  <si>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</si>
  <si>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</si>
  <si>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</si>
  <si>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</si>
  <si>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</si>
  <si>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</si>
  <si>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</si>
  <si>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</si>
  <si>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</si>
  <si>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</si>
  <si>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</si>
  <si>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</si>
  <si>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</si>
  <si>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</si>
  <si>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</si>
  <si>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</si>
  <si>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</si>
  <si>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</si>
  <si>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</si>
  <si>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</si>
  <si>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</si>
  <si>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</si>
  <si>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</si>
  <si>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</si>
  <si>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</si>
  <si>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</si>
  <si>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</si>
  <si>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</si>
  <si>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</si>
  <si>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</si>
  <si>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</si>
  <si>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</si>
  <si>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</si>
  <si>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</si>
  <si>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</si>
  <si>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</si>
  <si>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</si>
  <si>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</si>
  <si>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</si>
  <si>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</si>
  <si>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</si>
  <si>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</si>
  <si>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</si>
  <si>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</si>
  <si>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</si>
  <si>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</si>
  <si>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</si>
  <si>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</si>
  <si>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</si>
  <si>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</si>
  <si>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</si>
  <si>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</si>
  <si>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</si>
  <si>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</si>
  <si>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</si>
  <si>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</si>
  <si>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</si>
  <si>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</si>
  <si>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</si>
  <si>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</si>
  <si>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</si>
  <si>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</si>
  <si>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</si>
  <si>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</si>
  <si>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</si>
  <si>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</si>
  <si>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</si>
  <si>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</si>
  <si>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</si>
  <si>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</si>
  <si>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</si>
  <si>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</si>
  <si>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</si>
  <si>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</si>
  <si>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</si>
  <si>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</si>
  <si>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</si>
  <si>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</si>
  <si>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</si>
  <si>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</si>
  <si>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</si>
  <si>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</si>
  <si>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</si>
  <si>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</si>
  <si>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</si>
  <si>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</si>
  <si>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</si>
  <si>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</si>
  <si>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</si>
  <si>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</si>
  <si>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</si>
  <si>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</si>
  <si>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</si>
  <si>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</si>
  <si>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</si>
  <si>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</si>
  <si>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</si>
  <si>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</si>
  <si>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</si>
  <si>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</si>
  <si>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</si>
  <si>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</si>
  <si>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</si>
  <si>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</si>
  <si>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</si>
  <si>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</si>
  <si>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</si>
  <si>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</si>
  <si>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</si>
  <si>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</si>
  <si>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</si>
  <si>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</si>
  <si>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</si>
  <si>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</si>
  <si>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</si>
  <si>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</si>
  <si>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</si>
  <si>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</si>
  <si>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</si>
  <si>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</si>
  <si>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</si>
  <si>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</si>
  <si>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</si>
  <si>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</si>
  <si>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</si>
  <si>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</si>
  <si>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</si>
  <si>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</si>
  <si>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</si>
  <si>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</si>
  <si>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</si>
  <si>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</si>
  <si>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</si>
  <si>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</si>
  <si>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</si>
  <si>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</si>
  <si>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</si>
  <si>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</si>
  <si>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</si>
  <si>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</si>
  <si>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</si>
  <si>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</si>
  <si>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</si>
  <si>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</si>
  <si>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</si>
  <si>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</si>
  <si>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</si>
  <si>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</si>
  <si>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</si>
  <si>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</si>
  <si>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</si>
  <si>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</si>
  <si>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</si>
  <si>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</si>
  <si>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</si>
  <si>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</si>
  <si>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</si>
  <si>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</si>
  <si>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</si>
  <si>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</si>
  <si>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</si>
  <si>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</si>
  <si>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</si>
  <si>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</si>
  <si>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</si>
  <si>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</si>
  <si>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</si>
  <si>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</si>
  <si>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</si>
  <si>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</si>
  <si>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</si>
  <si>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</si>
  <si>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</si>
  <si>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</si>
  <si>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</si>
  <si>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</si>
  <si>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</si>
  <si>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</si>
  <si>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</si>
  <si>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</si>
  <si>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</si>
  <si>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</si>
  <si>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</si>
  <si>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</si>
  <si>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</si>
  <si>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</si>
  <si>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</si>
  <si>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</si>
  <si>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</si>
  <si>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</si>
  <si>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</si>
  <si>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</si>
  <si>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</si>
  <si>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</si>
  <si>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</si>
  <si>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</si>
  <si>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</si>
  <si>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</si>
  <si>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</si>
  <si>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</si>
  <si>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</si>
  <si>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</si>
  <si>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</si>
  <si>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</si>
  <si>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</si>
  <si>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</si>
  <si>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</si>
  <si>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</si>
  <si>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</si>
  <si>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</si>
  <si>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</si>
  <si>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</si>
  <si>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</si>
  <si>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</si>
  <si>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</si>
  <si>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</si>
  <si>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</si>
  <si>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</si>
  <si>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</si>
  <si>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</si>
  <si>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</si>
  <si>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</si>
  <si>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</si>
  <si>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</si>
  <si>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</si>
  <si>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</si>
  <si>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</si>
  <si>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</si>
  <si>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</si>
  <si>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</si>
  <si>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</si>
  <si>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</si>
  <si>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</si>
  <si>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</si>
  <si>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</si>
  <si>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</si>
  <si>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</si>
  <si>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</si>
  <si>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</si>
  <si>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</si>
  <si>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</si>
  <si>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</si>
  <si>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</si>
  <si>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</si>
  <si>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</si>
  <si>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</si>
  <si>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</si>
  <si>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</si>
  <si>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</si>
  <si>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</si>
  <si>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</si>
  <si>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</si>
  <si>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</si>
  <si>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</si>
  <si>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</si>
  <si>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</si>
  <si>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</si>
  <si>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</si>
  <si>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</si>
  <si>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</si>
  <si>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</si>
  <si>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</si>
  <si>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</si>
  <si>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</si>
  <si>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</si>
  <si>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</si>
  <si>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</si>
  <si>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</si>
  <si>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</si>
  <si>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</si>
  <si>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</si>
  <si>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</si>
  <si>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</si>
  <si>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</si>
  <si>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</si>
  <si>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</si>
  <si>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</si>
  <si>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</si>
  <si>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</si>
  <si>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</si>
  <si>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</si>
  <si>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</si>
  <si>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</si>
  <si>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</si>
  <si>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</si>
  <si>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</si>
  <si>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</si>
  <si>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</si>
  <si>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</si>
  <si>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</si>
  <si>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</si>
  <si>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</si>
  <si>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</si>
  <si>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</si>
  <si>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</si>
  <si>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</si>
  <si>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</si>
  <si>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</si>
  <si>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</si>
  <si>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</si>
  <si>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</si>
  <si>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</si>
  <si>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</si>
  <si>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</si>
  <si>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</si>
  <si>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</si>
  <si>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</si>
  <si>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</si>
  <si>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</si>
  <si>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</si>
  <si>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</si>
  <si>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</si>
  <si>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</si>
  <si>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</si>
  <si>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</si>
  <si>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</si>
  <si>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</si>
  <si>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</si>
  <si>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</si>
  <si>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</si>
  <si>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</si>
  <si>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</si>
  <si>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</si>
  <si>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</si>
  <si>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</si>
  <si>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</si>
  <si>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</si>
  <si>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</si>
  <si>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</si>
  <si>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</si>
  <si>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</si>
  <si>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</si>
  <si>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</si>
  <si>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</si>
  <si>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</si>
  <si>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</si>
  <si>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</si>
  <si>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</si>
  <si>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</si>
  <si>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</si>
  <si>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</si>
  <si>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</si>
  <si>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</si>
  <si>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</si>
  <si>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</si>
  <si>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</si>
  <si>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</si>
  <si>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</si>
  <si>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</si>
  <si>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</si>
  <si>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</si>
  <si>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</si>
  <si>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</si>
  <si>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</si>
  <si>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</si>
  <si>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</si>
  <si>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</si>
  <si>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</si>
  <si>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</si>
  <si>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</si>
  <si>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</si>
  <si>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</si>
  <si>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</si>
  <si>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</si>
  <si>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</si>
  <si>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</si>
  <si>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</si>
  <si>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</si>
  <si>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</si>
  <si>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</si>
  <si>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</si>
  <si>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</si>
  <si>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</si>
  <si>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</si>
  <si>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</si>
  <si>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</si>
  <si>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</si>
  <si>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</si>
  <si>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</si>
  <si>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</si>
  <si>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</si>
  <si>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</si>
  <si>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</si>
  <si>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</si>
  <si>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</si>
  <si>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</si>
  <si>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</si>
  <si>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</si>
  <si>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</si>
  <si>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</si>
  <si>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</si>
  <si>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</si>
  <si>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</si>
  <si>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</si>
  <si>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</si>
  <si>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</si>
  <si>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</si>
  <si>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</si>
  <si>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</si>
  <si>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</si>
  <si>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</si>
  <si>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</si>
  <si>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</si>
  <si>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</si>
  <si>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</si>
  <si>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</si>
  <si>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</si>
  <si>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</si>
  <si>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</si>
  <si>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</si>
  <si>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</si>
  <si>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</si>
  <si>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</si>
  <si>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</si>
  <si>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</si>
  <si>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</si>
  <si>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</si>
  <si>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</si>
  <si>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</si>
  <si>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</si>
  <si>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</si>
  <si>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</si>
  <si>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</si>
  <si>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</si>
  <si>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</si>
  <si>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</si>
  <si>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</si>
  <si>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</si>
  <si>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</si>
  <si>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</si>
  <si>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</si>
  <si>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</si>
  <si>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</si>
  <si>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</si>
  <si>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</si>
  <si>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</si>
  <si>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</si>
  <si>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</si>
  <si>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</si>
  <si>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</si>
  <si>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</si>
  <si>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</si>
  <si>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</si>
  <si>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</si>
  <si>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</si>
  <si>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</si>
  <si>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</si>
  <si>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</si>
  <si>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</si>
  <si>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</si>
  <si>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</si>
  <si>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</si>
  <si>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</si>
  <si>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</si>
  <si>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</si>
  <si>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</si>
  <si>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</si>
  <si>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</si>
  <si>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</si>
  <si>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</si>
  <si>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</si>
  <si>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</si>
  <si>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</si>
  <si>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</si>
  <si>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</si>
  <si>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</si>
  <si>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</si>
  <si>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</si>
  <si>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</si>
  <si>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</si>
  <si>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</si>
  <si>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</si>
  <si>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</si>
  <si>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</si>
  <si>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</si>
  <si>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</si>
  <si>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</si>
  <si>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</si>
  <si>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</si>
  <si>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</si>
  <si>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</si>
  <si>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</si>
  <si>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</si>
  <si>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</si>
  <si>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</si>
  <si>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</si>
  <si>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</si>
  <si>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</si>
  <si>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</si>
  <si>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</si>
  <si>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</si>
  <si>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</si>
  <si>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</si>
  <si>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</si>
  <si>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</si>
  <si>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</si>
  <si>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</si>
  <si>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</si>
  <si>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</si>
  <si>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</si>
  <si>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</si>
  <si>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</si>
  <si>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</si>
  <si>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</si>
  <si>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</si>
  <si>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</si>
  <si>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</si>
  <si>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</si>
  <si>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</si>
  <si>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</si>
  <si>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</si>
  <si>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</si>
  <si>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</si>
  <si>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</si>
  <si>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</si>
  <si>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</si>
  <si>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</si>
  <si>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</si>
  <si>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</si>
  <si>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</si>
  <si>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</si>
  <si>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</si>
  <si>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</si>
  <si>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</si>
  <si>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</si>
  <si>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</si>
  <si>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</si>
  <si>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</si>
  <si>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</si>
  <si>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</si>
  <si>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</si>
  <si>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</si>
  <si>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</si>
  <si>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</si>
  <si>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</si>
  <si>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</si>
  <si>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</si>
  <si>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</si>
  <si>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</si>
  <si>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</si>
  <si>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</si>
  <si>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</si>
  <si>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</si>
  <si>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</si>
  <si>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</si>
  <si>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</si>
  <si>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</si>
  <si>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</si>
  <si>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</si>
  <si>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</si>
  <si>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</si>
  <si>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</si>
  <si>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</si>
  <si>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</si>
  <si>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</si>
  <si>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</si>
  <si>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</si>
  <si>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</si>
  <si>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</si>
  <si>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</si>
  <si>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</si>
  <si>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</si>
  <si>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</si>
  <si>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</si>
  <si>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</si>
  <si>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</si>
  <si>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</si>
  <si>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</si>
  <si>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</si>
  <si>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</si>
  <si>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</si>
  <si>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</si>
  <si>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</si>
  <si>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</si>
  <si>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</si>
  <si>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</si>
  <si>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</si>
  <si>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</si>
  <si>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</si>
  <si>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</si>
  <si>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</si>
  <si>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</si>
  <si>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</si>
  <si>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</si>
  <si>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</si>
  <si>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</si>
  <si>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</si>
  <si>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</si>
  <si>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</si>
  <si>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</si>
  <si>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</si>
  <si>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</si>
  <si>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</si>
  <si>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</si>
  <si>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</si>
  <si>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</si>
  <si>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</si>
  <si>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</si>
  <si>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</si>
  <si>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</si>
  <si>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</si>
  <si>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</si>
  <si>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</si>
  <si>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</si>
  <si>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</si>
  <si>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</si>
  <si>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</si>
  <si>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</si>
  <si>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</si>
  <si>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</si>
  <si>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</si>
  <si>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</si>
  <si>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</si>
  <si>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</si>
  <si>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</si>
  <si>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</si>
  <si>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</si>
  <si>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</si>
  <si>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</si>
  <si>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</si>
  <si>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</si>
  <si>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</si>
  <si>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</si>
  <si>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</si>
  <si>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</si>
  <si>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</si>
  <si>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</si>
  <si>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</si>
  <si>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</si>
  <si>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</si>
  <si>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</si>
  <si>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</si>
  <si>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</si>
  <si>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</si>
  <si>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</si>
  <si>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</si>
  <si>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</si>
  <si>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</si>
  <si>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</si>
  <si>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</si>
  <si>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</si>
  <si>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</si>
  <si>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</si>
  <si>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</si>
  <si>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</si>
  <si>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</si>
  <si>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</si>
  <si>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</si>
  <si>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</si>
  <si>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</si>
  <si>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</si>
  <si>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</si>
  <si>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</si>
  <si>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</si>
  <si>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</si>
  <si>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</si>
  <si>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</si>
  <si>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</si>
  <si>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</si>
  <si>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</si>
  <si>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</si>
  <si>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</si>
  <si>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</si>
  <si>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</si>
  <si>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</si>
  <si>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</si>
  <si>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</si>
  <si>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</si>
  <si>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</si>
  <si>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</si>
  <si>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</si>
  <si>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</si>
  <si>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</si>
  <si>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</si>
  <si>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</si>
  <si>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</si>
  <si>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</si>
  <si>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</si>
  <si>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</si>
  <si>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</si>
  <si>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</si>
  <si>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</si>
  <si>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</si>
  <si>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</si>
  <si>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</si>
  <si>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</si>
  <si>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</si>
  <si>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</si>
  <si>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</si>
  <si>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</si>
  <si>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</si>
  <si>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</si>
  <si>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</si>
  <si>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</si>
  <si>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</si>
  <si>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</si>
  <si>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</si>
  <si>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</si>
  <si>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</si>
  <si>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</si>
  <si>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</si>
  <si>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</si>
  <si>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</si>
  <si>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</si>
  <si>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</si>
  <si>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</si>
  <si>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</si>
  <si>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</si>
  <si>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</si>
  <si>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</si>
  <si>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</si>
  <si>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</si>
  <si>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</si>
  <si>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</si>
  <si>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</si>
  <si>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</si>
  <si>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</si>
  <si>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</si>
  <si>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</si>
  <si>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</si>
  <si>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</si>
  <si>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</si>
  <si>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</si>
  <si>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</si>
  <si>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</si>
  <si>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</si>
  <si>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</si>
  <si>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</si>
  <si>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</si>
  <si>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</si>
  <si>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</si>
  <si>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</si>
  <si>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</si>
  <si>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</si>
  <si>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</si>
  <si>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</si>
  <si>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</si>
  <si>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</si>
  <si>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</si>
  <si>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</si>
  <si>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</si>
  <si>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</si>
  <si>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</si>
  <si>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</si>
  <si>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</si>
  <si>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</si>
  <si>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</si>
  <si>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</si>
  <si>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</si>
  <si>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</si>
  <si>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</si>
  <si>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</si>
  <si>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</si>
  <si>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</si>
  <si>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</si>
  <si>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</si>
  <si>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</si>
  <si>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</si>
  <si>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</si>
  <si>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</si>
  <si>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</si>
  <si>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</si>
  <si>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</si>
  <si>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</si>
  <si>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</si>
  <si>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</si>
  <si>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</si>
  <si>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</si>
  <si>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</si>
  <si>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</si>
  <si>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</si>
  <si>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</si>
  <si>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</si>
  <si>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</si>
  <si>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</si>
  <si>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</si>
  <si>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</si>
  <si>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</si>
  <si>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</si>
  <si>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</si>
  <si>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</si>
  <si>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</si>
  <si>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</si>
  <si>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</si>
  <si>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</si>
  <si>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</si>
  <si>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</si>
  <si>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</si>
  <si>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</si>
  <si>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</si>
  <si>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</si>
  <si>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</si>
  <si>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</si>
  <si>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</si>
  <si>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</si>
  <si>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</si>
  <si>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</si>
  <si>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</si>
  <si>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khalid sb/ sabir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</si>
</sst>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115741" createdVersion="8" refreshedVersion="8" minRefreshableVersion="3" recordCount="1096"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578703"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44827.17629846383"/>
    </cacheField>
    <cacheField name="Rate" numFmtId="0">
      <sharedItems containsString="0" containsBlank="1" containsNumber="1" minValue="10" maxValue="12"/>
    </cacheField>
    <cacheField name="Total" numFmtId="164">
      <sharedItems containsSemiMixedTypes="0" containsString="0" containsNumber="1" minValue="0" maxValue="8593866.130212144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810188"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04166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27315"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73611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13"/>
    </cacheField>
    <cacheField name="Quality" numFmtId="0">
      <sharedItems containsBlank="1"/>
    </cacheField>
    <cacheField name="Shipment Number" numFmtId="164">
      <sharedItems containsBlank="1" containsMixedTypes="1" containsNumber="1" containsInteger="1" minValue="1558" maxValue="17000" count="62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61"/>
        <n v="2260"/>
        <n v="2254"/>
        <n v="225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6">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m/>
    <m/>
    <m/>
    <m/>
    <m/>
    <m/>
  </r>
  <r>
    <x v="97"/>
    <m/>
    <m/>
    <m/>
    <m/>
    <m/>
    <m/>
  </r>
  <r>
    <x v="97"/>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44827.17629846383"/>
    <n v="10"/>
    <n v="8593866.13021214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40.819927944517801"/>
    <n v="5600.7681053401611"/>
    <n v="56007.681053401611"/>
    <m/>
  </r>
  <r>
    <d v="2026-07-10T00:00:00"/>
    <x v="0"/>
    <n v="1802"/>
    <s v="Crinkle"/>
    <x v="122"/>
    <n v="28877"/>
    <n v="4184"/>
    <n v="40.819927944517801"/>
    <n v="3825.8961228968546"/>
    <n v="38258.961228968546"/>
    <m/>
  </r>
  <r>
    <d v="2026-07-10T00:00:00"/>
    <x v="17"/>
    <n v="1803"/>
    <s v="Crinkle"/>
    <x v="128"/>
    <n v="28661"/>
    <n v="28761"/>
    <n v="8.2398443863126829"/>
    <n v="26299.378200438921"/>
    <n v="289293.16020482813"/>
    <m/>
  </r>
  <r>
    <d v="2026-07-10T00:00:00"/>
    <x v="0"/>
    <n v="1804"/>
    <s v="Silky"/>
    <x v="129"/>
    <n v="16511"/>
    <n v="17763"/>
    <s v="NF"/>
    <n v="16242.684711046088"/>
    <n v="194912.21653255305"/>
    <m/>
  </r>
  <r>
    <d v="2026-07-10T00:00:00"/>
    <x v="0"/>
    <n v="1805"/>
    <s v="Silky"/>
    <x v="113"/>
    <n v="50235"/>
    <n v="12108"/>
    <n v="42.339402758752939"/>
    <n v="11071.689831748356"/>
    <n v="132860.27798098026"/>
    <m/>
  </r>
  <r>
    <d v="2026-07-10T00:00:00"/>
    <x v="0"/>
    <n v="1806"/>
    <s v="Silky"/>
    <x v="130"/>
    <n v="4869"/>
    <n v="5141"/>
    <s v="NF"/>
    <n v="4700.9875640087785"/>
    <n v="56411.850768105345"/>
    <m/>
  </r>
  <r>
    <d v="2026-07-10T00:00:00"/>
    <x v="34"/>
    <n v="1807"/>
    <m/>
    <x v="0"/>
    <m/>
    <m/>
    <e v="#DIV/0!"/>
    <n v="0"/>
    <e v="#N/A"/>
    <m/>
  </r>
  <r>
    <d v="2026-07-11T00:00:00"/>
    <x v="34"/>
    <n v="1808"/>
    <m/>
    <x v="0"/>
    <m/>
    <m/>
    <e v="#DIV/0!"/>
    <n v="0"/>
    <e v="#N/A"/>
    <m/>
  </r>
  <r>
    <d v="2026-07-11T00:00:00"/>
    <x v="34"/>
    <n v="1809"/>
    <m/>
    <x v="0"/>
    <m/>
    <m/>
    <e v="#DIV/0!"/>
    <n v="0"/>
    <e v="#N/A"/>
    <m/>
  </r>
  <r>
    <d v="2026-07-11T00:00:00"/>
    <x v="17"/>
    <n v="1810"/>
    <s v="Satin"/>
    <x v="131"/>
    <n v="1209"/>
    <n v="1212"/>
    <n v="8.3319870539352792"/>
    <n v="1108.2662765179225"/>
    <n v="38789.319678127285"/>
    <m/>
  </r>
  <r>
    <d v="2026-07-11T00:00:00"/>
    <x v="17"/>
    <n v="1811"/>
    <s v="Silky"/>
    <x v="132"/>
    <n v="2441"/>
    <n v="2439"/>
    <n v="8.6338091018257472"/>
    <n v="2230.2487198244335"/>
    <n v="33453.730797366501"/>
    <m/>
  </r>
  <r>
    <d v="2026-07-11T00:00:00"/>
    <x v="17"/>
    <n v="1812"/>
    <s v="Kataan"/>
    <x v="133"/>
    <n v="30184"/>
    <n v="31912"/>
    <n v="3.3239874199520614"/>
    <n v="29180.687637161671"/>
    <n v="320987.56400877837"/>
    <m/>
  </r>
  <r>
    <d v="2026-07-11T00:00:00"/>
    <x v="17"/>
    <n v="1813"/>
    <s v="Custom"/>
    <x v="134"/>
    <n v="9273"/>
    <n v="9916"/>
    <n v="2.2182609902296235"/>
    <n v="9067.300658376007"/>
    <n v="108807.60790051208"/>
    <m/>
  </r>
  <r>
    <d v="2026-07-11T00:00:00"/>
    <x v="34"/>
    <m/>
    <m/>
    <x v="0"/>
    <m/>
    <m/>
    <e v="#DIV/0!"/>
    <n v="0"/>
    <e v="#N/A"/>
    <m/>
  </r>
  <r>
    <d v="2026-07-11T00:00:00"/>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9"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24">
        <item m="1" x="606"/>
        <item m="1" x="607"/>
        <item m="1" x="605"/>
        <item m="1" x="604"/>
        <item m="1" x="608"/>
        <item m="1" x="610"/>
        <item m="1" x="609"/>
        <item m="1" x="611"/>
        <item m="1" x="612"/>
        <item m="1" x="613"/>
        <item m="1" x="614"/>
        <item m="1" x="615"/>
        <item m="1" x="616"/>
        <item m="1" x="617"/>
        <item m="1" x="542"/>
        <item m="1" x="564"/>
        <item m="1" x="618"/>
        <item m="1" x="619"/>
        <item m="1" x="620"/>
        <item m="1" x="572"/>
        <item m="1" x="571"/>
        <item m="1" x="621"/>
        <item m="1" x="622"/>
        <item m="1" x="581"/>
        <item m="1" x="573"/>
        <item m="1" x="574"/>
        <item m="1" x="575"/>
        <item m="1" x="576"/>
        <item m="1" x="577"/>
        <item m="1" x="578"/>
        <item m="1" x="579"/>
        <item m="1" x="580"/>
        <item m="1" x="582"/>
        <item m="1" x="602"/>
        <item m="1" x="583"/>
        <item m="1" x="603"/>
        <item m="1" x="584"/>
        <item m="1" x="585"/>
        <item m="1" x="586"/>
        <item m="1" x="587"/>
        <item m="1" x="588"/>
        <item m="1" x="519"/>
        <item m="1" x="589"/>
        <item m="1" x="590"/>
        <item m="1" x="591"/>
        <item m="1" x="592"/>
        <item m="1" x="593"/>
        <item m="1" x="594"/>
        <item m="1" x="595"/>
        <item m="1" x="596"/>
        <item m="1" x="597"/>
        <item m="1" x="598"/>
        <item m="1" x="599"/>
        <item m="1" x="600"/>
        <item m="1" x="601"/>
        <item x="0"/>
        <item m="1" x="518"/>
        <item m="1" x="520"/>
        <item m="1" x="521"/>
        <item m="1" x="522"/>
        <item m="1" x="523"/>
        <item m="1" x="524"/>
        <item m="1" x="525"/>
        <item m="1" x="526"/>
        <item m="1" x="527"/>
        <item m="1" x="528"/>
        <item m="1" x="529"/>
        <item m="1" x="530"/>
        <item m="1" x="531"/>
        <item m="1" x="532"/>
        <item m="1" x="257"/>
        <item m="1" x="533"/>
        <item m="1" x="534"/>
        <item m="1" x="535"/>
        <item m="1" x="536"/>
        <item m="1" x="537"/>
        <item m="1" x="538"/>
        <item m="1" x="539"/>
        <item m="1" x="540"/>
        <item m="1" x="541"/>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5"/>
        <item m="1" x="566"/>
        <item m="1" x="567"/>
        <item m="1" x="568"/>
        <item m="1" x="569"/>
        <item m="1" x="570"/>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273"/>
        <item m="1" x="487"/>
        <item m="1" x="488"/>
        <item m="1" x="489"/>
        <item m="1" x="490"/>
        <item m="1" x="491"/>
        <item m="1" x="492"/>
        <item m="1" x="493"/>
        <item m="1" x="494"/>
        <item m="1" x="495"/>
        <item m="1" x="496"/>
        <item m="1" x="497"/>
        <item m="1" x="517"/>
        <item m="1" x="498"/>
        <item m="1" x="499"/>
        <item m="1" x="500"/>
        <item m="1" x="501"/>
        <item m="1" x="502"/>
        <item m="1" x="503"/>
        <item m="1" x="504"/>
        <item m="1" x="505"/>
        <item m="1" x="506"/>
        <item m="1" x="507"/>
        <item m="1" x="508"/>
        <item m="1" x="509"/>
        <item m="1" x="510"/>
        <item m="1" x="511"/>
        <item m="1" x="512"/>
        <item m="1" x="513"/>
        <item m="1" x="514"/>
        <item m="1" x="515"/>
        <item m="1" x="516"/>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13"/>
        <item m="1" x="436"/>
        <item m="1" x="304"/>
        <item m="1" x="305"/>
        <item m="1" x="306"/>
        <item m="1" x="307"/>
        <item m="1" x="308"/>
        <item m="1" x="309"/>
        <item m="1" x="310"/>
        <item m="1" x="311"/>
        <item m="1" x="312"/>
        <item m="1" x="314"/>
        <item m="1" x="315"/>
        <item m="1" x="316"/>
        <item m="1" x="317"/>
        <item m="1" x="318"/>
        <item m="1" x="319"/>
        <item m="1" x="320"/>
        <item m="1" x="321"/>
        <item m="1" x="322"/>
        <item m="1" x="323"/>
        <item m="1" x="324"/>
        <item m="1" x="325"/>
        <item m="1" x="326"/>
        <item m="1" x="327"/>
        <item m="1" x="254"/>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258"/>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255"/>
        <item m="1" x="379"/>
        <item m="1" x="380"/>
        <item m="1" x="252"/>
        <item m="1" x="261"/>
        <item m="1" x="253"/>
        <item m="1" x="256"/>
        <item m="1" x="259"/>
        <item m="1" x="260"/>
        <item m="1" x="262"/>
        <item m="1" x="263"/>
        <item m="1" x="264"/>
        <item m="1" x="265"/>
        <item m="1" x="266"/>
        <item m="1" x="267"/>
        <item m="1" x="268"/>
        <item m="1" x="269"/>
        <item m="1" x="270"/>
        <item m="1" x="271"/>
        <item m="1" x="178"/>
        <item m="1" x="272"/>
        <item m="1" x="274"/>
        <item m="1" x="275"/>
        <item m="1" x="276"/>
        <item m="1" x="233"/>
        <item m="1" x="209"/>
        <item m="1" x="277"/>
        <item m="1" x="278"/>
        <item m="1" x="279"/>
        <item m="1" x="201"/>
        <item m="1" x="280"/>
        <item m="1" x="281"/>
        <item m="1" x="282"/>
        <item m="1" x="283"/>
        <item m="1" x="248"/>
        <item m="1" x="284"/>
        <item m="1" x="285"/>
        <item m="1" x="286"/>
        <item m="1" x="287"/>
        <item m="1" x="288"/>
        <item m="1" x="289"/>
        <item m="1" x="290"/>
        <item m="1" x="291"/>
        <item m="1" x="292"/>
        <item m="1" x="293"/>
        <item m="1" x="294"/>
        <item m="1" x="295"/>
        <item m="1" x="303"/>
        <item m="1" x="296"/>
        <item m="1" x="297"/>
        <item m="1" x="198"/>
        <item m="1" x="199"/>
        <item m="1" x="298"/>
        <item m="1" x="210"/>
        <item m="1" x="299"/>
        <item m="1" x="300"/>
        <item m="1" x="301"/>
        <item m="1" x="302"/>
        <item m="1" x="197"/>
        <item m="1" x="195"/>
        <item m="1" x="194"/>
        <item m="1" x="196"/>
        <item m="1" x="200"/>
        <item m="1" x="147"/>
        <item m="1" x="143"/>
        <item m="1" x="202"/>
        <item m="1" x="203"/>
        <item m="1" x="204"/>
        <item m="1" x="205"/>
        <item m="1" x="206"/>
        <item m="1" x="207"/>
        <item m="1" x="208"/>
        <item m="1" x="211"/>
        <item m="1" x="212"/>
        <item m="1" x="213"/>
        <item m="1" x="214"/>
        <item m="1" x="215"/>
        <item m="1" x="216"/>
        <item m="1" x="217"/>
        <item m="1" x="218"/>
        <item m="1" x="219"/>
        <item m="1" x="220"/>
        <item m="1" x="221"/>
        <item m="1" x="222"/>
        <item m="1" x="223"/>
        <item m="1" x="224"/>
        <item m="1" x="136"/>
        <item m="1" x="225"/>
        <item m="1" x="226"/>
        <item m="1" x="227"/>
        <item m="1" x="144"/>
        <item m="1" x="228"/>
        <item m="1" x="229"/>
        <item m="1" x="230"/>
        <item m="1" x="231"/>
        <item m="1" x="232"/>
        <item m="1" x="234"/>
        <item m="1" x="235"/>
        <item m="1" x="236"/>
        <item m="1" x="237"/>
        <item m="1" x="142"/>
        <item m="1" x="238"/>
        <item m="1" x="239"/>
        <item m="1" x="240"/>
        <item m="1" x="241"/>
        <item m="1" x="242"/>
        <item m="1" x="243"/>
        <item m="1" x="149"/>
        <item m="1" x="244"/>
        <item m="1" x="189"/>
        <item m="1" x="245"/>
        <item m="1" x="141"/>
        <item m="1" x="246"/>
        <item m="1" x="247"/>
        <item m="1" x="153"/>
        <item m="1" x="249"/>
        <item m="1" x="250"/>
        <item m="1" x="251"/>
        <item m="1" x="135"/>
        <item m="1" x="137"/>
        <item m="1" x="138"/>
        <item m="1" x="139"/>
        <item m="1" x="140"/>
        <item m="1" x="145"/>
        <item m="1" x="146"/>
        <item m="1" x="148"/>
        <item m="1" x="150"/>
        <item m="1" x="151"/>
        <item m="1" x="152"/>
        <item m="1" x="154"/>
        <item m="1" x="155"/>
        <item m="1" x="156"/>
        <item m="1" x="157"/>
        <item m="1" x="158"/>
        <item m="1" x="159"/>
        <item m="1" x="160"/>
        <item m="1" x="161"/>
        <item x="84"/>
        <item m="1" x="162"/>
        <item m="1" x="163"/>
        <item m="1" x="164"/>
        <item m="1" x="165"/>
        <item m="1" x="166"/>
        <item m="1" x="167"/>
        <item m="1" x="168"/>
        <item m="1" x="169"/>
        <item m="1" x="170"/>
        <item m="1" x="171"/>
        <item m="1" x="172"/>
        <item m="1" x="173"/>
        <item m="1" x="174"/>
        <item m="1" x="175"/>
        <item m="1" x="176"/>
        <item m="1" x="177"/>
        <item m="1" x="179"/>
        <item m="1" x="180"/>
        <item x="16"/>
        <item m="1" x="181"/>
        <item m="1" x="182"/>
        <item m="1" x="183"/>
        <item m="1" x="184"/>
        <item m="1" x="185"/>
        <item m="1" x="186"/>
        <item m="1" x="187"/>
        <item m="1" x="188"/>
        <item m="1" x="193"/>
        <item m="1" x="190"/>
        <item m="1" x="191"/>
        <item m="1" x="19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1"/>
        <item x="132"/>
        <item x="133"/>
        <item x="134"/>
        <item x="129"/>
        <item x="1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2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34" s="1"/>
        <i x="133" s="1"/>
        <i x="126" s="1"/>
        <i x="128" s="1"/>
        <i x="132" s="1"/>
        <i x="131" s="1"/>
        <i x="129" s="1"/>
        <i x="130" s="1"/>
        <i x="73" s="1"/>
        <i x="65" s="1"/>
        <i x="93" s="1"/>
        <i x="1" s="1"/>
        <i x="22" s="1"/>
        <i x="27" s="1"/>
        <i x="64" s="1"/>
        <i x="72" s="1"/>
        <i x="19" s="1"/>
        <i x="53" s="1"/>
        <i x="76" s="1"/>
        <i x="71" s="1"/>
        <i x="106" s="1"/>
        <i x="124" s="1"/>
        <i x="100" s="1"/>
        <i x="127" s="1"/>
        <i x="115" s="1"/>
        <i x="111" s="1"/>
        <i x="125" s="1"/>
        <i x="114" s="1"/>
        <i x="87" s="1"/>
        <i x="98" s="1"/>
        <i x="70" s="1"/>
        <i x="577" s="1" nd="1"/>
        <i x="606" s="1" nd="1"/>
        <i x="607" s="1" nd="1"/>
        <i x="615" s="1" nd="1"/>
        <i x="605" s="1" nd="1"/>
        <i x="604" s="1" nd="1"/>
        <i x="608" s="1" nd="1"/>
        <i x="619" s="1" nd="1"/>
        <i x="611" s="1" nd="1"/>
        <i x="612" s="1" nd="1"/>
        <i x="609" s="1" nd="1"/>
        <i x="610" s="1" nd="1"/>
        <i x="620" s="1" nd="1"/>
        <i x="613" s="1" nd="1"/>
        <i x="614" s="1" nd="1"/>
        <i x="617" s="1" nd="1"/>
        <i x="618" s="1" nd="1"/>
        <i x="616" s="1" nd="1"/>
        <i x="572" s="1" nd="1"/>
        <i x="622" s="1" nd="1"/>
        <i x="571" s="1" nd="1"/>
        <i x="621" s="1" nd="1"/>
        <i x="574" s="1" nd="1"/>
        <i x="535" s="1" nd="1"/>
        <i x="573" s="1" nd="1"/>
        <i x="575" s="1" nd="1"/>
        <i x="581" s="1" nd="1"/>
        <i x="576" s="1" nd="1"/>
        <i x="578" s="1" nd="1"/>
        <i x="594" s="1" nd="1"/>
        <i x="518" s="1" nd="1"/>
        <i x="582" s="1" nd="1"/>
        <i x="523" s="1" nd="1"/>
        <i x="588" s="1" nd="1"/>
        <i x="583" s="1" nd="1"/>
        <i x="586" s="1" nd="1"/>
        <i x="591" s="1" nd="1"/>
        <i x="602" s="1" nd="1"/>
        <i x="584" s="1" nd="1"/>
        <i x="596" s="1" nd="1"/>
        <i x="599" s="1" nd="1"/>
        <i x="590" s="1" nd="1"/>
        <i x="579" s="1" nd="1"/>
        <i x="587" s="1" nd="1"/>
        <i x="580" s="1" nd="1"/>
        <i x="585" s="1" nd="1"/>
        <i x="519" s="1" nd="1"/>
        <i x="589" s="1" nd="1"/>
        <i x="595" s="1" nd="1"/>
        <i x="257" s="1" nd="1"/>
        <i x="592" s="1" nd="1"/>
        <i x="597" s="1" nd="1"/>
        <i x="593" s="1" nd="1"/>
        <i x="559" s="1" nd="1"/>
        <i x="598" s="1" nd="1"/>
        <i x="600" s="1" nd="1"/>
        <i x="521" s="1" nd="1"/>
        <i x="528" s="1" nd="1"/>
        <i x="601" s="1" nd="1"/>
        <i x="525" s="1" nd="1"/>
        <i x="526" s="1" nd="1"/>
        <i x="520" s="1" nd="1"/>
        <i x="524" s="1" nd="1"/>
        <i x="412" s="1" nd="1"/>
        <i x="522" s="1" nd="1"/>
        <i x="531" s="1" nd="1"/>
        <i x="527" s="1" nd="1"/>
        <i x="529" s="1" nd="1"/>
        <i x="532" s="1" nd="1"/>
        <i x="539" s="1" nd="1"/>
        <i x="530" s="1" nd="1"/>
        <i x="538" s="1" nd="1"/>
        <i x="543" s="1" nd="1"/>
        <i x="537" s="1" nd="1"/>
        <i x="540" s="1" nd="1"/>
        <i x="550" s="1" nd="1"/>
        <i x="536" s="1" nd="1"/>
        <i x="533" s="1" nd="1"/>
        <i x="534" s="1" nd="1"/>
        <i x="549" s="1" nd="1"/>
        <i x="408" s="1" nd="1"/>
        <i x="542" s="1" nd="1"/>
        <i x="553" s="1" nd="1"/>
        <i x="548" s="1" nd="1"/>
        <i x="541" s="1" nd="1"/>
        <i x="565" s="1" nd="1"/>
        <i x="546" s="1" nd="1"/>
        <i x="556" s="1" nd="1"/>
        <i x="554" s="1" nd="1"/>
        <i x="544" s="1" nd="1"/>
        <i x="552" s="1" nd="1"/>
        <i x="551" s="1" nd="1"/>
        <i x="547" s="1" nd="1"/>
        <i x="557" s="1" nd="1"/>
        <i x="555" s="1" nd="1"/>
        <i x="558" s="1" nd="1"/>
        <i x="545" s="1" nd="1"/>
        <i x="487" s="1" nd="1"/>
        <i x="560" s="1" nd="1"/>
        <i x="561" s="1" nd="1"/>
        <i x="446" s="1" nd="1"/>
        <i x="448" s="1" nd="1"/>
        <i x="568" s="1" nd="1"/>
        <i x="442" s="1" nd="1"/>
        <i x="488" s="1" nd="1"/>
        <i x="562" s="1" nd="1"/>
        <i x="563" s="1" nd="1"/>
        <i x="445" s="1" nd="1"/>
        <i x="570" s="1" nd="1"/>
        <i x="444" s="1" nd="1"/>
        <i x="459" s="1" nd="1"/>
        <i x="569" s="1" nd="1"/>
        <i x="564" s="1" nd="1"/>
        <i x="463" s="1" nd="1"/>
        <i x="176" s="1" nd="1"/>
        <i x="567" s="1" nd="1"/>
        <i x="566" s="1" nd="1"/>
        <i x="484" s="1" nd="1"/>
        <i x="437" s="1" nd="1"/>
        <i x="449" s="1" nd="1"/>
        <i x="485" s="1" nd="1"/>
        <i x="483" s="1" nd="1"/>
        <i x="441" s="1" nd="1"/>
        <i x="443" s="1" nd="1"/>
        <i x="276" s="1" nd="1"/>
        <i x="447" s="1" nd="1"/>
        <i x="438" s="1" nd="1"/>
        <i x="473" s="1" nd="1"/>
        <i x="478" s="1" nd="1"/>
        <i x="439" s="1" nd="1"/>
        <i x="440" s="1" nd="1"/>
        <i x="450" s="1" nd="1"/>
        <i x="453" s="1" nd="1"/>
        <i x="460" s="1" nd="1"/>
        <i x="452" s="1" nd="1"/>
        <i x="455" s="1" nd="1"/>
        <i x="454" s="1" nd="1"/>
        <i x="496" s="1" nd="1"/>
        <i x="451" s="1" nd="1"/>
        <i x="177" s="1" nd="1"/>
        <i x="174" s="1" nd="1"/>
        <i x="476" s="1" nd="1"/>
        <i x="491" s="1" nd="1"/>
        <i x="456" s="1" nd="1"/>
        <i x="481" s="1" nd="1"/>
        <i x="493" s="1" nd="1"/>
        <i x="465" s="1" nd="1"/>
        <i x="505" s="1" nd="1"/>
        <i x="464" s="1" nd="1"/>
        <i x="461" s="1" nd="1"/>
        <i x="457" s="1" nd="1"/>
        <i x="458" s="1" nd="1"/>
        <i x="477" s="1" nd="1"/>
        <i x="466" s="1" nd="1"/>
        <i x="389" s="1" nd="1"/>
        <i x="467" s="1" nd="1"/>
        <i x="462" s="1" nd="1"/>
        <i x="469" s="1" nd="1"/>
        <i x="470" s="1" nd="1"/>
        <i x="498" s="1" nd="1"/>
        <i x="468" s="1" nd="1"/>
        <i x="486" s="1" nd="1"/>
        <i x="474" s="1" nd="1"/>
        <i x="471" s="1" nd="1"/>
        <i x="475" s="1" nd="1"/>
        <i x="472" s="1" nd="1"/>
        <i x="479" s="1" nd="1"/>
        <i x="178" s="1" nd="1"/>
        <i x="497" s="1" nd="1"/>
        <i x="492" s="1" nd="1"/>
        <i x="511" s="1" nd="1"/>
        <i x="480" s="1" nd="1"/>
        <i x="382" s="1" nd="1"/>
        <i x="490" s="1" nd="1"/>
        <i x="482" s="1" nd="1"/>
        <i x="506" s="1" nd="1"/>
        <i x="489" s="1" nd="1"/>
        <i x="504" s="1" nd="1"/>
        <i x="390" s="1" nd="1"/>
        <i x="495" s="1" nd="1"/>
        <i x="494" s="1" nd="1"/>
        <i x="510" s="1" nd="1"/>
        <i x="507" s="1" nd="1"/>
        <i x="401" s="1" nd="1"/>
        <i x="515" s="1" nd="1"/>
        <i x="499" s="1" nd="1"/>
        <i x="508" s="1" nd="1"/>
        <i x="513" s="1" nd="1"/>
        <i x="392" s="1" nd="1"/>
        <i x="418" s="1" nd="1"/>
        <i x="517" s="1" nd="1"/>
        <i x="514" s="1" nd="1"/>
        <i x="383" s="1" nd="1"/>
        <i x="403" s="1" nd="1"/>
        <i x="509" s="1" nd="1"/>
        <i x="385" s="1" nd="1"/>
        <i x="500" s="1" nd="1"/>
        <i x="503" s="1" nd="1"/>
        <i x="400" s="1" nd="1"/>
        <i x="512" s="1" nd="1"/>
        <i x="139" s="1" nd="1"/>
        <i x="173" s="1" nd="1"/>
        <i x="501" s="1" nd="1"/>
        <i x="502" s="1" nd="1"/>
        <i x="387" s="1" nd="1"/>
        <i x="405" s="1" nd="1"/>
        <i x="406" s="1" nd="1"/>
        <i x="419" s="1" nd="1"/>
        <i x="516" s="1" nd="1"/>
        <i x="381" s="1" nd="1"/>
        <i x="404" s="1" nd="1"/>
        <i x="397" s="1" nd="1"/>
        <i x="384" s="1" nd="1"/>
        <i x="388" s="1" nd="1"/>
        <i x="394" s="1" nd="1"/>
        <i x="386" s="1" nd="1"/>
        <i x="410" s="1" nd="1"/>
        <i x="414" s="1" nd="1"/>
        <i x="415" s="1" nd="1"/>
        <i x="407" s="1" nd="1"/>
        <i x="391" s="1" nd="1"/>
        <i x="256" s="1" nd="1"/>
        <i x="393" s="1" nd="1"/>
        <i x="395" s="1" nd="1"/>
        <i x="398" s="1" nd="1"/>
        <i x="411" s="1" nd="1"/>
        <i x="396" s="1" nd="1"/>
        <i x="417" s="1" nd="1"/>
        <i x="349" s="1" nd="1"/>
        <i x="328" s="1" nd="1"/>
        <i x="432" s="1" nd="1"/>
        <i x="399" s="1" nd="1"/>
        <i x="420" s="1" nd="1"/>
        <i x="416" s="1" nd="1"/>
        <i x="402" s="1" nd="1"/>
        <i x="424" s="1" nd="1"/>
        <i x="360" s="1" nd="1"/>
        <i x="323" s="1" nd="1"/>
        <i x="409" s="1" nd="1"/>
        <i x="433" s="1" nd="1"/>
        <i x="413" s="1" nd="1"/>
        <i x="436" s="1" nd="1"/>
        <i x="423" s="1" nd="1"/>
        <i x="428" s="1" nd="1"/>
        <i x="305" s="1" nd="1"/>
        <i x="425" s="1" nd="1"/>
        <i x="427" s="1" nd="1"/>
        <i x="345" s="1" nd="1"/>
        <i x="313" s="1" nd="1"/>
        <i x="422" s="1" nd="1"/>
        <i x="310" s="1" nd="1"/>
        <i x="421" s="1" nd="1"/>
        <i x="322" s="1" nd="1"/>
        <i x="306" s="1" nd="1"/>
        <i x="304" s="1" nd="1"/>
        <i x="426" s="1" nd="1"/>
        <i x="320" s="1" nd="1"/>
        <i x="314" s="1" nd="1"/>
        <i x="325" s="1" nd="1"/>
        <i x="342" s="1" nd="1"/>
        <i x="319" s="1" nd="1"/>
        <i x="330" s="1" nd="1"/>
        <i x="324" s="1" nd="1"/>
        <i x="321" s="1" nd="1"/>
        <i x="434" s="1" nd="1"/>
        <i x="378" s="1" nd="1"/>
        <i x="332" s="1" nd="1"/>
        <i x="333" s="1" nd="1"/>
        <i x="430" s="1" nd="1"/>
        <i x="429" s="1" nd="1"/>
        <i x="307" s="1" nd="1"/>
        <i x="309" s="1" nd="1"/>
        <i x="340" s="1" nd="1"/>
        <i x="316" s="1" nd="1"/>
        <i x="435" s="1" nd="1"/>
        <i x="374" s="1" nd="1"/>
        <i x="365" s="1" nd="1"/>
        <i x="353" s="1" nd="1"/>
        <i x="327" s="1" nd="1"/>
        <i x="312" s="1" nd="1"/>
        <i x="343" s="1" nd="1"/>
        <i x="362" s="1" nd="1"/>
        <i x="354" s="1" nd="1"/>
        <i x="350" s="1" nd="1"/>
        <i x="318" s="1" nd="1"/>
        <i x="338" s="1" nd="1"/>
        <i x="337" s="1" nd="1"/>
        <i x="352" s="1" nd="1"/>
        <i x="339" s="1" nd="1"/>
        <i x="431" s="1" nd="1"/>
        <i x="315" s="1" nd="1"/>
        <i x="311" s="1" nd="1"/>
        <i x="341" s="1" nd="1"/>
        <i x="308" s="1" nd="1"/>
        <i x="346" s="1" nd="1"/>
        <i x="347" s="1" nd="1"/>
        <i x="351" s="1" nd="1"/>
        <i x="255" s="1" nd="1"/>
        <i x="331" s="1" nd="1"/>
        <i x="326" s="1" nd="1"/>
        <i x="359" s="1" nd="1"/>
        <i x="358" s="1" nd="1"/>
        <i x="363" s="1" nd="1"/>
        <i x="317" s="1" nd="1"/>
        <i x="361" s="1" nd="1"/>
        <i x="348" s="1" nd="1"/>
        <i x="254" s="1" nd="1"/>
        <i x="329" s="1" nd="1"/>
        <i x="334" s="1" nd="1"/>
        <i x="335" s="1" nd="1"/>
        <i x="344" s="1" nd="1"/>
        <i x="336" s="1" nd="1"/>
        <i x="355" s="1" nd="1"/>
        <i x="272" s="1" nd="1"/>
        <i x="366" s="1" nd="1"/>
        <i x="356" s="1" nd="1"/>
        <i x="372" s="1" nd="1"/>
        <i x="369" s="1" nd="1"/>
        <i x="367" s="1" nd="1"/>
        <i x="267" s="1" nd="1"/>
        <i x="266" s="1" nd="1"/>
        <i x="379" s="1" nd="1"/>
        <i x="253" s="1" nd="1"/>
        <i x="265" s="1" nd="1"/>
        <i x="373" s="1" nd="1"/>
        <i x="380" s="1" nd="1"/>
        <i x="258" s="1" nd="1"/>
        <i x="375" s="1" nd="1"/>
        <i x="376" s="1" nd="1"/>
        <i x="357" s="1" nd="1"/>
        <i x="370" s="1" nd="1"/>
        <i x="377" s="1" nd="1"/>
        <i x="368" s="1" nd="1"/>
        <i x="288" s="1" nd="1"/>
        <i x="371" s="1" nd="1"/>
        <i x="252" s="1" nd="1"/>
        <i x="261" s="1" nd="1"/>
        <i x="260" s="1" nd="1"/>
        <i x="364" s="1" nd="1"/>
        <i x="248" s="1" nd="1"/>
        <i x="242" s="1" nd="1"/>
        <i x="213" s="1" nd="1"/>
        <i x="247" s="1" nd="1"/>
        <i x="167" s="1" nd="1"/>
        <i x="264" s="1" nd="1"/>
        <i x="262" s="1" nd="1"/>
        <i x="269" s="1" nd="1"/>
        <i x="270" s="1" nd="1"/>
        <i x="268" s="1" nd="1"/>
        <i x="263" s="1" nd="1"/>
        <i x="259" s="1" nd="1"/>
        <i x="209" s="1" nd="1"/>
        <i x="233" s="1" nd="1"/>
        <i x="285" s="1" nd="1"/>
        <i x="275" s="1" nd="1"/>
        <i x="271" s="1" nd="1"/>
        <i x="289" s="1" nd="1"/>
        <i x="274" s="1" nd="1"/>
        <i x="157" s="1" nd="1"/>
        <i x="284" s="1" nd="1"/>
        <i x="286" s="1" nd="1"/>
        <i x="273" s="1" nd="1"/>
        <i x="277" s="1" nd="1"/>
        <i x="287" s="1" nd="1"/>
        <i x="280" s="1" nd="1"/>
        <i x="278" s="1" nd="1"/>
        <i x="279" s="1" nd="1"/>
        <i x="201" s="1" nd="1"/>
        <i x="283" s="1" nd="1"/>
        <i x="281" s="1" nd="1"/>
        <i x="282" s="1" nd="1"/>
        <i x="291" s="1" nd="1"/>
        <i x="290" s="1" nd="1"/>
        <i x="210" s="1" nd="1"/>
        <i x="300" s="1" nd="1"/>
        <i x="299" s="1" nd="1"/>
        <i x="211" s="1" nd="1"/>
        <i x="298" s="1" nd="1"/>
        <i x="303" s="1" nd="1"/>
        <i x="296" s="1" nd="1"/>
        <i x="302" s="1" nd="1"/>
        <i x="202" s="1" nd="1"/>
        <i x="207" s="1" nd="1"/>
        <i x="292" s="1" nd="1"/>
        <i x="195" s="1" nd="1"/>
        <i x="194" s="1" nd="1"/>
        <i x="196" s="1" nd="1"/>
        <i x="199" s="1" nd="1"/>
        <i x="293" s="1" nd="1"/>
        <i x="294" s="1" nd="1"/>
        <i x="295" s="1" nd="1"/>
        <i x="297" s="1" nd="1"/>
        <i x="301" s="1" nd="1"/>
        <i x="206" s="1" nd="1"/>
        <i x="205" s="1" nd="1"/>
        <i x="203" s="1" nd="1"/>
        <i x="147" s="1" nd="1"/>
        <i x="220" s="1" nd="1"/>
        <i x="198" s="1" nd="1"/>
        <i x="197" s="1" nd="1"/>
        <i x="143" s="1" nd="1"/>
        <i x="200" s="1" nd="1"/>
        <i x="219" s="1" nd="1"/>
        <i x="214" s="1" nd="1"/>
        <i x="215" s="1" nd="1"/>
        <i x="189" s="1" nd="1"/>
        <i x="204" s="1" nd="1"/>
        <i x="227" s="1" nd="1"/>
        <i x="249" s="1" nd="1"/>
        <i x="144" s="1" nd="1"/>
        <i x="216" s="1" nd="1"/>
        <i x="218" s="1" nd="1"/>
        <i x="208" s="1" nd="1"/>
        <i x="224" s="1" nd="1"/>
        <i x="228" s="1" nd="1"/>
        <i x="222" s="1" nd="1"/>
        <i x="221" s="1" nd="1"/>
        <i x="137" s="1" nd="1"/>
        <i x="217" s="1" nd="1"/>
        <i x="140" s="1" nd="1"/>
        <i x="212" s="1" nd="1"/>
        <i x="235" s="1" nd="1"/>
        <i x="236" s="1" nd="1"/>
        <i x="234" s="1" nd="1"/>
        <i x="223" s="1" nd="1"/>
        <i x="245" s="1" nd="1"/>
        <i x="226" s="1" nd="1"/>
        <i x="225" s="1" nd="1"/>
        <i x="138" s="1" nd="1"/>
        <i x="232" s="1" nd="1"/>
        <i x="237" s="1" nd="1"/>
        <i x="241" s="1" nd="1"/>
        <i x="251" s="1" nd="1"/>
        <i x="250" s="1" nd="1"/>
        <i x="231" s="1" nd="1"/>
        <i x="230" s="1" nd="1"/>
        <i x="142" s="1" nd="1"/>
        <i x="244" s="1" nd="1"/>
        <i x="136" s="1" nd="1"/>
        <i x="191" s="1" nd="1"/>
        <i x="146" s="1" nd="1"/>
        <i x="240" s="1" nd="1"/>
        <i x="151" s="1" nd="1"/>
        <i x="141" s="1" nd="1"/>
        <i x="229" s="1" nd="1"/>
        <i x="156" s="1" nd="1"/>
        <i x="149" s="1" nd="1"/>
        <i x="239" s="1" nd="1"/>
        <i x="238" s="1" nd="1"/>
        <i x="168" s="1" nd="1"/>
        <i x="243" s="1" nd="1"/>
        <i x="145" s="1" nd="1"/>
        <i x="153" s="1" nd="1"/>
        <i x="187" s="1" nd="1"/>
        <i x="190" s="1" nd="1"/>
        <i x="246" s="1" nd="1"/>
        <i x="135" s="1" nd="1"/>
        <i x="150" s="1" nd="1"/>
        <i x="148" s="1" nd="1"/>
        <i x="152" s="1" nd="1"/>
        <i x="155" s="1" nd="1"/>
        <i x="154" s="1" nd="1"/>
        <i x="163" s="1" nd="1"/>
        <i x="159" s="1" nd="1"/>
        <i x="160" s="1" nd="1"/>
        <i x="162" s="1" nd="1"/>
        <i x="172" s="1" nd="1"/>
        <i x="165" s="1" nd="1"/>
        <i x="158" s="1" nd="1"/>
        <i x="161" s="1" nd="1"/>
        <i x="166" s="1" nd="1"/>
        <i x="183" s="1" nd="1"/>
        <i x="171" s="1" nd="1"/>
        <i x="164" s="1" nd="1"/>
        <i x="180" s="1" nd="1"/>
        <i x="169" s="1" nd="1"/>
        <i x="182" s="1" nd="1"/>
        <i x="181" s="1" nd="1"/>
        <i x="175" s="1" nd="1"/>
        <i x="179" s="1" nd="1"/>
        <i x="170" s="1" nd="1"/>
        <i x="185" s="1" nd="1"/>
        <i x="184" s="1" nd="1"/>
        <i x="186" s="1" nd="1"/>
        <i x="192" s="1" nd="1"/>
        <i x="188" s="1" nd="1"/>
        <i x="193" s="1" nd="1"/>
        <i x="6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138" totalsRowCount="1">
  <autoFilter ref="A1:G1137" xr:uid="{CB032221-B416-47A8-9A76-693DE76CFD04}"/>
  <sortState xmlns:xlrd2="http://schemas.microsoft.com/office/spreadsheetml/2017/richdata2" ref="A2:G1006">
    <sortCondition ref="A1:A1006"/>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55" headerRowBorderDxfId="54">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944827.17629846383</v>
      </c>
      <c r="D2">
        <v>10</v>
      </c>
      <c r="E2" s="14">
        <f>(SUMIFS(ledger!G:G, ledger!B:B, B2, ledger!E:E, "&lt;&gt;*RD*",ledger!D:D, "Silky") / 1.0936)*12 + (SUMIFS(ledger!G:G, ledger!B:B, B2, ledger!E:E, "&lt;&gt;*RD*",ledger!D:D, "Chamki") / 1.0936)*10</f>
        <v>8593866.1302121449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5379776.8824000005</v>
      </c>
      <c r="T5" s="22" cm="1">
        <f t="array" ref="T5">_xlfn.BYROW(B49, _xlfn.LAMBDA(_xlpm.party, SUMIFS(ledger!G:G, ledger!B:B, _xlpm.party, ledger!E:E, "&lt;&gt;*RD*") / 1.0936 ))+_xlfn.IFNA(E98,0)</f>
        <v>4071514.1572787128</v>
      </c>
      <c r="U5" s="22" cm="1">
        <f t="array" ref="U5">(_xlfn.BYROW(B49,_xlfn.LAMBDA(_xlpm.party,SUMIFS(ledger!G:G,ledger!B:B,_xlpm.party,ledger!E:E,"&lt;&gt;*RD*",ledger!D:D,"Chamki")+SUMIFS(ledger!G:G, ledger!B:B, _xlpm.party, ledger!E:E, "&lt;&gt;*RD*", ledger!D:D, "Crinkle")))/1.0936)+_xlfn.IFNA(E98,0)</f>
        <v>3780607.0614484278</v>
      </c>
      <c r="V5" s="70" cm="1">
        <f t="array" ref="V5">(_xlfn.BYROW(B49,_xlfn.LAMBDA(_xlpm.party,SUMIFS(ledger!G:G,ledger!B:B,_xlpm.party,ledger!E:E,"&lt;&gt;*RD*",ledger!D:D,"Silky")))/1.0936)+_xlfn.IFNA(F98,0)</f>
        <v>945348.39063643024</v>
      </c>
      <c r="W5" s="22" cm="1">
        <f t="array" ref="W5">(_xlfn.BYROW(B49,_xlfn.LAMBDA(_xlpm.party,
(SUMIFS(ledger!J:J,ledger!B:B,_xlpm.party,ledger!E:E,"&lt;&gt;*RD*",ledger!D:D,"Chamki",ledger!C:C,"&lt;&gt;Closing CF")+
SUMIFS(ledger!J:J,ledger!B:B,_xlpm.party,ledger!E:E,"&lt;&gt;*RD*",ledger!D:D,"Crinkle",ledger!C:C,"&lt;&gt;Closing CF")
)+_xlfn.IFNA(G98,0))))</f>
        <v>37806070.61448428</v>
      </c>
      <c r="X5" s="70" cm="1">
        <f t="array" ref="X5">_xlfn.BYROW(B49, _xlfn.LAMBDA(_xlpm.party,
   SUMIFS(ledger!J:J, ledger!B:B, _xlpm.party, ledger!E:E, "&lt;&gt;*RD*", ledger!D:D, "Silky", ledger!C:C, "&lt;&gt;Closing CF")
)) + _xlfn.IFNA(H98, 0)</f>
        <v>12130422.457937088</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52063588.902706668</v>
      </c>
      <c r="AF5" s="22">
        <f>(SUMIF(Table14[Party],#REF!,Table14[Credit]))+_xlfn.IFNA(P98,0)</f>
        <v>19750734</v>
      </c>
      <c r="AG5" s="33">
        <f>AE5-AF5</f>
        <v>32312854.902706668</v>
      </c>
      <c r="AH5" s="21">
        <v>10</v>
      </c>
      <c r="AI5" s="21">
        <v>13</v>
      </c>
      <c r="AL5" s="14">
        <f>SUM(AG5:AG47)</f>
        <v>39976376.496927597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1976321</v>
      </c>
      <c r="AG11" s="33">
        <f t="shared" si="2"/>
        <v>617808.48061448475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32716102.048280913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312188</v>
      </c>
      <c r="T22" s="22" cm="1">
        <f t="array" ref="T22">_xlfn.BYROW(B66, _xlfn.LAMBDA(_xlpm.party, SUMIFS(ledger!G:G, ledger!B:B, _xlpm.party, ledger!E:E, "&lt;&gt;*RD*") / 1.0936 ))+_xlfn.IFNA(D115,0)</f>
        <v>285468.17849305051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24600.40234089247</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295721.47037307976</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133445.50109729334</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3272751.4630577909</v>
      </c>
      <c r="AF22" s="22">
        <f>(SUMIF(Table14[Party],R22,Table14[Credit]))+_xlfn.IFNA(P115,0)</f>
        <v>2860660</v>
      </c>
      <c r="AG22" s="33">
        <f t="shared" si="2"/>
        <v>412091.46305779088</v>
      </c>
      <c r="AH22" s="21">
        <v>10</v>
      </c>
      <c r="AI22" s="21">
        <v>13</v>
      </c>
    </row>
    <row r="23" spans="2:35" x14ac:dyDescent="0.3">
      <c r="B23" s="24" t="s">
        <v>31</v>
      </c>
      <c r="C23" s="37">
        <f>SUM(O49:O85)</f>
        <v>32716102.048280913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1033263</v>
      </c>
      <c r="D49" s="22" cm="1">
        <f t="array" ref="D49:D89">_xlfn.BYROW(_xlfn.ANCHORARRAY(B49), _xlfn.LAMBDA(_xlpm.party, SUMIFS(ledger!G:G, ledger!B:B, _xlpm.party, ledger!E:E, "&lt;&gt;*RD*") / 1.0936 ))</f>
        <v>944827.17629846383</v>
      </c>
      <c r="E49" s="63" cm="1">
        <f t="array" ref="E49:E89">(_xlfn.BYROW(_xlfn.ANCHORARRAY(B49),_xlfn.LAMBDA(_xlpm.party,SUMIFS(ledger!G:G,ledger!B:B,_xlpm.party,ledger!E:E,"&lt;&gt;*RD*",ledger!D:D,"Chamki")+SUMIFS(ledger!G:G, ledger!B:B, _xlpm.party, ledger!E:E, "&lt;&gt;*RD*", ledger!D:D, "Crinkle")))/1.0936)</f>
        <v>653920.08046817849</v>
      </c>
      <c r="F49" s="63" cm="1">
        <f t="array" ref="F49:F89">(_xlfn.BYROW(_xlfn.ANCHORARRAY(B49),_xlfn.LAMBDA(_xlpm.party,SUMIFS(ledger!G:G,ledger!B:B,_xlpm.party,ledger!E:E,"&lt;&gt;*RD*",ledger!D:D,"Silky")))/1.0936)</f>
        <v>290907.09583028534</v>
      </c>
      <c r="G49" s="22" cm="1">
        <f t="array" ref="G49">(_xlfn.BYROW(B49,_xlfn.LAMBDA(_xlpm.party,
(SUMIFS(ledger!J:J,ledger!B:B,_xlpm.party,ledger!E:E,"&lt;&gt;*RD*",ledger!D:D,"Chamki",ledger!C:C,"&lt;&gt;Closing CF")+
SUMIFS(ledger!J:J,ledger!B:B,_xlpm.party,ledger!E:E,"&lt;&gt;*RD*",ledger!D:D,"Crinkle",ledger!C:C,"&lt;&gt;Closing CF")
))))</f>
        <v>6539200.8046817863</v>
      </c>
      <c r="H49" s="22" cm="1">
        <f t="array" ref="H49">_xlfn.BYROW(B49, _xlfn.LAMBDA(_xlpm.party,
   SUMIFS(ledger!J:J, ledger!B:B, _xlpm.party, ledger!E:E, "&lt;&gt;*RD*", ledger!D:D, "Silky", ledger!C:C, "&lt;&gt;Closing CF")
))</f>
        <v>3711041.5142648132</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10250242.3189466</v>
      </c>
      <c r="P49" s="22">
        <f>(SUMIF(Table14[Party],B49,Table14[Credit]))</f>
        <v>0</v>
      </c>
      <c r="Q49" s="37">
        <f t="shared" ref="Q49:Q80" si="9">O49-P49</f>
        <v>10250242.3189466</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250000</v>
      </c>
      <c r="Q55" s="37">
        <f t="shared" si="9"/>
        <v>485104.2428675933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944827.17629846383</v>
      </c>
      <c r="X58" s="18">
        <v>8593866.1302121449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229898</v>
      </c>
      <c r="D66" s="22">
        <v>210221.2874908559</v>
      </c>
      <c r="E66" s="63">
        <v>26299.378200438921</v>
      </c>
      <c r="F66" s="63">
        <v>17034.564740307243</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197365.58156547186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38789.319678127285</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2436734.6378931971</v>
      </c>
      <c r="P66" s="22">
        <f>(SUMIF(Table14[Party],B66,Table14[Credit]))</f>
        <v>2025000</v>
      </c>
      <c r="Q66" s="37">
        <f t="shared" si="9"/>
        <v>411734.63789319713</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1373799.378200439</v>
      </c>
      <c r="X75" s="14">
        <v>12823814.923189469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488600</v>
      </c>
      <c r="Q89" s="37">
        <f t="shared" si="16"/>
        <v>43.013899049023166</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4.8126549728137862</v>
      </c>
    </row>
    <row r="5" spans="1:5" x14ac:dyDescent="0.3">
      <c r="B5" t="s">
        <v>48</v>
      </c>
      <c r="C5" s="11">
        <f>SUM(Table8[Price])</f>
        <v>3265205</v>
      </c>
      <c r="E5" s="43">
        <f ca="1">Table12[[#This Row],[Amount]]/Table1[[#Totals],[tiyar/meters]]</f>
        <v>1.0698992065106696</v>
      </c>
    </row>
    <row r="6" spans="1:5" x14ac:dyDescent="0.3">
      <c r="B6" t="s">
        <v>49</v>
      </c>
      <c r="C6" s="11">
        <f>SUM(Table2[Price])</f>
        <v>1136800</v>
      </c>
      <c r="D6" t="s">
        <v>187</v>
      </c>
      <c r="E6" s="43">
        <f ca="1">Table12[[#This Row],[Amount]]/Table1[[#Totals],[tiyar/meters]]</f>
        <v>0.3724915948497351</v>
      </c>
    </row>
    <row r="7" spans="1:5" x14ac:dyDescent="0.3">
      <c r="B7" t="s">
        <v>50</v>
      </c>
      <c r="C7" s="11">
        <f>SUMIFS(Table14[Debit], Table14[Party],Table12[[#This Row],[Type]])</f>
        <v>220860</v>
      </c>
      <c r="E7" s="43">
        <f ca="1">Table12[[#This Row],[Amount]]/Table1[[#Totals],[tiyar/meters]]</f>
        <v>7.2368484903687982E-2</v>
      </c>
    </row>
    <row r="8" spans="1:5" x14ac:dyDescent="0.3">
      <c r="B8" t="s">
        <v>51</v>
      </c>
      <c r="C8" s="11">
        <f>Electricity!E5</f>
        <v>2907357</v>
      </c>
      <c r="E8" s="43">
        <f ca="1">Table12[[#This Row],[Amount]]/Table1[[#Totals],[tiyar/meters]]</f>
        <v>0.95264430482718265</v>
      </c>
    </row>
    <row r="9" spans="1:5" x14ac:dyDescent="0.3">
      <c r="B9" t="s">
        <v>52</v>
      </c>
      <c r="C9" s="11">
        <f>SUMIFS(Table14[Debit], Table14[Party],Table12[[#This Row],[Type]])+SUMIFS(Table14[Debit], Table14[Party],"Advance Salary")</f>
        <v>7696043</v>
      </c>
      <c r="E9" s="43">
        <f ca="1">Table12[[#This Row],[Amount]]/Table1[[#Totals],[tiyar/meters]]</f>
        <v>2.52173762412222</v>
      </c>
    </row>
    <row r="10" spans="1:5" x14ac:dyDescent="0.3">
      <c r="B10" t="s">
        <v>53</v>
      </c>
      <c r="C10" s="11">
        <f>Table5[[#Totals],[Amount]]</f>
        <v>351325</v>
      </c>
      <c r="E10" s="43">
        <f ca="1">Table12[[#This Row],[Amount]]/Table1[[#Totals],[tiyar/meters]]</f>
        <v>0.11511753128130119</v>
      </c>
    </row>
    <row r="11" spans="1:5" x14ac:dyDescent="0.3">
      <c r="B11" t="s">
        <v>54</v>
      </c>
      <c r="C11" s="11">
        <f>Table13[[#Totals],[Debit]]</f>
        <v>288806.40000000002</v>
      </c>
      <c r="E11" s="43">
        <f ca="1">Table12[[#This Row],[Amount]]/Table1[[#Totals],[tiyar/meters]]</f>
        <v>9.4632262965174657E-2</v>
      </c>
    </row>
    <row r="12" spans="1:5" x14ac:dyDescent="0.3">
      <c r="B12" t="s">
        <v>55</v>
      </c>
      <c r="C12" s="11">
        <f>Table15[[#Totals],[Amount]]</f>
        <v>978493</v>
      </c>
      <c r="E12" s="43">
        <f ca="1">Table12[[#This Row],[Amount]]/Table1[[#Totals],[tiyar/meters]]</f>
        <v>0.32061964999938586</v>
      </c>
    </row>
    <row r="13" spans="1:5" x14ac:dyDescent="0.3">
      <c r="C13" s="11"/>
      <c r="E13" s="43">
        <f ca="1">Table12[[#This Row],[Amount]]/Table1[[#Totals],[tiyar/meters]]</f>
        <v>0</v>
      </c>
    </row>
    <row r="14" spans="1:5" x14ac:dyDescent="0.3">
      <c r="C14" s="14">
        <f>SUM(Table12[Amount])</f>
        <v>31532539.399999999</v>
      </c>
      <c r="E14" s="43">
        <f ca="1">SUM(Table12[cost per meter])</f>
        <v>10.332165632273142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32716102.048280913</v>
      </c>
    </row>
    <row r="4" spans="1:3" x14ac:dyDescent="0.3">
      <c r="B4" s="11" t="s">
        <v>44</v>
      </c>
      <c r="C4" s="11">
        <f>Table12[[#Totals],[Amount]]</f>
        <v>31532539.399999999</v>
      </c>
    </row>
    <row r="5" spans="1:3" x14ac:dyDescent="0.3">
      <c r="A5" s="6"/>
      <c r="B5" s="15" t="s">
        <v>68</v>
      </c>
      <c r="C5" s="15">
        <f>C3-C4</f>
        <v>1183562.6482809149</v>
      </c>
    </row>
    <row r="10" spans="1:3" ht="15" thickBot="1" x14ac:dyDescent="0.35">
      <c r="B10" t="s">
        <v>66</v>
      </c>
      <c r="C10" s="14" t="s">
        <v>67</v>
      </c>
    </row>
    <row r="11" spans="1:3" x14ac:dyDescent="0.3">
      <c r="B11" s="56" t="s">
        <v>0</v>
      </c>
      <c r="C11" s="57">
        <f>C3</f>
        <v>32716102.048280913</v>
      </c>
    </row>
    <row r="12" spans="1:3" x14ac:dyDescent="0.3">
      <c r="B12" s="58" t="s">
        <v>69</v>
      </c>
      <c r="C12" s="59">
        <f>SUM(Table14[Credit])</f>
        <v>42463138.229517192</v>
      </c>
    </row>
    <row r="13" spans="1:3" ht="15" thickBot="1" x14ac:dyDescent="0.35">
      <c r="B13" s="74" t="s">
        <v>93</v>
      </c>
      <c r="C13" s="73">
        <f>(C11-C12)</f>
        <v>-9747036.1812362783</v>
      </c>
    </row>
    <row r="14" spans="1:3" ht="15" thickBot="1" x14ac:dyDescent="0.35">
      <c r="B14" s="58"/>
      <c r="C14" s="59"/>
    </row>
    <row r="15" spans="1:3" x14ac:dyDescent="0.3">
      <c r="B15" s="56" t="s">
        <v>44</v>
      </c>
      <c r="C15" s="57">
        <f>C4</f>
        <v>31532539.399999999</v>
      </c>
    </row>
    <row r="16" spans="1:3" x14ac:dyDescent="0.3">
      <c r="B16" s="58" t="s">
        <v>70</v>
      </c>
      <c r="C16" s="59">
        <f>SUM(Table14[Debit])</f>
        <v>42463245.68</v>
      </c>
    </row>
    <row r="17" spans="2:6" ht="15" thickBot="1" x14ac:dyDescent="0.35">
      <c r="B17" s="74" t="s">
        <v>71</v>
      </c>
      <c r="C17" s="73">
        <f>C15-C16</f>
        <v>-10930706.280000001</v>
      </c>
    </row>
    <row r="18" spans="2:6" ht="15" thickBot="1" x14ac:dyDescent="0.35">
      <c r="B18" s="58"/>
      <c r="C18" s="59"/>
    </row>
    <row r="19" spans="2:6" ht="15" thickBot="1" x14ac:dyDescent="0.35">
      <c r="B19" s="75" t="s">
        <v>72</v>
      </c>
      <c r="C19" s="76">
        <f>Table18[[#Totals],[amount]]</f>
        <v>1161666.5495171919</v>
      </c>
    </row>
    <row r="20" spans="2:6" ht="15" thickBot="1" x14ac:dyDescent="0.35">
      <c r="B20" s="71"/>
      <c r="C20" s="72"/>
    </row>
    <row r="21" spans="2:6" ht="15" thickBot="1" x14ac:dyDescent="0.35">
      <c r="B21" s="60" t="s">
        <v>73</v>
      </c>
      <c r="C21" s="61">
        <f>(C13-C17)+C19</f>
        <v>2345336.6482809149</v>
      </c>
      <c r="E21" s="79" t="s">
        <v>74</v>
      </c>
      <c r="F21" s="121">
        <f>C5*0.05</f>
        <v>59178.132414045744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73" zoomScale="107" zoomScaleNormal="107" workbookViewId="0">
      <selection activeCell="I286" sqref="I28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c r="C287" s="113">
        <v>1807</v>
      </c>
      <c r="D287" s="113"/>
      <c r="E287" s="11"/>
      <c r="F287" s="11"/>
      <c r="G287" s="11"/>
      <c r="H287" s="114" t="e">
        <f>_xlfn.XLOOKUP(Table1[[#This Row],[Shipment Number]], 'pivot '!A:A,'pivot '!G:G, "NF")</f>
        <v>#DIV/0!</v>
      </c>
      <c r="I287" s="115">
        <f>Table1[[#This Row],[Tiyaar/gaz]]/1.0936</f>
        <v>0</v>
      </c>
      <c r="J287" s="115" t="e"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7" s="113"/>
    </row>
    <row r="288" spans="1:11" x14ac:dyDescent="0.3">
      <c r="A288" s="118">
        <v>46214</v>
      </c>
      <c r="B288" s="116"/>
      <c r="C288" s="113">
        <v>1808</v>
      </c>
      <c r="D288" s="113"/>
      <c r="E288" s="11"/>
      <c r="F288" s="11"/>
      <c r="G288" s="11"/>
      <c r="H288" s="114" t="e">
        <f>_xlfn.XLOOKUP(Table1[[#This Row],[Shipment Number]], 'pivot '!A:A,'pivot '!G:G, "NF")</f>
        <v>#DIV/0!</v>
      </c>
      <c r="I288" s="115">
        <f>Table1[[#This Row],[Tiyaar/gaz]]/1.0936</f>
        <v>0</v>
      </c>
      <c r="J288" s="115" t="e"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8" s="113"/>
    </row>
    <row r="289" spans="1:11" x14ac:dyDescent="0.3">
      <c r="A289" s="118">
        <v>46214</v>
      </c>
      <c r="B289" s="116"/>
      <c r="C289" s="113">
        <v>1809</v>
      </c>
      <c r="D289" s="113"/>
      <c r="E289" s="11"/>
      <c r="F289" s="11"/>
      <c r="G289" s="11"/>
      <c r="H289" s="114" t="e">
        <f>_xlfn.XLOOKUP(Table1[[#This Row],[Shipment Number]], 'pivot '!A:A,'pivot '!G:G, "NF")</f>
        <v>#DIV/0!</v>
      </c>
      <c r="I289" s="115">
        <f>Table1[[#This Row],[Tiyaar/gaz]]/1.0936</f>
        <v>0</v>
      </c>
      <c r="J289" s="115" t="e"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c r="C294" s="113"/>
      <c r="D294" s="113"/>
      <c r="E294" s="11"/>
      <c r="F294" s="11"/>
      <c r="G294" s="11"/>
      <c r="H294" s="114" t="e">
        <f>_xlfn.XLOOKUP(Table1[[#This Row],[Shipment Number]], 'pivot '!A:A,'pivot '!G:G, "NF")</f>
        <v>#DIV/0!</v>
      </c>
      <c r="I294" s="115">
        <f>Table1[[#This Row],[Tiyaar/gaz]]/1.0936</f>
        <v>0</v>
      </c>
      <c r="J294" s="115" t="e" cm="1">
        <f t="array" ref="J29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94" s="113"/>
    </row>
    <row r="295" spans="1:11" x14ac:dyDescent="0.3">
      <c r="A295" s="118">
        <v>46214</v>
      </c>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3051880.9436722742</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22" sqref="K22"/>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138"/>
  <sheetViews>
    <sheetView topLeftCell="A1110" zoomScale="110" zoomScaleNormal="70" workbookViewId="0">
      <selection activeCell="F1130" sqref="F11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42463245.68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42463138.229517192</v>
      </c>
      <c r="M5" s="45" t="s">
        <v>108</v>
      </c>
      <c r="N5" s="46">
        <f>(SUMIFS(Table14[Credit],Table14[Mode],"Bank")-SUMIFS(Table14[Debit],Table14[Mode],"Bank")-SUMIFS(Table14[Withdrawal],Table14[Mode],"Transfer"))</f>
        <v>1772582.5495171919</v>
      </c>
      <c r="O5">
        <v>360000</v>
      </c>
    </row>
    <row r="6" spans="1:16" x14ac:dyDescent="0.3">
      <c r="A6" s="85">
        <v>46111</v>
      </c>
      <c r="B6" s="80" t="s">
        <v>220</v>
      </c>
      <c r="C6" s="11">
        <v>949282</v>
      </c>
      <c r="D6" s="86"/>
      <c r="E6" s="80" t="s">
        <v>618</v>
      </c>
      <c r="F6" s="87" t="s">
        <v>108</v>
      </c>
      <c r="J6" s="52" t="s">
        <v>43</v>
      </c>
      <c r="K6" s="53">
        <f>(K5-K4)</f>
        <v>-107.45048280805349</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1161666.5495171919</v>
      </c>
      <c r="O7" s="89">
        <f>SUM(O5,O6)</f>
        <v>410000</v>
      </c>
      <c r="P7" s="14">
        <f>Table18[[#Totals],[amount]]-Table18[[#Totals],[Actual]]</f>
        <v>751666.54951719195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5568801</v>
      </c>
      <c r="L197" s="14">
        <v>5644651</v>
      </c>
      <c r="O197">
        <v>22650</v>
      </c>
    </row>
    <row r="198" spans="1:15" x14ac:dyDescent="0.3">
      <c r="A198" s="38">
        <v>46131</v>
      </c>
      <c r="B198" t="s">
        <v>386</v>
      </c>
      <c r="C198" s="11">
        <v>4000</v>
      </c>
      <c r="D198" s="11" t="s">
        <v>400</v>
      </c>
      <c r="E198" t="s">
        <v>401</v>
      </c>
      <c r="F198" s="108" t="s">
        <v>108</v>
      </c>
      <c r="J198" s="4" t="s">
        <v>28</v>
      </c>
      <c r="K198" s="14">
        <v>40798538.229517192</v>
      </c>
      <c r="L198" s="14">
        <v>40794035.68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7" x14ac:dyDescent="0.3">
      <c r="A1105" s="111">
        <v>46214</v>
      </c>
      <c r="B1105" t="s">
        <v>298</v>
      </c>
      <c r="C1105" s="95">
        <v>49410</v>
      </c>
      <c r="D1105" s="95"/>
      <c r="E1105" t="s">
        <v>940</v>
      </c>
      <c r="F1105" s="108" t="s">
        <v>108</v>
      </c>
    </row>
    <row r="1106" spans="1:7" x14ac:dyDescent="0.3">
      <c r="A1106" s="111">
        <v>46214</v>
      </c>
      <c r="B1106" t="s">
        <v>892</v>
      </c>
      <c r="C1106" s="11"/>
      <c r="D1106" s="11">
        <v>100000</v>
      </c>
      <c r="F1106" s="108" t="s">
        <v>108</v>
      </c>
    </row>
    <row r="1107" spans="1:7" x14ac:dyDescent="0.3">
      <c r="A1107" s="111">
        <v>46214</v>
      </c>
      <c r="B1107" t="s">
        <v>55</v>
      </c>
      <c r="C1107" s="11">
        <v>3400</v>
      </c>
      <c r="D1107" s="11"/>
      <c r="E1107" t="s">
        <v>941</v>
      </c>
      <c r="F1107" s="108" t="s">
        <v>108</v>
      </c>
    </row>
    <row r="1108" spans="1:7" x14ac:dyDescent="0.3">
      <c r="A1108" s="111">
        <v>46214</v>
      </c>
      <c r="B1108" t="s">
        <v>488</v>
      </c>
      <c r="C1108" s="11">
        <v>5000</v>
      </c>
      <c r="D1108" s="11"/>
      <c r="E1108" t="s">
        <v>872</v>
      </c>
      <c r="F1108" s="108" t="s">
        <v>108</v>
      </c>
    </row>
    <row r="1109" spans="1:7" x14ac:dyDescent="0.3">
      <c r="A1109" s="111">
        <v>46214</v>
      </c>
      <c r="B1109" t="s">
        <v>269</v>
      </c>
      <c r="C1109" s="11">
        <v>5000</v>
      </c>
      <c r="D1109" s="11"/>
      <c r="E1109" t="s">
        <v>288</v>
      </c>
      <c r="F1109" s="108" t="s">
        <v>108</v>
      </c>
    </row>
    <row r="1110" spans="1:7" x14ac:dyDescent="0.3">
      <c r="A1110" s="111">
        <v>46215</v>
      </c>
      <c r="B1110" t="s">
        <v>654</v>
      </c>
      <c r="C1110" s="11"/>
      <c r="D1110" s="11">
        <v>200000</v>
      </c>
      <c r="E1110" t="s">
        <v>944</v>
      </c>
      <c r="F1110" s="108" t="s">
        <v>108</v>
      </c>
    </row>
    <row r="1111" spans="1:7" x14ac:dyDescent="0.3">
      <c r="A1111" s="177">
        <v>46215</v>
      </c>
      <c r="B1111" s="178" t="s">
        <v>654</v>
      </c>
      <c r="C1111" s="95"/>
      <c r="D1111" s="95">
        <v>200000</v>
      </c>
      <c r="E1111" s="178" t="s">
        <v>945</v>
      </c>
      <c r="F1111" s="179" t="s">
        <v>108</v>
      </c>
      <c r="G1111" s="178"/>
    </row>
    <row r="1112" spans="1:7" x14ac:dyDescent="0.3">
      <c r="A1112" s="177">
        <v>46215</v>
      </c>
      <c r="B1112" s="178" t="s">
        <v>654</v>
      </c>
      <c r="C1112" s="95"/>
      <c r="D1112" s="95">
        <v>200000</v>
      </c>
      <c r="E1112" s="178" t="s">
        <v>946</v>
      </c>
      <c r="F1112" s="179" t="s">
        <v>108</v>
      </c>
      <c r="G1112" s="178"/>
    </row>
    <row r="1113" spans="1:7" x14ac:dyDescent="0.3">
      <c r="A1113" s="177">
        <v>46215</v>
      </c>
      <c r="B1113" s="178" t="s">
        <v>826</v>
      </c>
      <c r="C1113" s="95">
        <v>600000</v>
      </c>
      <c r="D1113" s="95"/>
      <c r="E1113" s="178" t="s">
        <v>947</v>
      </c>
      <c r="F1113" s="179" t="s">
        <v>108</v>
      </c>
      <c r="G1113" s="178"/>
    </row>
    <row r="1114" spans="1:7" x14ac:dyDescent="0.3">
      <c r="A1114" s="177">
        <v>46215</v>
      </c>
      <c r="B1114" s="178" t="s">
        <v>357</v>
      </c>
      <c r="C1114" s="95">
        <v>2860</v>
      </c>
      <c r="D1114" s="95"/>
      <c r="E1114" s="178"/>
      <c r="F1114" s="179" t="s">
        <v>108</v>
      </c>
      <c r="G1114" s="178"/>
    </row>
    <row r="1115" spans="1:7" x14ac:dyDescent="0.3">
      <c r="A1115" s="177">
        <v>46216</v>
      </c>
      <c r="B1115" s="178" t="s">
        <v>269</v>
      </c>
      <c r="C1115" s="95">
        <v>5000</v>
      </c>
      <c r="D1115" s="95"/>
      <c r="E1115" s="178" t="s">
        <v>958</v>
      </c>
      <c r="F1115" s="179" t="s">
        <v>108</v>
      </c>
      <c r="G1115" s="178"/>
    </row>
    <row r="1116" spans="1:7" x14ac:dyDescent="0.3">
      <c r="A1116" s="177">
        <v>46216</v>
      </c>
      <c r="B1116" s="178" t="s">
        <v>55</v>
      </c>
      <c r="C1116" s="95">
        <v>160</v>
      </c>
      <c r="D1116" s="95"/>
      <c r="E1116" s="178" t="s">
        <v>948</v>
      </c>
      <c r="F1116" s="179" t="s">
        <v>108</v>
      </c>
      <c r="G1116" s="178"/>
    </row>
    <row r="1117" spans="1:7" x14ac:dyDescent="0.3">
      <c r="A1117" s="177">
        <v>46216</v>
      </c>
      <c r="B1117" s="178" t="s">
        <v>269</v>
      </c>
      <c r="C1117" s="95">
        <v>5000</v>
      </c>
      <c r="D1117" s="95"/>
      <c r="E1117" s="178" t="s">
        <v>949</v>
      </c>
      <c r="F1117" s="179" t="s">
        <v>108</v>
      </c>
      <c r="G1117" s="178"/>
    </row>
    <row r="1118" spans="1:7" x14ac:dyDescent="0.3">
      <c r="A1118" s="177">
        <v>46216</v>
      </c>
      <c r="B1118" s="178" t="s">
        <v>55</v>
      </c>
      <c r="C1118" s="95">
        <v>1250</v>
      </c>
      <c r="D1118" s="95"/>
      <c r="E1118" s="178" t="s">
        <v>950</v>
      </c>
      <c r="F1118" s="179" t="s">
        <v>108</v>
      </c>
      <c r="G1118" s="178"/>
    </row>
    <row r="1119" spans="1:7" x14ac:dyDescent="0.3">
      <c r="A1119" s="177">
        <v>46216</v>
      </c>
      <c r="B1119" s="178" t="s">
        <v>357</v>
      </c>
      <c r="C1119" s="95">
        <v>12000</v>
      </c>
      <c r="D1119" s="95"/>
      <c r="E1119" s="178" t="s">
        <v>392</v>
      </c>
      <c r="F1119" s="179" t="s">
        <v>108</v>
      </c>
      <c r="G1119" s="178"/>
    </row>
    <row r="1120" spans="1:7" x14ac:dyDescent="0.3">
      <c r="A1120" s="177">
        <v>46217</v>
      </c>
      <c r="B1120" s="178" t="s">
        <v>488</v>
      </c>
      <c r="C1120" s="95">
        <v>920</v>
      </c>
      <c r="D1120" s="95"/>
      <c r="E1120" s="178" t="s">
        <v>541</v>
      </c>
      <c r="F1120" s="179" t="s">
        <v>108</v>
      </c>
      <c r="G1120" s="178"/>
    </row>
    <row r="1121" spans="1:7" x14ac:dyDescent="0.3">
      <c r="A1121" s="177">
        <v>46217</v>
      </c>
      <c r="B1121" s="178" t="s">
        <v>211</v>
      </c>
      <c r="C1121" s="95"/>
      <c r="D1121" s="95">
        <v>15000</v>
      </c>
      <c r="E1121" s="178" t="s">
        <v>903</v>
      </c>
      <c r="F1121" s="179" t="s">
        <v>108</v>
      </c>
      <c r="G1121" s="178"/>
    </row>
    <row r="1122" spans="1:7" x14ac:dyDescent="0.3">
      <c r="A1122" s="177">
        <v>46217</v>
      </c>
      <c r="B1122" s="178" t="s">
        <v>253</v>
      </c>
      <c r="C1122" s="95">
        <v>15000</v>
      </c>
      <c r="D1122" s="95"/>
      <c r="E1122" s="178" t="s">
        <v>903</v>
      </c>
      <c r="F1122" s="179" t="s">
        <v>108</v>
      </c>
      <c r="G1122" s="178"/>
    </row>
    <row r="1123" spans="1:7" x14ac:dyDescent="0.3">
      <c r="A1123" s="177">
        <v>46217</v>
      </c>
      <c r="B1123" s="178" t="s">
        <v>219</v>
      </c>
      <c r="C1123" s="95"/>
      <c r="D1123" s="95">
        <v>63000</v>
      </c>
      <c r="E1123" s="178" t="s">
        <v>951</v>
      </c>
      <c r="F1123" s="179" t="s">
        <v>108</v>
      </c>
      <c r="G1123" s="178"/>
    </row>
    <row r="1124" spans="1:7" x14ac:dyDescent="0.3">
      <c r="A1124" s="177">
        <v>46217</v>
      </c>
      <c r="B1124" s="178" t="s">
        <v>269</v>
      </c>
      <c r="C1124" s="95">
        <v>50000</v>
      </c>
      <c r="D1124" s="95"/>
      <c r="E1124" s="178" t="s">
        <v>700</v>
      </c>
      <c r="F1124" s="179" t="s">
        <v>108</v>
      </c>
      <c r="G1124" s="178"/>
    </row>
    <row r="1125" spans="1:7" x14ac:dyDescent="0.3">
      <c r="A1125" s="177">
        <v>46217</v>
      </c>
      <c r="B1125" s="178" t="s">
        <v>269</v>
      </c>
      <c r="C1125" s="95">
        <v>8000</v>
      </c>
      <c r="D1125" s="95"/>
      <c r="E1125" s="178" t="s">
        <v>260</v>
      </c>
      <c r="F1125" s="179" t="s">
        <v>108</v>
      </c>
      <c r="G1125" s="178"/>
    </row>
    <row r="1126" spans="1:7" x14ac:dyDescent="0.3">
      <c r="A1126" s="176">
        <v>46217</v>
      </c>
      <c r="B1126" s="178" t="s">
        <v>211</v>
      </c>
      <c r="C1126" s="95"/>
      <c r="D1126" s="95">
        <v>1000</v>
      </c>
      <c r="E1126" s="178" t="s">
        <v>109</v>
      </c>
      <c r="F1126" s="179" t="s">
        <v>108</v>
      </c>
      <c r="G1126" s="178"/>
    </row>
    <row r="1127" spans="1:7" x14ac:dyDescent="0.3">
      <c r="A1127" s="177">
        <v>46217</v>
      </c>
      <c r="B1127" s="178" t="s">
        <v>488</v>
      </c>
      <c r="C1127" s="95">
        <v>500</v>
      </c>
      <c r="D1127" s="95"/>
      <c r="E1127" s="178" t="s">
        <v>952</v>
      </c>
      <c r="F1127" s="179" t="s">
        <v>108</v>
      </c>
      <c r="G1127" s="178"/>
    </row>
    <row r="1128" spans="1:7" x14ac:dyDescent="0.3">
      <c r="A1128" s="177">
        <v>46217</v>
      </c>
      <c r="B1128" s="178" t="s">
        <v>246</v>
      </c>
      <c r="C1128" s="95">
        <v>12000</v>
      </c>
      <c r="D1128" s="95"/>
      <c r="E1128" s="178" t="s">
        <v>953</v>
      </c>
      <c r="F1128" s="179" t="s">
        <v>108</v>
      </c>
      <c r="G1128" s="178"/>
    </row>
    <row r="1129" spans="1:7" x14ac:dyDescent="0.3">
      <c r="A1129" s="177">
        <v>46217</v>
      </c>
      <c r="B1129" s="178" t="s">
        <v>219</v>
      </c>
      <c r="C1129" s="95"/>
      <c r="D1129" s="95">
        <v>12000</v>
      </c>
      <c r="E1129" s="178" t="s">
        <v>953</v>
      </c>
      <c r="F1129" s="179" t="s">
        <v>108</v>
      </c>
      <c r="G1129" s="178"/>
    </row>
    <row r="1130" spans="1:7" x14ac:dyDescent="0.3">
      <c r="A1130" s="177">
        <v>46218</v>
      </c>
      <c r="B1130" s="178" t="s">
        <v>55</v>
      </c>
      <c r="C1130" s="95">
        <v>3560</v>
      </c>
      <c r="D1130" s="95"/>
      <c r="E1130" s="178"/>
      <c r="F1130" s="179" t="s">
        <v>108</v>
      </c>
      <c r="G1130" s="178"/>
    </row>
    <row r="1131" spans="1:7" x14ac:dyDescent="0.3">
      <c r="A1131" s="177">
        <v>46218</v>
      </c>
      <c r="B1131" s="178" t="s">
        <v>386</v>
      </c>
      <c r="C1131" s="95">
        <v>1540</v>
      </c>
      <c r="D1131" s="95"/>
      <c r="E1131" s="178" t="s">
        <v>954</v>
      </c>
      <c r="F1131" s="179" t="s">
        <v>108</v>
      </c>
      <c r="G1131" s="178"/>
    </row>
    <row r="1132" spans="1:7" x14ac:dyDescent="0.3">
      <c r="A1132" s="177">
        <v>46218</v>
      </c>
      <c r="B1132" s="178" t="s">
        <v>211</v>
      </c>
      <c r="C1132" s="95"/>
      <c r="D1132" s="95">
        <v>3050</v>
      </c>
      <c r="E1132" s="178" t="s">
        <v>955</v>
      </c>
      <c r="F1132" s="179" t="s">
        <v>108</v>
      </c>
      <c r="G1132" s="178"/>
    </row>
    <row r="1133" spans="1:7" x14ac:dyDescent="0.3">
      <c r="A1133" s="177">
        <v>46218</v>
      </c>
      <c r="B1133" s="178" t="s">
        <v>386</v>
      </c>
      <c r="C1133" s="95">
        <v>3050</v>
      </c>
      <c r="D1133" s="95"/>
      <c r="E1133" s="178" t="s">
        <v>955</v>
      </c>
      <c r="F1133" s="179" t="s">
        <v>108</v>
      </c>
      <c r="G1133" s="178"/>
    </row>
    <row r="1134" spans="1:7" x14ac:dyDescent="0.3">
      <c r="A1134" s="177">
        <v>46217</v>
      </c>
      <c r="B1134" s="178" t="s">
        <v>488</v>
      </c>
      <c r="C1134" s="95">
        <v>5000</v>
      </c>
      <c r="D1134" s="95"/>
      <c r="E1134" s="178" t="s">
        <v>872</v>
      </c>
      <c r="F1134" s="179" t="s">
        <v>108</v>
      </c>
      <c r="G1134" s="178"/>
    </row>
    <row r="1135" spans="1:7" x14ac:dyDescent="0.3">
      <c r="A1135" s="177">
        <v>46218</v>
      </c>
      <c r="B1135" s="178" t="s">
        <v>219</v>
      </c>
      <c r="C1135" s="95"/>
      <c r="D1135" s="95">
        <v>146950</v>
      </c>
      <c r="E1135" s="178" t="s">
        <v>956</v>
      </c>
      <c r="F1135" s="179" t="s">
        <v>108</v>
      </c>
      <c r="G1135" s="178"/>
    </row>
    <row r="1136" spans="1:7" x14ac:dyDescent="0.3">
      <c r="A1136" s="177">
        <v>46218</v>
      </c>
      <c r="B1136" s="178" t="s">
        <v>211</v>
      </c>
      <c r="C1136" s="95"/>
      <c r="D1136" s="95">
        <v>2500</v>
      </c>
      <c r="E1136" s="178"/>
      <c r="F1136" s="179" t="s">
        <v>108</v>
      </c>
      <c r="G1136" s="178"/>
    </row>
    <row r="1137" spans="1:7" x14ac:dyDescent="0.3">
      <c r="A1137" s="177">
        <v>46218</v>
      </c>
      <c r="B1137" s="178" t="s">
        <v>674</v>
      </c>
      <c r="C1137" s="95">
        <v>150000</v>
      </c>
      <c r="D1137" s="95"/>
      <c r="E1137" s="178" t="s">
        <v>957</v>
      </c>
      <c r="F1137" s="179" t="s">
        <v>108</v>
      </c>
      <c r="G1137" s="178"/>
    </row>
    <row r="1138" spans="1:7" x14ac:dyDescent="0.3">
      <c r="A1138" s="38"/>
      <c r="C1138" s="14">
        <f>SUBTOTAL(109,Table14[Debit])</f>
        <v>42463245.68</v>
      </c>
      <c r="D1138" s="14">
        <f>SUBTOTAL(109,Table14[Credit])</f>
        <v>42463138.229517192</v>
      </c>
      <c r="F1138" s="54">
        <f>(Table14[[#Totals],[Credit]]-Table14[[#Totals],[Debit]])</f>
        <v>-107.45048280805349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G47" sqref="G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M12">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E42">
        <f>SUBTOTAL(109,Table8[Price])</f>
        <v>3265205</v>
      </c>
      <c r="G42">
        <f>SUBTOTAL(109,Table8[Paid])</f>
        <v>2323130</v>
      </c>
      <c r="H42">
        <f>SUBTOTAL(109,Table8[Balance])</f>
        <v>2008200</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F44" sqref="F44:F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700600</v>
      </c>
      <c r="L6">
        <v>700600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1136800</v>
      </c>
      <c r="L13">
        <v>1390300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3433169</v>
      </c>
      <c r="C2" s="32">
        <f>GETPIVOTDATA("Sum of Tiyaar/gaz",$A$3)</f>
        <v>3337537</v>
      </c>
      <c r="D2" s="31">
        <f>((B2*48)+((C2/1.0936)*10))/C2</f>
        <v>58.519477517918979</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t="s">
        <v>28</v>
      </c>
      <c r="B139" s="30">
        <v>107006</v>
      </c>
      <c r="C139" s="30">
        <v>3337537</v>
      </c>
      <c r="D139" s="28">
        <f t="shared" si="55"/>
        <v>10.683056828050972</v>
      </c>
      <c r="E139" s="11">
        <f t="shared" si="56"/>
        <v>117021.76159999998</v>
      </c>
      <c r="F139" s="11">
        <f t="shared" si="57"/>
        <v>3337537</v>
      </c>
      <c r="G139" s="78">
        <f t="shared" si="58"/>
        <v>-2752.0652521094848</v>
      </c>
      <c r="H139" s="28">
        <f t="shared" si="59"/>
        <v>3051880.9436722752</v>
      </c>
      <c r="I139" s="28">
        <f t="shared" si="60"/>
        <v>10.683056828050972</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32312854.902706668</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1976321</v>
      </c>
      <c r="C5" s="103">
        <f>Billing!AG11</f>
        <v>617808.48061448475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412091.46305779088</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2026-07-15T23:27:07Z</dcterms:modified>
  <cp:category/>
  <cp:contentStatus/>
</cp:coreProperties>
</file>