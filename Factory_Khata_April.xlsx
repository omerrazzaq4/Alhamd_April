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125" documentId="8_{7831D67F-D179-4A48-BF3D-D20C81F1E395}" xr6:coauthVersionLast="47" xr6:coauthVersionMax="47" xr10:uidLastSave="{8053D615-8F00-4217-9814-53307144D9BB}"/>
  <bookViews>
    <workbookView xWindow="-108" yWindow="-108" windowWidth="23256" windowHeight="12456" tabRatio="597" firstSheet="4"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92" i="17" l="1"/>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F57" i="15"/>
  <c r="F58" i="15"/>
  <c r="G57" i="15"/>
  <c r="H57" i="15" s="1"/>
  <c r="G58" i="15"/>
  <c r="H58" i="15" s="1"/>
  <c r="G111" i="6"/>
  <c r="I111" i="6"/>
  <c r="I310" i="1"/>
  <c r="J310" i="1" s="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G209" i="2" l="1"/>
  <c r="G205" i="2"/>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6" i="17"/>
  <c r="C1977" i="17"/>
  <c r="C1975" i="17"/>
  <c r="G51" i="7"/>
  <c r="H51" i="7" s="1"/>
  <c r="G52" i="7"/>
  <c r="H52" i="7" s="1"/>
  <c r="D1998" i="17"/>
  <c r="G55" i="15"/>
  <c r="H55" i="15" s="1"/>
  <c r="G56" i="15"/>
  <c r="H56" i="15" s="1"/>
  <c r="G54" i="15"/>
  <c r="G52" i="15"/>
  <c r="C1807" i="17"/>
  <c r="J203" i="14" s="1"/>
  <c r="G49" i="7"/>
  <c r="H49" i="7" s="1"/>
  <c r="G50" i="7"/>
  <c r="H50" i="7" s="1"/>
  <c r="K1674" i="17"/>
  <c r="D1603"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5" i="17"/>
  <c r="J183" i="14" s="1"/>
  <c r="C1494" i="17"/>
  <c r="D1493"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4" i="17"/>
  <c r="C1069" i="17"/>
  <c r="C1064"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1"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2" i="17"/>
  <c r="C864"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6" i="17"/>
  <c r="C654"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1" i="17"/>
  <c r="C512"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7"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8"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4"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4"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093" i="17"/>
  <c r="K4" i="17" s="1"/>
  <c r="N5" i="17"/>
  <c r="N7" i="17" s="1"/>
  <c r="C12" i="10"/>
  <c r="C16" i="10"/>
  <c r="C7" i="8"/>
  <c r="D2093" i="17"/>
  <c r="K5" i="17" s="1"/>
  <c r="H15" i="7"/>
  <c r="H13" i="7"/>
  <c r="H21" i="7"/>
  <c r="C5" i="8"/>
  <c r="H17" i="7"/>
  <c r="E54" i="7"/>
  <c r="H10" i="7"/>
  <c r="I37" i="12"/>
  <c r="C43" i="12"/>
  <c r="J231" i="14"/>
  <c r="C12" i="8" s="1"/>
  <c r="E190" i="18"/>
  <c r="G54" i="7"/>
  <c r="K22" i="22"/>
  <c r="L9" i="22"/>
  <c r="D190"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G114" i="6" l="1"/>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9" i="15"/>
  <c r="K6" i="17"/>
  <c r="F2093"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<sst xmlns="http://schemas.openxmlformats.org/spreadsheetml/2006/main" count="7430" uniqueCount="1351">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</sst>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7" xfId="0" applyNumberFormat="1" applyFont="1" applyBorder="1"/>
    <xf numFmtId="0" fontId="0" fillId="0" borderId="0" xfId="0" applyBorder="1"/>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448</xdr:row>
      <xdr:rowOff>87338</xdr:rowOff>
    </xdr:from>
    <xdr:to>
      <xdr:col>15</xdr:col>
      <xdr:colOff>817243</xdr:colOff>
      <xdr:row>455</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713</xdr:row>
      <xdr:rowOff>144299</xdr:rowOff>
    </xdr:from>
    <xdr:to>
      <xdr:col>3</xdr:col>
      <xdr:colOff>959816</xdr:colOff>
      <xdr:row>722</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7">
      <pivotArea field="0" grandRow="1" outline="0" collapsedLevelsAreSubtotals="1" axis="axisRow" fieldPosition="0">
        <references count="1">
          <reference field="4294967294" count="1" selected="0">
            <x v="1"/>
          </reference>
        </references>
      </pivotArea>
    </format>
    <format dxfId="126">
      <pivotArea field="0" grandRow="1" outline="0" collapsedLevelsAreSubtotals="1" axis="axisRow" fieldPosition="0">
        <references count="1">
          <reference field="4294967294" count="1" selected="0">
            <x v="0"/>
          </reference>
        </references>
      </pivotArea>
    </format>
    <format dxfId="125">
      <pivotArea collapsedLevelsAreSubtotals="1" fieldPosition="0">
        <references count="2">
          <reference field="4294967294" count="1" selected="0">
            <x v="1"/>
          </reference>
          <reference field="0" count="0"/>
        </references>
      </pivotArea>
    </format>
    <format dxfId="12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6">
      <pivotArea dataOnly="0" labelOnly="1" outline="0" fieldPosition="0">
        <references count="1">
          <reference field="1" count="1">
            <x v="1"/>
          </reference>
        </references>
      </pivotArea>
    </format>
    <format dxfId="14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3">
      <calculatedColumnFormula>B57</calculatedColumnFormula>
    </tableColumn>
    <tableColumn id="2" xr3:uid="{7EDCC2ED-0339-42B3-9633-FFEA7A3DD9F3}" name="Tiyaar" dataDxfId="122">
      <calculatedColumnFormula>SUMIFS(ledger!G:G, ledger!B:B, B2, ledger!E:E, "&lt;&gt;*RD*") / 1.0936</calculatedColumnFormula>
    </tableColumn>
    <tableColumn id="3" xr3:uid="{CC1535DD-3FE7-4F55-8040-E7643388A78E}" name="Rate"/>
    <tableColumn id="4" xr3:uid="{059CB70B-ADAD-4985-84AA-0D530BAC5567}" name="Total" dataDxfId="12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0" dataDxfId="119">
  <autoFilter ref="B7:E20" xr:uid="{449E5D32-DF9C-4018-96AB-CA98E118D910}"/>
  <tableColumns count="4">
    <tableColumn id="1" xr3:uid="{F663704C-91DD-4BB9-B7EB-EEB0C5EDED6C}" name="Description" dataDxfId="118"/>
    <tableColumn id="2" xr3:uid="{6D94D495-CD0B-4FD3-9771-81D731982A97}" name="Rate" dataDxfId="117" dataCellStyle="Comma"/>
    <tableColumn id="3" xr3:uid="{2D14CEAD-3602-40E7-A488-3584EBC9141E}" name="gazana" dataDxfId="116" dataCellStyle="Comma"/>
    <tableColumn id="4" xr3:uid="{06FEE63C-6480-4079-8426-51BC26B38B34}" name="sum" dataDxfId="11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4" totalsRowDxfId="113" dataCellStyle="Comma">
      <totalsRowFormula>SUM(Table12[Amount])</totalsRowFormula>
    </tableColumn>
    <tableColumn id="3" xr3:uid="{12F975D1-A51D-47BD-82DF-F0C35A709016}" name="Description"/>
    <tableColumn id="4" xr3:uid="{96712812-B120-49C2-B905-59FC86A743E8}" name="cost per meter" totalsRowFunction="custom" dataDxfId="112" totalsRowDxfId="111">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0" dataDxfId="109" headerRowCellStyle="Comma" dataCellStyle="Comma">
  <autoFilter ref="B2:C5" xr:uid="{136E8F7F-D03F-4198-8335-91A003EA9E45}"/>
  <tableColumns count="2">
    <tableColumn id="1" xr3:uid="{279FA697-9952-479A-AC05-0D4992B41374}" name="Column1" dataDxfId="108" dataCellStyle="Comma"/>
    <tableColumn id="2" xr3:uid="{8A64998B-65EF-41CD-BCB0-3DDB7B359C54}" name="Column2" dataDxfId="10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6"/>
    <tableColumn id="2" xr3:uid="{51D27FA2-8DDF-4369-BAF7-7D1FE90E16A0}" name="Column2" dataDxfId="10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4" totalsRowDxfId="10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01" dataDxfId="100" headerRowCellStyle="Comma" dataCellStyle="Comma">
  <autoFilter ref="A1:K374" xr:uid="{11DACEC6-751B-4B1D-817F-5C5BCD38EF6D}">
    <filterColumn colId="1">
      <filters>
        <filter val="Faizan Kamoki"/>
      </filters>
    </filterColumn>
  </autoFilter>
  <sortState xmlns:xlrd2="http://schemas.microsoft.com/office/spreadsheetml/2017/richdata2" ref="A2:K358">
    <sortCondition sortBy="cellColor" ref="C1:C358" dxfId="99"/>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4" totalsRowCount="1" headerRowDxfId="144" headerRowBorderDxfId="143" tableBorderDxfId="142">
  <autoFilter ref="A1:I113" xr:uid="{F8E8C957-ABE7-4E4F-8D4E-7D44E26B334F}"/>
  <tableColumns count="9">
    <tableColumn id="1" xr3:uid="{C2E817D6-AB98-4DDD-8890-736B27F261CD}" name="Date" dataDxfId="141" totalsRowDxfId="140"/>
    <tableColumn id="2" xr3:uid="{CFB51890-CCDC-463C-81C9-3F8BD7469CB9}" name="Party Name"/>
    <tableColumn id="3" xr3:uid="{A113D971-1C9D-4733-99C4-BD0CC4333209}" name="Vehicle Number"/>
    <tableColumn id="4" xr3:uid="{49780304-3DD1-4AE9-98EE-2BC7EB8F3B57}" name="Weight" dataDxfId="139" totalsRowDxfId="138" dataCellStyle="Comma"/>
    <tableColumn id="5" xr3:uid="{FCAF1BC6-1D8C-42AD-8BBC-F924BF2DC7FE}" name="Rate" dataDxfId="137" totalsRowDxfId="136" dataCellStyle="Comma"/>
    <tableColumn id="6" xr3:uid="{8C70A624-4134-410C-9C45-9FDEB51D51BF}" name="Rent" dataDxfId="135" totalsRowDxfId="134" dataCellStyle="Comma"/>
    <tableColumn id="7" xr3:uid="{EBCE10AE-9634-4982-9C95-37ABC8A7078C}" name="Total" totalsRowFunction="sum" dataDxfId="133" totalsRowDxfId="132" dataCellStyle="Comma">
      <calculatedColumnFormula>D2*E2</calculatedColumnFormula>
    </tableColumn>
    <tableColumn id="9" xr3:uid="{D4788559-C94A-44D9-B9AE-E72B214355AC}" name="Paid" totalsRowFunction="sum" dataDxfId="131" totalsRowDxfId="130" dataCellStyle="Comma"/>
    <tableColumn id="8" xr3:uid="{E26F5BF0-1875-4FC6-994D-49F202ED562B}" name="balance" totalsRowFunction="sum" dataDxfId="129" totalsRowDxfId="128"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93" totalsRowCount="1">
  <autoFilter ref="A1:G2092" xr:uid="{CB032221-B416-47A8-9A76-693DE76CFD04}"/>
  <sortState xmlns:xlrd2="http://schemas.microsoft.com/office/spreadsheetml/2017/richdata2" ref="A2:G2092">
    <sortCondition ref="A1:A2092"/>
  </sortState>
  <tableColumns count="7">
    <tableColumn id="1" xr3:uid="{554B1EED-65B6-4E9A-B646-82727FAC40DE}" name="Date" dataDxfId="11" totalsRowDxfId="12"/>
    <tableColumn id="2" xr3:uid="{32259059-42CF-4947-83DE-115AA430BE2B}" name="Party"/>
    <tableColumn id="3" xr3:uid="{A1320223-D55D-483C-91C3-AB19B95CC9D8}" name="Debit" totalsRowFunction="sum" dataDxfId="9" totalsRowDxfId="10" dataCellStyle="Comma"/>
    <tableColumn id="4" xr3:uid="{E9745767-9FF0-4B1C-9052-FF335D1D7588}" name="Credit" totalsRowFunction="sum" dataDxfId="7" totalsRowDxfId="8" dataCellStyle="Comma"/>
    <tableColumn id="5" xr3:uid="{5C88A48E-2467-4E6D-B626-2442B7FD0BE4}" name="Description"/>
    <tableColumn id="6" xr3:uid="{63CA4666-144E-4BE6-8B7C-7CB992BD3041}" name="Mode" totalsRowFunction="custom" dataDxfId="5" totalsRowDxfId="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7" tableBorderDxfId="76" totalsRowBorderDxfId="75">
  <autoFilter ref="J3:K6" xr:uid="{DCE01694-23ED-48BF-8B92-4186B9ED10A8}"/>
  <tableColumns count="2">
    <tableColumn id="1" xr3:uid="{C8484DAF-2989-4C2F-9AEC-A6917E1C57F6}" name="Type" dataDxfId="74"/>
    <tableColumn id="2" xr3:uid="{B07B7A2A-4D4E-4654-BED6-FE2F0A7BEC34}" name="Amount" dataDxfId="7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2" headerRowBorderDxfId="71" tableBorderDxfId="70" totalsRowBorderDxfId="69">
  <autoFilter ref="M3:O6" xr:uid="{D166BDD1-ACD7-45D7-8AE9-7350373F8CEB}"/>
  <tableColumns count="3">
    <tableColumn id="1" xr3:uid="{64F0205E-DEA7-4571-BA86-E4374A5FEE28}" name="Type" totalsRowLabel="Total" dataDxfId="68" totalsRowDxfId="67"/>
    <tableColumn id="2" xr3:uid="{15FA05F9-789C-4459-9BE0-5C1EC84D3365}" name="amount" totalsRowFunction="custom" dataDxfId="66" totalsRowDxfId="65">
      <totalsRowFormula>SUM(N5:N6)</totalsRowFormula>
    </tableColumn>
    <tableColumn id="3" xr3:uid="{3681D409-90C6-44D0-BDE2-4B5943A516F0}" name="Actual" totalsRowFunction="custom" totalsRowDxfId="64">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9" headerRowBorderDxfId="58">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totalsRowFunction="sum"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54" headerRowBorderDxfId="53">
  <autoFilter ref="A4:H58" xr:uid="{A4C80688-A8BA-4BA7-90B4-791CD99446B4}"/>
  <sortState xmlns:xlrd2="http://schemas.microsoft.com/office/spreadsheetml/2017/richdata2" ref="A5:H6">
    <sortCondition ref="A4:A6"/>
  </sortState>
  <tableColumns count="8">
    <tableColumn id="1" xr3:uid="{4A818912-918E-4111-ACFC-BC93FEF7C1AD}" name="Date" dataDxfId="52" totalsRowDxfId="51"/>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43"/>
    <tableColumn id="2" xr3:uid="{053BFC14-4828-417C-9F9F-95B6E232A945}" name="Amount" totalsRowFunction="custom" dataDxfId="42" totalsRowDxfId="4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0"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8" totalsRowDxfId="37">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6" totalsRowDxfId="35">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4" totalsRowDxfId="33">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2" totalsRowDxfId="31">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0">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6">
      <calculatedColumnFormula>Billing!S5</calculatedColumnFormula>
    </tableColumn>
    <tableColumn id="2" xr3:uid="{7093A59E-B58F-487D-888A-9AA8156B5F9A}" name="Amount Paid" dataDxfId="15">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4">
      <calculatedColumnFormula>G2</calculatedColumnFormula>
    </tableColumn>
    <tableColumn id="2" xr3:uid="{F72CFEEB-BA11-4A49-BD19-88592EB6A27C}" name="Credit" dataDxfId="13"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10146441.493050475</v>
      </c>
      <c r="AH36" s="33">
        <f t="shared" si="2"/>
        <v>121107.8851499632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7619650</v>
      </c>
      <c r="R88" s="37">
        <f t="shared" si="10"/>
        <v>74737.344550108537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21642365</v>
      </c>
      <c r="D4" t="s">
        <v>188</v>
      </c>
      <c r="E4" s="43">
        <f ca="1">Table12[[#This Row],[Amount]]/Table1[[#Totals],[tiyar/meters]]</f>
        <v>35.9767407094389</v>
      </c>
    </row>
    <row r="5" spans="1:5" x14ac:dyDescent="0.3">
      <c r="B5" t="s">
        <v>48</v>
      </c>
      <c r="C5" s="11">
        <f>SUM(Table8[Price])</f>
        <v>4104255</v>
      </c>
      <c r="E5" s="43">
        <f ca="1">Table12[[#This Row],[Amount]]/Table1[[#Totals],[tiyar/meters]]</f>
        <v>6.8226239572439589</v>
      </c>
    </row>
    <row r="6" spans="1:5" x14ac:dyDescent="0.3">
      <c r="B6" t="s">
        <v>49</v>
      </c>
      <c r="C6" s="11">
        <f>SUM(Table2[Price])</f>
        <v>1719150</v>
      </c>
      <c r="D6" t="s">
        <v>187</v>
      </c>
      <c r="E6" s="43">
        <f ca="1">Table12[[#This Row],[Amount]]/Table1[[#Totals],[tiyar/meters]]</f>
        <v>2.8577936741493772</v>
      </c>
    </row>
    <row r="7" spans="1:5" x14ac:dyDescent="0.3">
      <c r="B7" t="s">
        <v>50</v>
      </c>
      <c r="C7" s="11">
        <f>SUMIFS(Table14[Debit], Table14[Party],Table12[[#This Row],[Type]])</f>
        <v>289109</v>
      </c>
      <c r="E7" s="43">
        <f ca="1">Table12[[#This Row],[Amount]]/Table1[[#Totals],[tiyar/meters]]</f>
        <v>0.48059440499063627</v>
      </c>
    </row>
    <row r="8" spans="1:5" x14ac:dyDescent="0.3">
      <c r="B8" t="s">
        <v>51</v>
      </c>
      <c r="C8" s="11">
        <f>Electricity!E6</f>
        <v>3973945</v>
      </c>
      <c r="E8" s="43">
        <f ca="1">Table12[[#This Row],[Amount]]/Table1[[#Totals],[tiyar/meters]]</f>
        <v>6.606005806600673</v>
      </c>
    </row>
    <row r="9" spans="1:5" x14ac:dyDescent="0.3">
      <c r="B9" t="s">
        <v>52</v>
      </c>
      <c r="C9" s="11">
        <f>SUMIFS(Table14[Debit], Table14[Party],Table12[[#This Row],[Type]])+SUMIFS(Table14[Debit], Table14[Party],"Advance Salary")</f>
        <v>12357001</v>
      </c>
      <c r="E9" s="43">
        <f ca="1">Table12[[#This Row],[Amount]]/Table1[[#Totals],[tiyar/meters]]</f>
        <v>20.541406677286759</v>
      </c>
    </row>
    <row r="10" spans="1:5" x14ac:dyDescent="0.3">
      <c r="B10" t="s">
        <v>53</v>
      </c>
      <c r="C10" s="11">
        <f>Table5[[#Totals],[Amount]]</f>
        <v>616670</v>
      </c>
      <c r="E10" s="43">
        <f ca="1">Table12[[#This Row],[Amount]]/Table1[[#Totals],[tiyar/meters]]</f>
        <v>1.0251087019967404</v>
      </c>
    </row>
    <row r="11" spans="1:5" x14ac:dyDescent="0.3">
      <c r="B11" t="s">
        <v>54</v>
      </c>
      <c r="C11" s="11">
        <f>Table13[[#Totals],[Debit]]</f>
        <v>408060.4</v>
      </c>
      <c r="E11" s="43">
        <f ca="1">Table12[[#This Row],[Amount]]/Table1[[#Totals],[tiyar/meters]]</f>
        <v>0.67833082034195069</v>
      </c>
    </row>
    <row r="12" spans="1:5" x14ac:dyDescent="0.3">
      <c r="B12" t="s">
        <v>55</v>
      </c>
      <c r="C12" s="11">
        <f>Table15[[#Totals],[Amount]]</f>
        <v>4312701</v>
      </c>
      <c r="E12" s="43">
        <f ca="1">Table12[[#This Row],[Amount]]/Table1[[#Totals],[tiyar/meters]]</f>
        <v>7.1691298818007114</v>
      </c>
    </row>
    <row r="13" spans="1:5" x14ac:dyDescent="0.3">
      <c r="C13" s="11"/>
      <c r="E13" s="43">
        <f ca="1">Table12[[#This Row],[Amount]]/Table1[[#Totals],[tiyar/meters]]</f>
        <v>0</v>
      </c>
    </row>
    <row r="14" spans="1:5" x14ac:dyDescent="0.3">
      <c r="C14" s="14">
        <f>SUM(Table12[Amount])</f>
        <v>49423256.399999999</v>
      </c>
      <c r="E14" s="43">
        <f ca="1">SUM(Table12[cost per meter])</f>
        <v>82.157734633849714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49423256.399999999</v>
      </c>
    </row>
    <row r="5" spans="1:3" x14ac:dyDescent="0.3">
      <c r="A5" s="6"/>
      <c r="B5" s="15" t="s">
        <v>68</v>
      </c>
      <c r="C5" s="15">
        <f>C3-C4</f>
        <v>732126.96430139989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70594911.229517192</v>
      </c>
    </row>
    <row r="13" spans="1:3" ht="15" thickBot="1" x14ac:dyDescent="0.35">
      <c r="B13" s="74" t="s">
        <v>93</v>
      </c>
      <c r="C13" s="73">
        <f>(C11-C12)</f>
        <v>-20439527.865215793</v>
      </c>
    </row>
    <row r="14" spans="1:3" ht="15" thickBot="1" x14ac:dyDescent="0.35">
      <c r="B14" s="58"/>
      <c r="C14" s="59"/>
    </row>
    <row r="15" spans="1:3" x14ac:dyDescent="0.3">
      <c r="B15" s="56" t="s">
        <v>44</v>
      </c>
      <c r="C15" s="57">
        <f>C4</f>
        <v>49423256.399999999</v>
      </c>
    </row>
    <row r="16" spans="1:3" x14ac:dyDescent="0.3">
      <c r="B16" s="58" t="s">
        <v>70</v>
      </c>
      <c r="C16" s="59">
        <f>SUM(Table14[Debit])</f>
        <v>70650521.680000007</v>
      </c>
    </row>
    <row r="17" spans="2:6" ht="15" thickBot="1" x14ac:dyDescent="0.35">
      <c r="B17" s="74" t="s">
        <v>71</v>
      </c>
      <c r="C17" s="73">
        <f>C15-C16</f>
        <v>-21227265.280000009</v>
      </c>
    </row>
    <row r="18" spans="2:6" ht="15" thickBot="1" x14ac:dyDescent="0.35">
      <c r="B18" s="58"/>
      <c r="C18" s="59"/>
    </row>
    <row r="19" spans="2:6" ht="15" thickBot="1" x14ac:dyDescent="0.35">
      <c r="B19" s="75" t="s">
        <v>72</v>
      </c>
      <c r="C19" s="76">
        <f>Table18[[#Totals],[amount]]</f>
        <v>2051862.5495171919</v>
      </c>
    </row>
    <row r="20" spans="2:6" ht="15" thickBot="1" x14ac:dyDescent="0.35">
      <c r="B20" s="71"/>
      <c r="C20" s="72"/>
    </row>
    <row r="21" spans="2:6" ht="15" thickBot="1" x14ac:dyDescent="0.35">
      <c r="B21" s="60" t="s">
        <v>73</v>
      </c>
      <c r="C21" s="61">
        <f>(C13-C17)+C19</f>
        <v>2839599.9643014073</v>
      </c>
      <c r="E21" s="79" t="s">
        <v>74</v>
      </c>
      <c r="F21" s="121">
        <f>C5*0.05</f>
        <v>36606.348215069993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119" zoomScale="126" zoomScaleNormal="107" workbookViewId="0">
      <selection activeCell="I135" sqref="I135:I13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hidden="1"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hidden="1"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hidden="1"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hidden="1"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hidden="1"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hidden="1"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hidden="1"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hidden="1"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hidden="1"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hidden="1"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hidden="1"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hidden="1"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hidden="1"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hidden="1"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hidden="1"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hidden="1"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hidden="1"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hidden="1"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hidden="1"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hidden="1"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hidden="1"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hidden="1"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hidden="1"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hidden="1"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hidden="1"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hidden="1"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hidden="1"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hidden="1"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hidden="1"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hidden="1"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hidden="1"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hidden="1"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hidden="1"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hidden="1"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hidden="1"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hidden="1"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hidden="1"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hidden="1"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hidden="1"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hidden="1"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hidden="1"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hidden="1"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hidden="1"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hidden="1"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hidden="1"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hidden="1"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hidden="1"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hidden="1"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hidden="1"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hidden="1"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hidden="1"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hidden="1"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hidden="1"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hidden="1"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hidden="1"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hidden="1"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hidden="1"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hidden="1"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hidden="1"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hidden="1"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hidden="1"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hidden="1"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hidden="1"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hidden="1"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hidden="1"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hidden="1"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hidden="1"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hidden="1"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hidden="1"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hidden="1"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hidden="1"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hidden="1"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hidden="1"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hidden="1"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hidden="1"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hidden="1"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hidden="1"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hidden="1"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hidden="1"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hidden="1"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hidden="1"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hidden="1"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hidden="1"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hidden="1"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hidden="1"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hidden="1"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hidden="1"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hidden="1"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hidden="1"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hidden="1"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hidden="1"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hidden="1"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hidden="1"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hidden="1"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hidden="1"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hidden="1"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hidden="1"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hidden="1"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hidden="1"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hidden="1"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hidden="1"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hidden="1"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hidden="1"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hidden="1"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hidden="1"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hidden="1"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hidden="1"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hidden="1"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hidden="1"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hidden="1"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hidden="1"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hidden="1"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hidden="1"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hidden="1"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hidden="1"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hidden="1"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hidden="1"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hidden="1"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hidden="1"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hidden="1"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hidden="1"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hidden="1"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hidden="1"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hidden="1"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hidden="1"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hidden="1"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hidden="1"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hidden="1"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hidden="1"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hidden="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hidden="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hidden="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hidden="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hidden="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hidden="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hidden="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hidden="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hidden="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hidden="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hidden="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hidden="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hidden="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hidden="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hidden="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hidden="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hidden="1"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hidden="1"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hidden="1"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hidden="1"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hidden="1"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hidden="1"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hidden="1"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hidden="1"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hidden="1"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hidden="1"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hidden="1"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hidden="1"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hidden="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hidden="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hidden="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hidden="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hidden="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hidden="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hidden="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hidden="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hidden="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hidden="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hidden="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hidden="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hidden="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hidden="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hidden="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hidden="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hidden="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hidden="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hidden="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hidden="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hidden="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hidden="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hidden="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hidden="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hidden="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hidden="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hidden="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hidden="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hidden="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hidden="1" x14ac:dyDescent="0.3">
      <c r="A206" s="185">
        <v>46167</v>
      </c>
      <c r="B206" s="138"/>
      <c r="C206" s="189">
        <v>1737</v>
      </c>
      <c r="D206" s="189"/>
      <c r="E206" s="132"/>
      <c r="F206" s="132"/>
      <c r="G206" s="132"/>
      <c r="H206" s="139"/>
      <c r="I206" s="197"/>
      <c r="J206" s="197"/>
      <c r="K206" s="119" t="e">
        <f>Table1[[#This Row],[billing]]/Table1[[#This Row],[tiyar/meters]]</f>
        <v>#DIV/0!</v>
      </c>
    </row>
    <row r="207" spans="1:11" hidden="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hidden="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hidden="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hidden="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hidden="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hidden="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hidden="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hidden="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hidden="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hidden="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hidden="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hidden="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hidden="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hidden="1"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hidden="1"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hidden="1"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hidden="1"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hidden="1"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hidden="1"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hidden="1"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hidden="1"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hidden="1"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hidden="1"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hidden="1"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hidden="1"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hidden="1"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hidden="1"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hidden="1"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hidden="1"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hidden="1"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hidden="1"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hidden="1"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hidden="1"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hidden="1"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hidden="1"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hidden="1"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hidden="1"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hidden="1"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hidden="1"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hidden="1"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hidden="1"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hidden="1"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hidden="1"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hidden="1"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hidden="1"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hidden="1"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hidden="1"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hidden="1"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hidden="1"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hidden="1"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hidden="1"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hidden="1"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hidden="1"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hidden="1"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hidden="1"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hidden="1"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hidden="1"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hidden="1"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hidden="1"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hidden="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hidden="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hidden="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hidden="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hidden="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hidden="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hidden="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hidden="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hidden="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hidden="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hidden="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hidden="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hidden="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hidden="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hidden="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hidden="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hidden="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hidden="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hidden="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hidden="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hidden="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hidden="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hidden="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hidden="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hidden="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hidden="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hidden="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hidden="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hidden="1"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hidden="1"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hidden="1"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hidden="1"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hidden="1"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hidden="1"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hidden="1"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hidden="1"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hidden="1"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hidden="1"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hidden="1"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hidden="1"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hidden="1"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hidden="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hidden="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hidden="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hidden="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hidden="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hidden="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hidden="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hidden="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hidden="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hidden="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hidden="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hidden="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hidden="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hidden="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hidden="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hidden="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hidden="1"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hidden="1"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hidden="1"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hidden="1"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hidden="1"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hidden="1"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hidden="1"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hidden="1"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hidden="1"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hidden="1"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hidden="1"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hidden="1"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hidden="1"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hidden="1"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hidden="1"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hidden="1"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hidden="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hidden="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hidden="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hidden="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hidden="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hidden="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hidden="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hidden="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hidden="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hidden="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hidden="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hidden="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hidden="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hidden="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hidden="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hidden="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hidden="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hidden="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hidden="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hidden="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601565.47183613782</v>
      </c>
      <c r="J375" s="43" cm="1">
        <f t="array" aca="1" ref="J375" ca="1">SUMPRODUCT( SUBTOTAL(109, OFFSET(Table1[billing], ROW(Table1[billing])-MIN(ROW(Table1[billing])), 0, 1)), --(Table1[Bill Number]&lt;&gt;"Closing CF"),--(Table1[Shipment Number]&lt;&gt;"RD") )</f>
        <v>7694387.3445501085</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93" zoomScale="107" zoomScaleNormal="115" workbookViewId="0">
      <selection activeCell="A114" sqref="A11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21642365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c r="D114" s="14"/>
      <c r="E114" s="14"/>
      <c r="F114" s="14"/>
      <c r="G114" s="14">
        <f>SUBTOTAL(109,Table3[Total])</f>
        <v>21642365</v>
      </c>
      <c r="H114" s="14">
        <f>SUBTOTAL(109,Table3[Paid])</f>
        <v>0</v>
      </c>
      <c r="I114" s="14">
        <f>SUBTOTAL(109,Table3[balance])</f>
        <v>25654439</v>
      </c>
      <c r="L114" s="42" t="s">
        <v>103</v>
      </c>
      <c r="M114" s="14">
        <v>448</v>
      </c>
      <c r="N114" s="14">
        <v>439560</v>
      </c>
      <c r="O114" s="14"/>
      <c r="P114" s="14">
        <v>439560</v>
      </c>
    </row>
    <row r="115" spans="1:16" x14ac:dyDescent="0.3">
      <c r="L115" s="26">
        <v>46281</v>
      </c>
      <c r="M115" s="14">
        <v>215</v>
      </c>
      <c r="N115" s="14">
        <v>206400</v>
      </c>
      <c r="O115" s="14"/>
      <c r="P115" s="14">
        <v>206400</v>
      </c>
    </row>
    <row r="116" spans="1:16" x14ac:dyDescent="0.3">
      <c r="L116" s="42" t="s">
        <v>103</v>
      </c>
      <c r="M116" s="14">
        <v>215</v>
      </c>
      <c r="N116" s="14">
        <v>206400</v>
      </c>
      <c r="O116" s="14"/>
      <c r="P116" s="14">
        <v>206400</v>
      </c>
    </row>
    <row r="117" spans="1: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93"/>
  <sheetViews>
    <sheetView tabSelected="1" topLeftCell="A2044" zoomScale="123" zoomScaleNormal="70" workbookViewId="0">
      <selection activeCell="G2060" sqref="G20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70650521.680000007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70594911.229517192</v>
      </c>
      <c r="M5" s="45" t="s">
        <v>108</v>
      </c>
      <c r="N5" s="46">
        <f>(SUMIFS(Table14[Credit],Table14[Mode],"Bank")-SUMIFS(Table14[Debit],Table14[Mode],"Bank")-SUMIFS(Table14[Withdrawal],Table14[Mode],"Transfer"))</f>
        <v>2662778.5495171919</v>
      </c>
      <c r="O5">
        <v>360000</v>
      </c>
    </row>
    <row r="6" spans="1:16" x14ac:dyDescent="0.3">
      <c r="A6" s="85">
        <v>46111</v>
      </c>
      <c r="B6" s="80" t="s">
        <v>220</v>
      </c>
      <c r="C6" s="11">
        <v>949282</v>
      </c>
      <c r="D6" s="86"/>
      <c r="E6" s="80" t="s">
        <v>618</v>
      </c>
      <c r="F6" s="87" t="s">
        <v>108</v>
      </c>
      <c r="J6" s="52" t="s">
        <v>43</v>
      </c>
      <c r="K6" s="53">
        <f>(K5-K4)</f>
        <v>-55610.450482815504</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2051862.5495171919</v>
      </c>
      <c r="O7" s="89">
        <f>SUM(O5,O6)</f>
        <v>410000</v>
      </c>
      <c r="P7" s="14">
        <f>Table18[[#Totals],[amount]]-Table18[[#Totals],[Actual]]</f>
        <v>1641862.5495171919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203">
        <v>46144</v>
      </c>
      <c r="B371" t="s">
        <v>367</v>
      </c>
      <c r="C371" s="11"/>
      <c r="D371" s="11">
        <v>4552</v>
      </c>
      <c r="E371" t="s">
        <v>54</v>
      </c>
      <c r="F371" s="108" t="s">
        <v>108</v>
      </c>
    </row>
    <row r="372" spans="1:6" x14ac:dyDescent="0.3">
      <c r="A372" s="111">
        <v>46145</v>
      </c>
      <c r="B372" t="s">
        <v>55</v>
      </c>
      <c r="C372" s="95">
        <v>1160</v>
      </c>
      <c r="D372" s="95"/>
      <c r="E372" t="s">
        <v>272</v>
      </c>
      <c r="F372" s="108" t="s">
        <v>108</v>
      </c>
    </row>
    <row r="373" spans="1:6"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x14ac:dyDescent="0.3">
      <c r="A377" s="38">
        <v>46145</v>
      </c>
      <c r="B377" t="s">
        <v>211</v>
      </c>
      <c r="C377" s="95">
        <f>1970+780+780+1300+780</f>
        <v>5610</v>
      </c>
      <c r="D377" s="95"/>
      <c r="F377" s="108" t="s">
        <v>108</v>
      </c>
    </row>
    <row r="378" spans="1:6" x14ac:dyDescent="0.3">
      <c r="A378" s="38">
        <v>46146</v>
      </c>
      <c r="B378" t="s">
        <v>211</v>
      </c>
      <c r="C378" s="95">
        <f>750+1860+760</f>
        <v>3370</v>
      </c>
      <c r="D378" s="95"/>
      <c r="F378" s="108" t="s">
        <v>108</v>
      </c>
    </row>
    <row r="379" spans="1:6" x14ac:dyDescent="0.3">
      <c r="A379" s="38">
        <v>46146</v>
      </c>
      <c r="B379" t="s">
        <v>298</v>
      </c>
      <c r="C379" s="11">
        <v>5000</v>
      </c>
      <c r="D379" s="11"/>
      <c r="E379" t="s">
        <v>347</v>
      </c>
      <c r="F379" s="108" t="s">
        <v>108</v>
      </c>
    </row>
    <row r="380" spans="1:6" x14ac:dyDescent="0.3">
      <c r="A380" s="38">
        <v>46146</v>
      </c>
      <c r="B380" t="s">
        <v>55</v>
      </c>
      <c r="C380" s="11">
        <v>52160</v>
      </c>
      <c r="D380" s="11"/>
      <c r="E380" t="s">
        <v>259</v>
      </c>
      <c r="F380" s="108" t="s">
        <v>108</v>
      </c>
    </row>
    <row r="381" spans="1:6" x14ac:dyDescent="0.3">
      <c r="A381" s="38">
        <v>46146</v>
      </c>
      <c r="B381" t="s">
        <v>54</v>
      </c>
      <c r="C381" s="11">
        <v>2000</v>
      </c>
      <c r="D381" s="11"/>
      <c r="E381" t="s">
        <v>495</v>
      </c>
      <c r="F381" s="108" t="s">
        <v>108</v>
      </c>
    </row>
    <row r="382" spans="1:6" x14ac:dyDescent="0.3">
      <c r="A382" s="38">
        <v>46146</v>
      </c>
      <c r="B382" t="s">
        <v>54</v>
      </c>
      <c r="C382" s="11">
        <v>3000</v>
      </c>
      <c r="D382" s="11"/>
      <c r="E382" t="s">
        <v>496</v>
      </c>
      <c r="F382" s="108" t="s">
        <v>108</v>
      </c>
    </row>
    <row r="383" spans="1:6" x14ac:dyDescent="0.3">
      <c r="A383" s="111">
        <v>46146</v>
      </c>
      <c r="B383" t="s">
        <v>54</v>
      </c>
      <c r="C383" s="11">
        <v>5000</v>
      </c>
      <c r="D383" s="11"/>
      <c r="E383" t="s">
        <v>463</v>
      </c>
      <c r="F383" s="108" t="s">
        <v>108</v>
      </c>
    </row>
    <row r="384" spans="1:6" x14ac:dyDescent="0.3">
      <c r="A384" s="38">
        <v>46146</v>
      </c>
      <c r="B384" t="s">
        <v>55</v>
      </c>
      <c r="C384" s="11">
        <v>10000</v>
      </c>
      <c r="D384" s="11"/>
      <c r="E384" t="s">
        <v>497</v>
      </c>
      <c r="F384" s="108" t="s">
        <v>108</v>
      </c>
    </row>
    <row r="385" spans="1:6" x14ac:dyDescent="0.3">
      <c r="A385" s="111">
        <v>46146</v>
      </c>
      <c r="B385" t="s">
        <v>35</v>
      </c>
      <c r="C385" s="11"/>
      <c r="D385" s="11">
        <v>178000</v>
      </c>
      <c r="E385" t="s">
        <v>109</v>
      </c>
      <c r="F385" s="108" t="s">
        <v>108</v>
      </c>
    </row>
    <row r="386" spans="1:6" x14ac:dyDescent="0.3">
      <c r="A386" s="38">
        <v>46146</v>
      </c>
      <c r="B386" t="s">
        <v>9</v>
      </c>
      <c r="C386" s="11"/>
      <c r="D386" s="11">
        <v>100000</v>
      </c>
      <c r="E386" t="s">
        <v>498</v>
      </c>
      <c r="F386" s="108" t="s">
        <v>108</v>
      </c>
    </row>
    <row r="387" spans="1:6" x14ac:dyDescent="0.3">
      <c r="A387" s="111">
        <v>46146</v>
      </c>
      <c r="B387" t="s">
        <v>386</v>
      </c>
      <c r="C387" s="11">
        <v>9000</v>
      </c>
      <c r="D387" s="11"/>
      <c r="E387" t="s">
        <v>480</v>
      </c>
      <c r="F387" s="108" t="s">
        <v>108</v>
      </c>
    </row>
    <row r="388" spans="1:6" x14ac:dyDescent="0.3">
      <c r="A388" s="38">
        <v>46146</v>
      </c>
      <c r="B388" t="s">
        <v>257</v>
      </c>
      <c r="C388" s="11">
        <v>150000</v>
      </c>
      <c r="D388" s="11"/>
      <c r="E388" t="s">
        <v>499</v>
      </c>
      <c r="F388" s="108" t="s">
        <v>108</v>
      </c>
    </row>
    <row r="389" spans="1:6" x14ac:dyDescent="0.3">
      <c r="A389" s="111">
        <v>46146</v>
      </c>
      <c r="B389" t="s">
        <v>357</v>
      </c>
      <c r="C389" s="11">
        <v>18000</v>
      </c>
      <c r="D389" s="11"/>
      <c r="E389" t="s">
        <v>113</v>
      </c>
      <c r="F389" s="108" t="s">
        <v>108</v>
      </c>
    </row>
    <row r="390" spans="1:6" x14ac:dyDescent="0.3">
      <c r="A390" s="38">
        <v>46146</v>
      </c>
      <c r="B390" t="s">
        <v>116</v>
      </c>
      <c r="C390" s="11">
        <v>39000</v>
      </c>
      <c r="D390" s="11"/>
      <c r="E390" t="s">
        <v>316</v>
      </c>
      <c r="F390" s="108" t="s">
        <v>108</v>
      </c>
    </row>
    <row r="391" spans="1:6" x14ac:dyDescent="0.3">
      <c r="A391" s="111">
        <v>46146</v>
      </c>
      <c r="B391" t="s">
        <v>54</v>
      </c>
      <c r="C391" s="95">
        <v>700</v>
      </c>
      <c r="D391" s="95"/>
      <c r="E391" t="s">
        <v>289</v>
      </c>
      <c r="F391" s="108" t="s">
        <v>108</v>
      </c>
    </row>
    <row r="392" spans="1:6" x14ac:dyDescent="0.3">
      <c r="A392" s="38">
        <v>46146</v>
      </c>
      <c r="B392" t="s">
        <v>191</v>
      </c>
      <c r="C392" s="11"/>
      <c r="D392" s="11">
        <v>100000</v>
      </c>
      <c r="E392" t="s">
        <v>271</v>
      </c>
      <c r="F392" s="108" t="s">
        <v>108</v>
      </c>
    </row>
    <row r="393" spans="1:6" x14ac:dyDescent="0.3">
      <c r="A393" s="111">
        <v>46146</v>
      </c>
      <c r="B393" t="s">
        <v>55</v>
      </c>
      <c r="C393" s="11">
        <v>24080</v>
      </c>
      <c r="D393" s="11"/>
      <c r="E393" t="s">
        <v>259</v>
      </c>
      <c r="F393" s="108" t="s">
        <v>108</v>
      </c>
    </row>
    <row r="394" spans="1:6" x14ac:dyDescent="0.3">
      <c r="A394" s="38">
        <v>46146</v>
      </c>
      <c r="B394" t="s">
        <v>517</v>
      </c>
      <c r="C394" s="11">
        <v>25000</v>
      </c>
      <c r="D394" s="11"/>
      <c r="E394" t="s">
        <v>240</v>
      </c>
      <c r="F394" s="108" t="s">
        <v>108</v>
      </c>
    </row>
    <row r="395" spans="1:6" x14ac:dyDescent="0.3">
      <c r="A395" s="111">
        <v>46146</v>
      </c>
      <c r="B395" t="s">
        <v>517</v>
      </c>
      <c r="C395" s="11">
        <v>24000</v>
      </c>
      <c r="D395" s="11"/>
      <c r="E395" t="s">
        <v>240</v>
      </c>
      <c r="F395" s="108" t="s">
        <v>108</v>
      </c>
    </row>
    <row r="396" spans="1:6" x14ac:dyDescent="0.3">
      <c r="A396" s="38">
        <v>46147</v>
      </c>
      <c r="B396" t="s">
        <v>222</v>
      </c>
      <c r="C396" s="11">
        <v>105000</v>
      </c>
      <c r="D396" s="11"/>
      <c r="E396" t="s">
        <v>240</v>
      </c>
      <c r="F396" s="108" t="s">
        <v>108</v>
      </c>
    </row>
    <row r="397" spans="1:6" x14ac:dyDescent="0.3">
      <c r="A397" s="111">
        <v>46147</v>
      </c>
      <c r="B397" t="s">
        <v>456</v>
      </c>
      <c r="C397" s="11">
        <v>32000</v>
      </c>
      <c r="D397" s="11"/>
      <c r="F397" s="108" t="s">
        <v>108</v>
      </c>
    </row>
    <row r="398" spans="1:6" x14ac:dyDescent="0.3">
      <c r="A398" s="111">
        <v>46147</v>
      </c>
      <c r="B398" t="s">
        <v>191</v>
      </c>
      <c r="C398" s="11"/>
      <c r="D398" s="11">
        <v>50000</v>
      </c>
      <c r="F398" s="108" t="s">
        <v>108</v>
      </c>
    </row>
    <row r="399" spans="1:6" x14ac:dyDescent="0.3">
      <c r="A399" s="38">
        <v>46147</v>
      </c>
      <c r="B399" t="s">
        <v>244</v>
      </c>
      <c r="C399" s="11">
        <v>3000</v>
      </c>
      <c r="D399" s="11"/>
      <c r="F399" s="108" t="s">
        <v>108</v>
      </c>
    </row>
    <row r="400" spans="1:6" x14ac:dyDescent="0.3">
      <c r="A400" s="111">
        <v>46147</v>
      </c>
      <c r="B400" t="s">
        <v>55</v>
      </c>
      <c r="C400" s="95">
        <v>300</v>
      </c>
      <c r="D400" s="95"/>
      <c r="E400" t="s">
        <v>518</v>
      </c>
      <c r="F400" s="108" t="s">
        <v>108</v>
      </c>
    </row>
    <row r="401" spans="1:15" x14ac:dyDescent="0.3">
      <c r="A401" s="111">
        <v>46147</v>
      </c>
      <c r="B401" t="s">
        <v>54</v>
      </c>
      <c r="C401" s="95">
        <v>1606</v>
      </c>
      <c r="D401" s="95"/>
      <c r="F401" s="108" t="s">
        <v>108</v>
      </c>
    </row>
    <row r="402" spans="1:15" x14ac:dyDescent="0.3">
      <c r="A402" s="111">
        <v>46147</v>
      </c>
      <c r="B402" t="s">
        <v>493</v>
      </c>
      <c r="C402" s="95"/>
      <c r="D402" s="95">
        <v>65000</v>
      </c>
      <c r="F402" s="108" t="s">
        <v>108</v>
      </c>
    </row>
    <row r="403" spans="1:15" x14ac:dyDescent="0.3">
      <c r="A403" s="111">
        <v>46147</v>
      </c>
      <c r="B403" t="s">
        <v>55</v>
      </c>
      <c r="C403" s="95">
        <v>1180</v>
      </c>
      <c r="D403" s="95"/>
      <c r="F403" s="108" t="s">
        <v>108</v>
      </c>
    </row>
    <row r="404" spans="1:15" x14ac:dyDescent="0.3">
      <c r="A404" s="38">
        <v>46147</v>
      </c>
      <c r="B404" t="s">
        <v>244</v>
      </c>
      <c r="C404" s="95">
        <v>15000</v>
      </c>
      <c r="D404" s="95"/>
      <c r="E404" t="s">
        <v>519</v>
      </c>
      <c r="F404" s="108" t="s">
        <v>108</v>
      </c>
    </row>
    <row r="405" spans="1:15" x14ac:dyDescent="0.3">
      <c r="A405" s="38">
        <v>46147</v>
      </c>
      <c r="B405" t="s">
        <v>525</v>
      </c>
      <c r="C405" s="95">
        <v>3600</v>
      </c>
      <c r="D405" s="95"/>
      <c r="F405" s="108" t="s">
        <v>108</v>
      </c>
    </row>
    <row r="406" spans="1:15" x14ac:dyDescent="0.3">
      <c r="A406" s="38">
        <v>46147</v>
      </c>
      <c r="B406" t="s">
        <v>54</v>
      </c>
      <c r="C406" s="95">
        <v>600</v>
      </c>
      <c r="D406" s="95"/>
      <c r="F406" s="108" t="s">
        <v>108</v>
      </c>
    </row>
    <row r="407" spans="1:15" x14ac:dyDescent="0.3">
      <c r="A407" s="38">
        <v>46147</v>
      </c>
      <c r="B407" t="s">
        <v>244</v>
      </c>
      <c r="C407" s="95">
        <f>11000-3600-600</f>
        <v>6800</v>
      </c>
      <c r="D407" s="95"/>
      <c r="E407" t="s">
        <v>526</v>
      </c>
      <c r="F407" s="108" t="s">
        <v>108</v>
      </c>
    </row>
    <row r="408" spans="1:15" x14ac:dyDescent="0.3">
      <c r="A408" s="38">
        <v>46148</v>
      </c>
      <c r="B408" t="s">
        <v>35</v>
      </c>
      <c r="C408" s="95"/>
      <c r="D408" s="95">
        <v>100000</v>
      </c>
      <c r="F408" s="108" t="s">
        <v>108</v>
      </c>
    </row>
    <row r="409" spans="1:15" x14ac:dyDescent="0.3">
      <c r="A409" s="38">
        <v>46148</v>
      </c>
      <c r="B409" t="s">
        <v>116</v>
      </c>
      <c r="C409" s="95">
        <v>58500</v>
      </c>
      <c r="D409" s="95"/>
      <c r="E409" t="s">
        <v>520</v>
      </c>
      <c r="F409" s="108" t="s">
        <v>108</v>
      </c>
    </row>
    <row r="410" spans="1:15" x14ac:dyDescent="0.3">
      <c r="A410" s="38">
        <v>46148</v>
      </c>
      <c r="B410" t="s">
        <v>55</v>
      </c>
      <c r="C410" s="95">
        <v>1200</v>
      </c>
      <c r="D410" s="95"/>
      <c r="F410" s="108" t="s">
        <v>108</v>
      </c>
    </row>
    <row r="411" spans="1:15" x14ac:dyDescent="0.3">
      <c r="A411" s="38">
        <v>46148</v>
      </c>
      <c r="B411" t="s">
        <v>55</v>
      </c>
      <c r="C411" s="95">
        <v>4280</v>
      </c>
      <c r="D411" s="95"/>
      <c r="F411" s="108" t="s">
        <v>108</v>
      </c>
    </row>
    <row r="412" spans="1:15" x14ac:dyDescent="0.3">
      <c r="A412" s="38">
        <v>46148</v>
      </c>
      <c r="B412" t="s">
        <v>244</v>
      </c>
      <c r="C412" s="95">
        <v>550</v>
      </c>
      <c r="D412" s="95"/>
      <c r="E412" t="s">
        <v>366</v>
      </c>
      <c r="F412" s="108" t="s">
        <v>108</v>
      </c>
    </row>
    <row r="413" spans="1:15" x14ac:dyDescent="0.3">
      <c r="A413" s="38">
        <v>46148</v>
      </c>
      <c r="B413" t="s">
        <v>493</v>
      </c>
      <c r="C413" s="95"/>
      <c r="D413" s="95">
        <v>70000</v>
      </c>
      <c r="E413" t="s">
        <v>109</v>
      </c>
      <c r="F413" s="108" t="s">
        <v>108</v>
      </c>
    </row>
    <row r="414" spans="1:15" x14ac:dyDescent="0.3">
      <c r="A414" s="38">
        <v>46148</v>
      </c>
      <c r="B414" t="s">
        <v>55</v>
      </c>
      <c r="C414" s="95">
        <v>2550</v>
      </c>
      <c r="D414" s="95"/>
      <c r="E414" t="s">
        <v>521</v>
      </c>
      <c r="F414" s="108" t="s">
        <v>108</v>
      </c>
    </row>
    <row r="415" spans="1:15" x14ac:dyDescent="0.3">
      <c r="A415" s="38">
        <v>46148</v>
      </c>
      <c r="B415" t="s">
        <v>244</v>
      </c>
      <c r="C415" s="95">
        <v>2600</v>
      </c>
      <c r="D415" s="95"/>
      <c r="E415" t="s">
        <v>522</v>
      </c>
      <c r="F415" s="108" t="s">
        <v>108</v>
      </c>
      <c r="J415">
        <v>30000</v>
      </c>
      <c r="L415">
        <v>10000</v>
      </c>
      <c r="M415">
        <v>16300</v>
      </c>
      <c r="O415">
        <v>5100</v>
      </c>
    </row>
    <row r="416" spans="1:15" x14ac:dyDescent="0.3">
      <c r="A416" s="38">
        <v>46148</v>
      </c>
      <c r="B416" t="s">
        <v>476</v>
      </c>
      <c r="C416" s="95">
        <v>29500</v>
      </c>
      <c r="D416" s="95"/>
      <c r="E416" t="s">
        <v>240</v>
      </c>
      <c r="F416" s="108" t="s">
        <v>108</v>
      </c>
      <c r="J416">
        <v>119760</v>
      </c>
      <c r="L416">
        <v>3200</v>
      </c>
      <c r="M416">
        <v>12800</v>
      </c>
      <c r="O416">
        <v>12300</v>
      </c>
    </row>
    <row r="417" spans="1:15" x14ac:dyDescent="0.3">
      <c r="A417" s="38">
        <v>46148</v>
      </c>
      <c r="B417" t="s">
        <v>517</v>
      </c>
      <c r="C417" s="95">
        <v>28000</v>
      </c>
      <c r="D417" s="95"/>
      <c r="E417" t="s">
        <v>240</v>
      </c>
      <c r="F417" s="108" t="s">
        <v>108</v>
      </c>
      <c r="J417">
        <v>35000</v>
      </c>
      <c r="L417">
        <v>22800</v>
      </c>
      <c r="M417">
        <v>22650</v>
      </c>
      <c r="O417">
        <v>10810</v>
      </c>
    </row>
    <row r="418" spans="1:15" x14ac:dyDescent="0.3">
      <c r="A418" s="38">
        <v>46148</v>
      </c>
      <c r="B418" t="s">
        <v>219</v>
      </c>
      <c r="C418" s="95"/>
      <c r="D418" s="95">
        <v>56632</v>
      </c>
      <c r="E418" t="s">
        <v>285</v>
      </c>
      <c r="F418" s="108" t="s">
        <v>108</v>
      </c>
      <c r="J418">
        <v>29600</v>
      </c>
      <c r="L418">
        <v>29600</v>
      </c>
      <c r="M418">
        <v>22800</v>
      </c>
      <c r="O418">
        <v>12000</v>
      </c>
    </row>
    <row r="419" spans="1:15" x14ac:dyDescent="0.3">
      <c r="A419" s="38">
        <v>46148</v>
      </c>
      <c r="B419" t="s">
        <v>219</v>
      </c>
      <c r="C419" s="95"/>
      <c r="D419" s="95">
        <v>100000</v>
      </c>
      <c r="E419" t="s">
        <v>523</v>
      </c>
      <c r="F419" s="108" t="s">
        <v>108</v>
      </c>
      <c r="J419">
        <v>46600</v>
      </c>
      <c r="L419">
        <v>46600</v>
      </c>
      <c r="M419">
        <v>15000</v>
      </c>
      <c r="O419">
        <v>11650</v>
      </c>
    </row>
    <row r="420" spans="1:15" x14ac:dyDescent="0.3">
      <c r="A420" s="38">
        <v>46148</v>
      </c>
      <c r="B420" t="s">
        <v>517</v>
      </c>
      <c r="C420" s="95">
        <v>150000</v>
      </c>
      <c r="D420" s="95"/>
      <c r="E420" t="s">
        <v>524</v>
      </c>
      <c r="F420" s="108" t="s">
        <v>108</v>
      </c>
      <c r="J420">
        <v>22800</v>
      </c>
      <c r="L420">
        <v>20800</v>
      </c>
      <c r="M420">
        <v>18450</v>
      </c>
      <c r="O420">
        <v>16300</v>
      </c>
    </row>
    <row r="421" spans="1:15" x14ac:dyDescent="0.3">
      <c r="A421" s="38">
        <v>46148</v>
      </c>
      <c r="B421" t="s">
        <v>269</v>
      </c>
      <c r="C421" s="95">
        <v>5000</v>
      </c>
      <c r="D421" s="95"/>
      <c r="E421" t="s">
        <v>252</v>
      </c>
      <c r="F421" s="108" t="s">
        <v>108</v>
      </c>
      <c r="J421">
        <v>3200</v>
      </c>
      <c r="L421">
        <v>20000</v>
      </c>
      <c r="M421">
        <v>24600</v>
      </c>
      <c r="O421">
        <v>17300</v>
      </c>
    </row>
    <row r="422" spans="1:15" x14ac:dyDescent="0.3">
      <c r="A422" s="38">
        <v>46148</v>
      </c>
      <c r="B422" t="s">
        <v>493</v>
      </c>
      <c r="C422" s="95"/>
      <c r="D422" s="95">
        <v>30000</v>
      </c>
      <c r="F422" s="108" t="s">
        <v>108</v>
      </c>
      <c r="J422">
        <v>11640</v>
      </c>
      <c r="L422">
        <v>80000</v>
      </c>
      <c r="M422">
        <v>15000</v>
      </c>
      <c r="O422">
        <v>17460</v>
      </c>
    </row>
    <row r="423" spans="1:15" x14ac:dyDescent="0.3">
      <c r="A423" s="38">
        <v>46148</v>
      </c>
      <c r="B423" t="s">
        <v>219</v>
      </c>
      <c r="C423" s="95">
        <v>30000</v>
      </c>
      <c r="D423" s="95"/>
      <c r="E423" t="s">
        <v>529</v>
      </c>
      <c r="F423" s="108" t="s">
        <v>108</v>
      </c>
      <c r="J423">
        <v>17500</v>
      </c>
      <c r="L423">
        <v>30000</v>
      </c>
      <c r="M423">
        <v>12000</v>
      </c>
      <c r="O423">
        <v>18450</v>
      </c>
    </row>
    <row r="424" spans="1:15" x14ac:dyDescent="0.3">
      <c r="A424" s="38">
        <v>46149</v>
      </c>
      <c r="B424" t="s">
        <v>219</v>
      </c>
      <c r="C424" s="95"/>
      <c r="D424" s="95">
        <v>55000</v>
      </c>
      <c r="F424" s="108" t="s">
        <v>108</v>
      </c>
      <c r="J424">
        <v>20800</v>
      </c>
      <c r="L424">
        <v>15600</v>
      </c>
      <c r="M424">
        <v>18300</v>
      </c>
      <c r="O424">
        <v>12800</v>
      </c>
    </row>
    <row r="425" spans="1:15" x14ac:dyDescent="0.3">
      <c r="A425" s="38">
        <v>46149</v>
      </c>
      <c r="B425" t="s">
        <v>527</v>
      </c>
      <c r="C425" s="95">
        <v>55000</v>
      </c>
      <c r="D425" s="95"/>
      <c r="E425" t="s">
        <v>215</v>
      </c>
      <c r="F425" s="108" t="s">
        <v>108</v>
      </c>
      <c r="J425">
        <v>15600</v>
      </c>
      <c r="L425">
        <v>15000</v>
      </c>
      <c r="M425">
        <v>20000</v>
      </c>
      <c r="O425">
        <v>24600</v>
      </c>
    </row>
    <row r="426" spans="1:15" x14ac:dyDescent="0.3">
      <c r="A426" s="38">
        <v>46149</v>
      </c>
      <c r="B426" t="s">
        <v>386</v>
      </c>
      <c r="C426" s="95">
        <v>9000</v>
      </c>
      <c r="D426" s="95"/>
      <c r="E426" t="s">
        <v>528</v>
      </c>
      <c r="F426" s="108" t="s">
        <v>108</v>
      </c>
      <c r="J426">
        <v>11000</v>
      </c>
      <c r="L426">
        <v>14300</v>
      </c>
      <c r="M426">
        <v>20000</v>
      </c>
      <c r="O426">
        <v>22800</v>
      </c>
    </row>
    <row r="427" spans="1:15" x14ac:dyDescent="0.3">
      <c r="A427" s="38">
        <v>46149</v>
      </c>
      <c r="B427" t="s">
        <v>219</v>
      </c>
      <c r="C427" s="95"/>
      <c r="D427" s="95">
        <v>50000</v>
      </c>
      <c r="E427" t="s">
        <v>532</v>
      </c>
      <c r="F427" s="108" t="s">
        <v>108</v>
      </c>
      <c r="J427">
        <v>17000</v>
      </c>
      <c r="L427">
        <v>16500</v>
      </c>
      <c r="M427">
        <v>38400</v>
      </c>
      <c r="O427">
        <v>20000</v>
      </c>
    </row>
    <row r="428" spans="1:15" x14ac:dyDescent="0.3">
      <c r="A428" s="38">
        <v>46149</v>
      </c>
      <c r="B428" t="s">
        <v>517</v>
      </c>
      <c r="C428" s="11">
        <v>24500</v>
      </c>
      <c r="D428" s="11"/>
      <c r="E428" t="s">
        <v>240</v>
      </c>
      <c r="F428" s="108" t="s">
        <v>108</v>
      </c>
      <c r="J428">
        <v>10000</v>
      </c>
      <c r="L428">
        <v>17500</v>
      </c>
      <c r="M428">
        <v>12300</v>
      </c>
      <c r="O428">
        <v>18300</v>
      </c>
    </row>
    <row r="429" spans="1:15" x14ac:dyDescent="0.3">
      <c r="A429" s="38">
        <v>46149</v>
      </c>
      <c r="B429" t="s">
        <v>517</v>
      </c>
      <c r="C429" s="11">
        <v>25000</v>
      </c>
      <c r="D429" s="11"/>
      <c r="E429" t="s">
        <v>240</v>
      </c>
      <c r="F429" s="108" t="s">
        <v>108</v>
      </c>
      <c r="J429">
        <v>80000</v>
      </c>
      <c r="L429">
        <v>17500</v>
      </c>
      <c r="M429">
        <v>17300</v>
      </c>
      <c r="O429">
        <v>15000</v>
      </c>
    </row>
    <row r="430" spans="1:15" x14ac:dyDescent="0.3">
      <c r="A430" s="38">
        <v>46149</v>
      </c>
      <c r="B430" t="s">
        <v>211</v>
      </c>
      <c r="C430" s="11">
        <v>500</v>
      </c>
      <c r="D430" s="11"/>
      <c r="F430" s="108" t="s">
        <v>108</v>
      </c>
      <c r="J430">
        <v>20000</v>
      </c>
      <c r="L430">
        <v>17500</v>
      </c>
      <c r="M430">
        <v>5100</v>
      </c>
      <c r="O430">
        <v>11000</v>
      </c>
    </row>
    <row r="431" spans="1:15" x14ac:dyDescent="0.3">
      <c r="A431" s="38">
        <v>46149</v>
      </c>
      <c r="B431" t="s">
        <v>219</v>
      </c>
      <c r="C431" s="11"/>
      <c r="D431" s="11">
        <v>20000</v>
      </c>
      <c r="E431" t="s">
        <v>263</v>
      </c>
      <c r="F431" s="108" t="s">
        <v>108</v>
      </c>
      <c r="L431">
        <v>3300</v>
      </c>
      <c r="M431">
        <v>8350</v>
      </c>
      <c r="O431">
        <v>35000</v>
      </c>
    </row>
    <row r="432" spans="1:15" x14ac:dyDescent="0.3">
      <c r="A432" s="111">
        <v>46149</v>
      </c>
      <c r="B432" t="s">
        <v>269</v>
      </c>
      <c r="C432" s="11">
        <v>25000</v>
      </c>
      <c r="D432" s="11"/>
      <c r="E432" t="s">
        <v>406</v>
      </c>
      <c r="F432" s="108" t="s">
        <v>108</v>
      </c>
      <c r="L432">
        <v>5830</v>
      </c>
      <c r="M432">
        <v>9850</v>
      </c>
      <c r="O432">
        <v>7000</v>
      </c>
    </row>
    <row r="433" spans="1:15" x14ac:dyDescent="0.3">
      <c r="A433" s="111">
        <v>46149</v>
      </c>
      <c r="B433" t="s">
        <v>357</v>
      </c>
      <c r="C433" s="95">
        <v>2200</v>
      </c>
      <c r="D433" s="95"/>
      <c r="F433" s="108" t="s">
        <v>108</v>
      </c>
      <c r="L433">
        <v>7000</v>
      </c>
      <c r="M433">
        <v>20000</v>
      </c>
      <c r="O433">
        <v>5850</v>
      </c>
    </row>
    <row r="434" spans="1:15" x14ac:dyDescent="0.3">
      <c r="A434" s="111">
        <v>46150</v>
      </c>
      <c r="B434" t="s">
        <v>55</v>
      </c>
      <c r="C434" s="11">
        <v>1600</v>
      </c>
      <c r="D434" s="11"/>
      <c r="F434" s="108" t="s">
        <v>108</v>
      </c>
      <c r="L434">
        <v>5332</v>
      </c>
      <c r="O434">
        <v>3300</v>
      </c>
    </row>
    <row r="435" spans="1:15" x14ac:dyDescent="0.3">
      <c r="A435" s="111">
        <v>46150</v>
      </c>
      <c r="B435" t="s">
        <v>219</v>
      </c>
      <c r="C435" s="95"/>
      <c r="D435" s="95">
        <v>60000</v>
      </c>
      <c r="E435" t="s">
        <v>533</v>
      </c>
      <c r="F435" s="108" t="s">
        <v>108</v>
      </c>
      <c r="L435">
        <v>35000</v>
      </c>
      <c r="O435">
        <v>17500</v>
      </c>
    </row>
    <row r="436" spans="1:15" x14ac:dyDescent="0.3">
      <c r="A436" s="111">
        <v>46150</v>
      </c>
      <c r="B436" t="s">
        <v>55</v>
      </c>
      <c r="C436" s="95">
        <v>2520</v>
      </c>
      <c r="D436" s="95"/>
      <c r="E436" t="s">
        <v>448</v>
      </c>
      <c r="F436" s="108" t="s">
        <v>108</v>
      </c>
      <c r="L436">
        <v>11000</v>
      </c>
      <c r="M436">
        <v>17000</v>
      </c>
      <c r="O436">
        <v>17500</v>
      </c>
    </row>
    <row r="437" spans="1:15" x14ac:dyDescent="0.3">
      <c r="A437" s="111">
        <v>46150</v>
      </c>
      <c r="B437" t="s">
        <v>116</v>
      </c>
      <c r="C437" s="95">
        <v>46800</v>
      </c>
      <c r="D437" s="95"/>
      <c r="E437" t="s">
        <v>534</v>
      </c>
      <c r="F437" s="108" t="s">
        <v>108</v>
      </c>
      <c r="L437">
        <v>17460</v>
      </c>
      <c r="M437">
        <v>22000</v>
      </c>
      <c r="O437">
        <v>17500</v>
      </c>
    </row>
    <row r="438" spans="1:15" x14ac:dyDescent="0.3">
      <c r="A438" s="38">
        <v>46150</v>
      </c>
      <c r="B438" t="s">
        <v>54</v>
      </c>
      <c r="C438" s="95">
        <v>700</v>
      </c>
      <c r="D438" s="95"/>
      <c r="E438" t="s">
        <v>289</v>
      </c>
      <c r="F438" s="108" t="s">
        <v>108</v>
      </c>
      <c r="L438">
        <v>11640</v>
      </c>
      <c r="O438">
        <v>16500</v>
      </c>
    </row>
    <row r="439" spans="1:15" x14ac:dyDescent="0.3">
      <c r="A439" s="38">
        <v>46150</v>
      </c>
      <c r="B439" t="s">
        <v>357</v>
      </c>
      <c r="C439" s="95">
        <v>2200</v>
      </c>
      <c r="D439" s="95"/>
      <c r="E439" t="s">
        <v>535</v>
      </c>
      <c r="F439" s="108" t="s">
        <v>108</v>
      </c>
      <c r="L439">
        <v>10800</v>
      </c>
      <c r="O439">
        <v>14300</v>
      </c>
    </row>
    <row r="440" spans="1:15" x14ac:dyDescent="0.3">
      <c r="A440" s="38">
        <v>46150</v>
      </c>
      <c r="B440" t="s">
        <v>219</v>
      </c>
      <c r="C440" s="95"/>
      <c r="D440" s="95">
        <v>250000</v>
      </c>
      <c r="E440" t="s">
        <v>536</v>
      </c>
      <c r="F440" s="108" t="s">
        <v>108</v>
      </c>
      <c r="L440">
        <v>17000</v>
      </c>
      <c r="O440">
        <v>15000</v>
      </c>
    </row>
    <row r="441" spans="1:15" x14ac:dyDescent="0.3">
      <c r="A441" s="38">
        <v>46150</v>
      </c>
      <c r="B441" t="s">
        <v>493</v>
      </c>
      <c r="C441" s="95"/>
      <c r="D441" s="95">
        <v>100000</v>
      </c>
      <c r="E441" t="s">
        <v>109</v>
      </c>
      <c r="F441" s="108" t="s">
        <v>108</v>
      </c>
      <c r="O441">
        <v>22650</v>
      </c>
    </row>
    <row r="442" spans="1:15" x14ac:dyDescent="0.3">
      <c r="A442" s="38">
        <v>46150</v>
      </c>
      <c r="B442" t="s">
        <v>219</v>
      </c>
      <c r="C442" s="95">
        <v>100000</v>
      </c>
      <c r="D442" s="95"/>
      <c r="E442" t="s">
        <v>529</v>
      </c>
      <c r="F442" s="108" t="s">
        <v>108</v>
      </c>
      <c r="O442">
        <v>20000</v>
      </c>
    </row>
    <row r="443" spans="1:15" x14ac:dyDescent="0.3">
      <c r="A443" s="38">
        <v>46150</v>
      </c>
      <c r="B443" t="s">
        <v>257</v>
      </c>
      <c r="C443" s="95">
        <v>100000</v>
      </c>
      <c r="D443" s="95"/>
      <c r="E443" t="s">
        <v>537</v>
      </c>
      <c r="F443" s="108" t="s">
        <v>108</v>
      </c>
      <c r="O443">
        <v>15600</v>
      </c>
    </row>
    <row r="444" spans="1:15" x14ac:dyDescent="0.3">
      <c r="A444" s="38">
        <v>46150</v>
      </c>
      <c r="B444" t="s">
        <v>221</v>
      </c>
      <c r="C444" s="95">
        <v>100000</v>
      </c>
      <c r="D444" s="95"/>
      <c r="E444" t="s">
        <v>537</v>
      </c>
      <c r="F444" s="108" t="s">
        <v>108</v>
      </c>
      <c r="O444">
        <v>15000</v>
      </c>
    </row>
    <row r="445" spans="1:15" x14ac:dyDescent="0.3">
      <c r="A445" s="38">
        <v>46150</v>
      </c>
      <c r="B445" t="s">
        <v>253</v>
      </c>
      <c r="C445" s="95">
        <v>45000</v>
      </c>
      <c r="D445" s="95"/>
      <c r="E445" t="s">
        <v>538</v>
      </c>
      <c r="F445" s="108" t="s">
        <v>108</v>
      </c>
      <c r="O445">
        <v>400</v>
      </c>
    </row>
    <row r="446" spans="1:15" x14ac:dyDescent="0.3">
      <c r="A446" s="38">
        <v>46150</v>
      </c>
      <c r="B446" t="s">
        <v>211</v>
      </c>
      <c r="C446" s="95">
        <v>790</v>
      </c>
      <c r="D446" s="95"/>
      <c r="E446" t="s">
        <v>255</v>
      </c>
      <c r="F446" s="108" t="s">
        <v>108</v>
      </c>
      <c r="O446">
        <v>20000</v>
      </c>
    </row>
    <row r="447" spans="1:15" x14ac:dyDescent="0.3">
      <c r="A447" s="38">
        <v>46150</v>
      </c>
      <c r="B447" t="s">
        <v>175</v>
      </c>
      <c r="C447" s="11">
        <v>36000</v>
      </c>
      <c r="D447" s="11"/>
      <c r="E447" t="s">
        <v>564</v>
      </c>
      <c r="F447" s="108" t="s">
        <v>108</v>
      </c>
      <c r="O447">
        <v>30000</v>
      </c>
    </row>
    <row r="448" spans="1:15" x14ac:dyDescent="0.3">
      <c r="A448" s="38">
        <v>46150</v>
      </c>
      <c r="B448" t="s">
        <v>219</v>
      </c>
      <c r="C448" s="11"/>
      <c r="D448" s="11">
        <v>36000</v>
      </c>
      <c r="E448" t="s">
        <v>564</v>
      </c>
      <c r="F448" s="108" t="s">
        <v>108</v>
      </c>
      <c r="O448">
        <v>8350</v>
      </c>
    </row>
    <row r="449" spans="1:16" x14ac:dyDescent="0.3">
      <c r="A449" s="38">
        <v>46151</v>
      </c>
      <c r="B449" t="s">
        <v>539</v>
      </c>
      <c r="C449" s="95"/>
      <c r="D449" s="95">
        <v>500000</v>
      </c>
      <c r="E449" t="s">
        <v>540</v>
      </c>
      <c r="F449" s="108" t="s">
        <v>108</v>
      </c>
      <c r="O449">
        <v>9850</v>
      </c>
      <c r="P449">
        <v>17000</v>
      </c>
    </row>
    <row r="450" spans="1:16" x14ac:dyDescent="0.3">
      <c r="A450" s="38">
        <v>46151</v>
      </c>
      <c r="B450" t="s">
        <v>175</v>
      </c>
      <c r="C450" s="95">
        <v>55000</v>
      </c>
      <c r="D450" s="95"/>
      <c r="E450" t="s">
        <v>486</v>
      </c>
      <c r="F450" s="108" t="s">
        <v>108</v>
      </c>
      <c r="O450">
        <v>80000</v>
      </c>
    </row>
    <row r="451" spans="1:16" x14ac:dyDescent="0.3">
      <c r="A451" s="38">
        <v>46151</v>
      </c>
      <c r="B451" t="s">
        <v>54</v>
      </c>
      <c r="C451" s="95">
        <v>2000</v>
      </c>
      <c r="D451" s="95"/>
      <c r="E451" t="s">
        <v>541</v>
      </c>
      <c r="F451" s="108" t="s">
        <v>108</v>
      </c>
      <c r="O451">
        <v>20000</v>
      </c>
    </row>
    <row r="452" spans="1:16" x14ac:dyDescent="0.3">
      <c r="A452" s="38">
        <v>46151</v>
      </c>
      <c r="B452" t="s">
        <v>222</v>
      </c>
      <c r="C452" s="95">
        <v>100000</v>
      </c>
      <c r="D452" s="95"/>
      <c r="E452" t="s">
        <v>240</v>
      </c>
      <c r="F452" s="108" t="s">
        <v>108</v>
      </c>
      <c r="O452">
        <v>20800</v>
      </c>
    </row>
    <row r="453" spans="1:16" x14ac:dyDescent="0.3">
      <c r="A453" s="38">
        <v>46151</v>
      </c>
      <c r="B453" t="s">
        <v>357</v>
      </c>
      <c r="C453" s="95">
        <v>30000</v>
      </c>
      <c r="D453" s="95"/>
      <c r="E453" t="s">
        <v>542</v>
      </c>
      <c r="F453" s="108" t="s">
        <v>108</v>
      </c>
      <c r="O453">
        <v>46600</v>
      </c>
    </row>
    <row r="454" spans="1:16" x14ac:dyDescent="0.3">
      <c r="A454" s="38">
        <v>46151</v>
      </c>
      <c r="B454" t="s">
        <v>476</v>
      </c>
      <c r="C454" s="95">
        <v>198400</v>
      </c>
      <c r="D454" s="95"/>
      <c r="E454" t="s">
        <v>543</v>
      </c>
      <c r="F454" s="108" t="s">
        <v>108</v>
      </c>
      <c r="L454" s="19">
        <v>48600</v>
      </c>
      <c r="N454" s="19">
        <v>27400</v>
      </c>
      <c r="O454">
        <v>29600</v>
      </c>
    </row>
    <row r="455" spans="1:16" x14ac:dyDescent="0.3">
      <c r="A455" s="38">
        <v>46151</v>
      </c>
      <c r="B455" t="s">
        <v>168</v>
      </c>
      <c r="C455" s="95">
        <v>100000</v>
      </c>
      <c r="D455" s="95"/>
      <c r="E455" t="s">
        <v>544</v>
      </c>
      <c r="F455" s="108" t="s">
        <v>108</v>
      </c>
      <c r="L455">
        <v>49200</v>
      </c>
      <c r="N455">
        <v>3400</v>
      </c>
      <c r="O455">
        <v>22800</v>
      </c>
    </row>
    <row r="456" spans="1:16" x14ac:dyDescent="0.3">
      <c r="A456" s="38">
        <v>46151</v>
      </c>
      <c r="B456" t="s">
        <v>55</v>
      </c>
      <c r="C456" s="95">
        <v>2800</v>
      </c>
      <c r="D456" s="95"/>
      <c r="E456" t="s">
        <v>427</v>
      </c>
      <c r="F456" s="108" t="s">
        <v>108</v>
      </c>
      <c r="L456">
        <v>52000</v>
      </c>
      <c r="N456" s="19">
        <v>6200</v>
      </c>
      <c r="O456">
        <v>3200</v>
      </c>
    </row>
    <row r="457" spans="1:16" x14ac:dyDescent="0.3">
      <c r="A457" s="38">
        <v>46151</v>
      </c>
      <c r="B457" t="s">
        <v>269</v>
      </c>
      <c r="C457" s="95">
        <v>10000</v>
      </c>
      <c r="D457" s="95"/>
      <c r="E457" t="s">
        <v>478</v>
      </c>
      <c r="F457" s="108" t="s">
        <v>108</v>
      </c>
      <c r="L457">
        <v>42800</v>
      </c>
      <c r="N457">
        <v>3400</v>
      </c>
      <c r="O457">
        <v>48400</v>
      </c>
    </row>
    <row r="458" spans="1:16" x14ac:dyDescent="0.3">
      <c r="A458" s="38">
        <v>46151</v>
      </c>
      <c r="B458" t="s">
        <v>269</v>
      </c>
      <c r="C458" s="95">
        <v>10000</v>
      </c>
      <c r="D458" s="95"/>
      <c r="E458" t="s">
        <v>288</v>
      </c>
      <c r="F458" s="108" t="s">
        <v>108</v>
      </c>
      <c r="L458">
        <v>25200</v>
      </c>
      <c r="N458" s="19">
        <v>25200</v>
      </c>
      <c r="O458">
        <v>5330</v>
      </c>
    </row>
    <row r="459" spans="1:16" x14ac:dyDescent="0.3">
      <c r="A459" s="38">
        <v>46151</v>
      </c>
      <c r="B459" t="s">
        <v>211</v>
      </c>
      <c r="C459" s="95">
        <v>2260</v>
      </c>
      <c r="D459" s="95"/>
      <c r="F459" s="108" t="s">
        <v>108</v>
      </c>
      <c r="L459">
        <v>37600</v>
      </c>
      <c r="N459" s="19">
        <v>19500</v>
      </c>
      <c r="O459">
        <v>17000</v>
      </c>
    </row>
    <row r="460" spans="1:16" x14ac:dyDescent="0.3">
      <c r="A460" s="38">
        <v>46151</v>
      </c>
      <c r="B460" t="s">
        <v>493</v>
      </c>
      <c r="C460" s="95"/>
      <c r="D460" s="95">
        <v>100000</v>
      </c>
      <c r="E460" t="s">
        <v>109</v>
      </c>
      <c r="F460" s="108" t="s">
        <v>108</v>
      </c>
      <c r="L460">
        <v>23000</v>
      </c>
      <c r="N460" s="19">
        <v>20300</v>
      </c>
    </row>
    <row r="461" spans="1:16" x14ac:dyDescent="0.3">
      <c r="A461" s="38">
        <v>46151</v>
      </c>
      <c r="B461" t="s">
        <v>219</v>
      </c>
      <c r="C461" s="95">
        <v>100000</v>
      </c>
      <c r="D461" s="95"/>
      <c r="E461" t="s">
        <v>529</v>
      </c>
      <c r="F461" s="108" t="s">
        <v>108</v>
      </c>
      <c r="L461">
        <v>6200</v>
      </c>
      <c r="N461" s="19">
        <v>21000</v>
      </c>
    </row>
    <row r="462" spans="1:16" x14ac:dyDescent="0.3">
      <c r="A462" s="38">
        <v>46152</v>
      </c>
      <c r="B462" t="s">
        <v>219</v>
      </c>
      <c r="C462" s="95"/>
      <c r="D462" s="95">
        <v>18000</v>
      </c>
      <c r="F462" s="108" t="s">
        <v>108</v>
      </c>
      <c r="L462">
        <v>3400</v>
      </c>
      <c r="N462" s="19">
        <v>40000</v>
      </c>
    </row>
    <row r="463" spans="1:16" x14ac:dyDescent="0.3">
      <c r="A463" s="38">
        <v>46152</v>
      </c>
      <c r="B463" t="s">
        <v>386</v>
      </c>
      <c r="C463" s="95">
        <v>4500</v>
      </c>
      <c r="D463" s="95"/>
      <c r="E463" t="s">
        <v>283</v>
      </c>
      <c r="F463" s="108" t="s">
        <v>108</v>
      </c>
      <c r="L463">
        <v>19800</v>
      </c>
      <c r="N463" s="19">
        <v>3000</v>
      </c>
    </row>
    <row r="464" spans="1:16" x14ac:dyDescent="0.3">
      <c r="A464" s="38">
        <v>46152</v>
      </c>
      <c r="B464" t="s">
        <v>211</v>
      </c>
      <c r="C464" s="95">
        <v>780</v>
      </c>
      <c r="D464" s="95"/>
      <c r="F464" s="108" t="s">
        <v>108</v>
      </c>
      <c r="L464">
        <v>3400</v>
      </c>
      <c r="N464" s="19">
        <v>20600</v>
      </c>
    </row>
    <row r="465" spans="1:14" x14ac:dyDescent="0.3">
      <c r="A465" s="38">
        <v>46152</v>
      </c>
      <c r="B465" t="s">
        <v>55</v>
      </c>
      <c r="C465" s="95">
        <v>1560</v>
      </c>
      <c r="D465" s="95"/>
      <c r="F465" s="108" t="s">
        <v>108</v>
      </c>
      <c r="L465">
        <v>31150</v>
      </c>
      <c r="N465" s="19">
        <v>12750</v>
      </c>
    </row>
    <row r="466" spans="1:14" x14ac:dyDescent="0.3">
      <c r="A466" s="38">
        <v>46152</v>
      </c>
      <c r="B466" t="s">
        <v>55</v>
      </c>
      <c r="C466" s="95">
        <v>2500</v>
      </c>
      <c r="D466" s="95"/>
      <c r="F466" s="108" t="s">
        <v>108</v>
      </c>
      <c r="L466">
        <v>12750</v>
      </c>
      <c r="N466" s="19">
        <v>14400</v>
      </c>
    </row>
    <row r="467" spans="1:14" x14ac:dyDescent="0.3">
      <c r="A467" s="38">
        <v>46152</v>
      </c>
      <c r="B467" t="s">
        <v>55</v>
      </c>
      <c r="C467" s="95">
        <v>550</v>
      </c>
      <c r="D467" s="95"/>
      <c r="F467" s="108" t="s">
        <v>108</v>
      </c>
      <c r="L467">
        <v>27400</v>
      </c>
      <c r="N467" s="19">
        <v>9000</v>
      </c>
    </row>
    <row r="468" spans="1:14" x14ac:dyDescent="0.3">
      <c r="A468" s="38">
        <v>46152</v>
      </c>
      <c r="B468" t="s">
        <v>55</v>
      </c>
      <c r="C468" s="95">
        <v>1000</v>
      </c>
      <c r="D468" s="95"/>
      <c r="F468" s="108" t="s">
        <v>108</v>
      </c>
      <c r="L468">
        <v>15700</v>
      </c>
      <c r="N468" s="19">
        <v>17400</v>
      </c>
    </row>
    <row r="469" spans="1:14" x14ac:dyDescent="0.3">
      <c r="A469" s="38">
        <v>46152</v>
      </c>
      <c r="B469" t="s">
        <v>211</v>
      </c>
      <c r="C469" s="95"/>
      <c r="D469" s="95">
        <v>1000</v>
      </c>
      <c r="F469" s="108" t="s">
        <v>108</v>
      </c>
      <c r="L469">
        <v>12550</v>
      </c>
      <c r="N469" s="19">
        <v>19782</v>
      </c>
    </row>
    <row r="470" spans="1:14" x14ac:dyDescent="0.3">
      <c r="A470" s="38">
        <v>46153</v>
      </c>
      <c r="B470" t="s">
        <v>191</v>
      </c>
      <c r="C470" s="95"/>
      <c r="D470" s="95">
        <v>60000</v>
      </c>
      <c r="F470" s="108" t="s">
        <v>108</v>
      </c>
      <c r="L470">
        <v>14800</v>
      </c>
      <c r="N470" s="19">
        <v>23000</v>
      </c>
    </row>
    <row r="471" spans="1:14" x14ac:dyDescent="0.3">
      <c r="A471" s="38">
        <v>46153</v>
      </c>
      <c r="B471" t="s">
        <v>219</v>
      </c>
      <c r="C471" s="95">
        <v>60000</v>
      </c>
      <c r="D471" s="95"/>
      <c r="E471" t="s">
        <v>191</v>
      </c>
      <c r="F471" s="108" t="s">
        <v>108</v>
      </c>
      <c r="L471">
        <v>14350</v>
      </c>
      <c r="N471" s="19">
        <v>15700</v>
      </c>
    </row>
    <row r="472" spans="1:14" x14ac:dyDescent="0.3">
      <c r="A472" s="38">
        <v>46153</v>
      </c>
      <c r="B472" t="s">
        <v>55</v>
      </c>
      <c r="C472" s="95">
        <v>3500</v>
      </c>
      <c r="D472" s="95"/>
      <c r="E472" t="s">
        <v>546</v>
      </c>
      <c r="F472" s="108" t="s">
        <v>108</v>
      </c>
      <c r="L472">
        <v>40000</v>
      </c>
      <c r="N472" s="19">
        <v>14800</v>
      </c>
    </row>
    <row r="473" spans="1:14" x14ac:dyDescent="0.3">
      <c r="A473" s="38">
        <v>46153</v>
      </c>
      <c r="B473" t="s">
        <v>55</v>
      </c>
      <c r="C473" s="95">
        <v>1560</v>
      </c>
      <c r="D473" s="95"/>
      <c r="E473" t="s">
        <v>546</v>
      </c>
      <c r="F473" s="108" t="s">
        <v>108</v>
      </c>
      <c r="L473">
        <v>17400</v>
      </c>
      <c r="N473" s="19">
        <v>12550</v>
      </c>
    </row>
    <row r="474" spans="1:14" x14ac:dyDescent="0.3">
      <c r="A474" s="38">
        <v>46153</v>
      </c>
      <c r="B474" t="s">
        <v>219</v>
      </c>
      <c r="C474" s="95"/>
      <c r="D474" s="95">
        <v>3500</v>
      </c>
      <c r="F474" s="108" t="s">
        <v>108</v>
      </c>
      <c r="L474">
        <v>19500</v>
      </c>
      <c r="N474" s="19">
        <v>31150</v>
      </c>
    </row>
    <row r="475" spans="1:14" x14ac:dyDescent="0.3">
      <c r="A475" s="38">
        <v>46153</v>
      </c>
      <c r="B475" t="s">
        <v>55</v>
      </c>
      <c r="C475" s="95">
        <v>2500</v>
      </c>
      <c r="D475" s="95"/>
      <c r="E475" t="s">
        <v>291</v>
      </c>
      <c r="F475" s="108" t="s">
        <v>108</v>
      </c>
      <c r="L475">
        <v>3000</v>
      </c>
      <c r="N475" s="19">
        <v>27500</v>
      </c>
    </row>
    <row r="476" spans="1:14" x14ac:dyDescent="0.3">
      <c r="A476" s="38">
        <v>46153</v>
      </c>
      <c r="B476" t="s">
        <v>55</v>
      </c>
      <c r="C476" s="95">
        <v>550</v>
      </c>
      <c r="D476" s="95"/>
      <c r="F476" s="108" t="s">
        <v>108</v>
      </c>
      <c r="L476">
        <v>1000</v>
      </c>
      <c r="N476" s="19">
        <v>20000</v>
      </c>
    </row>
    <row r="477" spans="1:14" x14ac:dyDescent="0.3">
      <c r="A477" s="38">
        <v>46153</v>
      </c>
      <c r="B477" t="s">
        <v>115</v>
      </c>
      <c r="C477" s="95">
        <v>100000</v>
      </c>
      <c r="D477" s="95"/>
      <c r="E477" t="s">
        <v>547</v>
      </c>
      <c r="F477" s="108" t="s">
        <v>108</v>
      </c>
      <c r="L477">
        <v>9000</v>
      </c>
      <c r="N477" s="19">
        <v>52000</v>
      </c>
    </row>
    <row r="478" spans="1:14" x14ac:dyDescent="0.3">
      <c r="A478" s="38">
        <v>46153</v>
      </c>
      <c r="B478" t="s">
        <v>219</v>
      </c>
      <c r="C478" s="95"/>
      <c r="D478" s="95">
        <v>100000</v>
      </c>
      <c r="E478" t="s">
        <v>548</v>
      </c>
      <c r="F478" s="108" t="s">
        <v>108</v>
      </c>
      <c r="L478">
        <v>21000</v>
      </c>
      <c r="N478" s="19">
        <v>49200</v>
      </c>
    </row>
    <row r="479" spans="1:14" x14ac:dyDescent="0.3">
      <c r="A479" s="38">
        <v>46153</v>
      </c>
      <c r="B479" t="s">
        <v>9</v>
      </c>
      <c r="C479" s="95"/>
      <c r="D479" s="95">
        <v>37085</v>
      </c>
      <c r="E479" t="s">
        <v>215</v>
      </c>
      <c r="F479" s="108" t="s">
        <v>108</v>
      </c>
      <c r="L479">
        <v>20300</v>
      </c>
      <c r="N479" s="19">
        <v>37600</v>
      </c>
    </row>
    <row r="480" spans="1:14" x14ac:dyDescent="0.3">
      <c r="A480" s="38">
        <v>46153</v>
      </c>
      <c r="B480" t="s">
        <v>55</v>
      </c>
      <c r="C480" s="95">
        <v>28500</v>
      </c>
      <c r="D480" s="95"/>
      <c r="E480" t="s">
        <v>549</v>
      </c>
      <c r="F480" s="108" t="s">
        <v>108</v>
      </c>
      <c r="L480">
        <v>27500</v>
      </c>
      <c r="N480" s="19">
        <v>48600</v>
      </c>
    </row>
    <row r="481" spans="1:14" x14ac:dyDescent="0.3">
      <c r="A481" s="38">
        <v>46153</v>
      </c>
      <c r="B481" t="s">
        <v>219</v>
      </c>
      <c r="C481" s="95"/>
      <c r="D481" s="95">
        <v>250000</v>
      </c>
      <c r="E481" t="s">
        <v>550</v>
      </c>
      <c r="F481" s="108" t="s">
        <v>108</v>
      </c>
      <c r="L481">
        <v>20000</v>
      </c>
      <c r="N481" s="19">
        <v>42800</v>
      </c>
    </row>
    <row r="482" spans="1:14" x14ac:dyDescent="0.3">
      <c r="A482" s="38">
        <v>46153</v>
      </c>
      <c r="B482" t="s">
        <v>219</v>
      </c>
      <c r="C482" s="95"/>
      <c r="D482" s="95">
        <v>134000</v>
      </c>
      <c r="E482" t="s">
        <v>551</v>
      </c>
      <c r="F482" s="108" t="s">
        <v>108</v>
      </c>
      <c r="L482">
        <v>20600</v>
      </c>
    </row>
    <row r="483" spans="1:14" x14ac:dyDescent="0.3">
      <c r="A483" s="38">
        <v>46153</v>
      </c>
      <c r="B483" t="s">
        <v>517</v>
      </c>
      <c r="C483" s="95">
        <v>300000</v>
      </c>
      <c r="D483" s="95"/>
      <c r="E483" t="s">
        <v>552</v>
      </c>
      <c r="F483" s="108" t="s">
        <v>108</v>
      </c>
      <c r="L483">
        <v>3400</v>
      </c>
    </row>
    <row r="484" spans="1:14" x14ac:dyDescent="0.3">
      <c r="A484" s="38">
        <v>46153</v>
      </c>
      <c r="B484" t="s">
        <v>54</v>
      </c>
      <c r="C484" s="95">
        <v>3500</v>
      </c>
      <c r="D484" s="95"/>
      <c r="E484" t="s">
        <v>553</v>
      </c>
      <c r="F484" s="108" t="s">
        <v>108</v>
      </c>
    </row>
    <row r="485" spans="1:14" x14ac:dyDescent="0.3">
      <c r="A485" s="38">
        <v>46153</v>
      </c>
      <c r="B485" t="s">
        <v>269</v>
      </c>
      <c r="C485" s="95">
        <v>5000</v>
      </c>
      <c r="D485" s="95"/>
      <c r="E485" t="s">
        <v>554</v>
      </c>
      <c r="F485" s="108" t="s">
        <v>108</v>
      </c>
    </row>
    <row r="486" spans="1:14" x14ac:dyDescent="0.3">
      <c r="A486" s="38">
        <v>46153</v>
      </c>
      <c r="B486" t="s">
        <v>211</v>
      </c>
      <c r="C486" s="95">
        <v>200</v>
      </c>
      <c r="D486" s="95"/>
      <c r="F486" s="108" t="s">
        <v>108</v>
      </c>
    </row>
    <row r="487" spans="1:14" x14ac:dyDescent="0.3">
      <c r="A487" s="38">
        <v>46153</v>
      </c>
      <c r="B487" t="s">
        <v>55</v>
      </c>
      <c r="C487" s="95">
        <v>12491</v>
      </c>
      <c r="D487" s="95"/>
      <c r="E487" t="s">
        <v>259</v>
      </c>
      <c r="F487" s="108" t="s">
        <v>108</v>
      </c>
    </row>
    <row r="488" spans="1:14" x14ac:dyDescent="0.3">
      <c r="A488" s="38">
        <v>46154</v>
      </c>
      <c r="B488" t="s">
        <v>493</v>
      </c>
      <c r="C488" s="95"/>
      <c r="D488" s="95">
        <v>50000</v>
      </c>
      <c r="E488" t="s">
        <v>109</v>
      </c>
      <c r="F488" s="108" t="s">
        <v>108</v>
      </c>
    </row>
    <row r="489" spans="1:14" x14ac:dyDescent="0.3">
      <c r="A489" s="38">
        <v>46154</v>
      </c>
      <c r="B489" t="s">
        <v>219</v>
      </c>
      <c r="C489" s="95">
        <v>50000</v>
      </c>
      <c r="D489" s="95"/>
      <c r="E489" t="s">
        <v>545</v>
      </c>
      <c r="F489" s="108" t="s">
        <v>108</v>
      </c>
    </row>
    <row r="490" spans="1:14" x14ac:dyDescent="0.3">
      <c r="A490" s="38">
        <v>46154</v>
      </c>
      <c r="B490" t="s">
        <v>55</v>
      </c>
      <c r="C490" s="95">
        <v>400</v>
      </c>
      <c r="D490" s="95"/>
      <c r="F490" s="108" t="s">
        <v>108</v>
      </c>
    </row>
    <row r="491" spans="1:14" x14ac:dyDescent="0.3">
      <c r="A491" s="38">
        <v>46154</v>
      </c>
      <c r="B491" t="s">
        <v>54</v>
      </c>
      <c r="C491" s="95">
        <v>17000</v>
      </c>
      <c r="D491" s="95"/>
      <c r="E491" t="s">
        <v>555</v>
      </c>
      <c r="F491" s="108" t="s">
        <v>108</v>
      </c>
    </row>
    <row r="492" spans="1:14" x14ac:dyDescent="0.3">
      <c r="A492" s="38">
        <v>46154</v>
      </c>
      <c r="B492" t="s">
        <v>55</v>
      </c>
      <c r="C492" s="11">
        <v>350</v>
      </c>
      <c r="D492" s="11"/>
      <c r="E492" t="s">
        <v>556</v>
      </c>
      <c r="F492" s="108" t="s">
        <v>108</v>
      </c>
    </row>
    <row r="493" spans="1:14" x14ac:dyDescent="0.3">
      <c r="A493" s="38">
        <v>46154</v>
      </c>
      <c r="B493" t="s">
        <v>357</v>
      </c>
      <c r="C493" s="11">
        <v>1800</v>
      </c>
      <c r="D493" s="11"/>
      <c r="F493" s="108" t="s">
        <v>108</v>
      </c>
    </row>
    <row r="494" spans="1:14" x14ac:dyDescent="0.3">
      <c r="A494" s="38">
        <v>46154</v>
      </c>
      <c r="B494" t="s">
        <v>222</v>
      </c>
      <c r="C494" s="11">
        <v>39000</v>
      </c>
      <c r="D494" s="11"/>
      <c r="E494" t="s">
        <v>240</v>
      </c>
      <c r="F494" s="108" t="s">
        <v>108</v>
      </c>
    </row>
    <row r="495" spans="1:14" x14ac:dyDescent="0.3">
      <c r="A495" s="38">
        <v>46154</v>
      </c>
      <c r="B495" t="s">
        <v>386</v>
      </c>
      <c r="C495" s="11">
        <v>6000</v>
      </c>
      <c r="D495" s="11"/>
      <c r="E495" t="s">
        <v>557</v>
      </c>
      <c r="F495" s="108" t="s">
        <v>108</v>
      </c>
    </row>
    <row r="496" spans="1:14" x14ac:dyDescent="0.3">
      <c r="A496" s="38">
        <v>46154</v>
      </c>
      <c r="B496" t="s">
        <v>219</v>
      </c>
      <c r="C496" s="11"/>
      <c r="D496" s="11">
        <v>60000</v>
      </c>
      <c r="E496" t="s">
        <v>558</v>
      </c>
      <c r="F496" s="108" t="s">
        <v>108</v>
      </c>
    </row>
    <row r="497" spans="1:10" x14ac:dyDescent="0.3">
      <c r="A497" s="38">
        <v>46154</v>
      </c>
      <c r="B497" t="s">
        <v>222</v>
      </c>
      <c r="C497" s="11">
        <v>100000</v>
      </c>
      <c r="D497" s="11"/>
      <c r="E497" t="s">
        <v>559</v>
      </c>
      <c r="F497" s="108" t="s">
        <v>108</v>
      </c>
    </row>
    <row r="498" spans="1:10" x14ac:dyDescent="0.3">
      <c r="A498" s="38">
        <v>46154</v>
      </c>
      <c r="B498" t="s">
        <v>219</v>
      </c>
      <c r="C498" s="11"/>
      <c r="D498" s="11">
        <v>135000</v>
      </c>
      <c r="E498" t="s">
        <v>560</v>
      </c>
      <c r="F498" s="108" t="s">
        <v>108</v>
      </c>
    </row>
    <row r="499" spans="1:10" x14ac:dyDescent="0.3">
      <c r="A499" s="38">
        <v>46154</v>
      </c>
      <c r="B499" t="s">
        <v>55</v>
      </c>
      <c r="C499" s="11">
        <v>3700</v>
      </c>
      <c r="D499" s="11"/>
      <c r="E499" t="s">
        <v>561</v>
      </c>
      <c r="F499" s="108" t="s">
        <v>108</v>
      </c>
    </row>
    <row r="500" spans="1:10" x14ac:dyDescent="0.3">
      <c r="A500" s="38">
        <v>46154</v>
      </c>
      <c r="B500" t="s">
        <v>219</v>
      </c>
      <c r="C500" s="11"/>
      <c r="D500" s="11">
        <v>195000</v>
      </c>
      <c r="E500" t="s">
        <v>540</v>
      </c>
      <c r="F500" s="108" t="s">
        <v>108</v>
      </c>
      <c r="I500">
        <v>150000</v>
      </c>
      <c r="J500">
        <v>32800</v>
      </c>
    </row>
    <row r="501" spans="1:10" x14ac:dyDescent="0.3">
      <c r="A501" s="38">
        <v>46154</v>
      </c>
      <c r="B501" t="s">
        <v>219</v>
      </c>
      <c r="C501" s="11"/>
      <c r="D501" s="11">
        <v>18000</v>
      </c>
      <c r="E501" t="s">
        <v>562</v>
      </c>
      <c r="F501" s="108" t="s">
        <v>108</v>
      </c>
      <c r="I501">
        <v>17334</v>
      </c>
      <c r="J501">
        <v>22400</v>
      </c>
    </row>
    <row r="502" spans="1:10" x14ac:dyDescent="0.3">
      <c r="A502" s="38">
        <v>46154</v>
      </c>
      <c r="B502" t="s">
        <v>222</v>
      </c>
      <c r="C502" s="11">
        <v>350000</v>
      </c>
      <c r="D502" s="11"/>
      <c r="E502" t="s">
        <v>563</v>
      </c>
      <c r="F502" s="108" t="s">
        <v>108</v>
      </c>
      <c r="I502">
        <v>40000</v>
      </c>
      <c r="J502">
        <v>26800</v>
      </c>
    </row>
    <row r="503" spans="1:10" x14ac:dyDescent="0.3">
      <c r="A503" s="111">
        <v>46154</v>
      </c>
      <c r="B503" t="s">
        <v>211</v>
      </c>
      <c r="C503" s="11">
        <v>500</v>
      </c>
      <c r="D503" s="11"/>
      <c r="F503" s="108" t="s">
        <v>108</v>
      </c>
      <c r="I503">
        <v>55000</v>
      </c>
      <c r="J503">
        <v>24800</v>
      </c>
    </row>
    <row r="504" spans="1:10" x14ac:dyDescent="0.3">
      <c r="A504" s="111">
        <v>46155</v>
      </c>
      <c r="B504" t="s">
        <v>219</v>
      </c>
      <c r="C504" s="11"/>
      <c r="D504" s="11">
        <v>18000</v>
      </c>
      <c r="E504" t="s">
        <v>564</v>
      </c>
      <c r="F504" s="108" t="s">
        <v>108</v>
      </c>
      <c r="I504">
        <v>20000</v>
      </c>
      <c r="J504">
        <v>23600</v>
      </c>
    </row>
    <row r="505" spans="1:10" x14ac:dyDescent="0.3">
      <c r="A505" s="111">
        <v>46155</v>
      </c>
      <c r="B505" t="s">
        <v>116</v>
      </c>
      <c r="C505" s="11">
        <v>18000</v>
      </c>
      <c r="D505" s="11"/>
      <c r="E505" t="s">
        <v>564</v>
      </c>
      <c r="F505" s="108" t="s">
        <v>108</v>
      </c>
      <c r="I505">
        <v>22650</v>
      </c>
      <c r="J505">
        <v>12400</v>
      </c>
    </row>
    <row r="506" spans="1:10" x14ac:dyDescent="0.3">
      <c r="A506" s="111">
        <v>46155</v>
      </c>
      <c r="B506" t="s">
        <v>269</v>
      </c>
      <c r="C506" s="11">
        <v>5000</v>
      </c>
      <c r="D506" s="11"/>
      <c r="E506" t="s">
        <v>406</v>
      </c>
      <c r="F506" s="108" t="s">
        <v>108</v>
      </c>
      <c r="I506">
        <v>20550</v>
      </c>
      <c r="J506">
        <v>21600</v>
      </c>
    </row>
    <row r="507" spans="1:10" x14ac:dyDescent="0.3">
      <c r="A507" s="111">
        <v>46155</v>
      </c>
      <c r="B507" t="s">
        <v>386</v>
      </c>
      <c r="C507" s="11">
        <v>3240</v>
      </c>
      <c r="D507" s="11"/>
      <c r="E507" t="s">
        <v>565</v>
      </c>
      <c r="F507" s="108" t="s">
        <v>108</v>
      </c>
      <c r="I507">
        <v>4000</v>
      </c>
      <c r="J507">
        <v>80000</v>
      </c>
    </row>
    <row r="508" spans="1:10" x14ac:dyDescent="0.3">
      <c r="A508" s="111">
        <v>46155</v>
      </c>
      <c r="B508" t="s">
        <v>191</v>
      </c>
      <c r="C508" s="11"/>
      <c r="D508" s="11">
        <v>68900</v>
      </c>
      <c r="E508" t="s">
        <v>566</v>
      </c>
      <c r="F508" s="108" t="s">
        <v>108</v>
      </c>
      <c r="I508">
        <v>14000</v>
      </c>
      <c r="J508">
        <v>50000</v>
      </c>
    </row>
    <row r="509" spans="1:10" x14ac:dyDescent="0.3">
      <c r="A509" s="111">
        <v>46155</v>
      </c>
      <c r="B509" t="s">
        <v>55</v>
      </c>
      <c r="C509" s="11">
        <v>51466</v>
      </c>
      <c r="D509" s="11"/>
      <c r="E509" t="s">
        <v>259</v>
      </c>
      <c r="F509" s="108" t="s">
        <v>108</v>
      </c>
      <c r="I509">
        <v>12220</v>
      </c>
      <c r="J509">
        <v>60000</v>
      </c>
    </row>
    <row r="510" spans="1:10" x14ac:dyDescent="0.3">
      <c r="A510" s="111">
        <v>46155</v>
      </c>
      <c r="B510" t="s">
        <v>219</v>
      </c>
      <c r="C510" s="11"/>
      <c r="D510" s="11">
        <v>45000</v>
      </c>
      <c r="E510" t="s">
        <v>320</v>
      </c>
      <c r="F510" s="108" t="s">
        <v>108</v>
      </c>
      <c r="I510">
        <v>14213</v>
      </c>
      <c r="J510">
        <v>35000</v>
      </c>
    </row>
    <row r="511" spans="1:10" x14ac:dyDescent="0.3">
      <c r="A511" s="111">
        <v>46155</v>
      </c>
      <c r="B511" t="s">
        <v>253</v>
      </c>
      <c r="C511" s="11">
        <v>50000</v>
      </c>
      <c r="D511" s="11"/>
      <c r="E511" t="s">
        <v>437</v>
      </c>
      <c r="F511" s="108" t="s">
        <v>108</v>
      </c>
      <c r="I511">
        <v>17500</v>
      </c>
      <c r="J511">
        <v>19600</v>
      </c>
    </row>
    <row r="512" spans="1:10" x14ac:dyDescent="0.3">
      <c r="A512" s="111">
        <v>46155</v>
      </c>
      <c r="B512" t="s">
        <v>211</v>
      </c>
      <c r="C512" s="11">
        <f>226+780</f>
        <v>1006</v>
      </c>
      <c r="D512" s="11"/>
      <c r="F512" s="108" t="s">
        <v>108</v>
      </c>
      <c r="I512">
        <v>20800</v>
      </c>
      <c r="J512">
        <v>15600</v>
      </c>
    </row>
    <row r="513" spans="1:10" x14ac:dyDescent="0.3">
      <c r="A513" s="111">
        <v>46155</v>
      </c>
      <c r="B513" t="s">
        <v>493</v>
      </c>
      <c r="C513" s="11"/>
      <c r="D513" s="11">
        <v>50000</v>
      </c>
      <c r="E513" t="s">
        <v>271</v>
      </c>
      <c r="F513" s="108" t="s">
        <v>108</v>
      </c>
      <c r="I513">
        <v>15600</v>
      </c>
      <c r="J513">
        <v>20800</v>
      </c>
    </row>
    <row r="514" spans="1:10" x14ac:dyDescent="0.3">
      <c r="A514" s="111">
        <v>46155</v>
      </c>
      <c r="B514" t="s">
        <v>219</v>
      </c>
      <c r="C514" s="11">
        <v>50000</v>
      </c>
      <c r="D514" s="11"/>
      <c r="E514" t="s">
        <v>529</v>
      </c>
      <c r="F514" s="108" t="s">
        <v>108</v>
      </c>
      <c r="I514">
        <v>19600</v>
      </c>
      <c r="J514">
        <v>17500</v>
      </c>
    </row>
    <row r="515" spans="1:10" x14ac:dyDescent="0.3">
      <c r="A515" s="111">
        <v>46156</v>
      </c>
      <c r="B515" t="s">
        <v>55</v>
      </c>
      <c r="C515" s="11">
        <v>1600</v>
      </c>
      <c r="D515" s="11"/>
      <c r="E515" t="s">
        <v>466</v>
      </c>
      <c r="F515" s="108" t="s">
        <v>108</v>
      </c>
      <c r="I515">
        <v>35000</v>
      </c>
      <c r="J515">
        <v>14220</v>
      </c>
    </row>
    <row r="516" spans="1:10" x14ac:dyDescent="0.3">
      <c r="A516" s="111">
        <v>46156</v>
      </c>
      <c r="B516" t="s">
        <v>269</v>
      </c>
      <c r="C516" s="11">
        <v>5000</v>
      </c>
      <c r="D516" s="11"/>
      <c r="E516" t="s">
        <v>252</v>
      </c>
      <c r="F516" s="108" t="s">
        <v>108</v>
      </c>
      <c r="I516">
        <v>60000</v>
      </c>
      <c r="J516">
        <v>12220</v>
      </c>
    </row>
    <row r="517" spans="1:10" x14ac:dyDescent="0.3">
      <c r="A517" s="111">
        <v>46156</v>
      </c>
      <c r="B517" t="s">
        <v>244</v>
      </c>
      <c r="C517" s="11">
        <v>2600</v>
      </c>
      <c r="D517" s="11"/>
      <c r="E517" t="s">
        <v>567</v>
      </c>
      <c r="F517" s="108" t="s">
        <v>108</v>
      </c>
      <c r="I517">
        <v>50000</v>
      </c>
      <c r="J517">
        <v>14000</v>
      </c>
    </row>
    <row r="518" spans="1:10" x14ac:dyDescent="0.3">
      <c r="A518" s="111">
        <v>46156</v>
      </c>
      <c r="B518" t="s">
        <v>219</v>
      </c>
      <c r="C518" s="11"/>
      <c r="D518" s="11">
        <v>150000</v>
      </c>
      <c r="E518" t="s">
        <v>285</v>
      </c>
      <c r="F518" s="108" t="s">
        <v>108</v>
      </c>
      <c r="I518">
        <v>80000</v>
      </c>
      <c r="J518">
        <v>150000</v>
      </c>
    </row>
    <row r="519" spans="1:10" x14ac:dyDescent="0.3">
      <c r="A519" s="111">
        <v>46156</v>
      </c>
      <c r="B519" t="s">
        <v>219</v>
      </c>
      <c r="C519" s="11"/>
      <c r="D519" s="11">
        <v>74125</v>
      </c>
      <c r="E519" t="s">
        <v>568</v>
      </c>
      <c r="F519" s="108" t="s">
        <v>108</v>
      </c>
      <c r="I519">
        <v>21600</v>
      </c>
      <c r="J519">
        <v>17350</v>
      </c>
    </row>
    <row r="520" spans="1:10" x14ac:dyDescent="0.3">
      <c r="A520" s="111">
        <v>46156</v>
      </c>
      <c r="B520" t="s">
        <v>175</v>
      </c>
      <c r="C520" s="11">
        <v>74125</v>
      </c>
      <c r="D520" s="11"/>
      <c r="E520" t="s">
        <v>569</v>
      </c>
      <c r="F520" s="108" t="s">
        <v>108</v>
      </c>
      <c r="I520">
        <v>12400</v>
      </c>
      <c r="J520">
        <v>40000</v>
      </c>
    </row>
    <row r="521" spans="1:10" x14ac:dyDescent="0.3">
      <c r="A521" s="111">
        <v>46157</v>
      </c>
      <c r="B521" t="s">
        <v>211</v>
      </c>
      <c r="C521" s="11">
        <f>1500+300+200+2000</f>
        <v>4000</v>
      </c>
      <c r="D521" s="11"/>
      <c r="F521" s="108" t="s">
        <v>108</v>
      </c>
      <c r="I521">
        <v>23600</v>
      </c>
      <c r="J521">
        <v>55000</v>
      </c>
    </row>
    <row r="522" spans="1:10" x14ac:dyDescent="0.3">
      <c r="A522" s="111">
        <v>46157</v>
      </c>
      <c r="B522" t="s">
        <v>269</v>
      </c>
      <c r="C522" s="11">
        <v>35000</v>
      </c>
      <c r="D522" s="11"/>
      <c r="E522" t="s">
        <v>260</v>
      </c>
      <c r="F522" s="108" t="s">
        <v>108</v>
      </c>
      <c r="I522">
        <v>24800</v>
      </c>
      <c r="J522">
        <v>20000</v>
      </c>
    </row>
    <row r="523" spans="1:10" x14ac:dyDescent="0.3">
      <c r="A523" s="111">
        <v>46157</v>
      </c>
      <c r="B523" t="s">
        <v>253</v>
      </c>
      <c r="C523" s="11">
        <v>80000</v>
      </c>
      <c r="D523" s="11"/>
      <c r="E523" t="s">
        <v>570</v>
      </c>
      <c r="F523" s="108" t="s">
        <v>108</v>
      </c>
      <c r="I523">
        <v>26800</v>
      </c>
      <c r="J523">
        <v>22650</v>
      </c>
    </row>
    <row r="524" spans="1:10" x14ac:dyDescent="0.3">
      <c r="A524" s="111">
        <v>46157</v>
      </c>
      <c r="B524" t="s">
        <v>386</v>
      </c>
      <c r="C524" s="11">
        <v>2100</v>
      </c>
      <c r="D524" s="11"/>
      <c r="E524" t="s">
        <v>571</v>
      </c>
      <c r="F524" s="108" t="s">
        <v>108</v>
      </c>
      <c r="I524">
        <v>22400</v>
      </c>
      <c r="J524">
        <v>20550</v>
      </c>
    </row>
    <row r="525" spans="1:10" x14ac:dyDescent="0.3">
      <c r="A525" s="111">
        <v>46157</v>
      </c>
      <c r="B525" t="s">
        <v>367</v>
      </c>
      <c r="C525" s="11"/>
      <c r="D525" s="11">
        <v>800000</v>
      </c>
      <c r="E525" t="s">
        <v>572</v>
      </c>
      <c r="F525" s="108" t="s">
        <v>108</v>
      </c>
      <c r="I525">
        <v>32800</v>
      </c>
      <c r="J525">
        <v>4000</v>
      </c>
    </row>
    <row r="526" spans="1:10" x14ac:dyDescent="0.3">
      <c r="A526" s="111">
        <v>46157</v>
      </c>
      <c r="B526" t="s">
        <v>219</v>
      </c>
      <c r="C526" s="11">
        <v>500000</v>
      </c>
      <c r="D526" s="11"/>
      <c r="E526" t="s">
        <v>573</v>
      </c>
      <c r="F526" s="108" t="s">
        <v>108</v>
      </c>
      <c r="I526">
        <v>8400</v>
      </c>
      <c r="J526">
        <v>8400</v>
      </c>
    </row>
    <row r="527" spans="1:10" x14ac:dyDescent="0.3">
      <c r="A527" s="111">
        <v>46157</v>
      </c>
      <c r="B527" t="s">
        <v>367</v>
      </c>
      <c r="C527" s="95"/>
      <c r="D527" s="95">
        <v>6768</v>
      </c>
      <c r="E527" t="s">
        <v>585</v>
      </c>
      <c r="F527" s="108" t="s">
        <v>108</v>
      </c>
    </row>
    <row r="528" spans="1:10" x14ac:dyDescent="0.3">
      <c r="A528" s="111">
        <v>46157</v>
      </c>
      <c r="B528" t="s">
        <v>54</v>
      </c>
      <c r="C528" s="95">
        <v>6768</v>
      </c>
      <c r="D528" s="95"/>
      <c r="F528" s="108" t="s">
        <v>108</v>
      </c>
    </row>
    <row r="529" spans="1:6" x14ac:dyDescent="0.3">
      <c r="A529" s="38">
        <v>46158</v>
      </c>
      <c r="B529" t="s">
        <v>219</v>
      </c>
      <c r="C529" s="95">
        <v>290000</v>
      </c>
      <c r="D529" s="95"/>
      <c r="E529" t="s">
        <v>575</v>
      </c>
      <c r="F529" s="108" t="s">
        <v>108</v>
      </c>
    </row>
    <row r="530" spans="1:6" x14ac:dyDescent="0.3">
      <c r="A530" s="38">
        <v>46158</v>
      </c>
      <c r="B530" t="s">
        <v>367</v>
      </c>
      <c r="C530" s="95"/>
      <c r="D530" s="95">
        <v>450000</v>
      </c>
      <c r="E530" t="s">
        <v>576</v>
      </c>
      <c r="F530" s="108" t="s">
        <v>108</v>
      </c>
    </row>
    <row r="531" spans="1:6" x14ac:dyDescent="0.3">
      <c r="A531" s="38">
        <v>46158</v>
      </c>
      <c r="B531" t="s">
        <v>219</v>
      </c>
      <c r="C531" s="95">
        <v>110000</v>
      </c>
      <c r="D531" s="95"/>
      <c r="E531" t="s">
        <v>577</v>
      </c>
      <c r="F531" s="108" t="s">
        <v>108</v>
      </c>
    </row>
    <row r="532" spans="1:6" x14ac:dyDescent="0.3">
      <c r="A532" s="38">
        <v>46158</v>
      </c>
      <c r="B532" t="s">
        <v>219</v>
      </c>
      <c r="C532" s="95"/>
      <c r="D532" s="95">
        <v>60000</v>
      </c>
      <c r="E532" t="s">
        <v>578</v>
      </c>
      <c r="F532" s="108" t="s">
        <v>108</v>
      </c>
    </row>
    <row r="533" spans="1:6" x14ac:dyDescent="0.3">
      <c r="A533" s="38">
        <v>46158</v>
      </c>
      <c r="B533" t="s">
        <v>116</v>
      </c>
      <c r="C533" s="95">
        <v>18000</v>
      </c>
      <c r="D533" s="95"/>
      <c r="E533" t="s">
        <v>163</v>
      </c>
      <c r="F533" s="108" t="s">
        <v>108</v>
      </c>
    </row>
    <row r="534" spans="1:6" x14ac:dyDescent="0.3">
      <c r="A534" s="38">
        <v>46158</v>
      </c>
      <c r="B534" t="s">
        <v>219</v>
      </c>
      <c r="C534" s="95"/>
      <c r="D534" s="95">
        <v>56000</v>
      </c>
      <c r="E534" t="s">
        <v>579</v>
      </c>
      <c r="F534" s="108" t="s">
        <v>108</v>
      </c>
    </row>
    <row r="535" spans="1:6" x14ac:dyDescent="0.3">
      <c r="A535" s="38">
        <v>46158</v>
      </c>
      <c r="B535" t="s">
        <v>298</v>
      </c>
      <c r="C535" s="95">
        <v>23000</v>
      </c>
      <c r="D535" s="95"/>
      <c r="F535" s="108" t="s">
        <v>108</v>
      </c>
    </row>
    <row r="536" spans="1:6" x14ac:dyDescent="0.3">
      <c r="A536" s="38">
        <v>46158</v>
      </c>
      <c r="B536" t="s">
        <v>493</v>
      </c>
      <c r="C536" s="95"/>
      <c r="D536" s="95">
        <v>50000</v>
      </c>
      <c r="E536" t="s">
        <v>271</v>
      </c>
      <c r="F536" s="108" t="s">
        <v>108</v>
      </c>
    </row>
    <row r="537" spans="1:6" x14ac:dyDescent="0.3">
      <c r="A537" s="38">
        <v>46158</v>
      </c>
      <c r="B537" t="s">
        <v>269</v>
      </c>
      <c r="C537" s="95">
        <v>5000</v>
      </c>
      <c r="D537" s="95"/>
      <c r="E537" t="s">
        <v>580</v>
      </c>
      <c r="F537" s="108" t="s">
        <v>108</v>
      </c>
    </row>
    <row r="538" spans="1:6" x14ac:dyDescent="0.3">
      <c r="A538" s="38">
        <v>46158</v>
      </c>
      <c r="B538" t="s">
        <v>54</v>
      </c>
      <c r="C538" s="95">
        <v>3000</v>
      </c>
      <c r="D538" s="95"/>
      <c r="E538" t="s">
        <v>463</v>
      </c>
      <c r="F538" s="108" t="s">
        <v>108</v>
      </c>
    </row>
    <row r="539" spans="1:6" x14ac:dyDescent="0.3">
      <c r="A539" s="38">
        <v>46158</v>
      </c>
      <c r="B539" t="s">
        <v>219</v>
      </c>
      <c r="C539" s="95"/>
      <c r="D539" s="95">
        <v>194000</v>
      </c>
      <c r="E539" t="s">
        <v>581</v>
      </c>
      <c r="F539" s="108" t="s">
        <v>108</v>
      </c>
    </row>
    <row r="540" spans="1:6" x14ac:dyDescent="0.3">
      <c r="A540" s="38">
        <v>46158</v>
      </c>
      <c r="B540" t="s">
        <v>219</v>
      </c>
      <c r="C540" s="95"/>
      <c r="D540" s="95">
        <v>70000</v>
      </c>
      <c r="E540" t="s">
        <v>581</v>
      </c>
      <c r="F540" s="108" t="s">
        <v>108</v>
      </c>
    </row>
    <row r="541" spans="1:6" x14ac:dyDescent="0.3">
      <c r="A541" s="38">
        <v>46158</v>
      </c>
      <c r="B541" t="s">
        <v>253</v>
      </c>
      <c r="C541" s="95">
        <v>698250</v>
      </c>
      <c r="D541" s="95"/>
      <c r="E541" t="s">
        <v>268</v>
      </c>
      <c r="F541" s="108" t="s">
        <v>108</v>
      </c>
    </row>
    <row r="542" spans="1:6" x14ac:dyDescent="0.3">
      <c r="A542" s="38">
        <v>46158</v>
      </c>
      <c r="B542" t="s">
        <v>253</v>
      </c>
      <c r="C542" s="95">
        <v>20000</v>
      </c>
      <c r="D542" s="95"/>
      <c r="E542" t="s">
        <v>288</v>
      </c>
      <c r="F542" s="108" t="s">
        <v>108</v>
      </c>
    </row>
    <row r="543" spans="1:6" x14ac:dyDescent="0.3">
      <c r="A543" s="38">
        <v>46158</v>
      </c>
      <c r="B543" t="s">
        <v>219</v>
      </c>
      <c r="C543" s="95"/>
      <c r="D543" s="95">
        <v>16000</v>
      </c>
      <c r="E543" t="s">
        <v>582</v>
      </c>
      <c r="F543" s="108" t="s">
        <v>108</v>
      </c>
    </row>
    <row r="544" spans="1:6" x14ac:dyDescent="0.3">
      <c r="A544" s="38">
        <v>46158</v>
      </c>
      <c r="B544" t="s">
        <v>253</v>
      </c>
      <c r="C544" s="95">
        <v>16000</v>
      </c>
      <c r="D544" s="95"/>
      <c r="E544" t="s">
        <v>423</v>
      </c>
      <c r="F544" s="108" t="s">
        <v>108</v>
      </c>
    </row>
    <row r="545" spans="1:6" x14ac:dyDescent="0.3">
      <c r="A545" s="38">
        <v>46158</v>
      </c>
      <c r="B545" t="s">
        <v>269</v>
      </c>
      <c r="C545" s="95">
        <v>500</v>
      </c>
      <c r="D545" s="95"/>
      <c r="E545" t="s">
        <v>586</v>
      </c>
      <c r="F545" s="108" t="s">
        <v>108</v>
      </c>
    </row>
    <row r="546" spans="1:6" x14ac:dyDescent="0.3">
      <c r="A546" s="38">
        <v>46159</v>
      </c>
      <c r="B546" t="s">
        <v>219</v>
      </c>
      <c r="C546" s="95"/>
      <c r="D546" s="95">
        <v>19500</v>
      </c>
      <c r="E546" t="s">
        <v>583</v>
      </c>
      <c r="F546" s="108" t="s">
        <v>108</v>
      </c>
    </row>
    <row r="547" spans="1:6" x14ac:dyDescent="0.3">
      <c r="A547" s="38">
        <v>46159</v>
      </c>
      <c r="B547" t="s">
        <v>116</v>
      </c>
      <c r="C547" s="95">
        <v>19500</v>
      </c>
      <c r="D547" s="95"/>
      <c r="E547" t="s">
        <v>584</v>
      </c>
      <c r="F547" s="108" t="s">
        <v>108</v>
      </c>
    </row>
    <row r="548" spans="1:6" x14ac:dyDescent="0.3">
      <c r="A548" s="38">
        <v>46160</v>
      </c>
      <c r="B548" t="s">
        <v>357</v>
      </c>
      <c r="C548" s="95">
        <v>1880</v>
      </c>
      <c r="D548" s="95"/>
      <c r="F548" s="108" t="s">
        <v>108</v>
      </c>
    </row>
    <row r="549" spans="1:6" x14ac:dyDescent="0.3">
      <c r="A549" s="38">
        <v>46160</v>
      </c>
      <c r="B549" t="s">
        <v>244</v>
      </c>
      <c r="C549" s="11">
        <v>2800</v>
      </c>
      <c r="D549" s="11"/>
      <c r="E549" t="s">
        <v>588</v>
      </c>
      <c r="F549" s="108" t="s">
        <v>108</v>
      </c>
    </row>
    <row r="550" spans="1:6" x14ac:dyDescent="0.3">
      <c r="A550" s="111">
        <v>46160</v>
      </c>
      <c r="B550" t="s">
        <v>269</v>
      </c>
      <c r="C550" s="11">
        <v>5000</v>
      </c>
      <c r="D550" s="11"/>
      <c r="E550" t="s">
        <v>580</v>
      </c>
      <c r="F550" s="108" t="s">
        <v>108</v>
      </c>
    </row>
    <row r="551" spans="1:6" x14ac:dyDescent="0.3">
      <c r="A551" s="111">
        <v>46160</v>
      </c>
      <c r="B551" t="s">
        <v>55</v>
      </c>
      <c r="C551" s="11">
        <v>1800</v>
      </c>
      <c r="D551" s="11"/>
      <c r="F551" s="108" t="s">
        <v>108</v>
      </c>
    </row>
    <row r="552" spans="1:6" x14ac:dyDescent="0.3">
      <c r="A552" s="111">
        <v>46160</v>
      </c>
      <c r="B552" t="s">
        <v>219</v>
      </c>
      <c r="C552" s="11"/>
      <c r="D552" s="11">
        <v>10000</v>
      </c>
      <c r="E552" t="s">
        <v>263</v>
      </c>
      <c r="F552" s="108" t="s">
        <v>108</v>
      </c>
    </row>
    <row r="553" spans="1:6" x14ac:dyDescent="0.3">
      <c r="A553" s="111">
        <v>46160</v>
      </c>
      <c r="B553" t="s">
        <v>219</v>
      </c>
      <c r="C553" s="11"/>
      <c r="D553" s="11">
        <v>250000</v>
      </c>
      <c r="E553" t="s">
        <v>589</v>
      </c>
      <c r="F553" s="108" t="s">
        <v>108</v>
      </c>
    </row>
    <row r="554" spans="1:6" x14ac:dyDescent="0.3">
      <c r="A554" s="38">
        <v>46160</v>
      </c>
      <c r="B554" t="s">
        <v>219</v>
      </c>
      <c r="C554" s="11"/>
      <c r="D554" s="11">
        <v>47000</v>
      </c>
      <c r="E554" t="s">
        <v>288</v>
      </c>
      <c r="F554" s="108" t="s">
        <v>108</v>
      </c>
    </row>
    <row r="555" spans="1:6" x14ac:dyDescent="0.3">
      <c r="A555" s="111">
        <v>46160</v>
      </c>
      <c r="B555" t="s">
        <v>253</v>
      </c>
      <c r="C555" s="11">
        <v>47000</v>
      </c>
      <c r="D555" s="11"/>
      <c r="E555" t="s">
        <v>288</v>
      </c>
      <c r="F555" s="108" t="s">
        <v>108</v>
      </c>
    </row>
    <row r="556" spans="1:6" x14ac:dyDescent="0.3">
      <c r="A556" s="111">
        <v>46160</v>
      </c>
      <c r="B556" t="s">
        <v>493</v>
      </c>
      <c r="C556" s="11"/>
      <c r="D556" s="11">
        <v>50000</v>
      </c>
      <c r="E556" t="s">
        <v>109</v>
      </c>
      <c r="F556" s="108" t="s">
        <v>108</v>
      </c>
    </row>
    <row r="557" spans="1:6" x14ac:dyDescent="0.3">
      <c r="A557" s="111">
        <v>46160</v>
      </c>
      <c r="B557" t="s">
        <v>539</v>
      </c>
      <c r="C557" s="11"/>
      <c r="D557" s="11">
        <v>300000</v>
      </c>
      <c r="F557" s="108" t="s">
        <v>108</v>
      </c>
    </row>
    <row r="558" spans="1:6" x14ac:dyDescent="0.3">
      <c r="A558" s="111">
        <v>46160</v>
      </c>
      <c r="B558" t="s">
        <v>219</v>
      </c>
      <c r="C558" s="11">
        <v>350000</v>
      </c>
      <c r="D558" s="11"/>
      <c r="E558" t="s">
        <v>590</v>
      </c>
      <c r="F558" s="108" t="s">
        <v>108</v>
      </c>
    </row>
    <row r="559" spans="1:6" x14ac:dyDescent="0.3">
      <c r="A559" s="111">
        <v>46160</v>
      </c>
      <c r="B559" t="s">
        <v>412</v>
      </c>
      <c r="C559" s="11">
        <v>150000</v>
      </c>
      <c r="D559" s="11"/>
      <c r="E559" t="s">
        <v>591</v>
      </c>
      <c r="F559" s="108" t="s">
        <v>108</v>
      </c>
    </row>
    <row r="560" spans="1:6" x14ac:dyDescent="0.3">
      <c r="A560" s="111">
        <v>46160</v>
      </c>
      <c r="B560" t="s">
        <v>257</v>
      </c>
      <c r="C560" s="11">
        <v>100000</v>
      </c>
      <c r="D560" s="11"/>
      <c r="E560" t="s">
        <v>592</v>
      </c>
      <c r="F560" s="108" t="s">
        <v>108</v>
      </c>
    </row>
    <row r="561" spans="1:6" x14ac:dyDescent="0.3">
      <c r="A561" s="111">
        <v>46160</v>
      </c>
      <c r="B561" t="s">
        <v>219</v>
      </c>
      <c r="C561" s="11"/>
      <c r="D561" s="11">
        <v>115000</v>
      </c>
      <c r="E561" t="s">
        <v>593</v>
      </c>
      <c r="F561" s="108" t="s">
        <v>108</v>
      </c>
    </row>
    <row r="562" spans="1:6" x14ac:dyDescent="0.3">
      <c r="A562" s="111">
        <v>46160</v>
      </c>
      <c r="B562" t="s">
        <v>221</v>
      </c>
      <c r="C562" s="11">
        <v>115000</v>
      </c>
      <c r="D562" s="11"/>
      <c r="E562" t="s">
        <v>594</v>
      </c>
      <c r="F562" s="108" t="s">
        <v>108</v>
      </c>
    </row>
    <row r="563" spans="1:6" x14ac:dyDescent="0.3">
      <c r="A563" s="111">
        <v>46160</v>
      </c>
      <c r="B563" t="s">
        <v>211</v>
      </c>
      <c r="C563" s="95">
        <v>780</v>
      </c>
      <c r="D563" s="95"/>
      <c r="F563" s="108" t="s">
        <v>108</v>
      </c>
    </row>
    <row r="564" spans="1:6" x14ac:dyDescent="0.3">
      <c r="A564" s="111">
        <v>46161</v>
      </c>
      <c r="B564" t="s">
        <v>493</v>
      </c>
      <c r="C564" s="11"/>
      <c r="D564" s="11">
        <v>50000</v>
      </c>
      <c r="E564" t="s">
        <v>271</v>
      </c>
      <c r="F564" s="108" t="s">
        <v>108</v>
      </c>
    </row>
    <row r="565" spans="1:6" x14ac:dyDescent="0.3">
      <c r="A565" s="111">
        <v>46161</v>
      </c>
      <c r="B565" t="s">
        <v>219</v>
      </c>
      <c r="C565" s="11">
        <v>50000</v>
      </c>
      <c r="D565" s="11"/>
      <c r="E565" t="s">
        <v>628</v>
      </c>
      <c r="F565" s="108" t="s">
        <v>108</v>
      </c>
    </row>
    <row r="566" spans="1:6" x14ac:dyDescent="0.3">
      <c r="A566" s="111">
        <v>46161</v>
      </c>
      <c r="B566" t="s">
        <v>55</v>
      </c>
      <c r="C566" s="11">
        <v>7020</v>
      </c>
      <c r="D566" s="11"/>
      <c r="E566" t="s">
        <v>595</v>
      </c>
      <c r="F566" s="108" t="s">
        <v>108</v>
      </c>
    </row>
    <row r="567" spans="1:6" x14ac:dyDescent="0.3">
      <c r="A567" s="111">
        <v>46161</v>
      </c>
      <c r="B567" t="s">
        <v>219</v>
      </c>
      <c r="C567" s="95"/>
      <c r="D567" s="95">
        <v>7020</v>
      </c>
      <c r="E567" t="s">
        <v>595</v>
      </c>
      <c r="F567" s="108" t="s">
        <v>108</v>
      </c>
    </row>
    <row r="568" spans="1:6" x14ac:dyDescent="0.3">
      <c r="A568" s="111">
        <v>46161</v>
      </c>
      <c r="B568" t="s">
        <v>219</v>
      </c>
      <c r="C568" s="95"/>
      <c r="D568" s="95">
        <v>10000</v>
      </c>
      <c r="E568" t="s">
        <v>318</v>
      </c>
      <c r="F568" s="108" t="s">
        <v>108</v>
      </c>
    </row>
    <row r="569" spans="1:6" x14ac:dyDescent="0.3">
      <c r="A569" s="111">
        <v>46161</v>
      </c>
      <c r="B569" t="s">
        <v>55</v>
      </c>
      <c r="C569" s="95">
        <v>1500</v>
      </c>
      <c r="D569" s="95"/>
      <c r="F569" s="108" t="s">
        <v>108</v>
      </c>
    </row>
    <row r="570" spans="1:6" x14ac:dyDescent="0.3">
      <c r="A570" s="111">
        <v>46161</v>
      </c>
      <c r="B570" t="s">
        <v>55</v>
      </c>
      <c r="C570" s="95">
        <v>600</v>
      </c>
      <c r="D570" s="95"/>
      <c r="F570" s="108" t="s">
        <v>108</v>
      </c>
    </row>
    <row r="571" spans="1:6" x14ac:dyDescent="0.3">
      <c r="A571" s="111">
        <v>46161</v>
      </c>
      <c r="B571" t="s">
        <v>386</v>
      </c>
      <c r="C571" s="95">
        <v>1650</v>
      </c>
      <c r="D571" s="95"/>
      <c r="E571" t="s">
        <v>596</v>
      </c>
      <c r="F571" s="108" t="s">
        <v>108</v>
      </c>
    </row>
    <row r="572" spans="1:6" x14ac:dyDescent="0.3">
      <c r="A572" s="38">
        <v>46161</v>
      </c>
      <c r="B572" t="s">
        <v>219</v>
      </c>
      <c r="C572" s="95"/>
      <c r="D572" s="95">
        <v>120000</v>
      </c>
      <c r="E572" t="s">
        <v>597</v>
      </c>
      <c r="F572" s="108" t="s">
        <v>108</v>
      </c>
    </row>
    <row r="573" spans="1:6" x14ac:dyDescent="0.3">
      <c r="A573" s="38">
        <v>46161</v>
      </c>
      <c r="B573" t="s">
        <v>253</v>
      </c>
      <c r="C573" s="95">
        <v>115000</v>
      </c>
      <c r="D573" s="95"/>
      <c r="E573" t="s">
        <v>262</v>
      </c>
      <c r="F573" s="108" t="s">
        <v>108</v>
      </c>
    </row>
    <row r="574" spans="1:6" x14ac:dyDescent="0.3">
      <c r="A574" s="38">
        <v>46161</v>
      </c>
      <c r="B574" t="s">
        <v>253</v>
      </c>
      <c r="C574" s="95">
        <v>25000</v>
      </c>
      <c r="D574" s="95"/>
      <c r="E574" t="s">
        <v>598</v>
      </c>
      <c r="F574" s="108" t="s">
        <v>108</v>
      </c>
    </row>
    <row r="575" spans="1:6" x14ac:dyDescent="0.3">
      <c r="A575" s="38">
        <v>46161</v>
      </c>
      <c r="B575" t="s">
        <v>211</v>
      </c>
      <c r="C575" s="95"/>
      <c r="D575" s="95">
        <v>25000</v>
      </c>
      <c r="E575" t="s">
        <v>599</v>
      </c>
      <c r="F575" s="108" t="s">
        <v>108</v>
      </c>
    </row>
    <row r="576" spans="1:6" x14ac:dyDescent="0.3">
      <c r="A576" s="38">
        <v>46161</v>
      </c>
      <c r="B576" t="s">
        <v>219</v>
      </c>
      <c r="C576" s="95"/>
      <c r="D576" s="95">
        <v>35000</v>
      </c>
      <c r="E576" t="s">
        <v>600</v>
      </c>
      <c r="F576" s="108" t="s">
        <v>108</v>
      </c>
    </row>
    <row r="577" spans="1:6" x14ac:dyDescent="0.3">
      <c r="A577" s="38">
        <v>46161</v>
      </c>
      <c r="B577" t="s">
        <v>253</v>
      </c>
      <c r="C577" s="95">
        <v>35000</v>
      </c>
      <c r="D577" s="95"/>
      <c r="E577" t="s">
        <v>252</v>
      </c>
      <c r="F577" s="108" t="s">
        <v>108</v>
      </c>
    </row>
    <row r="578" spans="1:6" x14ac:dyDescent="0.3">
      <c r="A578" s="38">
        <v>46161</v>
      </c>
      <c r="B578" t="s">
        <v>219</v>
      </c>
      <c r="C578" s="95"/>
      <c r="D578" s="95"/>
      <c r="E578" t="s">
        <v>601</v>
      </c>
      <c r="F578" s="108" t="s">
        <v>108</v>
      </c>
    </row>
    <row r="579" spans="1:6" x14ac:dyDescent="0.3">
      <c r="A579" s="38">
        <v>46161</v>
      </c>
      <c r="B579" t="s">
        <v>253</v>
      </c>
      <c r="C579" s="95"/>
      <c r="D579" s="95"/>
      <c r="E579" t="s">
        <v>602</v>
      </c>
      <c r="F579" s="108" t="s">
        <v>108</v>
      </c>
    </row>
    <row r="580" spans="1:6" x14ac:dyDescent="0.3">
      <c r="A580" s="38">
        <v>46161</v>
      </c>
      <c r="B580" t="s">
        <v>269</v>
      </c>
      <c r="C580" s="95"/>
      <c r="D580" s="95"/>
      <c r="E580" t="s">
        <v>603</v>
      </c>
      <c r="F580" s="108" t="s">
        <v>108</v>
      </c>
    </row>
    <row r="581" spans="1:6" x14ac:dyDescent="0.3">
      <c r="A581" s="38">
        <v>46161</v>
      </c>
      <c r="B581" t="s">
        <v>211</v>
      </c>
      <c r="C581" s="95">
        <v>780</v>
      </c>
      <c r="D581" s="95"/>
      <c r="F581" s="108" t="s">
        <v>108</v>
      </c>
    </row>
    <row r="582" spans="1:6" x14ac:dyDescent="0.3">
      <c r="A582" s="38">
        <v>46162</v>
      </c>
      <c r="B582" t="s">
        <v>211</v>
      </c>
      <c r="C582" s="95">
        <v>400</v>
      </c>
      <c r="D582" s="95"/>
      <c r="F582" s="108" t="s">
        <v>108</v>
      </c>
    </row>
    <row r="583" spans="1:6" x14ac:dyDescent="0.3">
      <c r="A583" s="38">
        <v>46162</v>
      </c>
      <c r="B583" t="s">
        <v>219</v>
      </c>
      <c r="C583" s="95"/>
      <c r="D583" s="95">
        <v>20000</v>
      </c>
      <c r="E583" t="s">
        <v>320</v>
      </c>
      <c r="F583" s="108" t="s">
        <v>108</v>
      </c>
    </row>
    <row r="584" spans="1:6" x14ac:dyDescent="0.3">
      <c r="A584" s="38">
        <v>46162</v>
      </c>
      <c r="B584" t="s">
        <v>116</v>
      </c>
      <c r="C584" s="95">
        <v>16000</v>
      </c>
      <c r="D584" s="95"/>
      <c r="E584" t="s">
        <v>604</v>
      </c>
      <c r="F584" s="108" t="s">
        <v>108</v>
      </c>
    </row>
    <row r="585" spans="1:6" x14ac:dyDescent="0.3">
      <c r="A585" s="38">
        <v>46162</v>
      </c>
      <c r="B585" t="s">
        <v>269</v>
      </c>
      <c r="C585" s="95">
        <v>10000</v>
      </c>
      <c r="D585" s="95"/>
      <c r="E585" t="s">
        <v>580</v>
      </c>
      <c r="F585" s="108" t="s">
        <v>108</v>
      </c>
    </row>
    <row r="586" spans="1:6" x14ac:dyDescent="0.3">
      <c r="A586" s="38">
        <v>46162</v>
      </c>
      <c r="B586" t="s">
        <v>211</v>
      </c>
      <c r="C586" s="95"/>
      <c r="D586" s="95"/>
      <c r="F586" s="108" t="s">
        <v>108</v>
      </c>
    </row>
    <row r="587" spans="1:6" x14ac:dyDescent="0.3">
      <c r="A587" s="38">
        <v>46162</v>
      </c>
      <c r="B587" t="s">
        <v>357</v>
      </c>
      <c r="C587" s="95">
        <v>4800</v>
      </c>
      <c r="D587" s="95"/>
      <c r="F587" s="108" t="s">
        <v>108</v>
      </c>
    </row>
    <row r="588" spans="1:6" x14ac:dyDescent="0.3">
      <c r="A588" s="38">
        <v>46162</v>
      </c>
      <c r="B588" t="s">
        <v>219</v>
      </c>
      <c r="C588" s="95"/>
      <c r="D588" s="95">
        <v>260000</v>
      </c>
      <c r="E588" t="s">
        <v>605</v>
      </c>
      <c r="F588" s="108" t="s">
        <v>108</v>
      </c>
    </row>
    <row r="589" spans="1:6" x14ac:dyDescent="0.3">
      <c r="A589" s="38">
        <v>46163</v>
      </c>
      <c r="B589" t="s">
        <v>219</v>
      </c>
      <c r="C589" s="95"/>
      <c r="D589" s="95">
        <v>625000</v>
      </c>
      <c r="E589" t="s">
        <v>540</v>
      </c>
      <c r="F589" s="108" t="s">
        <v>108</v>
      </c>
    </row>
    <row r="590" spans="1:6" x14ac:dyDescent="0.3">
      <c r="A590" s="38">
        <v>46163</v>
      </c>
      <c r="B590" t="s">
        <v>219</v>
      </c>
      <c r="C590" s="95"/>
      <c r="D590" s="95">
        <v>190000</v>
      </c>
      <c r="E590" t="s">
        <v>540</v>
      </c>
      <c r="F590" s="108" t="s">
        <v>108</v>
      </c>
    </row>
    <row r="591" spans="1:6" x14ac:dyDescent="0.3">
      <c r="A591" s="38">
        <v>46163</v>
      </c>
      <c r="B591" t="s">
        <v>219</v>
      </c>
      <c r="C591" s="95"/>
      <c r="D591" s="95">
        <v>100000</v>
      </c>
      <c r="E591" t="s">
        <v>616</v>
      </c>
      <c r="F591" s="108" t="s">
        <v>108</v>
      </c>
    </row>
    <row r="592" spans="1:6" x14ac:dyDescent="0.3">
      <c r="A592" s="38">
        <v>46163</v>
      </c>
      <c r="B592" t="s">
        <v>219</v>
      </c>
      <c r="C592" s="95"/>
      <c r="D592" s="95">
        <v>300000</v>
      </c>
      <c r="F592" s="108" t="s">
        <v>108</v>
      </c>
    </row>
    <row r="593" spans="1:6" x14ac:dyDescent="0.3">
      <c r="A593" s="38">
        <v>46163</v>
      </c>
      <c r="B593" t="s">
        <v>623</v>
      </c>
      <c r="C593" s="95">
        <v>1467298</v>
      </c>
      <c r="D593" s="95"/>
      <c r="E593" t="s">
        <v>624</v>
      </c>
      <c r="F593" s="108" t="s">
        <v>108</v>
      </c>
    </row>
    <row r="594" spans="1:6" x14ac:dyDescent="0.3">
      <c r="A594" s="38">
        <v>46163</v>
      </c>
      <c r="B594" t="s">
        <v>175</v>
      </c>
      <c r="C594" s="95">
        <v>35500</v>
      </c>
      <c r="D594" s="95"/>
      <c r="E594" t="s">
        <v>617</v>
      </c>
      <c r="F594" s="108" t="s">
        <v>108</v>
      </c>
    </row>
    <row r="595" spans="1:6" x14ac:dyDescent="0.3">
      <c r="A595" s="38">
        <v>46163</v>
      </c>
      <c r="B595" t="s">
        <v>219</v>
      </c>
      <c r="C595" s="95"/>
      <c r="D595" s="95">
        <v>35500</v>
      </c>
      <c r="E595" t="s">
        <v>568</v>
      </c>
      <c r="F595" s="108" t="s">
        <v>108</v>
      </c>
    </row>
    <row r="596" spans="1:6" x14ac:dyDescent="0.3">
      <c r="A596" s="38">
        <v>46163</v>
      </c>
      <c r="B596" t="s">
        <v>539</v>
      </c>
      <c r="C596" s="95"/>
      <c r="D596" s="95">
        <v>200000</v>
      </c>
      <c r="E596" t="s">
        <v>21</v>
      </c>
      <c r="F596" s="108" t="s">
        <v>108</v>
      </c>
    </row>
    <row r="597" spans="1:6" x14ac:dyDescent="0.3">
      <c r="A597" s="38">
        <v>46163</v>
      </c>
      <c r="B597" t="s">
        <v>219</v>
      </c>
      <c r="C597" s="11">
        <v>200000</v>
      </c>
      <c r="D597" s="11"/>
      <c r="E597" t="s">
        <v>627</v>
      </c>
      <c r="F597" s="108" t="s">
        <v>108</v>
      </c>
    </row>
    <row r="598" spans="1:6" x14ac:dyDescent="0.3">
      <c r="A598" s="38">
        <v>46163</v>
      </c>
      <c r="B598" t="s">
        <v>211</v>
      </c>
      <c r="C598" s="95">
        <v>1800</v>
      </c>
      <c r="D598" s="95"/>
      <c r="F598" s="108" t="s">
        <v>108</v>
      </c>
    </row>
    <row r="599" spans="1:6" x14ac:dyDescent="0.3">
      <c r="A599" s="38">
        <v>46164</v>
      </c>
      <c r="B599" t="s">
        <v>219</v>
      </c>
      <c r="C599" s="11"/>
      <c r="D599" s="11">
        <v>10000</v>
      </c>
      <c r="E599" t="s">
        <v>629</v>
      </c>
      <c r="F599" s="108" t="s">
        <v>108</v>
      </c>
    </row>
    <row r="600" spans="1:6" x14ac:dyDescent="0.3">
      <c r="A600" s="38">
        <v>46164</v>
      </c>
      <c r="B600" t="s">
        <v>269</v>
      </c>
      <c r="C600" s="11">
        <v>10000</v>
      </c>
      <c r="D600" s="11"/>
      <c r="E600" t="s">
        <v>252</v>
      </c>
      <c r="F600" s="108" t="s">
        <v>108</v>
      </c>
    </row>
    <row r="601" spans="1:6" x14ac:dyDescent="0.3">
      <c r="A601" s="38">
        <v>46164</v>
      </c>
      <c r="B601" t="s">
        <v>55</v>
      </c>
      <c r="C601" s="11">
        <v>1200</v>
      </c>
      <c r="D601" s="11"/>
      <c r="F601" s="108" t="s">
        <v>108</v>
      </c>
    </row>
    <row r="602" spans="1:6" x14ac:dyDescent="0.3">
      <c r="A602" s="38">
        <v>46165</v>
      </c>
      <c r="B602" t="s">
        <v>116</v>
      </c>
      <c r="C602" s="95">
        <v>37000</v>
      </c>
      <c r="D602" s="95"/>
      <c r="E602" t="s">
        <v>564</v>
      </c>
      <c r="F602" s="108" t="s">
        <v>108</v>
      </c>
    </row>
    <row r="603" spans="1:6" x14ac:dyDescent="0.3">
      <c r="A603" s="111">
        <v>46165</v>
      </c>
      <c r="B603" t="s">
        <v>219</v>
      </c>
      <c r="C603" s="95"/>
      <c r="D603" s="95">
        <v>37000</v>
      </c>
      <c r="E603" t="s">
        <v>163</v>
      </c>
      <c r="F603" s="108" t="s">
        <v>108</v>
      </c>
    </row>
    <row r="604" spans="1:6" x14ac:dyDescent="0.3">
      <c r="A604" s="38">
        <v>46165</v>
      </c>
      <c r="B604" t="s">
        <v>55</v>
      </c>
      <c r="C604" s="95">
        <v>30000</v>
      </c>
      <c r="D604" s="95"/>
      <c r="E604" t="s">
        <v>630</v>
      </c>
      <c r="F604" s="108" t="s">
        <v>108</v>
      </c>
    </row>
    <row r="605" spans="1:6" x14ac:dyDescent="0.3">
      <c r="A605" s="111">
        <v>46165</v>
      </c>
      <c r="B605" t="s">
        <v>219</v>
      </c>
      <c r="C605" s="95"/>
      <c r="D605" s="95">
        <v>30000</v>
      </c>
      <c r="E605" t="s">
        <v>631</v>
      </c>
      <c r="F605" s="108" t="s">
        <v>108</v>
      </c>
    </row>
    <row r="606" spans="1:6" x14ac:dyDescent="0.3">
      <c r="A606" s="111">
        <v>46165</v>
      </c>
      <c r="B606" t="s">
        <v>253</v>
      </c>
      <c r="C606" s="95">
        <v>100000</v>
      </c>
      <c r="D606" s="95"/>
      <c r="E606" t="s">
        <v>262</v>
      </c>
      <c r="F606" s="108" t="s">
        <v>108</v>
      </c>
    </row>
    <row r="607" spans="1:6" x14ac:dyDescent="0.3">
      <c r="A607" s="111">
        <v>46165</v>
      </c>
      <c r="B607" t="s">
        <v>219</v>
      </c>
      <c r="C607" s="95"/>
      <c r="D607" s="95">
        <v>100000</v>
      </c>
      <c r="E607" t="s">
        <v>632</v>
      </c>
      <c r="F607" s="108" t="s">
        <v>108</v>
      </c>
    </row>
    <row r="608" spans="1:6" x14ac:dyDescent="0.3">
      <c r="A608" s="38">
        <v>46165</v>
      </c>
      <c r="B608" t="s">
        <v>115</v>
      </c>
      <c r="C608" s="95">
        <v>200000</v>
      </c>
      <c r="D608" s="95"/>
      <c r="E608" t="s">
        <v>633</v>
      </c>
      <c r="F608" s="108" t="s">
        <v>108</v>
      </c>
    </row>
    <row r="609" spans="1:6" x14ac:dyDescent="0.3">
      <c r="A609" s="38">
        <v>46165</v>
      </c>
      <c r="B609" t="s">
        <v>219</v>
      </c>
      <c r="C609" s="95"/>
      <c r="D609" s="95">
        <v>200000</v>
      </c>
      <c r="E609" t="s">
        <v>308</v>
      </c>
      <c r="F609" s="108" t="s">
        <v>108</v>
      </c>
    </row>
    <row r="610" spans="1:6" x14ac:dyDescent="0.3">
      <c r="A610" s="38">
        <v>46165</v>
      </c>
      <c r="B610" t="s">
        <v>219</v>
      </c>
      <c r="C610" s="95"/>
      <c r="D610" s="95">
        <v>30000</v>
      </c>
      <c r="E610" t="s">
        <v>634</v>
      </c>
      <c r="F610" s="108" t="s">
        <v>108</v>
      </c>
    </row>
    <row r="611" spans="1:6" x14ac:dyDescent="0.3">
      <c r="A611" s="38">
        <v>46165</v>
      </c>
      <c r="B611" t="s">
        <v>55</v>
      </c>
      <c r="C611" s="95">
        <v>27400</v>
      </c>
      <c r="D611" s="95"/>
      <c r="E611" t="s">
        <v>259</v>
      </c>
      <c r="F611" s="108" t="s">
        <v>108</v>
      </c>
    </row>
    <row r="612" spans="1:6" x14ac:dyDescent="0.3">
      <c r="A612" s="38">
        <v>46166</v>
      </c>
      <c r="B612" t="s">
        <v>219</v>
      </c>
      <c r="C612" s="95"/>
      <c r="D612" s="95">
        <v>1560</v>
      </c>
      <c r="E612" t="s">
        <v>113</v>
      </c>
      <c r="F612" s="108" t="s">
        <v>108</v>
      </c>
    </row>
    <row r="613" spans="1:6" x14ac:dyDescent="0.3">
      <c r="A613" s="38">
        <v>46166</v>
      </c>
      <c r="B613" t="s">
        <v>357</v>
      </c>
      <c r="C613" s="95">
        <v>1560</v>
      </c>
      <c r="D613" s="95"/>
      <c r="F613" s="108" t="s">
        <v>108</v>
      </c>
    </row>
    <row r="614" spans="1:6" x14ac:dyDescent="0.3">
      <c r="A614" s="38">
        <v>46166</v>
      </c>
      <c r="B614" t="s">
        <v>253</v>
      </c>
      <c r="C614" s="95">
        <v>25000</v>
      </c>
      <c r="D614" s="95"/>
      <c r="E614" t="s">
        <v>580</v>
      </c>
      <c r="F614" s="108" t="s">
        <v>108</v>
      </c>
    </row>
    <row r="615" spans="1:6" x14ac:dyDescent="0.3">
      <c r="A615" s="38">
        <v>46166</v>
      </c>
      <c r="B615" t="s">
        <v>219</v>
      </c>
      <c r="C615" s="95"/>
      <c r="D615" s="95">
        <v>25000</v>
      </c>
      <c r="E615" t="s">
        <v>580</v>
      </c>
      <c r="F615" s="108" t="s">
        <v>108</v>
      </c>
    </row>
    <row r="616" spans="1:6" x14ac:dyDescent="0.3">
      <c r="A616" s="38">
        <v>46166</v>
      </c>
      <c r="B616" t="s">
        <v>55</v>
      </c>
      <c r="C616" s="95">
        <v>1000</v>
      </c>
      <c r="D616" s="95"/>
      <c r="F616" s="108" t="s">
        <v>108</v>
      </c>
    </row>
    <row r="617" spans="1:6" x14ac:dyDescent="0.3">
      <c r="A617" s="38">
        <v>46166</v>
      </c>
      <c r="B617" t="s">
        <v>55</v>
      </c>
      <c r="C617" s="95">
        <v>450</v>
      </c>
      <c r="D617" s="95"/>
      <c r="F617" s="108" t="s">
        <v>108</v>
      </c>
    </row>
    <row r="618" spans="1:6" x14ac:dyDescent="0.3">
      <c r="A618" s="38">
        <v>46166</v>
      </c>
      <c r="B618" t="s">
        <v>219</v>
      </c>
      <c r="C618" s="95"/>
      <c r="D618" s="95">
        <v>1450</v>
      </c>
      <c r="F618" s="108" t="s">
        <v>108</v>
      </c>
    </row>
    <row r="619" spans="1:6" x14ac:dyDescent="0.3">
      <c r="A619" s="38">
        <v>46166</v>
      </c>
      <c r="B619" t="s">
        <v>116</v>
      </c>
      <c r="C619" s="95">
        <v>39000</v>
      </c>
      <c r="D619" s="95"/>
      <c r="E619" t="s">
        <v>61</v>
      </c>
      <c r="F619" s="108" t="s">
        <v>108</v>
      </c>
    </row>
    <row r="620" spans="1:6" x14ac:dyDescent="0.3">
      <c r="A620" s="38">
        <v>46166</v>
      </c>
      <c r="B620" t="s">
        <v>219</v>
      </c>
      <c r="C620" s="95"/>
      <c r="D620" s="95">
        <v>39000</v>
      </c>
      <c r="E620" t="s">
        <v>61</v>
      </c>
      <c r="F620" s="108" t="s">
        <v>108</v>
      </c>
    </row>
    <row r="621" spans="1:6" x14ac:dyDescent="0.3">
      <c r="A621" s="38">
        <v>46167</v>
      </c>
      <c r="B621" t="s">
        <v>55</v>
      </c>
      <c r="C621" s="95">
        <v>170</v>
      </c>
      <c r="D621" s="95"/>
      <c r="F621" s="108" t="s">
        <v>108</v>
      </c>
    </row>
    <row r="622" spans="1:6" x14ac:dyDescent="0.3">
      <c r="A622" s="38">
        <v>46167</v>
      </c>
      <c r="B622" t="s">
        <v>211</v>
      </c>
      <c r="C622" s="95">
        <v>1300</v>
      </c>
      <c r="D622" s="95"/>
      <c r="F622" s="108" t="s">
        <v>108</v>
      </c>
    </row>
    <row r="623" spans="1:6" x14ac:dyDescent="0.3">
      <c r="A623" s="38">
        <v>46167</v>
      </c>
      <c r="B623" t="s">
        <v>55</v>
      </c>
      <c r="C623" s="95">
        <v>400</v>
      </c>
      <c r="D623" s="95"/>
      <c r="F623" s="108" t="s">
        <v>108</v>
      </c>
    </row>
    <row r="624" spans="1:6" x14ac:dyDescent="0.3">
      <c r="A624" s="38">
        <v>46167</v>
      </c>
      <c r="B624" t="s">
        <v>55</v>
      </c>
      <c r="C624" s="95">
        <v>600</v>
      </c>
      <c r="D624" s="95"/>
      <c r="F624" s="108" t="s">
        <v>108</v>
      </c>
    </row>
    <row r="625" spans="1:6" x14ac:dyDescent="0.3">
      <c r="A625" s="38">
        <v>46167</v>
      </c>
      <c r="B625" t="s">
        <v>211</v>
      </c>
      <c r="C625" s="95">
        <v>450</v>
      </c>
      <c r="D625" s="95"/>
      <c r="F625" s="108" t="s">
        <v>108</v>
      </c>
    </row>
    <row r="626" spans="1:6" x14ac:dyDescent="0.3">
      <c r="A626" s="38">
        <v>46167</v>
      </c>
      <c r="B626" t="s">
        <v>493</v>
      </c>
      <c r="C626" s="95"/>
      <c r="D626" s="95">
        <v>75000</v>
      </c>
      <c r="F626" s="108" t="s">
        <v>108</v>
      </c>
    </row>
    <row r="627" spans="1:6" x14ac:dyDescent="0.3">
      <c r="A627" s="38">
        <v>46167</v>
      </c>
      <c r="B627" t="s">
        <v>219</v>
      </c>
      <c r="C627" s="95">
        <v>75000</v>
      </c>
      <c r="D627" s="95"/>
      <c r="F627" s="108" t="s">
        <v>108</v>
      </c>
    </row>
    <row r="628" spans="1:6" x14ac:dyDescent="0.3">
      <c r="A628" s="38">
        <v>46167</v>
      </c>
      <c r="B628" t="s">
        <v>357</v>
      </c>
      <c r="C628" s="95">
        <v>6550</v>
      </c>
      <c r="D628" s="95"/>
      <c r="F628" s="108" t="s">
        <v>108</v>
      </c>
    </row>
    <row r="629" spans="1:6" x14ac:dyDescent="0.3">
      <c r="A629" s="38">
        <v>46167</v>
      </c>
      <c r="B629" t="s">
        <v>253</v>
      </c>
      <c r="C629" s="95">
        <v>16000</v>
      </c>
      <c r="D629" s="95"/>
      <c r="E629" t="s">
        <v>423</v>
      </c>
      <c r="F629" s="108" t="s">
        <v>108</v>
      </c>
    </row>
    <row r="630" spans="1:6" x14ac:dyDescent="0.3">
      <c r="A630" s="38">
        <v>46167</v>
      </c>
      <c r="B630" t="s">
        <v>269</v>
      </c>
      <c r="C630" s="95">
        <v>15000</v>
      </c>
      <c r="D630" s="95"/>
      <c r="E630" t="s">
        <v>635</v>
      </c>
      <c r="F630" s="108" t="s">
        <v>108</v>
      </c>
    </row>
    <row r="631" spans="1:6" x14ac:dyDescent="0.3">
      <c r="A631" s="111">
        <v>46167</v>
      </c>
      <c r="B631" t="s">
        <v>219</v>
      </c>
      <c r="C631" s="95"/>
      <c r="D631" s="95">
        <v>15000</v>
      </c>
      <c r="E631" t="s">
        <v>635</v>
      </c>
      <c r="F631" s="108" t="s">
        <v>108</v>
      </c>
    </row>
    <row r="632" spans="1:6" x14ac:dyDescent="0.3">
      <c r="A632" s="111">
        <v>46167</v>
      </c>
      <c r="B632" t="s">
        <v>636</v>
      </c>
      <c r="C632" s="95"/>
      <c r="D632" s="95">
        <v>500000</v>
      </c>
      <c r="E632" t="s">
        <v>637</v>
      </c>
      <c r="F632" s="108" t="s">
        <v>108</v>
      </c>
    </row>
    <row r="633" spans="1:6" x14ac:dyDescent="0.3">
      <c r="A633" s="38">
        <v>46167</v>
      </c>
      <c r="B633" t="s">
        <v>257</v>
      </c>
      <c r="C633" s="95">
        <v>2000</v>
      </c>
      <c r="D633" s="95"/>
      <c r="E633" t="s">
        <v>265</v>
      </c>
      <c r="F633" s="108" t="s">
        <v>108</v>
      </c>
    </row>
    <row r="634" spans="1:6" x14ac:dyDescent="0.3">
      <c r="A634" s="38">
        <v>46167</v>
      </c>
      <c r="B634" t="s">
        <v>517</v>
      </c>
      <c r="C634" s="95">
        <v>8000</v>
      </c>
      <c r="D634" s="95"/>
      <c r="E634" t="s">
        <v>265</v>
      </c>
      <c r="F634" s="108" t="s">
        <v>108</v>
      </c>
    </row>
    <row r="635" spans="1:6" x14ac:dyDescent="0.3">
      <c r="A635" s="38">
        <v>46167</v>
      </c>
      <c r="B635" t="s">
        <v>222</v>
      </c>
      <c r="C635" s="95">
        <v>6000</v>
      </c>
      <c r="D635" s="95"/>
      <c r="E635" t="s">
        <v>265</v>
      </c>
      <c r="F635" s="108" t="s">
        <v>108</v>
      </c>
    </row>
    <row r="636" spans="1:6" x14ac:dyDescent="0.3">
      <c r="A636" s="38">
        <v>46167</v>
      </c>
      <c r="B636" s="135" t="s">
        <v>476</v>
      </c>
      <c r="C636" s="136">
        <v>1000</v>
      </c>
      <c r="D636" s="136"/>
      <c r="E636" t="s">
        <v>265</v>
      </c>
      <c r="F636" s="108" t="s">
        <v>108</v>
      </c>
    </row>
    <row r="637" spans="1:6" x14ac:dyDescent="0.3">
      <c r="A637" s="38">
        <v>46167</v>
      </c>
      <c r="B637" t="s">
        <v>257</v>
      </c>
      <c r="C637" s="95">
        <v>50000</v>
      </c>
      <c r="D637" s="95"/>
      <c r="E637" t="s">
        <v>638</v>
      </c>
      <c r="F637" s="108" t="s">
        <v>108</v>
      </c>
    </row>
    <row r="638" spans="1:6" x14ac:dyDescent="0.3">
      <c r="A638" s="38">
        <v>46167</v>
      </c>
      <c r="B638" t="s">
        <v>654</v>
      </c>
      <c r="C638" s="95"/>
      <c r="D638" s="95">
        <v>100000</v>
      </c>
      <c r="E638" t="s">
        <v>109</v>
      </c>
      <c r="F638" s="108" t="s">
        <v>108</v>
      </c>
    </row>
    <row r="639" spans="1:6" x14ac:dyDescent="0.3">
      <c r="A639" s="111">
        <v>46167</v>
      </c>
      <c r="B639" t="s">
        <v>253</v>
      </c>
      <c r="C639" s="11">
        <v>80000</v>
      </c>
      <c r="D639" s="11"/>
      <c r="E639" t="s">
        <v>288</v>
      </c>
      <c r="F639" s="108" t="s">
        <v>108</v>
      </c>
    </row>
    <row r="640" spans="1:6" x14ac:dyDescent="0.3">
      <c r="A640" s="111">
        <v>46167</v>
      </c>
      <c r="B640" t="s">
        <v>298</v>
      </c>
      <c r="C640" s="11">
        <v>20000</v>
      </c>
      <c r="D640" s="11"/>
      <c r="F640" s="108" t="s">
        <v>108</v>
      </c>
    </row>
    <row r="641" spans="1:6" x14ac:dyDescent="0.3">
      <c r="A641" s="111">
        <v>46167</v>
      </c>
      <c r="B641" t="s">
        <v>219</v>
      </c>
      <c r="C641" s="11"/>
      <c r="D641" s="11">
        <v>1184000</v>
      </c>
      <c r="E641" t="s">
        <v>651</v>
      </c>
      <c r="F641" s="108" t="s">
        <v>108</v>
      </c>
    </row>
    <row r="642" spans="1:6" x14ac:dyDescent="0.3">
      <c r="A642" s="38">
        <v>46167</v>
      </c>
      <c r="B642" t="s">
        <v>253</v>
      </c>
      <c r="C642" s="95">
        <v>5000</v>
      </c>
      <c r="D642" s="95"/>
      <c r="E642" t="s">
        <v>652</v>
      </c>
      <c r="F642" s="108" t="s">
        <v>108</v>
      </c>
    </row>
    <row r="643" spans="1:6" x14ac:dyDescent="0.3">
      <c r="A643" s="38">
        <v>46167</v>
      </c>
      <c r="B643" t="s">
        <v>269</v>
      </c>
      <c r="C643" s="95">
        <v>20000</v>
      </c>
      <c r="D643" s="95"/>
      <c r="E643" t="s">
        <v>653</v>
      </c>
      <c r="F643" s="108" t="s">
        <v>108</v>
      </c>
    </row>
    <row r="644" spans="1:6" x14ac:dyDescent="0.3">
      <c r="A644" s="38">
        <v>46167</v>
      </c>
      <c r="B644" t="s">
        <v>253</v>
      </c>
      <c r="C644" s="95">
        <v>1154260</v>
      </c>
      <c r="D644" s="95"/>
      <c r="F644" s="108"/>
    </row>
    <row r="645" spans="1:6" x14ac:dyDescent="0.3">
      <c r="A645" s="38">
        <v>46168</v>
      </c>
      <c r="B645" t="s">
        <v>253</v>
      </c>
      <c r="C645" s="95">
        <v>35000</v>
      </c>
      <c r="D645" s="95"/>
      <c r="E645" t="s">
        <v>288</v>
      </c>
      <c r="F645" s="108" t="s">
        <v>108</v>
      </c>
    </row>
    <row r="646" spans="1:6" x14ac:dyDescent="0.3">
      <c r="A646" s="38">
        <v>46168</v>
      </c>
      <c r="B646" t="s">
        <v>269</v>
      </c>
      <c r="C646" s="95">
        <v>30000</v>
      </c>
      <c r="D646" s="95"/>
      <c r="E646" t="s">
        <v>406</v>
      </c>
      <c r="F646" s="108" t="s">
        <v>108</v>
      </c>
    </row>
    <row r="647" spans="1:6" x14ac:dyDescent="0.3">
      <c r="A647" s="38">
        <v>46168</v>
      </c>
      <c r="B647" t="s">
        <v>219</v>
      </c>
      <c r="C647" s="95"/>
      <c r="D647" s="95">
        <v>30000</v>
      </c>
      <c r="E647" t="s">
        <v>406</v>
      </c>
      <c r="F647" s="108" t="s">
        <v>108</v>
      </c>
    </row>
    <row r="648" spans="1:6" x14ac:dyDescent="0.3">
      <c r="A648" s="38">
        <v>46168</v>
      </c>
      <c r="B648" t="s">
        <v>55</v>
      </c>
      <c r="C648" s="95">
        <v>20000</v>
      </c>
      <c r="D648" s="95"/>
      <c r="E648" t="s">
        <v>639</v>
      </c>
      <c r="F648" s="108" t="s">
        <v>108</v>
      </c>
    </row>
    <row r="649" spans="1:6" x14ac:dyDescent="0.3">
      <c r="A649" s="38">
        <v>46168</v>
      </c>
      <c r="B649" t="s">
        <v>219</v>
      </c>
      <c r="C649" s="95"/>
      <c r="D649" s="95">
        <v>20000</v>
      </c>
      <c r="E649" t="s">
        <v>639</v>
      </c>
      <c r="F649" s="108" t="s">
        <v>108</v>
      </c>
    </row>
    <row r="650" spans="1:6" x14ac:dyDescent="0.3">
      <c r="A650" s="38">
        <v>46168</v>
      </c>
      <c r="B650" t="s">
        <v>219</v>
      </c>
      <c r="C650" s="95">
        <v>300000</v>
      </c>
      <c r="D650" s="95">
        <v>0</v>
      </c>
      <c r="E650" t="s">
        <v>640</v>
      </c>
      <c r="F650" s="108" t="s">
        <v>108</v>
      </c>
    </row>
    <row r="651" spans="1:6" x14ac:dyDescent="0.3">
      <c r="A651" s="38">
        <v>46168</v>
      </c>
      <c r="B651" t="s">
        <v>269</v>
      </c>
      <c r="C651" s="95">
        <v>7000</v>
      </c>
      <c r="D651" s="95"/>
      <c r="E651" t="s">
        <v>641</v>
      </c>
      <c r="F651" s="108" t="s">
        <v>108</v>
      </c>
    </row>
    <row r="652" spans="1:6" x14ac:dyDescent="0.3">
      <c r="A652" s="38">
        <v>46169</v>
      </c>
      <c r="B652" t="s">
        <v>244</v>
      </c>
      <c r="C652" s="95">
        <v>4500</v>
      </c>
      <c r="D652" s="95"/>
      <c r="E652" t="s">
        <v>642</v>
      </c>
      <c r="F652" s="108" t="s">
        <v>108</v>
      </c>
    </row>
    <row r="653" spans="1:6" x14ac:dyDescent="0.3">
      <c r="A653" s="38">
        <v>46169</v>
      </c>
      <c r="B653" t="s">
        <v>253</v>
      </c>
      <c r="C653" s="95">
        <v>10000</v>
      </c>
      <c r="D653" s="95"/>
      <c r="E653" t="s">
        <v>643</v>
      </c>
      <c r="F653" s="108" t="s">
        <v>108</v>
      </c>
    </row>
    <row r="654" spans="1:6" x14ac:dyDescent="0.3">
      <c r="A654" s="38">
        <v>46171</v>
      </c>
      <c r="B654" t="s">
        <v>386</v>
      </c>
      <c r="C654" s="11">
        <f>1085+1677</f>
        <v>2762</v>
      </c>
      <c r="D654" s="11"/>
      <c r="E654" t="s">
        <v>649</v>
      </c>
      <c r="F654" s="108" t="s">
        <v>108</v>
      </c>
    </row>
    <row r="655" spans="1:6" x14ac:dyDescent="0.3">
      <c r="A655" s="38">
        <v>46171</v>
      </c>
      <c r="B655" t="s">
        <v>211</v>
      </c>
      <c r="C655" s="95">
        <v>360</v>
      </c>
      <c r="D655" s="95"/>
      <c r="F655" s="108" t="s">
        <v>108</v>
      </c>
    </row>
    <row r="656" spans="1:6" x14ac:dyDescent="0.3">
      <c r="A656" s="38">
        <v>46171</v>
      </c>
      <c r="B656" t="s">
        <v>386</v>
      </c>
      <c r="C656" s="95">
        <v>15000</v>
      </c>
      <c r="D656" s="95"/>
      <c r="E656" t="s">
        <v>647</v>
      </c>
      <c r="F656" s="108" t="s">
        <v>108</v>
      </c>
    </row>
    <row r="657" spans="1:14" x14ac:dyDescent="0.3">
      <c r="A657" s="38">
        <v>46171</v>
      </c>
      <c r="B657" t="s">
        <v>386</v>
      </c>
      <c r="C657" s="95">
        <v>2900</v>
      </c>
      <c r="D657" s="95"/>
      <c r="E657" t="s">
        <v>650</v>
      </c>
      <c r="F657" s="108" t="s">
        <v>108</v>
      </c>
    </row>
    <row r="658" spans="1:14" x14ac:dyDescent="0.3">
      <c r="A658" s="38">
        <v>46172</v>
      </c>
      <c r="B658" s="80" t="s">
        <v>211</v>
      </c>
      <c r="C658" s="11"/>
      <c r="D658" s="86">
        <v>100000</v>
      </c>
      <c r="E658" s="80" t="s">
        <v>1077</v>
      </c>
      <c r="F658" s="87" t="s">
        <v>108</v>
      </c>
    </row>
    <row r="659" spans="1:14" x14ac:dyDescent="0.3">
      <c r="A659" s="38">
        <v>46172</v>
      </c>
      <c r="B659" s="80" t="s">
        <v>290</v>
      </c>
      <c r="C659" s="11">
        <v>100000</v>
      </c>
      <c r="D659" s="86"/>
      <c r="E659" s="80" t="s">
        <v>1081</v>
      </c>
      <c r="F659" s="87" t="s">
        <v>108</v>
      </c>
    </row>
    <row r="660" spans="1:14" x14ac:dyDescent="0.3">
      <c r="A660" s="38">
        <v>46172</v>
      </c>
      <c r="B660" t="s">
        <v>357</v>
      </c>
      <c r="C660" s="95">
        <v>900</v>
      </c>
      <c r="D660" s="95"/>
      <c r="F660" s="108" t="s">
        <v>108</v>
      </c>
    </row>
    <row r="661" spans="1:14" x14ac:dyDescent="0.3">
      <c r="A661" s="38">
        <v>46172</v>
      </c>
      <c r="B661" t="s">
        <v>253</v>
      </c>
      <c r="C661" s="95">
        <v>25000</v>
      </c>
      <c r="D661" s="95"/>
      <c r="E661" t="s">
        <v>602</v>
      </c>
      <c r="F661" s="108" t="s">
        <v>108</v>
      </c>
      <c r="J661">
        <v>30800</v>
      </c>
      <c r="L661">
        <v>6660</v>
      </c>
      <c r="N661">
        <v>30800</v>
      </c>
    </row>
    <row r="662" spans="1:14" x14ac:dyDescent="0.3">
      <c r="A662" s="38">
        <v>46172</v>
      </c>
      <c r="B662" t="s">
        <v>219</v>
      </c>
      <c r="C662" s="95"/>
      <c r="D662" s="95">
        <v>25000</v>
      </c>
      <c r="E662" t="s">
        <v>602</v>
      </c>
      <c r="F662" s="108" t="s">
        <v>108</v>
      </c>
      <c r="J662">
        <v>22400</v>
      </c>
      <c r="L662">
        <v>185000</v>
      </c>
      <c r="N662">
        <v>29200</v>
      </c>
    </row>
    <row r="663" spans="1:14" x14ac:dyDescent="0.3">
      <c r="A663" s="38">
        <v>46172</v>
      </c>
      <c r="B663" t="s">
        <v>269</v>
      </c>
      <c r="C663" s="95">
        <v>15000</v>
      </c>
      <c r="D663" s="95"/>
      <c r="E663" t="s">
        <v>580</v>
      </c>
      <c r="F663" s="108" t="s">
        <v>108</v>
      </c>
      <c r="J663">
        <v>29400</v>
      </c>
      <c r="L663">
        <v>115000</v>
      </c>
      <c r="N663">
        <v>32000</v>
      </c>
    </row>
    <row r="664" spans="1:14" x14ac:dyDescent="0.3">
      <c r="A664" s="38">
        <v>46172</v>
      </c>
      <c r="B664" t="s">
        <v>219</v>
      </c>
      <c r="C664" s="95"/>
      <c r="D664" s="95">
        <v>15000</v>
      </c>
      <c r="E664" t="s">
        <v>580</v>
      </c>
      <c r="F664" s="108" t="s">
        <v>108</v>
      </c>
      <c r="J664">
        <v>32000</v>
      </c>
      <c r="L664">
        <v>37150</v>
      </c>
      <c r="N664">
        <v>29400</v>
      </c>
    </row>
    <row r="665" spans="1:14" x14ac:dyDescent="0.3">
      <c r="A665" s="38">
        <v>46172</v>
      </c>
      <c r="B665" t="s">
        <v>386</v>
      </c>
      <c r="C665" s="11">
        <v>5000</v>
      </c>
      <c r="D665" s="11"/>
      <c r="E665" t="s">
        <v>647</v>
      </c>
      <c r="F665" s="108" t="s">
        <v>108</v>
      </c>
      <c r="J665">
        <v>30400</v>
      </c>
      <c r="L665">
        <v>23400</v>
      </c>
      <c r="N665">
        <v>30400</v>
      </c>
    </row>
    <row r="666" spans="1:14" x14ac:dyDescent="0.3">
      <c r="A666" s="38">
        <v>46172</v>
      </c>
      <c r="B666" t="s">
        <v>386</v>
      </c>
      <c r="C666" s="11">
        <v>4613.28</v>
      </c>
      <c r="D666" s="11"/>
      <c r="E666" t="s">
        <v>648</v>
      </c>
      <c r="F666" s="108" t="s">
        <v>108</v>
      </c>
      <c r="J666">
        <v>29200</v>
      </c>
      <c r="L666">
        <v>18150</v>
      </c>
      <c r="N666">
        <v>22400</v>
      </c>
    </row>
    <row r="667" spans="1:14" x14ac:dyDescent="0.3">
      <c r="A667" s="38">
        <v>46174</v>
      </c>
      <c r="B667" t="s">
        <v>55</v>
      </c>
      <c r="C667" s="95">
        <v>8340</v>
      </c>
      <c r="D667" s="95"/>
      <c r="F667" s="108" t="s">
        <v>108</v>
      </c>
      <c r="J667">
        <v>17050</v>
      </c>
      <c r="L667">
        <v>55000</v>
      </c>
      <c r="N667">
        <v>50000</v>
      </c>
    </row>
    <row r="668" spans="1:14" x14ac:dyDescent="0.3">
      <c r="A668" s="111">
        <v>46174</v>
      </c>
      <c r="B668" t="s">
        <v>219</v>
      </c>
      <c r="C668" s="95"/>
      <c r="D668" s="95">
        <v>25000</v>
      </c>
      <c r="E668" t="s">
        <v>644</v>
      </c>
      <c r="F668" s="108" t="s">
        <v>108</v>
      </c>
      <c r="J668">
        <v>16000</v>
      </c>
      <c r="L668">
        <v>20000</v>
      </c>
      <c r="N668">
        <v>80000</v>
      </c>
    </row>
    <row r="669" spans="1:14" x14ac:dyDescent="0.3">
      <c r="A669" s="111">
        <v>46174</v>
      </c>
      <c r="B669" t="s">
        <v>55</v>
      </c>
      <c r="C669" s="95">
        <v>14000</v>
      </c>
      <c r="D669" s="95"/>
      <c r="E669" t="s">
        <v>645</v>
      </c>
      <c r="F669" s="108" t="s">
        <v>108</v>
      </c>
      <c r="J669">
        <v>37150</v>
      </c>
      <c r="L669">
        <v>40000</v>
      </c>
      <c r="N669">
        <v>60000</v>
      </c>
    </row>
    <row r="670" spans="1:14" x14ac:dyDescent="0.3">
      <c r="A670" s="111">
        <v>46174</v>
      </c>
      <c r="B670" t="s">
        <v>55</v>
      </c>
      <c r="C670" s="95">
        <v>1900</v>
      </c>
      <c r="D670" s="95"/>
      <c r="E670" t="s">
        <v>646</v>
      </c>
      <c r="F670" s="108" t="s">
        <v>108</v>
      </c>
      <c r="J670">
        <v>40000</v>
      </c>
      <c r="L670">
        <v>11350</v>
      </c>
      <c r="N670">
        <v>35000</v>
      </c>
    </row>
    <row r="671" spans="1:14" x14ac:dyDescent="0.3">
      <c r="A671" s="38">
        <v>46174</v>
      </c>
      <c r="B671" t="s">
        <v>244</v>
      </c>
      <c r="C671" s="95">
        <v>15000</v>
      </c>
      <c r="D671" s="95"/>
      <c r="E671" t="s">
        <v>346</v>
      </c>
      <c r="F671" s="108" t="s">
        <v>108</v>
      </c>
      <c r="J671">
        <v>55000</v>
      </c>
      <c r="L671">
        <v>16000</v>
      </c>
      <c r="N671">
        <v>30700</v>
      </c>
    </row>
    <row r="672" spans="1:14" x14ac:dyDescent="0.3">
      <c r="A672" s="38">
        <v>46174</v>
      </c>
      <c r="B672" t="s">
        <v>219</v>
      </c>
      <c r="C672" s="95"/>
      <c r="D672" s="95">
        <v>15000</v>
      </c>
      <c r="E672" t="s">
        <v>346</v>
      </c>
      <c r="F672" s="108" t="s">
        <v>108</v>
      </c>
      <c r="J672">
        <v>20000</v>
      </c>
      <c r="L672">
        <v>2500</v>
      </c>
      <c r="N672">
        <v>28900</v>
      </c>
    </row>
    <row r="673" spans="1:14" x14ac:dyDescent="0.3">
      <c r="A673" s="38">
        <v>46174</v>
      </c>
      <c r="B673" t="s">
        <v>253</v>
      </c>
      <c r="C673" s="95">
        <v>40000</v>
      </c>
      <c r="D673" s="95"/>
      <c r="E673" t="s">
        <v>252</v>
      </c>
      <c r="F673" s="108" t="s">
        <v>108</v>
      </c>
      <c r="J673">
        <v>23400</v>
      </c>
      <c r="L673">
        <v>2650</v>
      </c>
      <c r="N673">
        <v>2400</v>
      </c>
    </row>
    <row r="674" spans="1:14" x14ac:dyDescent="0.3">
      <c r="A674" s="38">
        <v>46174</v>
      </c>
      <c r="B674" t="s">
        <v>219</v>
      </c>
      <c r="C674" s="95"/>
      <c r="D674" s="95">
        <v>40000</v>
      </c>
      <c r="E674" t="s">
        <v>252</v>
      </c>
      <c r="F674" s="108" t="s">
        <v>108</v>
      </c>
      <c r="J674">
        <v>30700</v>
      </c>
      <c r="L674">
        <v>9850</v>
      </c>
      <c r="N674">
        <v>22800</v>
      </c>
    </row>
    <row r="675" spans="1:14" x14ac:dyDescent="0.3">
      <c r="A675" s="111">
        <v>46174</v>
      </c>
      <c r="B675" t="s">
        <v>244</v>
      </c>
      <c r="C675" s="95">
        <v>2500</v>
      </c>
      <c r="D675" s="95"/>
      <c r="F675" s="108" t="s">
        <v>108</v>
      </c>
      <c r="J675">
        <v>28900</v>
      </c>
      <c r="L675">
        <v>22650</v>
      </c>
      <c r="N675">
        <v>17050</v>
      </c>
    </row>
    <row r="676" spans="1:14" x14ac:dyDescent="0.3">
      <c r="A676" s="111">
        <v>46174</v>
      </c>
      <c r="B676" t="s">
        <v>211</v>
      </c>
      <c r="C676" s="95">
        <f>920+780+2540+1480+1390+1000</f>
        <v>8110</v>
      </c>
      <c r="D676" s="95"/>
      <c r="F676" s="108" t="s">
        <v>108</v>
      </c>
      <c r="J676">
        <v>25000</v>
      </c>
      <c r="K676" t="s">
        <v>602</v>
      </c>
      <c r="L676">
        <v>3600</v>
      </c>
      <c r="N676">
        <v>25850</v>
      </c>
    </row>
    <row r="677" spans="1:14" x14ac:dyDescent="0.3">
      <c r="A677" s="111">
        <v>46175</v>
      </c>
      <c r="B677" t="s">
        <v>357</v>
      </c>
      <c r="C677" s="11">
        <v>15330</v>
      </c>
      <c r="D677" s="86"/>
      <c r="E677" s="80"/>
      <c r="F677" s="87" t="s">
        <v>108</v>
      </c>
      <c r="J677">
        <v>22800</v>
      </c>
      <c r="L677">
        <v>13000</v>
      </c>
      <c r="N677">
        <v>18400</v>
      </c>
    </row>
    <row r="678" spans="1:14" x14ac:dyDescent="0.3">
      <c r="A678" s="38">
        <v>46175</v>
      </c>
      <c r="B678" t="s">
        <v>55</v>
      </c>
      <c r="C678" s="11">
        <v>1000</v>
      </c>
      <c r="D678" s="11"/>
      <c r="E678" t="s">
        <v>595</v>
      </c>
      <c r="F678" s="108" t="s">
        <v>108</v>
      </c>
      <c r="J678">
        <v>11300</v>
      </c>
      <c r="L678">
        <v>18380</v>
      </c>
      <c r="N678">
        <v>13000</v>
      </c>
    </row>
    <row r="679" spans="1:14" x14ac:dyDescent="0.3">
      <c r="A679" s="38">
        <v>46175</v>
      </c>
      <c r="B679" t="s">
        <v>357</v>
      </c>
      <c r="C679" s="11">
        <v>1730</v>
      </c>
      <c r="D679" s="11"/>
      <c r="F679" s="108" t="s">
        <v>108</v>
      </c>
      <c r="J679">
        <v>25800</v>
      </c>
      <c r="L679">
        <v>25850</v>
      </c>
      <c r="N679">
        <v>3600</v>
      </c>
    </row>
    <row r="680" spans="1:14" x14ac:dyDescent="0.3">
      <c r="A680" s="38">
        <v>46175</v>
      </c>
      <c r="B680" t="s">
        <v>257</v>
      </c>
      <c r="C680" s="11">
        <v>200000</v>
      </c>
      <c r="D680" s="11"/>
      <c r="E680" t="s">
        <v>655</v>
      </c>
      <c r="F680" s="108" t="s">
        <v>108</v>
      </c>
      <c r="J680">
        <v>9850</v>
      </c>
      <c r="L680">
        <v>17050</v>
      </c>
      <c r="N680">
        <v>22650</v>
      </c>
    </row>
    <row r="681" spans="1:14" x14ac:dyDescent="0.3">
      <c r="A681" s="111">
        <v>46175</v>
      </c>
      <c r="B681" t="s">
        <v>656</v>
      </c>
      <c r="C681" s="95"/>
      <c r="D681" s="95">
        <v>170000</v>
      </c>
      <c r="E681" t="s">
        <v>657</v>
      </c>
      <c r="F681" s="108" t="s">
        <v>108</v>
      </c>
      <c r="J681">
        <v>2650</v>
      </c>
      <c r="L681">
        <v>22800</v>
      </c>
      <c r="N681">
        <v>9850</v>
      </c>
    </row>
    <row r="682" spans="1:14" x14ac:dyDescent="0.3">
      <c r="A682" s="111">
        <v>46175</v>
      </c>
      <c r="B682" t="s">
        <v>219</v>
      </c>
      <c r="C682" s="11"/>
      <c r="D682" s="11">
        <v>30000</v>
      </c>
      <c r="E682" t="s">
        <v>257</v>
      </c>
      <c r="F682" s="108" t="s">
        <v>108</v>
      </c>
      <c r="J682">
        <v>185000</v>
      </c>
      <c r="L682">
        <v>2400</v>
      </c>
      <c r="N682">
        <v>2650</v>
      </c>
    </row>
    <row r="683" spans="1:14" x14ac:dyDescent="0.3">
      <c r="A683" s="111">
        <v>46176</v>
      </c>
      <c r="B683" t="s">
        <v>493</v>
      </c>
      <c r="C683" s="11"/>
      <c r="D683" s="11">
        <v>50000</v>
      </c>
      <c r="E683" t="s">
        <v>658</v>
      </c>
      <c r="F683" s="108" t="s">
        <v>108</v>
      </c>
      <c r="J683">
        <v>13000</v>
      </c>
      <c r="L683">
        <v>28900</v>
      </c>
      <c r="N683">
        <v>2500</v>
      </c>
    </row>
    <row r="684" spans="1:14" x14ac:dyDescent="0.3">
      <c r="A684" s="38">
        <v>46176</v>
      </c>
      <c r="B684" t="s">
        <v>357</v>
      </c>
      <c r="C684" s="95">
        <v>20000</v>
      </c>
      <c r="D684" s="95"/>
      <c r="E684" t="s">
        <v>392</v>
      </c>
      <c r="F684" s="108" t="s">
        <v>108</v>
      </c>
      <c r="J684">
        <v>18370</v>
      </c>
      <c r="L684">
        <v>30700</v>
      </c>
      <c r="N684">
        <v>16000</v>
      </c>
    </row>
    <row r="685" spans="1:14" x14ac:dyDescent="0.3">
      <c r="A685" s="111">
        <v>46176</v>
      </c>
      <c r="B685" t="s">
        <v>269</v>
      </c>
      <c r="C685" s="95">
        <v>20000</v>
      </c>
      <c r="D685" s="95"/>
      <c r="E685" t="s">
        <v>659</v>
      </c>
      <c r="F685" s="108" t="s">
        <v>108</v>
      </c>
      <c r="J685">
        <v>22650</v>
      </c>
      <c r="L685">
        <v>35000</v>
      </c>
      <c r="N685">
        <v>11350</v>
      </c>
    </row>
    <row r="686" spans="1:14" x14ac:dyDescent="0.3">
      <c r="A686" s="111">
        <v>46176</v>
      </c>
      <c r="B686" t="s">
        <v>219</v>
      </c>
      <c r="C686" s="95"/>
      <c r="D686" s="95">
        <v>20000</v>
      </c>
      <c r="E686" t="s">
        <v>320</v>
      </c>
      <c r="F686" s="108" t="s">
        <v>108</v>
      </c>
      <c r="J686">
        <v>2400</v>
      </c>
      <c r="L686">
        <v>60000</v>
      </c>
      <c r="N686">
        <v>40000</v>
      </c>
    </row>
    <row r="687" spans="1:14" x14ac:dyDescent="0.3">
      <c r="A687" s="38">
        <v>46176</v>
      </c>
      <c r="B687" t="s">
        <v>253</v>
      </c>
      <c r="C687" s="95">
        <v>20000</v>
      </c>
      <c r="D687" s="95"/>
      <c r="E687" t="s">
        <v>288</v>
      </c>
      <c r="F687" s="108" t="s">
        <v>108</v>
      </c>
      <c r="J687">
        <v>3600</v>
      </c>
      <c r="L687">
        <v>80000</v>
      </c>
      <c r="N687">
        <v>20000</v>
      </c>
    </row>
    <row r="688" spans="1:14" x14ac:dyDescent="0.3">
      <c r="A688" s="38">
        <v>46177</v>
      </c>
      <c r="B688" t="s">
        <v>55</v>
      </c>
      <c r="C688" s="95">
        <v>3500</v>
      </c>
      <c r="D688" s="95"/>
      <c r="F688" s="108" t="s">
        <v>108</v>
      </c>
      <c r="J688">
        <v>6600</v>
      </c>
      <c r="L688">
        <v>50000</v>
      </c>
      <c r="N688">
        <v>55000</v>
      </c>
    </row>
    <row r="689" spans="1:14" x14ac:dyDescent="0.3">
      <c r="A689" s="38">
        <v>46177</v>
      </c>
      <c r="B689" t="s">
        <v>219</v>
      </c>
      <c r="C689" s="95"/>
      <c r="D689" s="95">
        <v>100000</v>
      </c>
      <c r="E689" t="s">
        <v>660</v>
      </c>
      <c r="F689" s="108" t="s">
        <v>108</v>
      </c>
      <c r="J689">
        <v>35000</v>
      </c>
      <c r="L689">
        <v>22400</v>
      </c>
    </row>
    <row r="690" spans="1:14" x14ac:dyDescent="0.3">
      <c r="A690" s="38">
        <v>46177</v>
      </c>
      <c r="B690" t="s">
        <v>221</v>
      </c>
      <c r="C690" s="95">
        <v>100000</v>
      </c>
      <c r="D690" s="95"/>
      <c r="E690" t="s">
        <v>661</v>
      </c>
      <c r="F690" s="108" t="s">
        <v>108</v>
      </c>
      <c r="J690">
        <v>80000</v>
      </c>
      <c r="L690">
        <v>30400</v>
      </c>
      <c r="N690">
        <v>18150</v>
      </c>
    </row>
    <row r="691" spans="1:14" x14ac:dyDescent="0.3">
      <c r="A691" s="38">
        <v>46178</v>
      </c>
      <c r="B691" t="s">
        <v>211</v>
      </c>
      <c r="C691" s="95">
        <v>830</v>
      </c>
      <c r="D691" s="95"/>
      <c r="F691" s="108" t="s">
        <v>108</v>
      </c>
      <c r="J691">
        <v>60000</v>
      </c>
      <c r="L691">
        <v>29400</v>
      </c>
      <c r="N691">
        <v>6660</v>
      </c>
    </row>
    <row r="692" spans="1:14" x14ac:dyDescent="0.3">
      <c r="A692" s="38">
        <v>46178</v>
      </c>
      <c r="B692" t="s">
        <v>55</v>
      </c>
      <c r="C692" s="95">
        <v>760</v>
      </c>
      <c r="D692" s="95"/>
      <c r="E692" t="s">
        <v>662</v>
      </c>
      <c r="F692" s="108" t="s">
        <v>108</v>
      </c>
      <c r="J692">
        <v>115000</v>
      </c>
      <c r="L692">
        <v>32000</v>
      </c>
      <c r="N692">
        <v>185000</v>
      </c>
    </row>
    <row r="693" spans="1:14" x14ac:dyDescent="0.3">
      <c r="A693" s="38">
        <v>46178</v>
      </c>
      <c r="B693" t="s">
        <v>219</v>
      </c>
      <c r="C693" s="95"/>
      <c r="D693" s="95">
        <v>760</v>
      </c>
      <c r="F693" s="108" t="s">
        <v>108</v>
      </c>
      <c r="J693">
        <v>50000</v>
      </c>
      <c r="L693">
        <v>29200</v>
      </c>
      <c r="N693">
        <v>115000</v>
      </c>
    </row>
    <row r="694" spans="1:14" x14ac:dyDescent="0.3">
      <c r="A694" s="38">
        <v>46178</v>
      </c>
      <c r="B694" t="s">
        <v>244</v>
      </c>
      <c r="C694" s="95">
        <v>2000</v>
      </c>
      <c r="D694" s="95"/>
      <c r="E694" t="s">
        <v>294</v>
      </c>
      <c r="F694" s="108" t="s">
        <v>108</v>
      </c>
      <c r="J694">
        <v>2000</v>
      </c>
      <c r="L694">
        <v>30800</v>
      </c>
      <c r="N694">
        <v>37150</v>
      </c>
    </row>
    <row r="695" spans="1:14" x14ac:dyDescent="0.3">
      <c r="A695" s="38">
        <v>46178</v>
      </c>
      <c r="B695" t="s">
        <v>493</v>
      </c>
      <c r="C695" s="95"/>
      <c r="D695" s="95">
        <v>50000</v>
      </c>
      <c r="E695" t="s">
        <v>663</v>
      </c>
      <c r="F695" s="108" t="s">
        <v>108</v>
      </c>
      <c r="L695">
        <v>25000</v>
      </c>
      <c r="M695" t="s">
        <v>602</v>
      </c>
      <c r="N695">
        <v>23400</v>
      </c>
    </row>
    <row r="696" spans="1:14" x14ac:dyDescent="0.3">
      <c r="A696" s="38">
        <v>46178</v>
      </c>
      <c r="B696" t="s">
        <v>253</v>
      </c>
      <c r="C696" s="95">
        <v>15000</v>
      </c>
      <c r="D696" s="95"/>
      <c r="E696" t="s">
        <v>643</v>
      </c>
      <c r="F696" s="108" t="s">
        <v>108</v>
      </c>
      <c r="M696" t="s">
        <v>538</v>
      </c>
    </row>
    <row r="697" spans="1:14" x14ac:dyDescent="0.3">
      <c r="A697" s="38">
        <v>46178</v>
      </c>
      <c r="B697" t="s">
        <v>253</v>
      </c>
      <c r="C697" s="95">
        <v>15000</v>
      </c>
      <c r="D697" s="95"/>
      <c r="E697" t="s">
        <v>664</v>
      </c>
      <c r="F697" s="108" t="s">
        <v>108</v>
      </c>
      <c r="L697">
        <v>2000</v>
      </c>
      <c r="N697">
        <v>25000</v>
      </c>
    </row>
    <row r="698" spans="1:14" x14ac:dyDescent="0.3">
      <c r="A698" s="38">
        <v>46178</v>
      </c>
      <c r="B698" t="s">
        <v>269</v>
      </c>
      <c r="C698" s="95">
        <v>10000</v>
      </c>
      <c r="D698" s="95"/>
      <c r="E698" t="s">
        <v>665</v>
      </c>
      <c r="F698" s="108" t="s">
        <v>108</v>
      </c>
      <c r="N698">
        <v>2000</v>
      </c>
    </row>
    <row r="699" spans="1:14" x14ac:dyDescent="0.3">
      <c r="A699" s="38">
        <v>46178</v>
      </c>
      <c r="B699" t="s">
        <v>654</v>
      </c>
      <c r="C699" s="95"/>
      <c r="D699" s="95">
        <v>200000</v>
      </c>
      <c r="E699" t="s">
        <v>271</v>
      </c>
      <c r="F699" s="108" t="s">
        <v>108</v>
      </c>
    </row>
    <row r="700" spans="1:14" x14ac:dyDescent="0.3">
      <c r="A700" s="38">
        <v>46178</v>
      </c>
      <c r="B700" t="s">
        <v>666</v>
      </c>
      <c r="C700" s="95"/>
      <c r="D700" s="95">
        <v>80000</v>
      </c>
      <c r="E700" t="s">
        <v>109</v>
      </c>
      <c r="F700" s="108" t="s">
        <v>108</v>
      </c>
    </row>
    <row r="701" spans="1:14" x14ac:dyDescent="0.3">
      <c r="A701" s="38">
        <v>46178</v>
      </c>
      <c r="B701" t="s">
        <v>219</v>
      </c>
      <c r="C701" s="95">
        <v>200000</v>
      </c>
      <c r="D701" s="11"/>
      <c r="E701" t="s">
        <v>654</v>
      </c>
      <c r="F701" s="108" t="s">
        <v>108</v>
      </c>
    </row>
    <row r="702" spans="1:14" x14ac:dyDescent="0.3">
      <c r="A702" s="38">
        <v>46178</v>
      </c>
      <c r="B702" t="s">
        <v>219</v>
      </c>
      <c r="C702" s="95">
        <v>80000</v>
      </c>
      <c r="D702" s="11"/>
      <c r="E702" t="s">
        <v>667</v>
      </c>
      <c r="F702" s="108" t="s">
        <v>108</v>
      </c>
    </row>
    <row r="703" spans="1:14" x14ac:dyDescent="0.3">
      <c r="A703" s="38">
        <v>46178</v>
      </c>
      <c r="B703" t="s">
        <v>211</v>
      </c>
      <c r="C703" s="95">
        <v>780</v>
      </c>
      <c r="D703" s="95"/>
      <c r="F703" s="108" t="s">
        <v>108</v>
      </c>
    </row>
    <row r="704" spans="1:14" x14ac:dyDescent="0.3">
      <c r="A704" s="38">
        <v>46179</v>
      </c>
      <c r="B704" t="s">
        <v>55</v>
      </c>
      <c r="C704" s="95">
        <v>1200</v>
      </c>
      <c r="D704" s="95"/>
      <c r="F704" s="108" t="s">
        <v>108</v>
      </c>
    </row>
    <row r="705" spans="1:11" x14ac:dyDescent="0.3">
      <c r="A705" s="38">
        <v>46179</v>
      </c>
      <c r="B705" t="s">
        <v>219</v>
      </c>
      <c r="C705" s="95"/>
      <c r="D705" s="95">
        <v>1600</v>
      </c>
      <c r="F705" s="108" t="s">
        <v>108</v>
      </c>
    </row>
    <row r="706" spans="1:11" x14ac:dyDescent="0.3">
      <c r="A706" s="38">
        <v>46179</v>
      </c>
      <c r="B706" t="s">
        <v>55</v>
      </c>
      <c r="C706" s="95">
        <v>400</v>
      </c>
      <c r="D706" s="95"/>
      <c r="F706" s="108" t="s">
        <v>108</v>
      </c>
    </row>
    <row r="707" spans="1:11" x14ac:dyDescent="0.3">
      <c r="A707" s="38">
        <v>46179</v>
      </c>
      <c r="B707" t="s">
        <v>219</v>
      </c>
      <c r="C707" s="95"/>
      <c r="D707" s="95">
        <v>400000</v>
      </c>
      <c r="E707" t="s">
        <v>109</v>
      </c>
      <c r="F707" s="108" t="s">
        <v>108</v>
      </c>
    </row>
    <row r="708" spans="1:11" x14ac:dyDescent="0.3">
      <c r="A708" s="38">
        <v>46179</v>
      </c>
      <c r="B708" t="s">
        <v>517</v>
      </c>
      <c r="C708" s="95">
        <v>400000</v>
      </c>
      <c r="D708" s="95"/>
      <c r="E708" t="s">
        <v>109</v>
      </c>
      <c r="F708" s="108" t="s">
        <v>108</v>
      </c>
    </row>
    <row r="709" spans="1:11" x14ac:dyDescent="0.3">
      <c r="A709" s="38">
        <v>46179</v>
      </c>
      <c r="B709" t="s">
        <v>219</v>
      </c>
      <c r="C709" s="95"/>
      <c r="D709" s="95">
        <v>32000</v>
      </c>
      <c r="E709" t="s">
        <v>271</v>
      </c>
      <c r="F709" s="108" t="s">
        <v>108</v>
      </c>
      <c r="I709">
        <v>30550</v>
      </c>
      <c r="K709">
        <v>30550</v>
      </c>
    </row>
    <row r="710" spans="1:11" x14ac:dyDescent="0.3">
      <c r="A710" s="38">
        <v>46179</v>
      </c>
      <c r="B710" t="s">
        <v>55</v>
      </c>
      <c r="C710" s="95">
        <v>26800</v>
      </c>
      <c r="D710" s="95"/>
      <c r="E710" t="s">
        <v>259</v>
      </c>
      <c r="F710" s="108" t="s">
        <v>108</v>
      </c>
      <c r="I710">
        <v>14000</v>
      </c>
      <c r="K710">
        <v>14000</v>
      </c>
    </row>
    <row r="711" spans="1:11" x14ac:dyDescent="0.3">
      <c r="A711" s="38">
        <v>46179</v>
      </c>
      <c r="B711" t="s">
        <v>666</v>
      </c>
      <c r="C711" s="11"/>
      <c r="D711" s="11">
        <v>120000</v>
      </c>
      <c r="E711" t="s">
        <v>109</v>
      </c>
      <c r="F711" s="108" t="s">
        <v>108</v>
      </c>
      <c r="I711">
        <v>215000</v>
      </c>
      <c r="K711">
        <v>215000</v>
      </c>
    </row>
    <row r="712" spans="1:11" x14ac:dyDescent="0.3">
      <c r="A712" s="38">
        <v>46179</v>
      </c>
      <c r="B712" t="s">
        <v>219</v>
      </c>
      <c r="C712" s="11">
        <v>120000</v>
      </c>
      <c r="D712" s="11"/>
      <c r="E712" t="s">
        <v>667</v>
      </c>
      <c r="F712" s="108" t="s">
        <v>108</v>
      </c>
      <c r="I712">
        <v>125000</v>
      </c>
      <c r="K712">
        <v>125000</v>
      </c>
    </row>
    <row r="713" spans="1:11" x14ac:dyDescent="0.3">
      <c r="A713" s="38">
        <v>46179</v>
      </c>
      <c r="B713" t="s">
        <v>219</v>
      </c>
      <c r="C713" s="11"/>
      <c r="D713" s="11">
        <v>200000</v>
      </c>
      <c r="E713" t="s">
        <v>668</v>
      </c>
      <c r="F713" s="108" t="s">
        <v>108</v>
      </c>
      <c r="I713">
        <v>12800</v>
      </c>
      <c r="K713">
        <v>12800</v>
      </c>
    </row>
    <row r="714" spans="1:11" x14ac:dyDescent="0.3">
      <c r="A714" s="38">
        <v>46179</v>
      </c>
      <c r="B714" t="s">
        <v>674</v>
      </c>
      <c r="C714" s="11">
        <v>200625</v>
      </c>
      <c r="D714" s="11"/>
      <c r="E714" t="s">
        <v>669</v>
      </c>
      <c r="F714" s="108" t="s">
        <v>108</v>
      </c>
      <c r="I714">
        <v>9650</v>
      </c>
      <c r="K714">
        <f>25650-16000</f>
        <v>9650</v>
      </c>
    </row>
    <row r="715" spans="1:11" x14ac:dyDescent="0.3">
      <c r="A715" s="38">
        <v>46180</v>
      </c>
      <c r="B715" t="s">
        <v>55</v>
      </c>
      <c r="C715" s="11">
        <v>900</v>
      </c>
      <c r="D715" s="11"/>
      <c r="F715" s="108" t="s">
        <v>108</v>
      </c>
      <c r="I715">
        <v>30000</v>
      </c>
      <c r="K715">
        <v>30000</v>
      </c>
    </row>
    <row r="716" spans="1:11" x14ac:dyDescent="0.3">
      <c r="A716" s="38">
        <v>46180</v>
      </c>
      <c r="B716" t="s">
        <v>55</v>
      </c>
      <c r="C716" s="11">
        <v>1200</v>
      </c>
      <c r="D716" s="11"/>
      <c r="F716" s="108" t="s">
        <v>108</v>
      </c>
      <c r="I716">
        <v>55000</v>
      </c>
      <c r="K716">
        <v>55000</v>
      </c>
    </row>
    <row r="717" spans="1:11" x14ac:dyDescent="0.3">
      <c r="A717" s="38">
        <v>46180</v>
      </c>
      <c r="B717" t="s">
        <v>55</v>
      </c>
      <c r="C717" s="11">
        <v>4000</v>
      </c>
      <c r="D717" s="11"/>
      <c r="E717" t="s">
        <v>670</v>
      </c>
      <c r="F717" s="108" t="s">
        <v>108</v>
      </c>
      <c r="I717">
        <v>24000</v>
      </c>
      <c r="K717">
        <v>30000</v>
      </c>
    </row>
    <row r="718" spans="1:11" x14ac:dyDescent="0.3">
      <c r="A718" s="38">
        <v>46180</v>
      </c>
      <c r="B718" t="s">
        <v>219</v>
      </c>
      <c r="C718" s="95"/>
      <c r="D718" s="95">
        <v>4000</v>
      </c>
      <c r="E718" t="s">
        <v>670</v>
      </c>
      <c r="F718" s="108" t="s">
        <v>108</v>
      </c>
      <c r="I718">
        <v>24000</v>
      </c>
      <c r="K718">
        <v>26660</v>
      </c>
    </row>
    <row r="719" spans="1:11" x14ac:dyDescent="0.3">
      <c r="A719" s="38">
        <v>46180</v>
      </c>
      <c r="B719" t="s">
        <v>386</v>
      </c>
      <c r="C719" s="95">
        <v>3330</v>
      </c>
      <c r="D719" s="95"/>
      <c r="E719" t="s">
        <v>671</v>
      </c>
      <c r="F719" s="108" t="s">
        <v>108</v>
      </c>
      <c r="I719">
        <v>20000</v>
      </c>
      <c r="K719">
        <v>20000</v>
      </c>
    </row>
    <row r="720" spans="1:11" x14ac:dyDescent="0.3">
      <c r="A720" s="38">
        <v>46180</v>
      </c>
      <c r="B720" t="s">
        <v>656</v>
      </c>
      <c r="C720" s="95"/>
      <c r="D720" s="95">
        <v>150000</v>
      </c>
      <c r="E720" t="s">
        <v>672</v>
      </c>
      <c r="F720" s="108" t="s">
        <v>108</v>
      </c>
      <c r="I720">
        <v>17200</v>
      </c>
      <c r="K720">
        <v>62000</v>
      </c>
    </row>
    <row r="721" spans="1:11" x14ac:dyDescent="0.3">
      <c r="A721" s="38">
        <v>46180</v>
      </c>
      <c r="B721" t="s">
        <v>219</v>
      </c>
      <c r="C721" s="95">
        <v>150000</v>
      </c>
      <c r="D721" s="95"/>
      <c r="E721" t="s">
        <v>673</v>
      </c>
      <c r="F721" s="108" t="s">
        <v>108</v>
      </c>
      <c r="I721">
        <v>18400</v>
      </c>
    </row>
    <row r="722" spans="1:11" x14ac:dyDescent="0.3">
      <c r="A722" s="38">
        <v>46181</v>
      </c>
      <c r="B722" t="s">
        <v>219</v>
      </c>
      <c r="C722" s="95"/>
      <c r="D722" s="95">
        <v>200000</v>
      </c>
      <c r="E722" t="s">
        <v>675</v>
      </c>
      <c r="F722" s="108" t="s">
        <v>108</v>
      </c>
      <c r="I722">
        <v>18000</v>
      </c>
      <c r="K722">
        <v>1000</v>
      </c>
    </row>
    <row r="723" spans="1:11" x14ac:dyDescent="0.3">
      <c r="A723" s="38">
        <v>46181</v>
      </c>
      <c r="B723" t="s">
        <v>115</v>
      </c>
      <c r="C723" s="95">
        <v>200000</v>
      </c>
      <c r="D723" s="95"/>
      <c r="E723" t="s">
        <v>675</v>
      </c>
      <c r="F723" s="108" t="s">
        <v>108</v>
      </c>
      <c r="I723">
        <v>80000</v>
      </c>
      <c r="K723">
        <v>10600</v>
      </c>
    </row>
    <row r="724" spans="1:11" x14ac:dyDescent="0.3">
      <c r="A724" s="38">
        <v>46181</v>
      </c>
      <c r="B724" t="s">
        <v>55</v>
      </c>
      <c r="C724" s="11">
        <v>6400</v>
      </c>
      <c r="D724" s="11"/>
      <c r="E724" t="s">
        <v>676</v>
      </c>
      <c r="F724" s="108" t="s">
        <v>108</v>
      </c>
      <c r="I724">
        <v>60000</v>
      </c>
      <c r="K724">
        <v>11150</v>
      </c>
    </row>
    <row r="725" spans="1:11" x14ac:dyDescent="0.3">
      <c r="A725" s="38">
        <v>46181</v>
      </c>
      <c r="B725" t="s">
        <v>219</v>
      </c>
      <c r="C725" s="11"/>
      <c r="D725" s="11">
        <v>6400</v>
      </c>
      <c r="E725" t="s">
        <v>677</v>
      </c>
      <c r="F725" s="108" t="s">
        <v>108</v>
      </c>
      <c r="I725">
        <v>35000</v>
      </c>
      <c r="K725">
        <v>7220</v>
      </c>
    </row>
    <row r="726" spans="1:11" x14ac:dyDescent="0.3">
      <c r="A726" s="38">
        <v>46181</v>
      </c>
      <c r="B726" t="s">
        <v>219</v>
      </c>
      <c r="C726" s="11"/>
      <c r="D726" s="11">
        <v>466000</v>
      </c>
      <c r="E726" t="s">
        <v>678</v>
      </c>
      <c r="F726" s="108" t="s">
        <v>108</v>
      </c>
      <c r="I726">
        <v>15400</v>
      </c>
      <c r="K726">
        <v>11800</v>
      </c>
    </row>
    <row r="727" spans="1:11" x14ac:dyDescent="0.3">
      <c r="A727" s="38">
        <v>46181</v>
      </c>
      <c r="B727" t="s">
        <v>222</v>
      </c>
      <c r="C727" s="11">
        <v>460000</v>
      </c>
      <c r="D727" s="11"/>
      <c r="E727" t="s">
        <v>679</v>
      </c>
      <c r="F727" s="108" t="s">
        <v>108</v>
      </c>
      <c r="I727">
        <v>12700</v>
      </c>
      <c r="K727">
        <v>12600</v>
      </c>
    </row>
    <row r="728" spans="1:11" x14ac:dyDescent="0.3">
      <c r="A728" s="38">
        <v>46181</v>
      </c>
      <c r="B728" t="s">
        <v>488</v>
      </c>
      <c r="C728" s="11">
        <v>3416</v>
      </c>
      <c r="D728" s="11"/>
      <c r="E728" t="s">
        <v>680</v>
      </c>
      <c r="F728" s="108" t="s">
        <v>108</v>
      </c>
      <c r="I728">
        <v>12600</v>
      </c>
      <c r="K728">
        <v>12700</v>
      </c>
    </row>
    <row r="729" spans="1:11" x14ac:dyDescent="0.3">
      <c r="A729" s="38">
        <v>46181</v>
      </c>
      <c r="B729" t="s">
        <v>493</v>
      </c>
      <c r="C729" s="11"/>
      <c r="D729" s="11">
        <v>50000</v>
      </c>
      <c r="E729" t="s">
        <v>682</v>
      </c>
      <c r="F729" s="108" t="s">
        <v>108</v>
      </c>
      <c r="I729">
        <v>11800</v>
      </c>
      <c r="K729">
        <v>15400</v>
      </c>
    </row>
    <row r="730" spans="1:11" x14ac:dyDescent="0.3">
      <c r="A730" s="38">
        <v>46181</v>
      </c>
      <c r="B730" t="s">
        <v>219</v>
      </c>
      <c r="C730" s="11">
        <v>50000</v>
      </c>
      <c r="D730" s="11"/>
      <c r="E730" t="s">
        <v>545</v>
      </c>
      <c r="F730" s="108" t="s">
        <v>108</v>
      </c>
      <c r="I730">
        <v>7250</v>
      </c>
      <c r="K730">
        <v>35000</v>
      </c>
    </row>
    <row r="731" spans="1:11" x14ac:dyDescent="0.3">
      <c r="A731" s="38">
        <v>46181</v>
      </c>
      <c r="B731" t="s">
        <v>219</v>
      </c>
      <c r="C731" s="11"/>
      <c r="D731" s="11">
        <v>25000</v>
      </c>
      <c r="E731" t="s">
        <v>683</v>
      </c>
      <c r="F731" s="108" t="s">
        <v>108</v>
      </c>
      <c r="I731">
        <v>11150</v>
      </c>
      <c r="K731">
        <v>60000</v>
      </c>
    </row>
    <row r="732" spans="1:11" x14ac:dyDescent="0.3">
      <c r="A732" s="38">
        <v>46181</v>
      </c>
      <c r="B732" t="s">
        <v>246</v>
      </c>
      <c r="C732" s="11">
        <v>7800</v>
      </c>
      <c r="D732" s="11"/>
      <c r="E732" t="s">
        <v>693</v>
      </c>
      <c r="F732" s="137" t="s">
        <v>108</v>
      </c>
      <c r="I732">
        <v>10600</v>
      </c>
      <c r="K732">
        <v>80000</v>
      </c>
    </row>
    <row r="733" spans="1:11" x14ac:dyDescent="0.3">
      <c r="A733" s="38">
        <v>46181</v>
      </c>
      <c r="B733" t="s">
        <v>253</v>
      </c>
      <c r="C733" s="95">
        <v>24600</v>
      </c>
      <c r="D733" s="95"/>
      <c r="E733" t="s">
        <v>659</v>
      </c>
      <c r="F733" s="108" t="s">
        <v>108</v>
      </c>
      <c r="I733">
        <v>1000</v>
      </c>
      <c r="K733">
        <v>18000</v>
      </c>
    </row>
    <row r="734" spans="1:11" x14ac:dyDescent="0.3">
      <c r="A734" s="38">
        <v>46181</v>
      </c>
      <c r="B734" t="s">
        <v>219</v>
      </c>
      <c r="C734" s="95"/>
      <c r="D734" s="95">
        <v>6500</v>
      </c>
      <c r="E734" t="s">
        <v>320</v>
      </c>
      <c r="F734" s="108" t="s">
        <v>108</v>
      </c>
      <c r="I734">
        <v>62000</v>
      </c>
      <c r="K734">
        <v>18400</v>
      </c>
    </row>
    <row r="735" spans="1:11" x14ac:dyDescent="0.3">
      <c r="A735" s="111">
        <v>46181</v>
      </c>
      <c r="B735" t="s">
        <v>253</v>
      </c>
      <c r="C735" s="95">
        <v>5000</v>
      </c>
      <c r="D735" s="95"/>
      <c r="E735" t="s">
        <v>602</v>
      </c>
      <c r="F735" s="108" t="s">
        <v>108</v>
      </c>
      <c r="I735">
        <v>26660</v>
      </c>
      <c r="K735">
        <v>17200</v>
      </c>
    </row>
    <row r="736" spans="1:11" x14ac:dyDescent="0.3">
      <c r="A736" s="38">
        <v>46181</v>
      </c>
      <c r="B736" t="s">
        <v>298</v>
      </c>
      <c r="C736" s="95">
        <v>5000</v>
      </c>
      <c r="D736" s="95"/>
      <c r="E736" t="s">
        <v>692</v>
      </c>
      <c r="F736" s="108" t="s">
        <v>108</v>
      </c>
      <c r="I736">
        <v>30000</v>
      </c>
      <c r="K736">
        <v>20000</v>
      </c>
    </row>
    <row r="737" spans="1:11" x14ac:dyDescent="0.3">
      <c r="A737" s="38">
        <v>46182</v>
      </c>
      <c r="B737" t="s">
        <v>55</v>
      </c>
      <c r="C737" s="95">
        <v>1500</v>
      </c>
      <c r="D737" s="95"/>
      <c r="F737" s="108" t="s">
        <v>108</v>
      </c>
      <c r="I737">
        <v>9900</v>
      </c>
      <c r="K737">
        <v>24000</v>
      </c>
    </row>
    <row r="738" spans="1:11" x14ac:dyDescent="0.3">
      <c r="A738" s="38">
        <v>46182</v>
      </c>
      <c r="B738" t="s">
        <v>55</v>
      </c>
      <c r="C738" s="95">
        <v>2000</v>
      </c>
      <c r="D738" s="95"/>
      <c r="E738" t="s">
        <v>684</v>
      </c>
      <c r="F738" s="108" t="s">
        <v>108</v>
      </c>
      <c r="I738">
        <v>20000</v>
      </c>
      <c r="K738">
        <v>24000</v>
      </c>
    </row>
    <row r="739" spans="1:11" x14ac:dyDescent="0.3">
      <c r="A739" s="38">
        <v>46182</v>
      </c>
      <c r="B739" t="s">
        <v>211</v>
      </c>
      <c r="C739" s="95"/>
      <c r="D739" s="95">
        <v>2000</v>
      </c>
      <c r="E739" t="s">
        <v>684</v>
      </c>
      <c r="F739" s="108" t="s">
        <v>108</v>
      </c>
      <c r="K739">
        <v>9900</v>
      </c>
    </row>
    <row r="740" spans="1:11" x14ac:dyDescent="0.3">
      <c r="A740" s="38">
        <v>46182</v>
      </c>
      <c r="B740" t="s">
        <v>219</v>
      </c>
      <c r="C740" s="95"/>
      <c r="D740" s="95">
        <v>110000</v>
      </c>
      <c r="E740" t="s">
        <v>568</v>
      </c>
      <c r="F740" s="108" t="s">
        <v>108</v>
      </c>
    </row>
    <row r="741" spans="1:11" x14ac:dyDescent="0.3">
      <c r="A741" s="38">
        <v>46182</v>
      </c>
      <c r="B741" t="s">
        <v>175</v>
      </c>
      <c r="C741" s="95">
        <v>110000</v>
      </c>
      <c r="D741" s="95"/>
      <c r="E741" t="s">
        <v>685</v>
      </c>
      <c r="F741" s="108" t="s">
        <v>108</v>
      </c>
    </row>
    <row r="742" spans="1:11" x14ac:dyDescent="0.3">
      <c r="A742" s="38">
        <v>46182</v>
      </c>
      <c r="B742" t="s">
        <v>55</v>
      </c>
      <c r="C742" s="95">
        <v>700</v>
      </c>
      <c r="D742" s="95"/>
      <c r="E742" t="s">
        <v>466</v>
      </c>
      <c r="F742" s="108" t="s">
        <v>108</v>
      </c>
    </row>
    <row r="743" spans="1:11" x14ac:dyDescent="0.3">
      <c r="A743" s="38">
        <v>46182</v>
      </c>
      <c r="B743" t="s">
        <v>219</v>
      </c>
      <c r="C743" s="95"/>
      <c r="D743" s="95">
        <v>50000</v>
      </c>
      <c r="E743" t="s">
        <v>686</v>
      </c>
      <c r="F743" s="108" t="s">
        <v>108</v>
      </c>
    </row>
    <row r="744" spans="1:11" x14ac:dyDescent="0.3">
      <c r="A744" s="38">
        <v>46182</v>
      </c>
      <c r="B744" t="s">
        <v>55</v>
      </c>
      <c r="C744" s="95">
        <v>1300</v>
      </c>
      <c r="D744" s="95"/>
      <c r="F744" s="108" t="s">
        <v>108</v>
      </c>
    </row>
    <row r="745" spans="1:11" x14ac:dyDescent="0.3">
      <c r="A745" s="38">
        <v>46182</v>
      </c>
      <c r="B745" t="s">
        <v>116</v>
      </c>
      <c r="C745" s="95">
        <v>19500</v>
      </c>
      <c r="D745" s="95"/>
      <c r="E745" t="s">
        <v>61</v>
      </c>
      <c r="F745" s="108" t="s">
        <v>108</v>
      </c>
    </row>
    <row r="746" spans="1:11" x14ac:dyDescent="0.3">
      <c r="A746" s="38">
        <v>46182</v>
      </c>
      <c r="B746" t="s">
        <v>244</v>
      </c>
      <c r="C746" s="95">
        <v>1110</v>
      </c>
      <c r="D746" s="95"/>
      <c r="E746" t="s">
        <v>366</v>
      </c>
      <c r="F746" s="108" t="s">
        <v>108</v>
      </c>
    </row>
    <row r="747" spans="1:11" x14ac:dyDescent="0.3">
      <c r="A747" s="38">
        <v>46182</v>
      </c>
      <c r="B747" t="s">
        <v>246</v>
      </c>
      <c r="C747" s="95">
        <v>7600</v>
      </c>
      <c r="D747" s="95"/>
      <c r="E747" t="s">
        <v>687</v>
      </c>
      <c r="F747" s="108" t="s">
        <v>108</v>
      </c>
    </row>
    <row r="748" spans="1:11" x14ac:dyDescent="0.3">
      <c r="A748" s="38">
        <v>46182</v>
      </c>
      <c r="B748" t="s">
        <v>55</v>
      </c>
      <c r="C748" s="95">
        <v>4250</v>
      </c>
      <c r="D748" s="95"/>
      <c r="F748" s="108" t="s">
        <v>108</v>
      </c>
    </row>
    <row r="749" spans="1:11" x14ac:dyDescent="0.3">
      <c r="A749" s="38">
        <v>46182</v>
      </c>
      <c r="B749" t="s">
        <v>55</v>
      </c>
      <c r="C749" s="95">
        <v>600</v>
      </c>
      <c r="D749" s="95"/>
      <c r="F749" s="108" t="s">
        <v>108</v>
      </c>
    </row>
    <row r="750" spans="1:11" x14ac:dyDescent="0.3">
      <c r="A750" s="38">
        <v>46182</v>
      </c>
      <c r="B750" t="s">
        <v>244</v>
      </c>
      <c r="C750" s="95">
        <v>6090</v>
      </c>
      <c r="D750" s="95"/>
      <c r="E750" t="s">
        <v>688</v>
      </c>
      <c r="F750" s="108" t="s">
        <v>108</v>
      </c>
    </row>
    <row r="751" spans="1:11" x14ac:dyDescent="0.3">
      <c r="A751" s="38">
        <v>46182</v>
      </c>
      <c r="B751" t="s">
        <v>488</v>
      </c>
      <c r="C751" s="95">
        <v>700</v>
      </c>
      <c r="D751" s="95"/>
      <c r="F751" s="108" t="s">
        <v>108</v>
      </c>
    </row>
    <row r="752" spans="1:11" x14ac:dyDescent="0.3">
      <c r="A752" s="38">
        <v>46182</v>
      </c>
      <c r="B752" t="s">
        <v>691</v>
      </c>
      <c r="C752" s="95">
        <v>3000</v>
      </c>
      <c r="D752" s="95"/>
      <c r="E752" t="s">
        <v>689</v>
      </c>
      <c r="F752" s="108" t="s">
        <v>108</v>
      </c>
    </row>
    <row r="753" spans="1:6" x14ac:dyDescent="0.3">
      <c r="A753" s="38">
        <v>46182</v>
      </c>
      <c r="B753" t="s">
        <v>219</v>
      </c>
      <c r="C753" s="95"/>
      <c r="D753" s="95">
        <v>5000</v>
      </c>
      <c r="E753" t="s">
        <v>320</v>
      </c>
      <c r="F753" s="108" t="s">
        <v>108</v>
      </c>
    </row>
    <row r="754" spans="1:6" x14ac:dyDescent="0.3">
      <c r="A754" s="38">
        <v>46182</v>
      </c>
      <c r="B754" t="s">
        <v>253</v>
      </c>
      <c r="C754" s="95">
        <v>5000</v>
      </c>
      <c r="D754" s="95"/>
      <c r="E754" t="s">
        <v>602</v>
      </c>
      <c r="F754" s="108" t="s">
        <v>108</v>
      </c>
    </row>
    <row r="755" spans="1:6" x14ac:dyDescent="0.3">
      <c r="A755" s="38">
        <v>46182</v>
      </c>
      <c r="B755" t="s">
        <v>488</v>
      </c>
      <c r="C755" s="95">
        <v>5000</v>
      </c>
      <c r="D755" s="95"/>
      <c r="E755" t="s">
        <v>648</v>
      </c>
      <c r="F755" s="108" t="s">
        <v>108</v>
      </c>
    </row>
    <row r="756" spans="1:6" x14ac:dyDescent="0.3">
      <c r="A756" s="38">
        <v>46182</v>
      </c>
      <c r="B756" t="s">
        <v>211</v>
      </c>
      <c r="C756" s="95">
        <v>800</v>
      </c>
      <c r="D756" s="95"/>
      <c r="F756" s="108" t="s">
        <v>108</v>
      </c>
    </row>
    <row r="757" spans="1:6" x14ac:dyDescent="0.3">
      <c r="A757" s="38">
        <v>46183</v>
      </c>
      <c r="B757" t="s">
        <v>219</v>
      </c>
      <c r="C757" s="95"/>
      <c r="D757" s="95">
        <v>22000</v>
      </c>
      <c r="E757" t="s">
        <v>320</v>
      </c>
      <c r="F757" s="108" t="s">
        <v>108</v>
      </c>
    </row>
    <row r="758" spans="1:6" x14ac:dyDescent="0.3">
      <c r="A758" s="38">
        <v>46183</v>
      </c>
      <c r="B758" t="s">
        <v>357</v>
      </c>
      <c r="C758" s="11">
        <v>1990</v>
      </c>
      <c r="D758" s="11"/>
      <c r="F758" s="108" t="s">
        <v>108</v>
      </c>
    </row>
    <row r="759" spans="1:6" x14ac:dyDescent="0.3">
      <c r="A759" s="38">
        <v>46183</v>
      </c>
      <c r="B759" t="s">
        <v>488</v>
      </c>
      <c r="C759" s="11">
        <v>710</v>
      </c>
      <c r="D759" s="11"/>
      <c r="E759" t="s">
        <v>541</v>
      </c>
      <c r="F759" s="108" t="s">
        <v>108</v>
      </c>
    </row>
    <row r="760" spans="1:6" x14ac:dyDescent="0.3">
      <c r="A760" s="38">
        <v>46183</v>
      </c>
      <c r="B760" t="s">
        <v>55</v>
      </c>
      <c r="C760" s="11">
        <v>1040</v>
      </c>
      <c r="D760" s="11"/>
      <c r="F760" s="108" t="s">
        <v>108</v>
      </c>
    </row>
    <row r="761" spans="1:6" x14ac:dyDescent="0.3">
      <c r="A761" s="111">
        <v>46183</v>
      </c>
      <c r="B761" t="s">
        <v>219</v>
      </c>
      <c r="C761" s="11"/>
      <c r="D761" s="11">
        <v>30000</v>
      </c>
      <c r="E761" t="s">
        <v>694</v>
      </c>
      <c r="F761" s="108" t="s">
        <v>108</v>
      </c>
    </row>
    <row r="762" spans="1:6" x14ac:dyDescent="0.3">
      <c r="A762" s="111">
        <v>46183</v>
      </c>
      <c r="B762" t="s">
        <v>116</v>
      </c>
      <c r="C762" s="11">
        <v>19500</v>
      </c>
      <c r="D762" s="11"/>
      <c r="E762" t="s">
        <v>61</v>
      </c>
      <c r="F762" s="108" t="s">
        <v>108</v>
      </c>
    </row>
    <row r="763" spans="1:6" x14ac:dyDescent="0.3">
      <c r="A763" s="111">
        <v>46183</v>
      </c>
      <c r="B763" t="s">
        <v>298</v>
      </c>
      <c r="C763" s="11">
        <v>10000</v>
      </c>
      <c r="D763" s="11"/>
      <c r="E763" t="s">
        <v>692</v>
      </c>
      <c r="F763" s="108" t="s">
        <v>108</v>
      </c>
    </row>
    <row r="764" spans="1:6" x14ac:dyDescent="0.3">
      <c r="A764" s="111">
        <v>46183</v>
      </c>
      <c r="B764" t="s">
        <v>488</v>
      </c>
      <c r="C764" s="11">
        <v>5000</v>
      </c>
      <c r="D764" s="11"/>
      <c r="F764" s="108" t="s">
        <v>108</v>
      </c>
    </row>
    <row r="765" spans="1:6" x14ac:dyDescent="0.3">
      <c r="A765" s="111">
        <v>46183</v>
      </c>
      <c r="B765" t="s">
        <v>211</v>
      </c>
      <c r="C765" s="11">
        <v>800</v>
      </c>
      <c r="D765" s="11"/>
      <c r="F765" s="108" t="s">
        <v>108</v>
      </c>
    </row>
    <row r="766" spans="1:6" x14ac:dyDescent="0.3">
      <c r="A766" s="111">
        <v>46183</v>
      </c>
      <c r="B766" t="s">
        <v>493</v>
      </c>
      <c r="C766" s="11"/>
      <c r="D766" s="11">
        <v>66650</v>
      </c>
      <c r="F766" s="108" t="s">
        <v>108</v>
      </c>
    </row>
    <row r="767" spans="1:6" x14ac:dyDescent="0.3">
      <c r="A767" s="111">
        <v>46183</v>
      </c>
      <c r="B767" t="s">
        <v>269</v>
      </c>
      <c r="C767" s="11">
        <v>2000</v>
      </c>
      <c r="D767" s="11"/>
      <c r="E767" t="s">
        <v>695</v>
      </c>
      <c r="F767" s="108" t="s">
        <v>108</v>
      </c>
    </row>
    <row r="768" spans="1:6" x14ac:dyDescent="0.3">
      <c r="A768" s="111">
        <v>46183</v>
      </c>
      <c r="B768" t="s">
        <v>219</v>
      </c>
      <c r="C768" s="11">
        <v>66650</v>
      </c>
      <c r="D768" s="11"/>
      <c r="E768" t="s">
        <v>529</v>
      </c>
      <c r="F768" s="108" t="s">
        <v>108</v>
      </c>
    </row>
    <row r="769" spans="1:6" x14ac:dyDescent="0.3">
      <c r="A769" s="111">
        <v>46183</v>
      </c>
      <c r="B769" t="s">
        <v>219</v>
      </c>
      <c r="C769" s="11"/>
      <c r="D769" s="11">
        <v>70000</v>
      </c>
      <c r="E769" t="s">
        <v>696</v>
      </c>
      <c r="F769" s="108" t="s">
        <v>108</v>
      </c>
    </row>
    <row r="770" spans="1:6" x14ac:dyDescent="0.3">
      <c r="A770" s="111">
        <v>46183</v>
      </c>
      <c r="B770" t="s">
        <v>674</v>
      </c>
      <c r="C770" s="11">
        <v>70000</v>
      </c>
      <c r="D770" s="11"/>
      <c r="E770" t="s">
        <v>240</v>
      </c>
      <c r="F770" s="108" t="s">
        <v>108</v>
      </c>
    </row>
    <row r="771" spans="1:6" x14ac:dyDescent="0.3">
      <c r="A771" s="111">
        <v>46183</v>
      </c>
      <c r="B771" t="s">
        <v>488</v>
      </c>
      <c r="C771" s="11">
        <v>600</v>
      </c>
      <c r="D771" s="11"/>
      <c r="F771" s="108" t="s">
        <v>108</v>
      </c>
    </row>
    <row r="772" spans="1:6" x14ac:dyDescent="0.3">
      <c r="A772" s="111">
        <v>46184</v>
      </c>
      <c r="B772" t="s">
        <v>219</v>
      </c>
      <c r="C772" s="11"/>
      <c r="D772" s="11">
        <v>25000</v>
      </c>
      <c r="F772" s="108" t="s">
        <v>108</v>
      </c>
    </row>
    <row r="773" spans="1:6" x14ac:dyDescent="0.3">
      <c r="A773" s="111">
        <v>46184</v>
      </c>
      <c r="B773" t="s">
        <v>386</v>
      </c>
      <c r="C773" s="11">
        <v>4482</v>
      </c>
      <c r="D773" s="11"/>
      <c r="E773" t="s">
        <v>283</v>
      </c>
      <c r="F773" s="108" t="s">
        <v>108</v>
      </c>
    </row>
    <row r="774" spans="1:6" x14ac:dyDescent="0.3">
      <c r="A774" s="111">
        <v>46184</v>
      </c>
      <c r="B774" t="s">
        <v>367</v>
      </c>
      <c r="C774" s="11"/>
      <c r="D774" s="11">
        <v>575000</v>
      </c>
      <c r="E774" t="s">
        <v>697</v>
      </c>
      <c r="F774" s="108" t="s">
        <v>108</v>
      </c>
    </row>
    <row r="775" spans="1:6" x14ac:dyDescent="0.3">
      <c r="A775" s="111">
        <v>46184</v>
      </c>
      <c r="B775" t="s">
        <v>269</v>
      </c>
      <c r="C775" s="11">
        <v>2000</v>
      </c>
      <c r="D775" s="11"/>
      <c r="E775" t="s">
        <v>698</v>
      </c>
      <c r="F775" s="108" t="s">
        <v>108</v>
      </c>
    </row>
    <row r="776" spans="1:6" x14ac:dyDescent="0.3">
      <c r="A776" s="111">
        <v>46184</v>
      </c>
      <c r="B776" t="s">
        <v>269</v>
      </c>
      <c r="C776" s="11">
        <v>5000</v>
      </c>
      <c r="D776" s="11"/>
      <c r="E776" t="s">
        <v>699</v>
      </c>
      <c r="F776" s="108" t="s">
        <v>108</v>
      </c>
    </row>
    <row r="777" spans="1:6" x14ac:dyDescent="0.3">
      <c r="A777" s="111">
        <v>46184</v>
      </c>
      <c r="B777" t="s">
        <v>269</v>
      </c>
      <c r="C777" s="11">
        <v>5000</v>
      </c>
      <c r="D777" s="11"/>
      <c r="E777" t="s">
        <v>288</v>
      </c>
      <c r="F777" s="108" t="s">
        <v>108</v>
      </c>
    </row>
    <row r="778" spans="1:6" x14ac:dyDescent="0.3">
      <c r="A778" s="111">
        <v>46184</v>
      </c>
      <c r="B778" t="s">
        <v>211</v>
      </c>
      <c r="C778" s="11">
        <v>500</v>
      </c>
      <c r="D778" s="11"/>
      <c r="F778" s="108" t="s">
        <v>108</v>
      </c>
    </row>
    <row r="779" spans="1:6" x14ac:dyDescent="0.3">
      <c r="A779" s="111">
        <v>46184</v>
      </c>
      <c r="B779" t="s">
        <v>488</v>
      </c>
      <c r="C779" s="11">
        <v>5000</v>
      </c>
      <c r="D779" s="11"/>
      <c r="E779" t="s">
        <v>710</v>
      </c>
      <c r="F779" s="108" t="s">
        <v>108</v>
      </c>
    </row>
    <row r="780" spans="1:6" x14ac:dyDescent="0.3">
      <c r="A780" s="111">
        <v>46184</v>
      </c>
      <c r="B780" t="s">
        <v>246</v>
      </c>
      <c r="C780" s="11">
        <v>10000</v>
      </c>
      <c r="D780" s="11"/>
      <c r="E780" t="s">
        <v>282</v>
      </c>
      <c r="F780" s="108" t="s">
        <v>108</v>
      </c>
    </row>
    <row r="781" spans="1:6" x14ac:dyDescent="0.3">
      <c r="A781" s="111">
        <v>46184</v>
      </c>
      <c r="B781" t="s">
        <v>211</v>
      </c>
      <c r="C781" s="11">
        <v>1700</v>
      </c>
      <c r="D781" s="11"/>
      <c r="F781" s="108" t="s">
        <v>108</v>
      </c>
    </row>
    <row r="782" spans="1:6" x14ac:dyDescent="0.3">
      <c r="A782" s="111">
        <v>46184</v>
      </c>
      <c r="B782" t="s">
        <v>253</v>
      </c>
      <c r="C782" s="11">
        <v>100000</v>
      </c>
      <c r="D782" s="11"/>
      <c r="E782" t="s">
        <v>700</v>
      </c>
      <c r="F782" s="108" t="s">
        <v>108</v>
      </c>
    </row>
    <row r="783" spans="1:6" x14ac:dyDescent="0.3">
      <c r="A783" s="111">
        <v>46184</v>
      </c>
      <c r="B783" t="s">
        <v>246</v>
      </c>
      <c r="C783" s="11">
        <v>10000</v>
      </c>
      <c r="D783" s="11"/>
      <c r="E783" t="s">
        <v>282</v>
      </c>
      <c r="F783" s="108" t="s">
        <v>108</v>
      </c>
    </row>
    <row r="784" spans="1:6" x14ac:dyDescent="0.3">
      <c r="A784" s="111">
        <v>46185</v>
      </c>
      <c r="B784" t="s">
        <v>367</v>
      </c>
      <c r="C784" s="95"/>
      <c r="D784" s="95">
        <v>5434</v>
      </c>
      <c r="E784" t="s">
        <v>826</v>
      </c>
      <c r="F784" s="108" t="s">
        <v>108</v>
      </c>
    </row>
    <row r="785" spans="1:6" x14ac:dyDescent="0.3">
      <c r="A785" s="111">
        <v>46185</v>
      </c>
      <c r="B785" t="s">
        <v>488</v>
      </c>
      <c r="C785" s="95">
        <v>5434</v>
      </c>
      <c r="D785" s="11"/>
      <c r="E785" t="s">
        <v>250</v>
      </c>
      <c r="F785" s="108" t="s">
        <v>108</v>
      </c>
    </row>
    <row r="786" spans="1:6" x14ac:dyDescent="0.3">
      <c r="A786" s="111">
        <v>46186</v>
      </c>
      <c r="B786" t="s">
        <v>246</v>
      </c>
      <c r="C786" s="11">
        <v>100000</v>
      </c>
      <c r="D786" s="11"/>
      <c r="E786" t="s">
        <v>701</v>
      </c>
      <c r="F786" s="108" t="s">
        <v>108</v>
      </c>
    </row>
    <row r="787" spans="1:6" x14ac:dyDescent="0.3">
      <c r="A787" s="111">
        <v>46186</v>
      </c>
      <c r="B787" t="s">
        <v>425</v>
      </c>
      <c r="C787" s="11">
        <v>100000</v>
      </c>
      <c r="D787" s="11"/>
      <c r="E787" t="s">
        <v>702</v>
      </c>
      <c r="F787" s="108" t="s">
        <v>108</v>
      </c>
    </row>
    <row r="788" spans="1:6" x14ac:dyDescent="0.3">
      <c r="A788" s="111">
        <v>46186</v>
      </c>
      <c r="B788" t="s">
        <v>257</v>
      </c>
      <c r="C788" s="11">
        <v>147520</v>
      </c>
      <c r="D788" s="11"/>
      <c r="E788" t="s">
        <v>703</v>
      </c>
      <c r="F788" s="108" t="s">
        <v>108</v>
      </c>
    </row>
    <row r="789" spans="1:6" x14ac:dyDescent="0.3">
      <c r="A789" s="111">
        <v>46186</v>
      </c>
      <c r="B789" t="s">
        <v>219</v>
      </c>
      <c r="C789" s="11"/>
      <c r="D789" s="11">
        <v>147520</v>
      </c>
      <c r="E789" t="s">
        <v>257</v>
      </c>
      <c r="F789" s="108" t="s">
        <v>108</v>
      </c>
    </row>
    <row r="790" spans="1:6" x14ac:dyDescent="0.3">
      <c r="A790" s="111">
        <v>46186</v>
      </c>
      <c r="B790" t="s">
        <v>298</v>
      </c>
      <c r="C790" s="11">
        <v>30000</v>
      </c>
      <c r="D790" s="11"/>
      <c r="E790" t="s">
        <v>692</v>
      </c>
      <c r="F790" s="108" t="s">
        <v>108</v>
      </c>
    </row>
    <row r="791" spans="1:6" x14ac:dyDescent="0.3">
      <c r="A791" s="111">
        <v>46186</v>
      </c>
      <c r="B791" t="s">
        <v>367</v>
      </c>
      <c r="C791" s="11"/>
      <c r="D791" s="11">
        <v>56000</v>
      </c>
      <c r="E791" t="s">
        <v>704</v>
      </c>
      <c r="F791" s="108" t="s">
        <v>108</v>
      </c>
    </row>
    <row r="792" spans="1:6" x14ac:dyDescent="0.3">
      <c r="A792" s="111">
        <v>46186</v>
      </c>
      <c r="B792" t="s">
        <v>246</v>
      </c>
      <c r="C792" s="11">
        <v>13500</v>
      </c>
      <c r="D792" s="11"/>
      <c r="E792" t="s">
        <v>705</v>
      </c>
      <c r="F792" s="108" t="s">
        <v>108</v>
      </c>
    </row>
    <row r="793" spans="1:6" x14ac:dyDescent="0.3">
      <c r="A793" s="111">
        <v>46187</v>
      </c>
      <c r="B793" t="s">
        <v>488</v>
      </c>
      <c r="C793" s="11">
        <v>2000</v>
      </c>
      <c r="D793" s="11"/>
      <c r="F793" s="108" t="s">
        <v>108</v>
      </c>
    </row>
    <row r="794" spans="1:6" x14ac:dyDescent="0.3">
      <c r="A794" s="111">
        <v>46187</v>
      </c>
      <c r="B794" t="s">
        <v>246</v>
      </c>
      <c r="C794" s="95">
        <v>3500</v>
      </c>
      <c r="D794" s="95"/>
      <c r="F794" s="108" t="s">
        <v>108</v>
      </c>
    </row>
    <row r="795" spans="1:6" x14ac:dyDescent="0.3">
      <c r="A795" s="111">
        <v>46187</v>
      </c>
      <c r="B795" t="s">
        <v>298</v>
      </c>
      <c r="C795" s="11">
        <v>20000</v>
      </c>
      <c r="D795" s="11"/>
      <c r="E795" t="s">
        <v>692</v>
      </c>
      <c r="F795" s="108" t="s">
        <v>108</v>
      </c>
    </row>
    <row r="796" spans="1:6" x14ac:dyDescent="0.3">
      <c r="A796" s="111">
        <v>46187</v>
      </c>
      <c r="B796" t="s">
        <v>357</v>
      </c>
      <c r="C796" s="11">
        <v>17790</v>
      </c>
      <c r="D796" s="11"/>
      <c r="F796" s="108" t="s">
        <v>108</v>
      </c>
    </row>
    <row r="797" spans="1:6" x14ac:dyDescent="0.3">
      <c r="A797" s="111">
        <v>46188</v>
      </c>
      <c r="B797" t="s">
        <v>357</v>
      </c>
      <c r="C797" s="11">
        <v>2580</v>
      </c>
      <c r="D797" s="11"/>
      <c r="F797" s="108" t="s">
        <v>108</v>
      </c>
    </row>
    <row r="798" spans="1:6" x14ac:dyDescent="0.3">
      <c r="A798" s="111">
        <v>46188</v>
      </c>
      <c r="B798" t="s">
        <v>269</v>
      </c>
      <c r="C798" s="11">
        <v>5000</v>
      </c>
      <c r="D798" s="11"/>
      <c r="E798" t="s">
        <v>706</v>
      </c>
      <c r="F798" s="108" t="s">
        <v>108</v>
      </c>
    </row>
    <row r="799" spans="1:6" x14ac:dyDescent="0.3">
      <c r="A799" s="111">
        <v>46188</v>
      </c>
      <c r="B799" t="s">
        <v>219</v>
      </c>
      <c r="C799" s="11"/>
      <c r="D799" s="11">
        <v>5000</v>
      </c>
      <c r="E799" t="s">
        <v>707</v>
      </c>
      <c r="F799" s="108" t="s">
        <v>108</v>
      </c>
    </row>
    <row r="800" spans="1:6" x14ac:dyDescent="0.3">
      <c r="A800" s="111">
        <v>46188</v>
      </c>
      <c r="B800" t="s">
        <v>269</v>
      </c>
      <c r="C800" s="11">
        <v>5000</v>
      </c>
      <c r="D800" s="11"/>
      <c r="E800" t="s">
        <v>288</v>
      </c>
      <c r="F800" s="108" t="s">
        <v>108</v>
      </c>
    </row>
    <row r="801" spans="1:13" x14ac:dyDescent="0.3">
      <c r="A801" s="111">
        <v>46188</v>
      </c>
      <c r="B801" t="s">
        <v>654</v>
      </c>
      <c r="C801" s="11"/>
      <c r="D801" s="11">
        <v>400000</v>
      </c>
      <c r="E801" t="s">
        <v>708</v>
      </c>
      <c r="F801" s="108" t="s">
        <v>108</v>
      </c>
    </row>
    <row r="802" spans="1:13" x14ac:dyDescent="0.3">
      <c r="A802" s="111">
        <v>46188</v>
      </c>
      <c r="B802" t="s">
        <v>219</v>
      </c>
      <c r="C802" s="11">
        <v>400000</v>
      </c>
      <c r="D802" s="11"/>
      <c r="E802" t="s">
        <v>654</v>
      </c>
      <c r="F802" s="108" t="s">
        <v>108</v>
      </c>
    </row>
    <row r="803" spans="1:13" x14ac:dyDescent="0.3">
      <c r="A803" s="111">
        <v>46188</v>
      </c>
      <c r="B803" t="s">
        <v>219</v>
      </c>
      <c r="C803" s="11">
        <v>200000</v>
      </c>
      <c r="D803" s="11"/>
      <c r="E803" t="s">
        <v>709</v>
      </c>
      <c r="F803" s="108" t="s">
        <v>108</v>
      </c>
    </row>
    <row r="804" spans="1:13" x14ac:dyDescent="0.3">
      <c r="A804" s="111">
        <v>46188</v>
      </c>
      <c r="B804" t="s">
        <v>488</v>
      </c>
      <c r="C804" s="11">
        <v>8164</v>
      </c>
      <c r="D804" s="11"/>
      <c r="E804" t="s">
        <v>254</v>
      </c>
      <c r="F804" s="108" t="s">
        <v>108</v>
      </c>
    </row>
    <row r="805" spans="1:13" x14ac:dyDescent="0.3">
      <c r="A805" s="111">
        <v>46188</v>
      </c>
      <c r="B805" t="s">
        <v>211</v>
      </c>
      <c r="C805" s="11">
        <v>1280</v>
      </c>
      <c r="D805" s="11"/>
      <c r="F805" s="108" t="s">
        <v>108</v>
      </c>
    </row>
    <row r="806" spans="1:13" x14ac:dyDescent="0.3">
      <c r="A806" s="111">
        <v>46188</v>
      </c>
      <c r="B806" t="s">
        <v>246</v>
      </c>
      <c r="C806" s="11">
        <v>12000</v>
      </c>
      <c r="D806" s="11"/>
      <c r="E806" t="s">
        <v>282</v>
      </c>
      <c r="F806" s="108" t="s">
        <v>108</v>
      </c>
    </row>
    <row r="807" spans="1:13" x14ac:dyDescent="0.3">
      <c r="A807" s="111">
        <v>46188</v>
      </c>
      <c r="B807" t="s">
        <v>636</v>
      </c>
      <c r="C807" s="11"/>
      <c r="D807" s="11">
        <v>918328</v>
      </c>
      <c r="E807" t="s">
        <v>727</v>
      </c>
      <c r="F807" s="108" t="s">
        <v>108</v>
      </c>
      <c r="I807">
        <f>515000+365000</f>
        <v>880000</v>
      </c>
    </row>
    <row r="808" spans="1:13" x14ac:dyDescent="0.3">
      <c r="A808" s="111">
        <v>46188</v>
      </c>
      <c r="B808" t="s">
        <v>219</v>
      </c>
      <c r="C808" s="11">
        <v>918328</v>
      </c>
      <c r="D808" s="11"/>
      <c r="E808" t="s">
        <v>728</v>
      </c>
      <c r="F808" s="108" t="s">
        <v>108</v>
      </c>
    </row>
    <row r="809" spans="1:13" x14ac:dyDescent="0.3">
      <c r="A809" s="111">
        <v>46189</v>
      </c>
      <c r="B809" t="s">
        <v>219</v>
      </c>
      <c r="C809" s="11"/>
      <c r="D809" s="11">
        <v>280000</v>
      </c>
      <c r="E809" t="s">
        <v>711</v>
      </c>
      <c r="F809" s="108" t="s">
        <v>108</v>
      </c>
      <c r="J809">
        <v>80000</v>
      </c>
      <c r="L809">
        <v>5000</v>
      </c>
      <c r="M809" t="s">
        <v>648</v>
      </c>
    </row>
    <row r="810" spans="1:13" x14ac:dyDescent="0.3">
      <c r="A810" s="111">
        <v>46189</v>
      </c>
      <c r="B810" t="s">
        <v>175</v>
      </c>
      <c r="C810" s="11">
        <v>94500</v>
      </c>
      <c r="D810" s="11"/>
      <c r="E810" t="s">
        <v>713</v>
      </c>
      <c r="F810" s="108" t="s">
        <v>108</v>
      </c>
      <c r="I810">
        <v>24000</v>
      </c>
      <c r="J810">
        <v>10650</v>
      </c>
      <c r="L810">
        <v>5000</v>
      </c>
      <c r="M810" t="s">
        <v>648</v>
      </c>
    </row>
    <row r="811" spans="1:13" x14ac:dyDescent="0.3">
      <c r="A811" s="111">
        <v>46189</v>
      </c>
      <c r="B811" t="s">
        <v>357</v>
      </c>
      <c r="C811" s="11">
        <v>6600</v>
      </c>
      <c r="D811" s="11"/>
      <c r="E811" t="s">
        <v>714</v>
      </c>
      <c r="F811" s="108" t="s">
        <v>108</v>
      </c>
      <c r="I811">
        <v>17200</v>
      </c>
      <c r="J811">
        <v>14800</v>
      </c>
      <c r="L811">
        <v>24000</v>
      </c>
    </row>
    <row r="812" spans="1:13" x14ac:dyDescent="0.3">
      <c r="A812" s="111">
        <v>46189</v>
      </c>
      <c r="B812" t="s">
        <v>219</v>
      </c>
      <c r="C812" s="11"/>
      <c r="D812" s="11">
        <v>84000</v>
      </c>
      <c r="E812" t="s">
        <v>715</v>
      </c>
      <c r="F812" s="108" t="s">
        <v>108</v>
      </c>
      <c r="I812">
        <v>20400</v>
      </c>
      <c r="J812">
        <v>16800</v>
      </c>
      <c r="L812">
        <v>17200</v>
      </c>
    </row>
    <row r="813" spans="1:13" x14ac:dyDescent="0.3">
      <c r="A813" s="111">
        <v>46189</v>
      </c>
      <c r="B813" t="s">
        <v>219</v>
      </c>
      <c r="C813" s="11"/>
      <c r="D813" s="11">
        <v>340000</v>
      </c>
      <c r="E813" t="s">
        <v>109</v>
      </c>
      <c r="F813" s="108" t="s">
        <v>108</v>
      </c>
      <c r="I813">
        <v>17200</v>
      </c>
      <c r="J813">
        <v>35000</v>
      </c>
      <c r="L813">
        <v>20400</v>
      </c>
    </row>
    <row r="814" spans="1:13" x14ac:dyDescent="0.3">
      <c r="A814" s="111">
        <v>46189</v>
      </c>
      <c r="B814" t="s">
        <v>488</v>
      </c>
      <c r="C814" s="11">
        <v>5000</v>
      </c>
      <c r="D814" s="11"/>
      <c r="E814" t="s">
        <v>710</v>
      </c>
      <c r="F814" s="108" t="s">
        <v>108</v>
      </c>
      <c r="I814">
        <v>23200</v>
      </c>
      <c r="J814">
        <v>9350</v>
      </c>
      <c r="L814">
        <v>17200</v>
      </c>
    </row>
    <row r="815" spans="1:13" x14ac:dyDescent="0.3">
      <c r="A815" s="111">
        <v>46189</v>
      </c>
      <c r="B815" t="s">
        <v>253</v>
      </c>
      <c r="C815" s="11">
        <v>17000</v>
      </c>
      <c r="D815" s="11"/>
      <c r="E815" t="s">
        <v>423</v>
      </c>
      <c r="F815" s="108" t="s">
        <v>108</v>
      </c>
      <c r="I815">
        <v>80000</v>
      </c>
      <c r="J815">
        <v>24000</v>
      </c>
      <c r="L815">
        <v>23200</v>
      </c>
    </row>
    <row r="816" spans="1:13" x14ac:dyDescent="0.3">
      <c r="A816" s="111">
        <v>46189</v>
      </c>
      <c r="B816" t="s">
        <v>636</v>
      </c>
      <c r="C816" s="11"/>
      <c r="D816" s="11">
        <v>500000</v>
      </c>
      <c r="E816" t="s">
        <v>716</v>
      </c>
      <c r="F816" s="108" t="s">
        <v>108</v>
      </c>
      <c r="I816">
        <v>35000</v>
      </c>
      <c r="J816">
        <v>14000</v>
      </c>
      <c r="L816">
        <v>80000</v>
      </c>
    </row>
    <row r="817" spans="1:13" x14ac:dyDescent="0.3">
      <c r="A817" s="111">
        <v>46190</v>
      </c>
      <c r="B817" t="s">
        <v>517</v>
      </c>
      <c r="C817" s="11">
        <v>400000</v>
      </c>
      <c r="D817" s="11"/>
      <c r="E817" t="s">
        <v>717</v>
      </c>
      <c r="F817" s="108" t="s">
        <v>108</v>
      </c>
      <c r="I817">
        <v>25000</v>
      </c>
      <c r="J817">
        <v>12800</v>
      </c>
      <c r="L817">
        <v>60000</v>
      </c>
      <c r="M817" t="s">
        <v>722</v>
      </c>
    </row>
    <row r="818" spans="1:13" x14ac:dyDescent="0.3">
      <c r="A818" s="111">
        <v>46190</v>
      </c>
      <c r="B818" t="s">
        <v>357</v>
      </c>
      <c r="C818" s="11">
        <v>2670</v>
      </c>
      <c r="D818" s="11"/>
      <c r="F818" s="108" t="s">
        <v>108</v>
      </c>
      <c r="I818">
        <v>14800</v>
      </c>
      <c r="J818">
        <v>14400</v>
      </c>
      <c r="L818">
        <v>35000</v>
      </c>
    </row>
    <row r="819" spans="1:13" x14ac:dyDescent="0.3">
      <c r="A819" s="111">
        <v>46190</v>
      </c>
      <c r="B819" t="s">
        <v>55</v>
      </c>
      <c r="C819" s="11">
        <v>250</v>
      </c>
      <c r="D819" s="11"/>
      <c r="F819" s="108" t="s">
        <v>108</v>
      </c>
      <c r="I819">
        <v>10400</v>
      </c>
      <c r="J819">
        <v>20400</v>
      </c>
      <c r="L819">
        <v>25000</v>
      </c>
      <c r="M819" t="s">
        <v>723</v>
      </c>
    </row>
    <row r="820" spans="1:13" x14ac:dyDescent="0.3">
      <c r="A820" s="111">
        <v>46190</v>
      </c>
      <c r="B820" t="s">
        <v>55</v>
      </c>
      <c r="C820" s="11">
        <v>34428</v>
      </c>
      <c r="D820" s="11"/>
      <c r="E820" t="s">
        <v>259</v>
      </c>
      <c r="F820" s="108" t="s">
        <v>108</v>
      </c>
      <c r="I820">
        <v>12800</v>
      </c>
      <c r="J820">
        <v>17200</v>
      </c>
      <c r="L820">
        <v>14800</v>
      </c>
    </row>
    <row r="821" spans="1:13" x14ac:dyDescent="0.3">
      <c r="A821" s="111">
        <v>46190</v>
      </c>
      <c r="B821" t="s">
        <v>219</v>
      </c>
      <c r="C821" s="11"/>
      <c r="D821" s="11">
        <v>250000</v>
      </c>
      <c r="E821" t="s">
        <v>718</v>
      </c>
      <c r="F821" s="108" t="s">
        <v>108</v>
      </c>
      <c r="I821">
        <v>16800</v>
      </c>
      <c r="J821">
        <v>11330</v>
      </c>
      <c r="L821">
        <v>10400</v>
      </c>
    </row>
    <row r="822" spans="1:13" x14ac:dyDescent="0.3">
      <c r="A822" s="111">
        <v>46190</v>
      </c>
      <c r="B822" t="s">
        <v>211</v>
      </c>
      <c r="C822" s="11"/>
      <c r="D822" s="11">
        <v>740</v>
      </c>
      <c r="F822" s="108" t="s">
        <v>108</v>
      </c>
      <c r="I822">
        <v>9350</v>
      </c>
      <c r="J822">
        <v>55000</v>
      </c>
      <c r="L822">
        <v>12800</v>
      </c>
    </row>
    <row r="823" spans="1:13" x14ac:dyDescent="0.3">
      <c r="A823" s="111">
        <v>46190</v>
      </c>
      <c r="B823" t="s">
        <v>488</v>
      </c>
      <c r="C823" s="11">
        <v>740</v>
      </c>
      <c r="D823" s="11"/>
      <c r="E823" t="s">
        <v>541</v>
      </c>
      <c r="F823" s="108" t="s">
        <v>108</v>
      </c>
      <c r="I823">
        <v>10650</v>
      </c>
      <c r="J823">
        <v>30000</v>
      </c>
      <c r="L823">
        <v>16800</v>
      </c>
    </row>
    <row r="824" spans="1:13" x14ac:dyDescent="0.3">
      <c r="A824" s="111">
        <v>46190</v>
      </c>
      <c r="B824" t="s">
        <v>269</v>
      </c>
      <c r="C824" s="11"/>
      <c r="D824" s="11"/>
      <c r="E824" t="s">
        <v>719</v>
      </c>
      <c r="F824" s="108" t="s">
        <v>108</v>
      </c>
      <c r="I824">
        <v>14000</v>
      </c>
      <c r="J824">
        <v>10400</v>
      </c>
      <c r="L824">
        <v>9350</v>
      </c>
    </row>
    <row r="825" spans="1:13" x14ac:dyDescent="0.3">
      <c r="A825" s="111">
        <v>46190</v>
      </c>
      <c r="B825" t="s">
        <v>269</v>
      </c>
      <c r="C825" s="11">
        <v>2000</v>
      </c>
      <c r="D825" s="11"/>
      <c r="E825" t="s">
        <v>538</v>
      </c>
      <c r="F825" s="108" t="s">
        <v>108</v>
      </c>
      <c r="I825">
        <v>14400</v>
      </c>
      <c r="J825">
        <v>8000</v>
      </c>
      <c r="K825" t="s">
        <v>720</v>
      </c>
      <c r="L825">
        <v>10650</v>
      </c>
    </row>
    <row r="826" spans="1:13" x14ac:dyDescent="0.3">
      <c r="A826" s="111">
        <v>46190</v>
      </c>
      <c r="B826" t="s">
        <v>211</v>
      </c>
      <c r="C826" s="11">
        <v>10000</v>
      </c>
      <c r="D826" s="11"/>
      <c r="F826" s="108" t="s">
        <v>108</v>
      </c>
      <c r="I826">
        <v>25000</v>
      </c>
      <c r="J826">
        <v>13300</v>
      </c>
      <c r="L826">
        <v>14000</v>
      </c>
    </row>
    <row r="827" spans="1:13" x14ac:dyDescent="0.3">
      <c r="A827" s="111">
        <v>46190</v>
      </c>
      <c r="B827" t="s">
        <v>488</v>
      </c>
      <c r="C827" s="11">
        <v>5000</v>
      </c>
      <c r="D827" s="11"/>
      <c r="F827" s="108" t="s">
        <v>108</v>
      </c>
      <c r="I827">
        <v>16660</v>
      </c>
      <c r="J827">
        <v>23200</v>
      </c>
      <c r="L827">
        <v>14400</v>
      </c>
    </row>
    <row r="828" spans="1:13" x14ac:dyDescent="0.3">
      <c r="A828" s="111">
        <v>46190</v>
      </c>
      <c r="B828" t="s">
        <v>298</v>
      </c>
      <c r="C828" s="11">
        <v>5000</v>
      </c>
      <c r="D828" s="11"/>
      <c r="E828" t="s">
        <v>692</v>
      </c>
      <c r="F828" s="108" t="s">
        <v>108</v>
      </c>
      <c r="I828">
        <v>16660</v>
      </c>
      <c r="J828">
        <v>17200</v>
      </c>
      <c r="L828">
        <v>25000</v>
      </c>
    </row>
    <row r="829" spans="1:13" x14ac:dyDescent="0.3">
      <c r="A829" s="111">
        <v>46190</v>
      </c>
      <c r="B829" t="s">
        <v>244</v>
      </c>
      <c r="C829" s="11">
        <v>2000</v>
      </c>
      <c r="D829" s="11"/>
      <c r="E829" t="s">
        <v>688</v>
      </c>
      <c r="F829" s="108" t="s">
        <v>108</v>
      </c>
      <c r="I829">
        <v>16660</v>
      </c>
      <c r="J829">
        <v>50000</v>
      </c>
      <c r="L829">
        <v>16660</v>
      </c>
    </row>
    <row r="830" spans="1:13" x14ac:dyDescent="0.3">
      <c r="A830" s="111">
        <v>46190</v>
      </c>
      <c r="B830" t="s">
        <v>269</v>
      </c>
      <c r="C830" s="11">
        <v>13333</v>
      </c>
      <c r="D830" s="11"/>
      <c r="E830" t="s">
        <v>761</v>
      </c>
      <c r="F830" s="108" t="s">
        <v>108</v>
      </c>
      <c r="I830">
        <v>11330</v>
      </c>
      <c r="J830">
        <v>10000</v>
      </c>
      <c r="L830">
        <v>16660</v>
      </c>
    </row>
    <row r="831" spans="1:13" x14ac:dyDescent="0.3">
      <c r="A831" s="111">
        <v>46190</v>
      </c>
      <c r="B831" t="s">
        <v>253</v>
      </c>
      <c r="C831" s="11">
        <f>848360-13333</f>
        <v>835027</v>
      </c>
      <c r="D831" s="11"/>
      <c r="F831" s="108" t="s">
        <v>108</v>
      </c>
      <c r="I831">
        <v>6350</v>
      </c>
      <c r="J831">
        <v>5000</v>
      </c>
      <c r="K831" t="s">
        <v>721</v>
      </c>
      <c r="L831">
        <v>11330</v>
      </c>
    </row>
    <row r="832" spans="1:13" x14ac:dyDescent="0.3">
      <c r="A832" s="111">
        <v>46190</v>
      </c>
      <c r="B832" t="s">
        <v>211</v>
      </c>
      <c r="C832" s="11">
        <v>1000</v>
      </c>
      <c r="D832" s="11"/>
      <c r="F832" s="108" t="s">
        <v>108</v>
      </c>
      <c r="I832">
        <v>21350</v>
      </c>
      <c r="L832">
        <v>16660</v>
      </c>
    </row>
    <row r="833" spans="1:13" x14ac:dyDescent="0.3">
      <c r="A833" s="111">
        <v>46190</v>
      </c>
      <c r="B833" t="s">
        <v>244</v>
      </c>
      <c r="C833" s="11"/>
      <c r="D833" s="11"/>
      <c r="F833" s="108" t="s">
        <v>108</v>
      </c>
      <c r="I833">
        <v>25000</v>
      </c>
      <c r="L833">
        <v>6350</v>
      </c>
    </row>
    <row r="834" spans="1:13" x14ac:dyDescent="0.3">
      <c r="A834" s="111">
        <v>46192</v>
      </c>
      <c r="B834" t="s">
        <v>211</v>
      </c>
      <c r="C834" s="11">
        <v>1000</v>
      </c>
      <c r="D834" s="11"/>
      <c r="F834" s="108" t="s">
        <v>108</v>
      </c>
      <c r="I834">
        <v>55000</v>
      </c>
      <c r="L834">
        <v>21350</v>
      </c>
    </row>
    <row r="835" spans="1:13" x14ac:dyDescent="0.3">
      <c r="A835" s="111">
        <v>46192</v>
      </c>
      <c r="B835" t="s">
        <v>219</v>
      </c>
      <c r="C835" s="11"/>
      <c r="D835" s="11">
        <v>70250</v>
      </c>
      <c r="E835" t="s">
        <v>568</v>
      </c>
      <c r="F835" s="108" t="s">
        <v>108</v>
      </c>
      <c r="I835">
        <v>30000</v>
      </c>
      <c r="L835">
        <v>25000</v>
      </c>
    </row>
    <row r="836" spans="1:13" x14ac:dyDescent="0.3">
      <c r="A836" s="111">
        <v>46192</v>
      </c>
      <c r="B836" t="s">
        <v>175</v>
      </c>
      <c r="C836" s="11">
        <v>70250</v>
      </c>
      <c r="D836" s="11"/>
      <c r="E836" t="s">
        <v>730</v>
      </c>
      <c r="F836" s="108" t="s">
        <v>108</v>
      </c>
      <c r="I836">
        <v>13350</v>
      </c>
      <c r="L836">
        <v>55000</v>
      </c>
    </row>
    <row r="837" spans="1:13" x14ac:dyDescent="0.3">
      <c r="A837" s="111">
        <v>46192</v>
      </c>
      <c r="B837" t="s">
        <v>357</v>
      </c>
      <c r="C837" s="11">
        <v>6600</v>
      </c>
      <c r="D837" s="11"/>
      <c r="E837" t="s">
        <v>731</v>
      </c>
      <c r="F837" s="108" t="s">
        <v>108</v>
      </c>
      <c r="I837">
        <v>26650</v>
      </c>
      <c r="L837">
        <v>30000</v>
      </c>
    </row>
    <row r="838" spans="1:13" x14ac:dyDescent="0.3">
      <c r="A838" s="111">
        <v>46192</v>
      </c>
      <c r="B838" t="s">
        <v>219</v>
      </c>
      <c r="C838" s="11"/>
      <c r="D838" s="11">
        <v>150000</v>
      </c>
      <c r="E838" t="s">
        <v>109</v>
      </c>
      <c r="F838" s="108" t="s">
        <v>108</v>
      </c>
      <c r="I838">
        <v>9000</v>
      </c>
      <c r="L838">
        <v>13350</v>
      </c>
    </row>
    <row r="839" spans="1:13" x14ac:dyDescent="0.3">
      <c r="A839" s="111">
        <v>46192</v>
      </c>
      <c r="B839" t="s">
        <v>253</v>
      </c>
      <c r="C839" s="11">
        <v>10000</v>
      </c>
      <c r="D839" s="11"/>
      <c r="E839" t="s">
        <v>732</v>
      </c>
      <c r="F839" s="108" t="s">
        <v>108</v>
      </c>
      <c r="I839">
        <v>9000</v>
      </c>
      <c r="L839">
        <v>26700</v>
      </c>
    </row>
    <row r="840" spans="1:13" x14ac:dyDescent="0.3">
      <c r="A840" s="111">
        <v>46192</v>
      </c>
      <c r="B840" t="s">
        <v>253</v>
      </c>
      <c r="C840" s="11">
        <v>60000</v>
      </c>
      <c r="D840" s="11"/>
      <c r="E840" t="s">
        <v>733</v>
      </c>
      <c r="F840" s="108" t="s">
        <v>108</v>
      </c>
      <c r="I840">
        <f>50000+75500</f>
        <v>125500</v>
      </c>
      <c r="L840">
        <v>9000</v>
      </c>
    </row>
    <row r="841" spans="1:13" x14ac:dyDescent="0.3">
      <c r="A841" s="111">
        <v>46192</v>
      </c>
      <c r="B841" t="s">
        <v>253</v>
      </c>
      <c r="C841" s="11">
        <v>50000</v>
      </c>
      <c r="D841" s="11"/>
      <c r="E841" t="s">
        <v>734</v>
      </c>
      <c r="F841" s="108" t="s">
        <v>108</v>
      </c>
      <c r="L841">
        <v>9000</v>
      </c>
    </row>
    <row r="842" spans="1:13" x14ac:dyDescent="0.3">
      <c r="A842" s="111">
        <v>46192</v>
      </c>
      <c r="B842" s="19" t="s">
        <v>253</v>
      </c>
      <c r="C842" s="20">
        <v>50000</v>
      </c>
      <c r="D842" s="11"/>
      <c r="E842" t="s">
        <v>288</v>
      </c>
      <c r="F842" s="108" t="s">
        <v>108</v>
      </c>
      <c r="L842">
        <v>125500</v>
      </c>
    </row>
    <row r="843" spans="1:13" x14ac:dyDescent="0.3">
      <c r="A843" s="111">
        <v>46192</v>
      </c>
      <c r="B843" t="s">
        <v>211</v>
      </c>
      <c r="C843" s="11"/>
      <c r="D843" s="11">
        <v>10000</v>
      </c>
      <c r="E843" t="s">
        <v>271</v>
      </c>
      <c r="F843" s="108" t="s">
        <v>108</v>
      </c>
      <c r="L843">
        <v>8000</v>
      </c>
      <c r="M843" t="s">
        <v>602</v>
      </c>
    </row>
    <row r="844" spans="1:13" x14ac:dyDescent="0.3">
      <c r="A844" s="111">
        <v>46192</v>
      </c>
      <c r="B844" t="s">
        <v>55</v>
      </c>
      <c r="C844" s="11">
        <v>3300</v>
      </c>
      <c r="D844" s="11"/>
      <c r="F844" s="108" t="s">
        <v>108</v>
      </c>
      <c r="L844">
        <v>25600</v>
      </c>
      <c r="M844" t="s">
        <v>721</v>
      </c>
    </row>
    <row r="845" spans="1:13" x14ac:dyDescent="0.3">
      <c r="A845" s="111">
        <v>46192</v>
      </c>
      <c r="B845" t="s">
        <v>219</v>
      </c>
      <c r="C845" s="95"/>
      <c r="D845" s="95">
        <v>3900</v>
      </c>
      <c r="E845" t="s">
        <v>735</v>
      </c>
      <c r="F845" s="108" t="s">
        <v>108</v>
      </c>
      <c r="L845">
        <v>2000</v>
      </c>
      <c r="M845" t="s">
        <v>244</v>
      </c>
    </row>
    <row r="846" spans="1:13" x14ac:dyDescent="0.3">
      <c r="A846" s="38">
        <v>46192</v>
      </c>
      <c r="B846" t="s">
        <v>244</v>
      </c>
      <c r="C846" s="95">
        <v>2400</v>
      </c>
      <c r="D846" s="95"/>
      <c r="E846" t="s">
        <v>736</v>
      </c>
      <c r="F846" s="108" t="s">
        <v>108</v>
      </c>
      <c r="L846">
        <v>1000</v>
      </c>
      <c r="M846" t="s">
        <v>211</v>
      </c>
    </row>
    <row r="847" spans="1:13" x14ac:dyDescent="0.3">
      <c r="A847" s="38">
        <v>46192</v>
      </c>
      <c r="B847" t="s">
        <v>753</v>
      </c>
      <c r="C847" s="95"/>
      <c r="D847" s="95">
        <v>495000</v>
      </c>
      <c r="E847" t="s">
        <v>109</v>
      </c>
      <c r="F847" s="108" t="s">
        <v>108</v>
      </c>
      <c r="L847">
        <v>5000</v>
      </c>
      <c r="M847" t="s">
        <v>237</v>
      </c>
    </row>
    <row r="848" spans="1:13" x14ac:dyDescent="0.3">
      <c r="A848" s="38">
        <v>46192</v>
      </c>
      <c r="B848" t="s">
        <v>219</v>
      </c>
      <c r="C848" s="95">
        <v>495000</v>
      </c>
      <c r="D848" s="95"/>
      <c r="E848" t="s">
        <v>753</v>
      </c>
      <c r="F848" s="108" t="s">
        <v>108</v>
      </c>
    </row>
    <row r="849" spans="1:6" x14ac:dyDescent="0.3">
      <c r="A849" s="38">
        <v>46193</v>
      </c>
      <c r="B849" t="s">
        <v>219</v>
      </c>
      <c r="C849" s="95"/>
      <c r="D849" s="95">
        <v>50000</v>
      </c>
      <c r="E849" t="s">
        <v>737</v>
      </c>
      <c r="F849" s="108" t="s">
        <v>108</v>
      </c>
    </row>
    <row r="850" spans="1:6" x14ac:dyDescent="0.3">
      <c r="A850" s="38">
        <v>46193</v>
      </c>
      <c r="B850" t="s">
        <v>116</v>
      </c>
      <c r="C850" s="95">
        <v>18500</v>
      </c>
      <c r="D850" s="95"/>
      <c r="E850" t="s">
        <v>163</v>
      </c>
      <c r="F850" s="108" t="s">
        <v>108</v>
      </c>
    </row>
    <row r="851" spans="1:6" x14ac:dyDescent="0.3">
      <c r="A851" s="38">
        <v>46193</v>
      </c>
      <c r="B851" t="s">
        <v>55</v>
      </c>
      <c r="C851" s="95">
        <v>12500</v>
      </c>
      <c r="D851" s="95"/>
      <c r="E851" t="s">
        <v>738</v>
      </c>
      <c r="F851" s="108" t="s">
        <v>108</v>
      </c>
    </row>
    <row r="852" spans="1:6" x14ac:dyDescent="0.3">
      <c r="A852" s="38">
        <v>46193</v>
      </c>
      <c r="B852" t="s">
        <v>55</v>
      </c>
      <c r="C852" s="95">
        <v>1200</v>
      </c>
      <c r="D852" s="95"/>
      <c r="E852" t="s">
        <v>739</v>
      </c>
      <c r="F852" s="108" t="s">
        <v>108</v>
      </c>
    </row>
    <row r="853" spans="1:6" x14ac:dyDescent="0.3">
      <c r="A853" s="38">
        <v>46193</v>
      </c>
      <c r="B853" t="s">
        <v>244</v>
      </c>
      <c r="C853" s="95">
        <v>5000</v>
      </c>
      <c r="D853" s="95"/>
      <c r="E853" t="s">
        <v>740</v>
      </c>
      <c r="F853" s="108" t="s">
        <v>108</v>
      </c>
    </row>
    <row r="854" spans="1:6" x14ac:dyDescent="0.3">
      <c r="A854" s="38">
        <v>46193</v>
      </c>
      <c r="B854" t="s">
        <v>55</v>
      </c>
      <c r="C854" s="95">
        <v>750</v>
      </c>
      <c r="D854" s="95"/>
      <c r="F854" s="108" t="s">
        <v>108</v>
      </c>
    </row>
    <row r="855" spans="1:6" x14ac:dyDescent="0.3">
      <c r="A855" s="38">
        <v>46193</v>
      </c>
      <c r="B855" t="s">
        <v>219</v>
      </c>
      <c r="C855" s="95"/>
      <c r="D855" s="95">
        <v>100000</v>
      </c>
      <c r="E855" t="s">
        <v>741</v>
      </c>
      <c r="F855" s="108" t="s">
        <v>108</v>
      </c>
    </row>
    <row r="856" spans="1:6" x14ac:dyDescent="0.3">
      <c r="A856" s="38">
        <v>46193</v>
      </c>
      <c r="B856" t="s">
        <v>331</v>
      </c>
      <c r="C856" s="95">
        <v>50000</v>
      </c>
      <c r="D856" s="95"/>
      <c r="E856" t="s">
        <v>742</v>
      </c>
      <c r="F856" s="108" t="s">
        <v>108</v>
      </c>
    </row>
    <row r="857" spans="1:6" x14ac:dyDescent="0.3">
      <c r="A857" s="38">
        <v>46193</v>
      </c>
      <c r="B857" t="s">
        <v>743</v>
      </c>
      <c r="C857" s="11">
        <v>50000</v>
      </c>
      <c r="D857" s="11"/>
      <c r="E857" t="s">
        <v>744</v>
      </c>
      <c r="F857" s="108" t="s">
        <v>108</v>
      </c>
    </row>
    <row r="858" spans="1:6" x14ac:dyDescent="0.3">
      <c r="A858" s="38">
        <v>46193</v>
      </c>
      <c r="B858" t="s">
        <v>488</v>
      </c>
      <c r="C858" s="95">
        <v>5000</v>
      </c>
      <c r="D858" s="95"/>
      <c r="E858" t="s">
        <v>254</v>
      </c>
      <c r="F858" s="108" t="s">
        <v>108</v>
      </c>
    </row>
    <row r="859" spans="1:6" x14ac:dyDescent="0.3">
      <c r="A859" s="38">
        <v>46193</v>
      </c>
      <c r="B859" t="s">
        <v>219</v>
      </c>
      <c r="C859" s="95"/>
      <c r="D859" s="95">
        <v>15000</v>
      </c>
      <c r="E859" t="s">
        <v>745</v>
      </c>
      <c r="F859" s="108" t="s">
        <v>108</v>
      </c>
    </row>
    <row r="860" spans="1:6" x14ac:dyDescent="0.3">
      <c r="A860" s="38">
        <v>46193</v>
      </c>
      <c r="B860" t="s">
        <v>253</v>
      </c>
      <c r="C860" s="95">
        <v>15000</v>
      </c>
      <c r="D860" s="95"/>
      <c r="E860" t="s">
        <v>288</v>
      </c>
      <c r="F860" s="108" t="s">
        <v>108</v>
      </c>
    </row>
    <row r="861" spans="1:6" x14ac:dyDescent="0.3">
      <c r="A861" s="38">
        <v>46193</v>
      </c>
      <c r="B861" t="s">
        <v>219</v>
      </c>
      <c r="C861" s="95"/>
      <c r="D861" s="95">
        <v>100000</v>
      </c>
      <c r="E861" t="s">
        <v>746</v>
      </c>
      <c r="F861" s="108" t="s">
        <v>108</v>
      </c>
    </row>
    <row r="862" spans="1:6" x14ac:dyDescent="0.3">
      <c r="A862" s="38">
        <v>46193</v>
      </c>
      <c r="B862" t="s">
        <v>253</v>
      </c>
      <c r="C862" s="95">
        <v>100000</v>
      </c>
      <c r="D862" s="95"/>
      <c r="E862" t="s">
        <v>747</v>
      </c>
      <c r="F862" s="108" t="s">
        <v>108</v>
      </c>
    </row>
    <row r="863" spans="1:6" x14ac:dyDescent="0.3">
      <c r="A863" s="38">
        <v>46194</v>
      </c>
      <c r="B863" t="s">
        <v>219</v>
      </c>
      <c r="C863" s="95"/>
      <c r="D863" s="95">
        <v>15000</v>
      </c>
      <c r="E863" t="s">
        <v>748</v>
      </c>
      <c r="F863" s="108" t="s">
        <v>108</v>
      </c>
    </row>
    <row r="864" spans="1:6" x14ac:dyDescent="0.3">
      <c r="A864" s="38">
        <v>46194</v>
      </c>
      <c r="B864" t="s">
        <v>211</v>
      </c>
      <c r="C864" s="95">
        <f>1152+2081+660</f>
        <v>3893</v>
      </c>
      <c r="D864" s="95"/>
      <c r="F864" s="108" t="s">
        <v>108</v>
      </c>
    </row>
    <row r="865" spans="1:6" x14ac:dyDescent="0.3">
      <c r="A865" s="38">
        <v>46194</v>
      </c>
      <c r="B865" t="s">
        <v>55</v>
      </c>
      <c r="C865" s="95">
        <v>9396</v>
      </c>
      <c r="D865" s="95"/>
      <c r="E865" t="s">
        <v>259</v>
      </c>
      <c r="F865" s="108" t="s">
        <v>108</v>
      </c>
    </row>
    <row r="866" spans="1:6" x14ac:dyDescent="0.3">
      <c r="A866" s="38">
        <v>46194</v>
      </c>
      <c r="B866" t="s">
        <v>219</v>
      </c>
      <c r="C866" s="95"/>
      <c r="D866" s="95">
        <v>9396</v>
      </c>
      <c r="E866" t="s">
        <v>259</v>
      </c>
      <c r="F866" s="108" t="s">
        <v>108</v>
      </c>
    </row>
    <row r="867" spans="1:6" x14ac:dyDescent="0.3">
      <c r="A867" s="38">
        <v>46195</v>
      </c>
      <c r="B867" t="s">
        <v>55</v>
      </c>
      <c r="C867" s="95">
        <v>3910</v>
      </c>
      <c r="D867" s="95"/>
      <c r="E867" t="s">
        <v>749</v>
      </c>
      <c r="F867" s="108" t="s">
        <v>108</v>
      </c>
    </row>
    <row r="868" spans="1:6" x14ac:dyDescent="0.3">
      <c r="A868" s="38">
        <v>46195</v>
      </c>
      <c r="B868" t="s">
        <v>219</v>
      </c>
      <c r="C868" s="95"/>
      <c r="D868" s="95">
        <v>3910</v>
      </c>
      <c r="E868" t="s">
        <v>272</v>
      </c>
      <c r="F868" s="108" t="s">
        <v>108</v>
      </c>
    </row>
    <row r="869" spans="1:6" x14ac:dyDescent="0.3">
      <c r="A869" s="38">
        <v>46195</v>
      </c>
      <c r="B869" t="s">
        <v>55</v>
      </c>
      <c r="C869" s="95">
        <v>250</v>
      </c>
      <c r="D869" s="95"/>
      <c r="F869" s="108" t="s">
        <v>108</v>
      </c>
    </row>
    <row r="870" spans="1:6" x14ac:dyDescent="0.3">
      <c r="A870" s="38">
        <v>46195</v>
      </c>
      <c r="B870" t="s">
        <v>488</v>
      </c>
      <c r="C870" s="95">
        <v>4804</v>
      </c>
      <c r="D870" s="95"/>
      <c r="E870" t="s">
        <v>750</v>
      </c>
      <c r="F870" s="108" t="s">
        <v>108</v>
      </c>
    </row>
    <row r="871" spans="1:6" x14ac:dyDescent="0.3">
      <c r="A871" s="38">
        <v>46195</v>
      </c>
      <c r="B871" t="s">
        <v>55</v>
      </c>
      <c r="C871" s="95">
        <v>1000</v>
      </c>
      <c r="D871" s="95"/>
      <c r="F871" s="108" t="s">
        <v>108</v>
      </c>
    </row>
    <row r="872" spans="1:6" x14ac:dyDescent="0.3">
      <c r="A872" s="38">
        <v>46195</v>
      </c>
      <c r="B872" t="s">
        <v>219</v>
      </c>
      <c r="C872" s="95"/>
      <c r="D872" s="95">
        <v>248500</v>
      </c>
      <c r="E872" t="s">
        <v>751</v>
      </c>
      <c r="F872" s="108" t="s">
        <v>108</v>
      </c>
    </row>
    <row r="873" spans="1:6" x14ac:dyDescent="0.3">
      <c r="A873" s="38">
        <v>46195</v>
      </c>
      <c r="B873" t="s">
        <v>219</v>
      </c>
      <c r="C873" s="95"/>
      <c r="D873" s="95">
        <v>275000</v>
      </c>
      <c r="E873" t="s">
        <v>752</v>
      </c>
      <c r="F873" s="108" t="s">
        <v>108</v>
      </c>
    </row>
    <row r="874" spans="1:6" x14ac:dyDescent="0.3">
      <c r="A874" s="38">
        <v>46195</v>
      </c>
      <c r="B874" t="s">
        <v>753</v>
      </c>
      <c r="C874" s="95"/>
      <c r="D874" s="95">
        <v>500000</v>
      </c>
      <c r="E874" t="s">
        <v>109</v>
      </c>
      <c r="F874" s="108" t="s">
        <v>108</v>
      </c>
    </row>
    <row r="875" spans="1:6" x14ac:dyDescent="0.3">
      <c r="A875" s="38">
        <v>46195</v>
      </c>
      <c r="B875" t="s">
        <v>219</v>
      </c>
      <c r="C875" s="95"/>
      <c r="D875" s="95">
        <v>545000</v>
      </c>
      <c r="E875" t="s">
        <v>109</v>
      </c>
      <c r="F875" s="108" t="s">
        <v>108</v>
      </c>
    </row>
    <row r="876" spans="1:6" x14ac:dyDescent="0.3">
      <c r="A876" s="38">
        <v>46195</v>
      </c>
      <c r="B876" t="s">
        <v>51</v>
      </c>
      <c r="C876" s="95">
        <v>1440059</v>
      </c>
      <c r="D876" s="95"/>
      <c r="E876" t="s">
        <v>754</v>
      </c>
      <c r="F876" s="108" t="s">
        <v>108</v>
      </c>
    </row>
    <row r="877" spans="1:6" x14ac:dyDescent="0.3">
      <c r="A877" s="38">
        <v>46195</v>
      </c>
      <c r="B877" t="s">
        <v>55</v>
      </c>
      <c r="C877" s="95">
        <v>800</v>
      </c>
      <c r="D877" s="95"/>
      <c r="E877" t="s">
        <v>755</v>
      </c>
      <c r="F877" s="108" t="s">
        <v>108</v>
      </c>
    </row>
    <row r="878" spans="1:6" x14ac:dyDescent="0.3">
      <c r="A878" s="38">
        <v>46195</v>
      </c>
      <c r="B878" t="s">
        <v>298</v>
      </c>
      <c r="C878" s="95">
        <v>15000</v>
      </c>
      <c r="D878" s="95"/>
      <c r="E878" t="s">
        <v>692</v>
      </c>
      <c r="F878" s="108" t="s">
        <v>108</v>
      </c>
    </row>
    <row r="879" spans="1:6" x14ac:dyDescent="0.3">
      <c r="A879" s="38">
        <v>46195</v>
      </c>
      <c r="B879" t="s">
        <v>357</v>
      </c>
      <c r="C879" s="95">
        <v>2400</v>
      </c>
      <c r="D879" s="95"/>
      <c r="E879" t="s">
        <v>535</v>
      </c>
      <c r="F879" s="108" t="s">
        <v>108</v>
      </c>
    </row>
    <row r="880" spans="1:6" x14ac:dyDescent="0.3">
      <c r="A880" s="38">
        <v>46195</v>
      </c>
      <c r="B880" t="s">
        <v>488</v>
      </c>
      <c r="C880" s="95">
        <v>5000</v>
      </c>
      <c r="D880" s="95"/>
      <c r="E880" t="s">
        <v>710</v>
      </c>
      <c r="F880" s="108" t="s">
        <v>108</v>
      </c>
    </row>
    <row r="881" spans="1:11" x14ac:dyDescent="0.3">
      <c r="A881" s="38">
        <v>46195</v>
      </c>
      <c r="B881" t="s">
        <v>253</v>
      </c>
      <c r="C881" s="95">
        <v>86333</v>
      </c>
      <c r="D881" s="95"/>
      <c r="E881" t="s">
        <v>747</v>
      </c>
      <c r="F881" s="108" t="s">
        <v>108</v>
      </c>
    </row>
    <row r="882" spans="1:11" x14ac:dyDescent="0.3">
      <c r="A882" s="38">
        <v>46195</v>
      </c>
      <c r="B882" t="s">
        <v>246</v>
      </c>
      <c r="C882" s="95">
        <f>5000+2200</f>
        <v>7200</v>
      </c>
      <c r="D882" s="95"/>
      <c r="E882" t="s">
        <v>756</v>
      </c>
      <c r="F882" s="108" t="s">
        <v>108</v>
      </c>
    </row>
    <row r="883" spans="1:11" x14ac:dyDescent="0.3">
      <c r="A883" s="38">
        <v>46195</v>
      </c>
      <c r="B883" t="s">
        <v>244</v>
      </c>
      <c r="C883" s="95">
        <v>2000</v>
      </c>
      <c r="D883" s="95"/>
      <c r="E883" t="s">
        <v>757</v>
      </c>
      <c r="F883" s="108" t="s">
        <v>108</v>
      </c>
    </row>
    <row r="884" spans="1:11" x14ac:dyDescent="0.3">
      <c r="A884" s="38">
        <v>46195</v>
      </c>
      <c r="B884" t="s">
        <v>500</v>
      </c>
      <c r="C884" s="95"/>
      <c r="D884" s="95">
        <v>300000</v>
      </c>
      <c r="E884" t="s">
        <v>109</v>
      </c>
      <c r="F884" s="108" t="s">
        <v>108</v>
      </c>
    </row>
    <row r="885" spans="1:11" x14ac:dyDescent="0.3">
      <c r="A885" s="38">
        <v>46195</v>
      </c>
      <c r="B885" t="s">
        <v>666</v>
      </c>
      <c r="C885" s="95"/>
      <c r="D885" s="95">
        <v>100000</v>
      </c>
      <c r="E885" t="s">
        <v>109</v>
      </c>
      <c r="F885" s="108" t="s">
        <v>108</v>
      </c>
    </row>
    <row r="886" spans="1:11" x14ac:dyDescent="0.3">
      <c r="A886" s="38">
        <v>46195</v>
      </c>
      <c r="B886" t="s">
        <v>219</v>
      </c>
      <c r="C886" s="95">
        <v>300000</v>
      </c>
      <c r="D886" s="11"/>
      <c r="E886" t="s">
        <v>500</v>
      </c>
      <c r="F886" s="108" t="s">
        <v>108</v>
      </c>
    </row>
    <row r="887" spans="1:11" x14ac:dyDescent="0.3">
      <c r="A887" s="38">
        <v>46195</v>
      </c>
      <c r="B887" t="s">
        <v>219</v>
      </c>
      <c r="C887" s="95">
        <v>100000</v>
      </c>
      <c r="D887" s="11"/>
      <c r="E887" t="s">
        <v>666</v>
      </c>
      <c r="F887" s="108" t="s">
        <v>108</v>
      </c>
    </row>
    <row r="888" spans="1:11" x14ac:dyDescent="0.3">
      <c r="A888" s="38">
        <v>46195</v>
      </c>
      <c r="B888" t="s">
        <v>219</v>
      </c>
      <c r="C888" s="95"/>
      <c r="D888" s="95">
        <v>200000</v>
      </c>
      <c r="E888" t="s">
        <v>758</v>
      </c>
      <c r="F888" s="108" t="s">
        <v>108</v>
      </c>
    </row>
    <row r="889" spans="1:11" x14ac:dyDescent="0.3">
      <c r="A889" s="38">
        <v>46195</v>
      </c>
      <c r="B889" t="s">
        <v>115</v>
      </c>
      <c r="C889" s="95">
        <v>200000</v>
      </c>
      <c r="D889" s="95"/>
      <c r="E889" t="s">
        <v>759</v>
      </c>
      <c r="F889" s="108" t="s">
        <v>108</v>
      </c>
    </row>
    <row r="890" spans="1:11" x14ac:dyDescent="0.3">
      <c r="A890" s="38">
        <v>46195</v>
      </c>
      <c r="B890" t="s">
        <v>55</v>
      </c>
      <c r="C890" s="95">
        <v>500</v>
      </c>
      <c r="D890" s="95"/>
      <c r="F890" s="108" t="s">
        <v>108</v>
      </c>
    </row>
    <row r="891" spans="1:11" x14ac:dyDescent="0.3">
      <c r="A891" s="38">
        <v>46196</v>
      </c>
      <c r="B891" t="s">
        <v>116</v>
      </c>
      <c r="C891" s="11">
        <v>18500</v>
      </c>
      <c r="D891" s="11"/>
      <c r="E891" t="s">
        <v>163</v>
      </c>
      <c r="F891" s="108" t="s">
        <v>108</v>
      </c>
    </row>
    <row r="892" spans="1:11" x14ac:dyDescent="0.3">
      <c r="A892" s="38">
        <v>46196</v>
      </c>
      <c r="B892" t="s">
        <v>219</v>
      </c>
      <c r="C892" s="11"/>
      <c r="D892" s="11">
        <v>18500</v>
      </c>
      <c r="E892" t="s">
        <v>163</v>
      </c>
      <c r="F892" s="108" t="s">
        <v>108</v>
      </c>
    </row>
    <row r="893" spans="1:11" x14ac:dyDescent="0.3">
      <c r="A893" s="111">
        <v>46196</v>
      </c>
      <c r="B893" t="s">
        <v>244</v>
      </c>
      <c r="C893" s="11">
        <v>5640</v>
      </c>
      <c r="D893" s="11"/>
      <c r="E893" t="s">
        <v>762</v>
      </c>
      <c r="F893" s="108" t="s">
        <v>108</v>
      </c>
    </row>
    <row r="894" spans="1:11" x14ac:dyDescent="0.3">
      <c r="A894" s="111">
        <v>46196</v>
      </c>
      <c r="B894" t="s">
        <v>175</v>
      </c>
      <c r="C894" s="11">
        <v>27000</v>
      </c>
      <c r="D894" s="11"/>
      <c r="E894" t="s">
        <v>763</v>
      </c>
      <c r="F894" s="108" t="s">
        <v>108</v>
      </c>
    </row>
    <row r="895" spans="1:11" x14ac:dyDescent="0.3">
      <c r="A895" s="111">
        <v>46196</v>
      </c>
      <c r="B895" t="s">
        <v>219</v>
      </c>
      <c r="C895" s="11"/>
      <c r="D895" s="11">
        <v>27000</v>
      </c>
      <c r="E895" t="s">
        <v>568</v>
      </c>
      <c r="F895" s="108" t="s">
        <v>108</v>
      </c>
    </row>
    <row r="896" spans="1:11" x14ac:dyDescent="0.3">
      <c r="A896" s="111">
        <v>46196</v>
      </c>
      <c r="B896" t="s">
        <v>357</v>
      </c>
      <c r="C896" s="11">
        <v>6600</v>
      </c>
      <c r="D896" s="11"/>
      <c r="E896" t="s">
        <v>535</v>
      </c>
      <c r="F896" s="108" t="s">
        <v>108</v>
      </c>
      <c r="I896">
        <v>330000</v>
      </c>
      <c r="J896">
        <v>25600</v>
      </c>
      <c r="K896">
        <v>155000</v>
      </c>
    </row>
    <row r="897" spans="1:11" x14ac:dyDescent="0.3">
      <c r="A897" s="111">
        <v>46196</v>
      </c>
      <c r="B897" t="s">
        <v>765</v>
      </c>
      <c r="C897" s="11"/>
      <c r="D897" s="11">
        <v>50000</v>
      </c>
      <c r="E897" t="s">
        <v>764</v>
      </c>
      <c r="F897" s="108" t="s">
        <v>108</v>
      </c>
      <c r="I897">
        <v>80000</v>
      </c>
      <c r="J897">
        <v>36800</v>
      </c>
      <c r="K897">
        <v>5350</v>
      </c>
    </row>
    <row r="898" spans="1:11" x14ac:dyDescent="0.3">
      <c r="A898" s="111">
        <v>46196</v>
      </c>
      <c r="B898" t="s">
        <v>269</v>
      </c>
      <c r="C898" s="11">
        <v>15000</v>
      </c>
      <c r="D898" s="11"/>
      <c r="E898" t="s">
        <v>699</v>
      </c>
      <c r="F898" s="108" t="s">
        <v>108</v>
      </c>
      <c r="J898">
        <v>22800</v>
      </c>
      <c r="K898">
        <v>20000</v>
      </c>
    </row>
    <row r="899" spans="1:11" x14ac:dyDescent="0.3">
      <c r="A899" s="111">
        <v>46196</v>
      </c>
      <c r="B899" t="s">
        <v>269</v>
      </c>
      <c r="C899" s="11">
        <v>35000</v>
      </c>
      <c r="D899" s="11"/>
      <c r="E899" t="s">
        <v>766</v>
      </c>
      <c r="F899" s="108" t="s">
        <v>108</v>
      </c>
      <c r="I899">
        <v>70000</v>
      </c>
      <c r="J899">
        <v>31400</v>
      </c>
      <c r="K899">
        <v>30000</v>
      </c>
    </row>
    <row r="900" spans="1:11" x14ac:dyDescent="0.3">
      <c r="A900" s="111">
        <v>46196</v>
      </c>
      <c r="B900" t="s">
        <v>674</v>
      </c>
      <c r="C900" s="11">
        <v>150000</v>
      </c>
      <c r="D900" s="11"/>
      <c r="E900" t="s">
        <v>767</v>
      </c>
      <c r="F900" s="108" t="s">
        <v>108</v>
      </c>
      <c r="I900">
        <v>50000</v>
      </c>
      <c r="J900">
        <v>35600</v>
      </c>
      <c r="K900">
        <v>22000</v>
      </c>
    </row>
    <row r="901" spans="1:11" x14ac:dyDescent="0.3">
      <c r="A901" s="111">
        <v>46196</v>
      </c>
      <c r="B901" t="s">
        <v>269</v>
      </c>
      <c r="C901" s="11">
        <v>10000</v>
      </c>
      <c r="D901" s="11"/>
      <c r="E901" t="s">
        <v>288</v>
      </c>
      <c r="F901" s="108" t="s">
        <v>108</v>
      </c>
      <c r="I901">
        <v>194000</v>
      </c>
      <c r="J901">
        <v>30000</v>
      </c>
      <c r="K901">
        <v>22400</v>
      </c>
    </row>
    <row r="902" spans="1:11" x14ac:dyDescent="0.3">
      <c r="A902" s="111">
        <v>46196</v>
      </c>
      <c r="B902" t="s">
        <v>219</v>
      </c>
      <c r="C902" s="11"/>
      <c r="D902" s="11">
        <v>153000</v>
      </c>
      <c r="E902" t="s">
        <v>768</v>
      </c>
      <c r="F902" s="108" t="s">
        <v>108</v>
      </c>
      <c r="J902">
        <v>30000</v>
      </c>
      <c r="K902">
        <v>4650</v>
      </c>
    </row>
    <row r="903" spans="1:11" x14ac:dyDescent="0.3">
      <c r="A903" s="111">
        <v>46196</v>
      </c>
      <c r="B903" t="s">
        <v>367</v>
      </c>
      <c r="C903" s="11"/>
      <c r="D903" s="11">
        <v>4806</v>
      </c>
      <c r="E903" t="s">
        <v>826</v>
      </c>
      <c r="F903" s="108" t="s">
        <v>108</v>
      </c>
      <c r="J903">
        <v>24600</v>
      </c>
      <c r="K903">
        <v>22650</v>
      </c>
    </row>
    <row r="904" spans="1:11" x14ac:dyDescent="0.3">
      <c r="A904" s="111">
        <v>46196</v>
      </c>
      <c r="B904" t="s">
        <v>488</v>
      </c>
      <c r="C904" s="11">
        <v>4806</v>
      </c>
      <c r="D904" s="11"/>
      <c r="E904" t="s">
        <v>250</v>
      </c>
      <c r="F904" s="108" t="s">
        <v>108</v>
      </c>
      <c r="J904">
        <v>25800</v>
      </c>
      <c r="K904">
        <v>18300</v>
      </c>
    </row>
    <row r="905" spans="1:11" x14ac:dyDescent="0.3">
      <c r="A905" s="111">
        <v>46197</v>
      </c>
      <c r="B905" t="s">
        <v>753</v>
      </c>
      <c r="C905" s="95"/>
      <c r="D905" s="95">
        <v>170000</v>
      </c>
      <c r="F905" s="108" t="s">
        <v>108</v>
      </c>
      <c r="J905">
        <v>24600</v>
      </c>
      <c r="K905">
        <v>20450</v>
      </c>
    </row>
    <row r="906" spans="1:11" x14ac:dyDescent="0.3">
      <c r="A906" s="111">
        <v>46197</v>
      </c>
      <c r="B906" t="s">
        <v>219</v>
      </c>
      <c r="C906" s="11">
        <v>170000</v>
      </c>
      <c r="D906" s="11"/>
      <c r="E906" t="s">
        <v>753</v>
      </c>
      <c r="F906" s="108" t="s">
        <v>108</v>
      </c>
      <c r="J906">
        <v>20000</v>
      </c>
      <c r="K906">
        <v>21450</v>
      </c>
    </row>
    <row r="907" spans="1:11" x14ac:dyDescent="0.3">
      <c r="A907" s="111">
        <v>46197</v>
      </c>
      <c r="B907" t="s">
        <v>357</v>
      </c>
      <c r="C907" s="11">
        <v>1670</v>
      </c>
      <c r="D907" s="11"/>
      <c r="F907" s="108" t="s">
        <v>108</v>
      </c>
      <c r="J907">
        <v>28350</v>
      </c>
      <c r="K907">
        <v>20450</v>
      </c>
    </row>
    <row r="908" spans="1:11" x14ac:dyDescent="0.3">
      <c r="A908" s="111">
        <v>46197</v>
      </c>
      <c r="B908" t="s">
        <v>219</v>
      </c>
      <c r="C908" s="11"/>
      <c r="D908" s="11">
        <v>87000</v>
      </c>
      <c r="E908" t="s">
        <v>540</v>
      </c>
      <c r="F908" s="108" t="s">
        <v>108</v>
      </c>
      <c r="J908">
        <v>20450</v>
      </c>
      <c r="K908">
        <v>28350</v>
      </c>
    </row>
    <row r="909" spans="1:11" x14ac:dyDescent="0.3">
      <c r="A909" s="111">
        <v>46197</v>
      </c>
      <c r="B909" t="s">
        <v>55</v>
      </c>
      <c r="C909" s="11">
        <v>39300</v>
      </c>
      <c r="D909" s="11"/>
      <c r="E909" t="s">
        <v>769</v>
      </c>
      <c r="F909" s="108" t="s">
        <v>108</v>
      </c>
      <c r="J909">
        <v>21450</v>
      </c>
      <c r="K909">
        <v>20000</v>
      </c>
    </row>
    <row r="910" spans="1:11" x14ac:dyDescent="0.3">
      <c r="A910" s="111">
        <v>46197</v>
      </c>
      <c r="B910" t="s">
        <v>55</v>
      </c>
      <c r="C910" s="11">
        <v>850</v>
      </c>
      <c r="D910" s="11"/>
      <c r="F910" s="108" t="s">
        <v>108</v>
      </c>
      <c r="J910">
        <v>20450</v>
      </c>
      <c r="K910">
        <v>24600</v>
      </c>
    </row>
    <row r="911" spans="1:11" x14ac:dyDescent="0.3">
      <c r="A911" s="111">
        <v>46197</v>
      </c>
      <c r="B911" t="s">
        <v>246</v>
      </c>
      <c r="C911" s="11">
        <v>5200</v>
      </c>
      <c r="D911" s="11"/>
      <c r="E911" t="s">
        <v>282</v>
      </c>
      <c r="F911" s="108" t="s">
        <v>108</v>
      </c>
      <c r="J911">
        <v>18300</v>
      </c>
      <c r="K911">
        <v>25800</v>
      </c>
    </row>
    <row r="912" spans="1:11" x14ac:dyDescent="0.3">
      <c r="A912" s="38">
        <v>46197</v>
      </c>
      <c r="B912" t="s">
        <v>219</v>
      </c>
      <c r="C912" s="11"/>
      <c r="D912" s="11">
        <v>50000</v>
      </c>
      <c r="E912" t="s">
        <v>770</v>
      </c>
      <c r="F912" s="108" t="s">
        <v>108</v>
      </c>
      <c r="J912">
        <v>22650</v>
      </c>
      <c r="K912">
        <v>24600</v>
      </c>
    </row>
    <row r="913" spans="1:11" x14ac:dyDescent="0.3">
      <c r="A913" s="38">
        <v>46197</v>
      </c>
      <c r="B913" t="s">
        <v>425</v>
      </c>
      <c r="C913" s="95">
        <v>50000</v>
      </c>
      <c r="D913" s="95"/>
      <c r="E913" t="s">
        <v>771</v>
      </c>
      <c r="F913" s="108" t="s">
        <v>108</v>
      </c>
      <c r="J913">
        <v>4650</v>
      </c>
      <c r="K913">
        <v>30000</v>
      </c>
    </row>
    <row r="914" spans="1:11" x14ac:dyDescent="0.3">
      <c r="A914" s="38">
        <v>46197</v>
      </c>
      <c r="B914" t="s">
        <v>219</v>
      </c>
      <c r="C914" s="95"/>
      <c r="D914" s="95">
        <v>36000</v>
      </c>
      <c r="E914" t="s">
        <v>772</v>
      </c>
      <c r="F914" s="108" t="s">
        <v>108</v>
      </c>
      <c r="J914">
        <v>22400</v>
      </c>
      <c r="K914">
        <v>30000</v>
      </c>
    </row>
    <row r="915" spans="1:11" x14ac:dyDescent="0.3">
      <c r="A915" s="38">
        <v>46197</v>
      </c>
      <c r="B915" t="s">
        <v>244</v>
      </c>
      <c r="C915" s="95">
        <v>40000</v>
      </c>
      <c r="D915" s="95"/>
      <c r="E915" t="s">
        <v>773</v>
      </c>
      <c r="F915" s="108" t="s">
        <v>108</v>
      </c>
      <c r="J915">
        <v>22000</v>
      </c>
      <c r="K915">
        <v>35600</v>
      </c>
    </row>
    <row r="916" spans="1:11" x14ac:dyDescent="0.3">
      <c r="A916" s="38">
        <v>46197</v>
      </c>
      <c r="B916" t="s">
        <v>211</v>
      </c>
      <c r="C916" s="95">
        <v>1450</v>
      </c>
      <c r="D916" s="95"/>
      <c r="F916" s="108" t="s">
        <v>108</v>
      </c>
      <c r="J916">
        <v>30000</v>
      </c>
      <c r="K916">
        <v>31400</v>
      </c>
    </row>
    <row r="917" spans="1:11" x14ac:dyDescent="0.3">
      <c r="A917" s="38">
        <v>46198</v>
      </c>
      <c r="B917" t="s">
        <v>219</v>
      </c>
      <c r="C917" s="95"/>
      <c r="D917" s="95">
        <v>50000</v>
      </c>
      <c r="E917" t="s">
        <v>774</v>
      </c>
      <c r="F917" s="108" t="s">
        <v>108</v>
      </c>
      <c r="J917">
        <v>20000</v>
      </c>
      <c r="K917">
        <v>22800</v>
      </c>
    </row>
    <row r="918" spans="1:11" x14ac:dyDescent="0.3">
      <c r="A918" s="111">
        <v>46198</v>
      </c>
      <c r="B918" t="s">
        <v>253</v>
      </c>
      <c r="C918" s="95">
        <v>60000</v>
      </c>
      <c r="D918" s="95"/>
      <c r="E918" t="s">
        <v>775</v>
      </c>
      <c r="F918" s="108" t="s">
        <v>108</v>
      </c>
      <c r="J918">
        <v>5350</v>
      </c>
      <c r="K918">
        <v>36800</v>
      </c>
    </row>
    <row r="919" spans="1:11" x14ac:dyDescent="0.3">
      <c r="A919" s="38">
        <v>46198</v>
      </c>
      <c r="B919" t="s">
        <v>246</v>
      </c>
      <c r="C919" s="95">
        <v>5200</v>
      </c>
      <c r="D919" s="95"/>
      <c r="E919" t="s">
        <v>282</v>
      </c>
      <c r="F919" s="108" t="s">
        <v>108</v>
      </c>
      <c r="J919">
        <v>155000</v>
      </c>
      <c r="K919">
        <v>25600</v>
      </c>
    </row>
    <row r="920" spans="1:11" x14ac:dyDescent="0.3">
      <c r="A920" s="38">
        <v>46198</v>
      </c>
      <c r="B920" t="s">
        <v>488</v>
      </c>
      <c r="C920" s="95">
        <v>4111</v>
      </c>
      <c r="D920" s="95"/>
      <c r="E920" t="s">
        <v>259</v>
      </c>
      <c r="F920" s="108" t="s">
        <v>108</v>
      </c>
    </row>
    <row r="921" spans="1:11" x14ac:dyDescent="0.3">
      <c r="A921" s="38">
        <v>46198</v>
      </c>
      <c r="B921" t="s">
        <v>55</v>
      </c>
      <c r="C921" s="95">
        <v>2000</v>
      </c>
      <c r="D921" s="95"/>
      <c r="F921" s="108" t="s">
        <v>108</v>
      </c>
    </row>
    <row r="922" spans="1:11" x14ac:dyDescent="0.3">
      <c r="A922" s="38">
        <v>46198</v>
      </c>
      <c r="B922" t="s">
        <v>386</v>
      </c>
      <c r="C922" s="95">
        <v>1500</v>
      </c>
      <c r="D922" s="95"/>
      <c r="E922" t="s">
        <v>776</v>
      </c>
      <c r="F922" s="108" t="s">
        <v>108</v>
      </c>
    </row>
    <row r="923" spans="1:11" x14ac:dyDescent="0.3">
      <c r="A923" s="38">
        <v>46198</v>
      </c>
      <c r="B923" t="s">
        <v>253</v>
      </c>
      <c r="C923" s="95">
        <v>9650</v>
      </c>
      <c r="D923" s="95"/>
      <c r="E923" t="s">
        <v>777</v>
      </c>
      <c r="F923" s="108" t="s">
        <v>108</v>
      </c>
    </row>
    <row r="924" spans="1:11" x14ac:dyDescent="0.3">
      <c r="A924" s="38">
        <v>46198</v>
      </c>
      <c r="B924" t="s">
        <v>386</v>
      </c>
      <c r="C924" s="95">
        <v>4000</v>
      </c>
      <c r="D924" s="95"/>
      <c r="E924" t="s">
        <v>782</v>
      </c>
      <c r="F924" s="108" t="s">
        <v>108</v>
      </c>
    </row>
    <row r="925" spans="1:11" x14ac:dyDescent="0.3">
      <c r="A925" s="38">
        <v>46200</v>
      </c>
      <c r="B925" t="s">
        <v>211</v>
      </c>
      <c r="C925" s="95">
        <v>1800</v>
      </c>
      <c r="D925" s="95"/>
      <c r="F925" s="108" t="s">
        <v>108</v>
      </c>
    </row>
    <row r="926" spans="1:11" x14ac:dyDescent="0.3">
      <c r="A926" s="38">
        <v>46200</v>
      </c>
      <c r="B926" t="s">
        <v>219</v>
      </c>
      <c r="C926" s="95"/>
      <c r="D926" s="95">
        <v>10000</v>
      </c>
      <c r="E926" t="s">
        <v>320</v>
      </c>
      <c r="F926" s="108" t="s">
        <v>108</v>
      </c>
    </row>
    <row r="927" spans="1:11" x14ac:dyDescent="0.3">
      <c r="A927" s="38">
        <v>46200</v>
      </c>
      <c r="B927" t="s">
        <v>269</v>
      </c>
      <c r="C927" s="95">
        <v>10000</v>
      </c>
      <c r="D927" s="95"/>
      <c r="E927" t="s">
        <v>665</v>
      </c>
      <c r="F927" s="108" t="s">
        <v>108</v>
      </c>
    </row>
    <row r="928" spans="1:11" x14ac:dyDescent="0.3">
      <c r="A928" s="38">
        <v>46201</v>
      </c>
      <c r="B928" t="s">
        <v>219</v>
      </c>
      <c r="C928" s="95"/>
      <c r="D928" s="95">
        <v>10000</v>
      </c>
      <c r="E928" t="s">
        <v>778</v>
      </c>
      <c r="F928" s="108" t="s">
        <v>108</v>
      </c>
    </row>
    <row r="929" spans="1:6" x14ac:dyDescent="0.3">
      <c r="A929" s="38">
        <v>46201</v>
      </c>
      <c r="B929" t="s">
        <v>357</v>
      </c>
      <c r="C929" s="95">
        <v>10110</v>
      </c>
      <c r="D929" s="95"/>
      <c r="F929" s="108" t="s">
        <v>108</v>
      </c>
    </row>
    <row r="930" spans="1:6" x14ac:dyDescent="0.3">
      <c r="A930" s="38">
        <v>46202</v>
      </c>
      <c r="B930" t="s">
        <v>367</v>
      </c>
      <c r="C930" s="95"/>
      <c r="D930" s="95">
        <v>420000</v>
      </c>
      <c r="E930" t="s">
        <v>779</v>
      </c>
      <c r="F930" s="108" t="s">
        <v>108</v>
      </c>
    </row>
    <row r="931" spans="1:6" x14ac:dyDescent="0.3">
      <c r="A931" s="38">
        <v>46202</v>
      </c>
      <c r="B931" t="s">
        <v>222</v>
      </c>
      <c r="C931" s="95">
        <v>300000</v>
      </c>
      <c r="D931" s="95"/>
      <c r="E931" t="s">
        <v>780</v>
      </c>
      <c r="F931" s="108" t="s">
        <v>108</v>
      </c>
    </row>
    <row r="932" spans="1:6" x14ac:dyDescent="0.3">
      <c r="A932" s="38">
        <v>46202</v>
      </c>
      <c r="B932" t="s">
        <v>269</v>
      </c>
      <c r="C932" s="95">
        <v>15000</v>
      </c>
      <c r="D932" s="95"/>
      <c r="E932" t="s">
        <v>781</v>
      </c>
      <c r="F932" s="108" t="s">
        <v>108</v>
      </c>
    </row>
    <row r="933" spans="1:6" x14ac:dyDescent="0.3">
      <c r="A933" s="38">
        <v>46202</v>
      </c>
      <c r="B933" t="s">
        <v>386</v>
      </c>
      <c r="C933" s="95">
        <v>420</v>
      </c>
      <c r="D933" s="95"/>
      <c r="F933" s="108" t="s">
        <v>108</v>
      </c>
    </row>
    <row r="934" spans="1:6" x14ac:dyDescent="0.3">
      <c r="A934" s="111">
        <v>46202</v>
      </c>
      <c r="B934" t="s">
        <v>500</v>
      </c>
      <c r="C934" s="95"/>
      <c r="D934" s="95">
        <v>350000</v>
      </c>
      <c r="E934" t="s">
        <v>21</v>
      </c>
      <c r="F934" s="108" t="s">
        <v>108</v>
      </c>
    </row>
    <row r="935" spans="1:6" x14ac:dyDescent="0.3">
      <c r="A935" s="111">
        <v>46202</v>
      </c>
      <c r="B935" t="s">
        <v>219</v>
      </c>
      <c r="C935" s="95">
        <v>350000</v>
      </c>
      <c r="D935" s="95"/>
      <c r="E935" t="s">
        <v>500</v>
      </c>
      <c r="F935" s="108" t="s">
        <v>108</v>
      </c>
    </row>
    <row r="936" spans="1:6" x14ac:dyDescent="0.3">
      <c r="A936" s="111">
        <v>46203</v>
      </c>
      <c r="B936" s="80" t="s">
        <v>211</v>
      </c>
      <c r="C936" s="11"/>
      <c r="D936" s="86">
        <v>100000</v>
      </c>
      <c r="E936" s="80" t="s">
        <v>1078</v>
      </c>
      <c r="F936" s="87" t="s">
        <v>108</v>
      </c>
    </row>
    <row r="937" spans="1:6" x14ac:dyDescent="0.3">
      <c r="A937" s="111">
        <v>46203</v>
      </c>
      <c r="B937" s="80" t="s">
        <v>290</v>
      </c>
      <c r="C937" s="11">
        <v>100000</v>
      </c>
      <c r="D937" s="86"/>
      <c r="E937" s="80" t="s">
        <v>1082</v>
      </c>
      <c r="F937" s="87" t="s">
        <v>108</v>
      </c>
    </row>
    <row r="938" spans="1:6" x14ac:dyDescent="0.3">
      <c r="A938" s="111">
        <v>46203</v>
      </c>
      <c r="B938" t="s">
        <v>357</v>
      </c>
      <c r="C938" s="95">
        <v>6600</v>
      </c>
      <c r="D938" s="95"/>
      <c r="F938" s="108" t="s">
        <v>108</v>
      </c>
    </row>
    <row r="939" spans="1:6" x14ac:dyDescent="0.3">
      <c r="A939" s="111">
        <v>46203</v>
      </c>
      <c r="B939" t="s">
        <v>55</v>
      </c>
      <c r="C939" s="11">
        <v>10000</v>
      </c>
      <c r="D939" s="11"/>
      <c r="E939" t="s">
        <v>783</v>
      </c>
      <c r="F939" s="108" t="s">
        <v>108</v>
      </c>
    </row>
    <row r="940" spans="1:6" x14ac:dyDescent="0.3">
      <c r="A940" s="111">
        <v>46203</v>
      </c>
      <c r="B940" t="s">
        <v>253</v>
      </c>
      <c r="C940" s="11">
        <v>20000</v>
      </c>
      <c r="D940" s="11"/>
      <c r="E940" t="s">
        <v>260</v>
      </c>
      <c r="F940" s="108" t="s">
        <v>108</v>
      </c>
    </row>
    <row r="941" spans="1:6" x14ac:dyDescent="0.3">
      <c r="A941" s="111">
        <v>46203</v>
      </c>
      <c r="B941" t="s">
        <v>219</v>
      </c>
      <c r="C941" s="11"/>
      <c r="D941" s="11">
        <v>5000</v>
      </c>
      <c r="F941" s="108" t="s">
        <v>108</v>
      </c>
    </row>
    <row r="942" spans="1:6" x14ac:dyDescent="0.3">
      <c r="A942" s="111">
        <v>46203</v>
      </c>
      <c r="B942" t="s">
        <v>55</v>
      </c>
      <c r="C942" s="11">
        <v>5000</v>
      </c>
      <c r="D942" s="11"/>
      <c r="F942" s="108" t="s">
        <v>108</v>
      </c>
    </row>
    <row r="943" spans="1:6" x14ac:dyDescent="0.3">
      <c r="A943" s="111">
        <v>46204</v>
      </c>
      <c r="B943" t="s">
        <v>219</v>
      </c>
      <c r="C943" s="11"/>
      <c r="D943" s="11">
        <v>23750</v>
      </c>
      <c r="E943" t="s">
        <v>568</v>
      </c>
      <c r="F943" s="108" t="s">
        <v>108</v>
      </c>
    </row>
    <row r="944" spans="1:6" x14ac:dyDescent="0.3">
      <c r="A944" s="111">
        <v>46204</v>
      </c>
      <c r="B944" t="s">
        <v>175</v>
      </c>
      <c r="C944" s="11">
        <v>23750</v>
      </c>
      <c r="D944" s="11"/>
      <c r="E944" t="s">
        <v>116</v>
      </c>
      <c r="F944" s="108" t="s">
        <v>108</v>
      </c>
    </row>
    <row r="945" spans="1:9" x14ac:dyDescent="0.3">
      <c r="A945" s="111">
        <v>46204</v>
      </c>
      <c r="B945" t="s">
        <v>394</v>
      </c>
      <c r="C945" s="11">
        <v>24000</v>
      </c>
      <c r="D945" s="11"/>
      <c r="E945" t="s">
        <v>784</v>
      </c>
      <c r="F945" s="108" t="s">
        <v>108</v>
      </c>
    </row>
    <row r="946" spans="1:9" x14ac:dyDescent="0.3">
      <c r="A946" s="111">
        <v>46204</v>
      </c>
      <c r="B946" t="s">
        <v>219</v>
      </c>
      <c r="C946" s="11"/>
      <c r="D946" s="11">
        <v>24000</v>
      </c>
      <c r="E946" t="s">
        <v>394</v>
      </c>
      <c r="F946" s="108" t="s">
        <v>108</v>
      </c>
      <c r="I946">
        <v>5500</v>
      </c>
    </row>
    <row r="947" spans="1:9" x14ac:dyDescent="0.3">
      <c r="A947" s="111">
        <v>46204</v>
      </c>
      <c r="B947" t="s">
        <v>55</v>
      </c>
      <c r="C947" s="11">
        <v>7000</v>
      </c>
      <c r="D947" s="11"/>
      <c r="F947" s="108" t="s">
        <v>108</v>
      </c>
      <c r="I947">
        <v>11000</v>
      </c>
    </row>
    <row r="948" spans="1:9" x14ac:dyDescent="0.3">
      <c r="A948" s="111">
        <v>46204</v>
      </c>
      <c r="B948" t="s">
        <v>253</v>
      </c>
      <c r="C948" s="11">
        <v>15000</v>
      </c>
      <c r="D948" s="11"/>
      <c r="E948" t="s">
        <v>785</v>
      </c>
      <c r="F948" s="108" t="s">
        <v>108</v>
      </c>
      <c r="I948">
        <v>10200</v>
      </c>
    </row>
    <row r="949" spans="1:9" x14ac:dyDescent="0.3">
      <c r="A949" s="38">
        <v>46204</v>
      </c>
      <c r="B949" t="s">
        <v>219</v>
      </c>
      <c r="C949" s="11"/>
      <c r="D949" s="11">
        <v>175000</v>
      </c>
      <c r="E949" t="s">
        <v>786</v>
      </c>
      <c r="F949" s="108" t="s">
        <v>108</v>
      </c>
      <c r="I949">
        <v>7800</v>
      </c>
    </row>
    <row r="950" spans="1:9" x14ac:dyDescent="0.3">
      <c r="A950" s="38">
        <v>46204</v>
      </c>
      <c r="B950" t="s">
        <v>674</v>
      </c>
      <c r="C950" s="11">
        <v>200000</v>
      </c>
      <c r="D950" s="11"/>
      <c r="E950" t="s">
        <v>787</v>
      </c>
      <c r="F950" s="108" t="s">
        <v>108</v>
      </c>
      <c r="I950">
        <v>80000</v>
      </c>
    </row>
    <row r="951" spans="1:9" x14ac:dyDescent="0.3">
      <c r="A951" s="38">
        <v>46204</v>
      </c>
      <c r="B951" t="s">
        <v>244</v>
      </c>
      <c r="C951" s="11">
        <v>15000</v>
      </c>
      <c r="D951" s="11"/>
      <c r="E951" t="s">
        <v>788</v>
      </c>
      <c r="F951" s="108" t="s">
        <v>108</v>
      </c>
      <c r="I951">
        <v>35000</v>
      </c>
    </row>
    <row r="952" spans="1:9" x14ac:dyDescent="0.3">
      <c r="A952" s="38">
        <v>46204</v>
      </c>
      <c r="B952" t="s">
        <v>55</v>
      </c>
      <c r="C952" s="11">
        <v>7000</v>
      </c>
      <c r="D952" s="11"/>
      <c r="E952" t="s">
        <v>783</v>
      </c>
      <c r="F952" s="108" t="s">
        <v>108</v>
      </c>
      <c r="I952">
        <v>9600</v>
      </c>
    </row>
    <row r="953" spans="1:9" x14ac:dyDescent="0.3">
      <c r="A953" s="38">
        <v>46204</v>
      </c>
      <c r="B953" t="s">
        <v>219</v>
      </c>
      <c r="C953" s="11"/>
      <c r="D953" s="11">
        <v>7000</v>
      </c>
      <c r="E953" t="s">
        <v>789</v>
      </c>
      <c r="F953" s="108" t="s">
        <v>108</v>
      </c>
      <c r="I953">
        <v>7600</v>
      </c>
    </row>
    <row r="954" spans="1:9" x14ac:dyDescent="0.3">
      <c r="A954" s="38">
        <v>46204</v>
      </c>
      <c r="B954" t="s">
        <v>753</v>
      </c>
      <c r="C954" s="11"/>
      <c r="D954" s="11">
        <v>132500</v>
      </c>
      <c r="F954" s="108" t="s">
        <v>108</v>
      </c>
      <c r="I954">
        <v>7200</v>
      </c>
    </row>
    <row r="955" spans="1:9" x14ac:dyDescent="0.3">
      <c r="A955" s="38">
        <v>46204</v>
      </c>
      <c r="B955" t="s">
        <v>219</v>
      </c>
      <c r="C955" s="11">
        <v>132500</v>
      </c>
      <c r="D955" s="11"/>
      <c r="E955" t="s">
        <v>753</v>
      </c>
      <c r="F955" s="108" t="s">
        <v>108</v>
      </c>
      <c r="I955">
        <v>8400</v>
      </c>
    </row>
    <row r="956" spans="1:9" x14ac:dyDescent="0.3">
      <c r="A956" s="38">
        <v>46205</v>
      </c>
      <c r="B956" t="s">
        <v>219</v>
      </c>
      <c r="C956" s="95"/>
      <c r="D956" s="95">
        <v>400000</v>
      </c>
      <c r="E956" t="s">
        <v>790</v>
      </c>
      <c r="F956" s="108" t="s">
        <v>108</v>
      </c>
      <c r="I956">
        <v>7000</v>
      </c>
    </row>
    <row r="957" spans="1:9" x14ac:dyDescent="0.3">
      <c r="A957" s="38">
        <v>46205</v>
      </c>
      <c r="B957" t="s">
        <v>517</v>
      </c>
      <c r="C957" s="95">
        <v>400000</v>
      </c>
      <c r="D957" s="95"/>
      <c r="E957" t="s">
        <v>791</v>
      </c>
      <c r="F957" s="108" t="s">
        <v>108</v>
      </c>
      <c r="I957">
        <v>6150</v>
      </c>
    </row>
    <row r="958" spans="1:9" x14ac:dyDescent="0.3">
      <c r="A958" s="38">
        <v>46205</v>
      </c>
      <c r="B958" t="s">
        <v>792</v>
      </c>
      <c r="C958" s="95">
        <v>53500</v>
      </c>
      <c r="D958" s="95"/>
      <c r="E958" t="s">
        <v>793</v>
      </c>
      <c r="F958" s="108" t="s">
        <v>108</v>
      </c>
      <c r="I958">
        <v>7500</v>
      </c>
    </row>
    <row r="959" spans="1:9" x14ac:dyDescent="0.3">
      <c r="A959" s="38">
        <v>46205</v>
      </c>
      <c r="B959" t="s">
        <v>219</v>
      </c>
      <c r="C959" s="95"/>
      <c r="D959" s="95">
        <v>53500</v>
      </c>
      <c r="E959" t="s">
        <v>793</v>
      </c>
      <c r="F959" s="108" t="s">
        <v>108</v>
      </c>
      <c r="I959">
        <v>8400</v>
      </c>
    </row>
    <row r="960" spans="1:9" x14ac:dyDescent="0.3">
      <c r="A960" s="38">
        <v>46205</v>
      </c>
      <c r="B960" t="s">
        <v>246</v>
      </c>
      <c r="C960" s="95">
        <v>52000</v>
      </c>
      <c r="D960" s="95"/>
      <c r="E960" t="s">
        <v>794</v>
      </c>
      <c r="F960" s="108" t="s">
        <v>108</v>
      </c>
      <c r="I960">
        <v>17350</v>
      </c>
    </row>
    <row r="961" spans="1:9" x14ac:dyDescent="0.3">
      <c r="A961" s="38">
        <v>46205</v>
      </c>
      <c r="B961" t="s">
        <v>219</v>
      </c>
      <c r="C961" s="95"/>
      <c r="D961" s="95">
        <v>52000</v>
      </c>
      <c r="E961" t="s">
        <v>794</v>
      </c>
      <c r="F961" s="108" t="s">
        <v>108</v>
      </c>
      <c r="I961">
        <v>30000</v>
      </c>
    </row>
    <row r="962" spans="1:9" x14ac:dyDescent="0.3">
      <c r="A962" s="38">
        <v>46205</v>
      </c>
      <c r="B962" t="s">
        <v>219</v>
      </c>
      <c r="C962" s="95"/>
      <c r="D962" s="95">
        <v>25000</v>
      </c>
      <c r="E962" t="s">
        <v>795</v>
      </c>
      <c r="F962" s="108" t="s">
        <v>108</v>
      </c>
      <c r="I962">
        <v>11750</v>
      </c>
    </row>
    <row r="963" spans="1:9" x14ac:dyDescent="0.3">
      <c r="A963" s="38">
        <v>46205</v>
      </c>
      <c r="B963" t="s">
        <v>244</v>
      </c>
      <c r="C963" s="95">
        <v>15000</v>
      </c>
      <c r="D963" s="95"/>
      <c r="E963" t="s">
        <v>796</v>
      </c>
      <c r="F963" s="108" t="s">
        <v>108</v>
      </c>
      <c r="I963">
        <v>25650</v>
      </c>
    </row>
    <row r="964" spans="1:9" x14ac:dyDescent="0.3">
      <c r="A964" s="38">
        <v>46205</v>
      </c>
      <c r="B964" t="s">
        <v>386</v>
      </c>
      <c r="C964" s="95">
        <v>5700</v>
      </c>
      <c r="D964" s="95"/>
      <c r="E964" t="s">
        <v>797</v>
      </c>
      <c r="F964" s="108" t="s">
        <v>108</v>
      </c>
      <c r="I964">
        <v>13333</v>
      </c>
    </row>
    <row r="965" spans="1:9" x14ac:dyDescent="0.3">
      <c r="A965" s="38">
        <v>46205</v>
      </c>
      <c r="B965" t="s">
        <v>219</v>
      </c>
      <c r="C965" s="95"/>
      <c r="D965" s="95">
        <v>7001</v>
      </c>
      <c r="E965" t="s">
        <v>798</v>
      </c>
      <c r="F965" s="108" t="s">
        <v>108</v>
      </c>
      <c r="I965">
        <v>13333</v>
      </c>
    </row>
    <row r="966" spans="1:9" x14ac:dyDescent="0.3">
      <c r="A966" s="38">
        <v>46205</v>
      </c>
      <c r="B966" t="s">
        <v>799</v>
      </c>
      <c r="C966" s="95">
        <v>7001</v>
      </c>
      <c r="D966" s="95"/>
      <c r="F966" s="108" t="s">
        <v>108</v>
      </c>
      <c r="I966">
        <v>13333</v>
      </c>
    </row>
    <row r="967" spans="1:9" x14ac:dyDescent="0.3">
      <c r="A967" s="38">
        <v>46205</v>
      </c>
      <c r="B967" t="s">
        <v>298</v>
      </c>
      <c r="C967" s="95">
        <v>7000</v>
      </c>
      <c r="D967" s="95"/>
      <c r="E967" t="s">
        <v>692</v>
      </c>
      <c r="F967" s="108" t="s">
        <v>108</v>
      </c>
      <c r="I967">
        <v>10670</v>
      </c>
    </row>
    <row r="968" spans="1:9" x14ac:dyDescent="0.3">
      <c r="A968" s="38">
        <v>46205</v>
      </c>
      <c r="B968" t="s">
        <v>219</v>
      </c>
      <c r="C968" s="95"/>
      <c r="D968" s="95">
        <v>100000</v>
      </c>
      <c r="E968" t="s">
        <v>800</v>
      </c>
      <c r="F968" s="108" t="s">
        <v>108</v>
      </c>
      <c r="I968">
        <v>18860</v>
      </c>
    </row>
    <row r="969" spans="1:9" x14ac:dyDescent="0.3">
      <c r="A969" s="38">
        <v>46205</v>
      </c>
      <c r="B969" t="s">
        <v>211</v>
      </c>
      <c r="C969" s="95">
        <v>540</v>
      </c>
      <c r="D969" s="95"/>
      <c r="F969" s="108" t="s">
        <v>108</v>
      </c>
      <c r="I969">
        <v>22670</v>
      </c>
    </row>
    <row r="970" spans="1:9" x14ac:dyDescent="0.3">
      <c r="A970" s="38">
        <v>46205</v>
      </c>
      <c r="B970" t="s">
        <v>500</v>
      </c>
      <c r="C970" s="95"/>
      <c r="D970" s="95">
        <v>400000</v>
      </c>
      <c r="E970" t="s">
        <v>21</v>
      </c>
      <c r="F970" s="108" t="s">
        <v>108</v>
      </c>
      <c r="I970">
        <v>35000</v>
      </c>
    </row>
    <row r="971" spans="1:9" x14ac:dyDescent="0.3">
      <c r="A971" s="38">
        <v>46205</v>
      </c>
      <c r="B971" t="s">
        <v>219</v>
      </c>
      <c r="C971" s="11">
        <v>400000</v>
      </c>
      <c r="D971" s="11"/>
      <c r="E971" t="s">
        <v>500</v>
      </c>
      <c r="F971" s="108" t="s">
        <v>108</v>
      </c>
      <c r="I971">
        <v>10000</v>
      </c>
    </row>
    <row r="972" spans="1:9" x14ac:dyDescent="0.3">
      <c r="A972" s="38">
        <v>46205</v>
      </c>
      <c r="B972" t="s">
        <v>244</v>
      </c>
      <c r="C972" s="95">
        <v>1150</v>
      </c>
      <c r="D972" s="95"/>
      <c r="E972" t="s">
        <v>820</v>
      </c>
      <c r="F972" s="108" t="s">
        <v>108</v>
      </c>
      <c r="I972">
        <v>96000</v>
      </c>
    </row>
    <row r="973" spans="1:9" x14ac:dyDescent="0.3">
      <c r="A973" s="38">
        <v>46205</v>
      </c>
      <c r="B973" t="s">
        <v>211</v>
      </c>
      <c r="C973" s="95">
        <v>1250</v>
      </c>
      <c r="D973" s="95"/>
      <c r="F973" s="108" t="s">
        <v>108</v>
      </c>
    </row>
    <row r="974" spans="1:9" x14ac:dyDescent="0.3">
      <c r="A974" s="38">
        <v>46205</v>
      </c>
      <c r="B974" t="s">
        <v>753</v>
      </c>
      <c r="C974" s="95"/>
      <c r="D974" s="95">
        <v>140000</v>
      </c>
      <c r="E974" t="s">
        <v>21</v>
      </c>
      <c r="F974" s="108" t="s">
        <v>108</v>
      </c>
      <c r="I974">
        <v>7000</v>
      </c>
    </row>
    <row r="975" spans="1:9" x14ac:dyDescent="0.3">
      <c r="A975" s="38">
        <v>46205</v>
      </c>
      <c r="B975" t="s">
        <v>219</v>
      </c>
      <c r="C975" s="95">
        <v>140000</v>
      </c>
      <c r="D975" s="95"/>
      <c r="E975" t="s">
        <v>753</v>
      </c>
      <c r="F975" s="108" t="s">
        <v>108</v>
      </c>
      <c r="I975">
        <v>18800</v>
      </c>
    </row>
    <row r="976" spans="1:9" x14ac:dyDescent="0.3">
      <c r="A976" s="38">
        <v>46205</v>
      </c>
      <c r="B976" t="s">
        <v>656</v>
      </c>
      <c r="C976" s="95"/>
      <c r="D976" s="95">
        <v>119000</v>
      </c>
      <c r="E976" t="s">
        <v>821</v>
      </c>
      <c r="F976" s="108" t="s">
        <v>108</v>
      </c>
      <c r="I976">
        <v>8650</v>
      </c>
    </row>
    <row r="977" spans="1:10" x14ac:dyDescent="0.3">
      <c r="A977" s="38">
        <v>46205</v>
      </c>
      <c r="B977" t="s">
        <v>219</v>
      </c>
      <c r="C977" s="95">
        <v>119000</v>
      </c>
      <c r="D977" s="95"/>
      <c r="E977" t="s">
        <v>673</v>
      </c>
      <c r="F977" s="108" t="s">
        <v>108</v>
      </c>
      <c r="J977" t="s">
        <v>648</v>
      </c>
    </row>
    <row r="978" spans="1:10" x14ac:dyDescent="0.3">
      <c r="A978" s="38">
        <v>46205</v>
      </c>
      <c r="B978" t="s">
        <v>656</v>
      </c>
      <c r="C978" s="95"/>
      <c r="D978" s="95">
        <v>189000</v>
      </c>
      <c r="E978" t="s">
        <v>822</v>
      </c>
      <c r="F978" s="108" t="s">
        <v>108</v>
      </c>
      <c r="I978">
        <v>40000</v>
      </c>
    </row>
    <row r="979" spans="1:10" x14ac:dyDescent="0.3">
      <c r="A979" s="38">
        <v>46205</v>
      </c>
      <c r="B979" t="s">
        <v>219</v>
      </c>
      <c r="C979" s="95">
        <v>189000</v>
      </c>
      <c r="D979" s="95"/>
      <c r="E979" t="s">
        <v>823</v>
      </c>
      <c r="F979" s="108" t="s">
        <v>108</v>
      </c>
    </row>
    <row r="980" spans="1:10" x14ac:dyDescent="0.3">
      <c r="A980" s="38">
        <v>46206</v>
      </c>
      <c r="B980" t="s">
        <v>219</v>
      </c>
      <c r="C980" s="95"/>
      <c r="D980" s="95">
        <v>300000</v>
      </c>
      <c r="E980" t="s">
        <v>801</v>
      </c>
      <c r="F980" s="108" t="s">
        <v>108</v>
      </c>
      <c r="I980">
        <v>6000</v>
      </c>
    </row>
    <row r="981" spans="1:10" x14ac:dyDescent="0.3">
      <c r="A981" s="38">
        <v>46206</v>
      </c>
      <c r="B981" t="s">
        <v>219</v>
      </c>
      <c r="C981" s="95"/>
      <c r="D981" s="95">
        <v>250000</v>
      </c>
      <c r="E981" t="s">
        <v>802</v>
      </c>
      <c r="F981" s="108" t="s">
        <v>108</v>
      </c>
      <c r="I981">
        <v>6000</v>
      </c>
    </row>
    <row r="982" spans="1:10" x14ac:dyDescent="0.3">
      <c r="A982" s="38">
        <v>46206</v>
      </c>
      <c r="B982" t="s">
        <v>488</v>
      </c>
      <c r="C982" s="95">
        <v>290</v>
      </c>
      <c r="D982" s="95"/>
      <c r="E982" t="s">
        <v>390</v>
      </c>
      <c r="F982" s="108" t="s">
        <v>108</v>
      </c>
      <c r="I982">
        <v>5000</v>
      </c>
    </row>
    <row r="983" spans="1:10" x14ac:dyDescent="0.3">
      <c r="A983" s="38">
        <v>46206</v>
      </c>
      <c r="B983" t="s">
        <v>253</v>
      </c>
      <c r="C983" s="95">
        <v>40000</v>
      </c>
      <c r="D983" s="95"/>
      <c r="E983" t="s">
        <v>288</v>
      </c>
      <c r="F983" s="108" t="s">
        <v>108</v>
      </c>
      <c r="I983">
        <v>3000</v>
      </c>
    </row>
    <row r="984" spans="1:10" x14ac:dyDescent="0.3">
      <c r="A984" s="38">
        <v>46206</v>
      </c>
      <c r="B984" t="s">
        <v>219</v>
      </c>
      <c r="C984" s="95"/>
      <c r="D984" s="95">
        <v>25000</v>
      </c>
      <c r="E984" t="s">
        <v>109</v>
      </c>
      <c r="F984" s="108" t="s">
        <v>108</v>
      </c>
      <c r="I984">
        <v>3000</v>
      </c>
    </row>
    <row r="985" spans="1:10" x14ac:dyDescent="0.3">
      <c r="A985" s="38">
        <v>46206</v>
      </c>
      <c r="B985" t="s">
        <v>674</v>
      </c>
      <c r="C985" s="95">
        <v>6000</v>
      </c>
      <c r="D985" s="95"/>
      <c r="E985" t="s">
        <v>265</v>
      </c>
      <c r="F985" s="108" t="s">
        <v>108</v>
      </c>
    </row>
    <row r="986" spans="1:10" x14ac:dyDescent="0.3">
      <c r="A986" s="38">
        <v>46206</v>
      </c>
      <c r="B986" t="s">
        <v>517</v>
      </c>
      <c r="C986" s="95">
        <v>6000</v>
      </c>
      <c r="D986" s="95"/>
      <c r="E986" t="s">
        <v>265</v>
      </c>
      <c r="F986" s="108" t="s">
        <v>108</v>
      </c>
    </row>
    <row r="987" spans="1:10" x14ac:dyDescent="0.3">
      <c r="A987" s="38">
        <v>46206</v>
      </c>
      <c r="B987" t="s">
        <v>488</v>
      </c>
      <c r="C987" s="95">
        <v>5000</v>
      </c>
      <c r="D987" s="95"/>
      <c r="E987" t="s">
        <v>648</v>
      </c>
      <c r="F987" s="108" t="s">
        <v>108</v>
      </c>
    </row>
    <row r="988" spans="1:10" x14ac:dyDescent="0.3">
      <c r="A988" s="38">
        <v>46206</v>
      </c>
      <c r="B988" t="s">
        <v>386</v>
      </c>
      <c r="C988" s="95">
        <v>3000</v>
      </c>
      <c r="D988" s="95"/>
      <c r="E988" t="s">
        <v>803</v>
      </c>
      <c r="F988" s="108" t="s">
        <v>108</v>
      </c>
    </row>
    <row r="989" spans="1:10" x14ac:dyDescent="0.3">
      <c r="A989" s="38">
        <v>46206</v>
      </c>
      <c r="B989" t="s">
        <v>269</v>
      </c>
      <c r="C989" s="95"/>
      <c r="D989" s="95"/>
      <c r="E989" t="s">
        <v>804</v>
      </c>
      <c r="F989" s="108" t="s">
        <v>108</v>
      </c>
    </row>
    <row r="990" spans="1:10" x14ac:dyDescent="0.3">
      <c r="A990" s="38">
        <v>46206</v>
      </c>
      <c r="B990" t="s">
        <v>269</v>
      </c>
      <c r="C990" s="95">
        <v>3000</v>
      </c>
      <c r="D990" s="95"/>
      <c r="E990" t="s">
        <v>805</v>
      </c>
      <c r="F990" s="108" t="s">
        <v>108</v>
      </c>
    </row>
    <row r="991" spans="1:10" x14ac:dyDescent="0.3">
      <c r="A991" s="38">
        <v>46206</v>
      </c>
      <c r="B991" t="s">
        <v>253</v>
      </c>
      <c r="C991" s="95">
        <v>563750</v>
      </c>
      <c r="D991" s="95"/>
      <c r="E991" t="s">
        <v>268</v>
      </c>
      <c r="F991" s="108" t="s">
        <v>108</v>
      </c>
    </row>
    <row r="992" spans="1:10" x14ac:dyDescent="0.3">
      <c r="A992" s="38">
        <v>46206</v>
      </c>
      <c r="B992" t="s">
        <v>211</v>
      </c>
      <c r="C992" s="95">
        <v>20000</v>
      </c>
      <c r="D992" s="95"/>
      <c r="E992" t="s">
        <v>806</v>
      </c>
      <c r="F992" s="108" t="s">
        <v>108</v>
      </c>
    </row>
    <row r="993" spans="1:6" x14ac:dyDescent="0.3">
      <c r="A993" s="38">
        <v>46206</v>
      </c>
      <c r="B993" t="s">
        <v>211</v>
      </c>
      <c r="C993" s="95">
        <v>1000</v>
      </c>
      <c r="D993" s="95"/>
      <c r="F993" s="108" t="s">
        <v>108</v>
      </c>
    </row>
    <row r="994" spans="1:6" x14ac:dyDescent="0.3">
      <c r="A994" s="38">
        <v>46206</v>
      </c>
      <c r="B994" t="s">
        <v>500</v>
      </c>
      <c r="C994" s="95"/>
      <c r="D994" s="95">
        <v>97000</v>
      </c>
      <c r="E994" t="s">
        <v>215</v>
      </c>
      <c r="F994" s="108" t="s">
        <v>108</v>
      </c>
    </row>
    <row r="995" spans="1:6" x14ac:dyDescent="0.3">
      <c r="A995" s="38">
        <v>46206</v>
      </c>
      <c r="B995" t="s">
        <v>219</v>
      </c>
      <c r="C995" s="95">
        <v>97000</v>
      </c>
      <c r="D995" s="95"/>
      <c r="E995" t="s">
        <v>500</v>
      </c>
      <c r="F995" s="108" t="s">
        <v>108</v>
      </c>
    </row>
    <row r="996" spans="1:6" x14ac:dyDescent="0.3">
      <c r="A996" s="38">
        <v>46206</v>
      </c>
      <c r="B996" t="s">
        <v>765</v>
      </c>
      <c r="C996" s="95"/>
      <c r="D996" s="95">
        <v>100000</v>
      </c>
      <c r="E996" t="s">
        <v>827</v>
      </c>
      <c r="F996" s="108" t="s">
        <v>108</v>
      </c>
    </row>
    <row r="997" spans="1:6" x14ac:dyDescent="0.3">
      <c r="A997" s="38">
        <v>46206</v>
      </c>
      <c r="B997" t="s">
        <v>219</v>
      </c>
      <c r="C997" s="95">
        <v>100000</v>
      </c>
      <c r="D997" s="95"/>
      <c r="E997" t="s">
        <v>280</v>
      </c>
      <c r="F997" s="108" t="s">
        <v>108</v>
      </c>
    </row>
    <row r="998" spans="1:6" x14ac:dyDescent="0.3">
      <c r="A998" s="38">
        <v>46207</v>
      </c>
      <c r="B998" t="s">
        <v>219</v>
      </c>
      <c r="C998" s="95"/>
      <c r="D998" s="95">
        <v>100000</v>
      </c>
      <c r="E998" t="s">
        <v>807</v>
      </c>
      <c r="F998" s="108" t="s">
        <v>108</v>
      </c>
    </row>
    <row r="999" spans="1:6" x14ac:dyDescent="0.3">
      <c r="A999" s="38">
        <v>46207</v>
      </c>
      <c r="B999" t="s">
        <v>425</v>
      </c>
      <c r="C999" s="95">
        <v>100000</v>
      </c>
      <c r="D999" s="95"/>
      <c r="E999" t="s">
        <v>808</v>
      </c>
      <c r="F999" s="108" t="s">
        <v>108</v>
      </c>
    </row>
    <row r="1000" spans="1:6" x14ac:dyDescent="0.3">
      <c r="A1000" s="38">
        <v>46207</v>
      </c>
      <c r="B1000" t="s">
        <v>357</v>
      </c>
      <c r="C1000" s="95">
        <v>2500</v>
      </c>
      <c r="D1000" s="95"/>
      <c r="E1000" t="s">
        <v>426</v>
      </c>
      <c r="F1000" s="108" t="s">
        <v>108</v>
      </c>
    </row>
    <row r="1001" spans="1:6" x14ac:dyDescent="0.3">
      <c r="A1001" s="38">
        <v>46207</v>
      </c>
      <c r="B1001" t="s">
        <v>55</v>
      </c>
      <c r="C1001" s="95">
        <v>1600</v>
      </c>
      <c r="D1001" s="95"/>
      <c r="E1001" t="s">
        <v>809</v>
      </c>
      <c r="F1001" s="108" t="s">
        <v>108</v>
      </c>
    </row>
    <row r="1002" spans="1:6" x14ac:dyDescent="0.3">
      <c r="A1002" s="38">
        <v>46207</v>
      </c>
      <c r="B1002" t="s">
        <v>55</v>
      </c>
      <c r="C1002" s="95">
        <v>700</v>
      </c>
      <c r="D1002" s="95"/>
      <c r="E1002" t="s">
        <v>810</v>
      </c>
      <c r="F1002" s="108" t="s">
        <v>108</v>
      </c>
    </row>
    <row r="1003" spans="1:6" x14ac:dyDescent="0.3">
      <c r="A1003" s="38">
        <v>46207</v>
      </c>
      <c r="B1003" t="s">
        <v>244</v>
      </c>
      <c r="C1003" s="95">
        <v>440</v>
      </c>
      <c r="D1003" s="95"/>
      <c r="E1003" t="s">
        <v>366</v>
      </c>
      <c r="F1003" s="108" t="s">
        <v>108</v>
      </c>
    </row>
    <row r="1004" spans="1:6" x14ac:dyDescent="0.3">
      <c r="A1004" s="38">
        <v>46207</v>
      </c>
      <c r="B1004" t="s">
        <v>488</v>
      </c>
      <c r="C1004" s="95">
        <v>800</v>
      </c>
      <c r="D1004" s="95"/>
      <c r="E1004" t="s">
        <v>462</v>
      </c>
      <c r="F1004" s="108" t="s">
        <v>108</v>
      </c>
    </row>
    <row r="1005" spans="1:6" x14ac:dyDescent="0.3">
      <c r="A1005" s="38">
        <v>46207</v>
      </c>
      <c r="B1005" t="s">
        <v>219</v>
      </c>
      <c r="C1005" s="95"/>
      <c r="D1005" s="95">
        <v>800</v>
      </c>
      <c r="E1005" t="s">
        <v>462</v>
      </c>
      <c r="F1005" s="108" t="s">
        <v>108</v>
      </c>
    </row>
    <row r="1006" spans="1:6" x14ac:dyDescent="0.3">
      <c r="A1006" s="38">
        <v>46207</v>
      </c>
      <c r="B1006" t="s">
        <v>219</v>
      </c>
      <c r="C1006" s="95"/>
      <c r="D1006" s="95">
        <v>25000</v>
      </c>
      <c r="E1006" t="s">
        <v>812</v>
      </c>
      <c r="F1006" s="108" t="s">
        <v>108</v>
      </c>
    </row>
    <row r="1007" spans="1:6" x14ac:dyDescent="0.3">
      <c r="A1007" s="38">
        <v>46207</v>
      </c>
      <c r="B1007" t="s">
        <v>269</v>
      </c>
      <c r="C1007" s="95">
        <v>5000</v>
      </c>
      <c r="D1007" s="95"/>
      <c r="E1007" t="s">
        <v>813</v>
      </c>
      <c r="F1007" s="108" t="s">
        <v>108</v>
      </c>
    </row>
    <row r="1008" spans="1:6" x14ac:dyDescent="0.3">
      <c r="A1008" s="38">
        <v>46207</v>
      </c>
      <c r="B1008" t="s">
        <v>357</v>
      </c>
      <c r="C1008" s="95">
        <v>6600</v>
      </c>
      <c r="D1008" s="95"/>
      <c r="E1008" t="s">
        <v>392</v>
      </c>
      <c r="F1008" s="108" t="s">
        <v>108</v>
      </c>
    </row>
    <row r="1009" spans="1:6" x14ac:dyDescent="0.3">
      <c r="A1009" s="38">
        <v>46207</v>
      </c>
      <c r="B1009" t="s">
        <v>55</v>
      </c>
      <c r="C1009" s="95">
        <v>25000</v>
      </c>
      <c r="D1009" s="95"/>
      <c r="E1009" t="s">
        <v>814</v>
      </c>
      <c r="F1009" s="108" t="s">
        <v>108</v>
      </c>
    </row>
    <row r="1010" spans="1:6" x14ac:dyDescent="0.3">
      <c r="A1010" s="38">
        <v>46207</v>
      </c>
      <c r="B1010" t="s">
        <v>219</v>
      </c>
      <c r="C1010" s="95"/>
      <c r="D1010" s="95">
        <v>25000</v>
      </c>
      <c r="E1010" t="s">
        <v>814</v>
      </c>
      <c r="F1010" s="108" t="s">
        <v>108</v>
      </c>
    </row>
    <row r="1011" spans="1:6" x14ac:dyDescent="0.3">
      <c r="A1011" s="38">
        <v>46207</v>
      </c>
      <c r="B1011" t="s">
        <v>55</v>
      </c>
      <c r="C1011" s="95">
        <v>12500</v>
      </c>
      <c r="D1011" s="95"/>
      <c r="E1011" t="s">
        <v>815</v>
      </c>
      <c r="F1011" s="108" t="s">
        <v>108</v>
      </c>
    </row>
    <row r="1012" spans="1:6" x14ac:dyDescent="0.3">
      <c r="A1012" s="38">
        <v>46207</v>
      </c>
      <c r="B1012" t="s">
        <v>219</v>
      </c>
      <c r="C1012" s="95"/>
      <c r="D1012" s="95">
        <v>12500</v>
      </c>
      <c r="E1012" t="s">
        <v>816</v>
      </c>
      <c r="F1012" s="108" t="s">
        <v>108</v>
      </c>
    </row>
    <row r="1013" spans="1:6" x14ac:dyDescent="0.3">
      <c r="A1013" s="111">
        <v>46207</v>
      </c>
      <c r="B1013" t="s">
        <v>55</v>
      </c>
      <c r="C1013" s="95">
        <v>460</v>
      </c>
      <c r="D1013" s="95"/>
      <c r="F1013" s="108" t="s">
        <v>108</v>
      </c>
    </row>
    <row r="1014" spans="1:6" x14ac:dyDescent="0.3">
      <c r="A1014" s="38">
        <v>46208</v>
      </c>
      <c r="B1014" t="s">
        <v>211</v>
      </c>
      <c r="C1014" s="95">
        <v>2300</v>
      </c>
      <c r="D1014" s="95"/>
      <c r="F1014" s="108" t="s">
        <v>108</v>
      </c>
    </row>
    <row r="1015" spans="1:6" x14ac:dyDescent="0.3">
      <c r="A1015" s="111">
        <v>46208</v>
      </c>
      <c r="B1015" t="s">
        <v>219</v>
      </c>
      <c r="C1015" s="95"/>
      <c r="D1015" s="95">
        <v>129000</v>
      </c>
      <c r="E1015" t="s">
        <v>817</v>
      </c>
      <c r="F1015" s="108" t="s">
        <v>108</v>
      </c>
    </row>
    <row r="1016" spans="1:6" x14ac:dyDescent="0.3">
      <c r="A1016" s="38">
        <v>46208</v>
      </c>
      <c r="B1016" t="s">
        <v>253</v>
      </c>
      <c r="C1016" s="95">
        <v>129000</v>
      </c>
      <c r="D1016" s="95"/>
      <c r="E1016" t="s">
        <v>818</v>
      </c>
      <c r="F1016" s="108" t="s">
        <v>108</v>
      </c>
    </row>
    <row r="1017" spans="1:6" x14ac:dyDescent="0.3">
      <c r="A1017" s="38">
        <v>46208</v>
      </c>
      <c r="B1017" t="s">
        <v>244</v>
      </c>
      <c r="C1017" s="95">
        <v>2000</v>
      </c>
      <c r="D1017" s="95"/>
      <c r="E1017" t="s">
        <v>819</v>
      </c>
      <c r="F1017" s="108" t="s">
        <v>108</v>
      </c>
    </row>
    <row r="1018" spans="1:6" x14ac:dyDescent="0.3">
      <c r="A1018" s="111">
        <v>46208</v>
      </c>
      <c r="B1018" t="s">
        <v>244</v>
      </c>
      <c r="C1018" s="95">
        <v>420</v>
      </c>
      <c r="D1018" s="95"/>
      <c r="E1018" t="s">
        <v>810</v>
      </c>
      <c r="F1018" s="108" t="s">
        <v>108</v>
      </c>
    </row>
    <row r="1019" spans="1:6" x14ac:dyDescent="0.3">
      <c r="A1019" s="38">
        <v>46209</v>
      </c>
      <c r="B1019" t="s">
        <v>219</v>
      </c>
      <c r="C1019" s="95"/>
      <c r="D1019" s="95">
        <v>15000</v>
      </c>
      <c r="E1019" t="s">
        <v>832</v>
      </c>
      <c r="F1019" s="108" t="s">
        <v>108</v>
      </c>
    </row>
    <row r="1020" spans="1:6" x14ac:dyDescent="0.3">
      <c r="A1020" s="111">
        <v>46209</v>
      </c>
      <c r="B1020" t="s">
        <v>55</v>
      </c>
      <c r="C1020" s="95">
        <v>1000</v>
      </c>
      <c r="D1020" s="95"/>
      <c r="E1020" t="s">
        <v>833</v>
      </c>
      <c r="F1020" s="108" t="s">
        <v>108</v>
      </c>
    </row>
    <row r="1021" spans="1:6" x14ac:dyDescent="0.3">
      <c r="A1021" s="38">
        <v>46209</v>
      </c>
      <c r="B1021" t="s">
        <v>244</v>
      </c>
      <c r="C1021" s="95">
        <v>400</v>
      </c>
      <c r="D1021" s="95"/>
      <c r="E1021" t="s">
        <v>449</v>
      </c>
      <c r="F1021" s="108" t="s">
        <v>108</v>
      </c>
    </row>
    <row r="1022" spans="1:6" x14ac:dyDescent="0.3">
      <c r="A1022" s="111">
        <v>46209</v>
      </c>
      <c r="B1022" t="s">
        <v>357</v>
      </c>
      <c r="C1022" s="95">
        <v>10210</v>
      </c>
      <c r="D1022" s="95"/>
      <c r="F1022" s="108" t="s">
        <v>108</v>
      </c>
    </row>
    <row r="1023" spans="1:6" x14ac:dyDescent="0.3">
      <c r="A1023" s="38">
        <v>46209</v>
      </c>
      <c r="B1023" t="s">
        <v>488</v>
      </c>
      <c r="C1023" s="95">
        <v>710</v>
      </c>
      <c r="D1023" s="95"/>
      <c r="E1023" t="s">
        <v>390</v>
      </c>
      <c r="F1023" s="108" t="s">
        <v>108</v>
      </c>
    </row>
    <row r="1024" spans="1:6" x14ac:dyDescent="0.3">
      <c r="A1024" s="111">
        <v>46209</v>
      </c>
      <c r="B1024" t="s">
        <v>298</v>
      </c>
      <c r="C1024" s="95">
        <v>4000</v>
      </c>
      <c r="D1024" s="95"/>
      <c r="E1024" t="s">
        <v>834</v>
      </c>
      <c r="F1024" s="108" t="s">
        <v>108</v>
      </c>
    </row>
    <row r="1025" spans="1:6" x14ac:dyDescent="0.3">
      <c r="A1025" s="38">
        <v>46209</v>
      </c>
      <c r="B1025" t="s">
        <v>55</v>
      </c>
      <c r="C1025" s="95">
        <v>1200</v>
      </c>
      <c r="D1025" s="95"/>
      <c r="E1025" t="s">
        <v>835</v>
      </c>
      <c r="F1025" s="108" t="s">
        <v>108</v>
      </c>
    </row>
    <row r="1026" spans="1:6" x14ac:dyDescent="0.3">
      <c r="A1026" s="111">
        <v>46209</v>
      </c>
      <c r="B1026" t="s">
        <v>55</v>
      </c>
      <c r="C1026" s="95">
        <v>23500</v>
      </c>
      <c r="D1026" s="95"/>
      <c r="E1026" t="s">
        <v>836</v>
      </c>
      <c r="F1026" s="108" t="s">
        <v>108</v>
      </c>
    </row>
    <row r="1027" spans="1:6" x14ac:dyDescent="0.3">
      <c r="A1027" s="38">
        <v>46209</v>
      </c>
      <c r="B1027" t="s">
        <v>488</v>
      </c>
      <c r="C1027" s="95">
        <v>5000</v>
      </c>
      <c r="D1027" s="95"/>
      <c r="E1027" t="s">
        <v>837</v>
      </c>
      <c r="F1027" s="108" t="s">
        <v>108</v>
      </c>
    </row>
    <row r="1028" spans="1:6" x14ac:dyDescent="0.3">
      <c r="A1028" s="111">
        <v>46209</v>
      </c>
      <c r="B1028" t="s">
        <v>219</v>
      </c>
      <c r="C1028" s="95"/>
      <c r="D1028" s="95">
        <v>90000</v>
      </c>
      <c r="E1028" t="s">
        <v>109</v>
      </c>
      <c r="F1028" s="108" t="s">
        <v>108</v>
      </c>
    </row>
    <row r="1029" spans="1:6" x14ac:dyDescent="0.3">
      <c r="A1029" s="38">
        <v>46209</v>
      </c>
      <c r="B1029" t="s">
        <v>253</v>
      </c>
      <c r="C1029" s="11">
        <v>50000</v>
      </c>
      <c r="D1029" s="11"/>
      <c r="E1029" t="s">
        <v>437</v>
      </c>
      <c r="F1029" s="108" t="s">
        <v>108</v>
      </c>
    </row>
    <row r="1030" spans="1:6" x14ac:dyDescent="0.3">
      <c r="A1030" s="111">
        <v>46209</v>
      </c>
      <c r="B1030" t="s">
        <v>253</v>
      </c>
      <c r="C1030" s="11">
        <v>60000</v>
      </c>
      <c r="D1030" s="11"/>
      <c r="E1030" t="s">
        <v>828</v>
      </c>
      <c r="F1030" s="108" t="s">
        <v>108</v>
      </c>
    </row>
    <row r="1031" spans="1:6" x14ac:dyDescent="0.3">
      <c r="A1031" s="38">
        <v>46209</v>
      </c>
      <c r="B1031" t="s">
        <v>269</v>
      </c>
      <c r="C1031" s="11">
        <v>5000</v>
      </c>
      <c r="D1031" s="11"/>
      <c r="E1031" t="s">
        <v>829</v>
      </c>
      <c r="F1031" s="108" t="s">
        <v>108</v>
      </c>
    </row>
    <row r="1032" spans="1:6" x14ac:dyDescent="0.3">
      <c r="A1032" s="111">
        <v>46209</v>
      </c>
      <c r="B1032" t="s">
        <v>654</v>
      </c>
      <c r="C1032" s="11"/>
      <c r="D1032" s="11">
        <v>355000</v>
      </c>
      <c r="E1032" t="s">
        <v>271</v>
      </c>
      <c r="F1032" s="108" t="s">
        <v>108</v>
      </c>
    </row>
    <row r="1033" spans="1:6" x14ac:dyDescent="0.3">
      <c r="A1033" s="38">
        <v>46209</v>
      </c>
      <c r="B1033" t="s">
        <v>753</v>
      </c>
      <c r="C1033" s="11"/>
      <c r="D1033" s="11">
        <v>155000</v>
      </c>
      <c r="E1033" t="s">
        <v>109</v>
      </c>
      <c r="F1033" s="108" t="s">
        <v>108</v>
      </c>
    </row>
    <row r="1034" spans="1:6" x14ac:dyDescent="0.3">
      <c r="A1034" s="111">
        <v>46209</v>
      </c>
      <c r="B1034" t="s">
        <v>386</v>
      </c>
      <c r="C1034" s="11">
        <v>1000</v>
      </c>
      <c r="D1034" s="11"/>
      <c r="E1034" t="s">
        <v>830</v>
      </c>
      <c r="F1034" s="108" t="s">
        <v>108</v>
      </c>
    </row>
    <row r="1035" spans="1:6" x14ac:dyDescent="0.3">
      <c r="A1035" s="38">
        <v>46209</v>
      </c>
      <c r="B1035" t="s">
        <v>269</v>
      </c>
      <c r="C1035" s="11">
        <v>20000</v>
      </c>
      <c r="D1035" s="11"/>
      <c r="E1035" t="s">
        <v>831</v>
      </c>
      <c r="F1035" s="108" t="s">
        <v>108</v>
      </c>
    </row>
    <row r="1036" spans="1:6" x14ac:dyDescent="0.3">
      <c r="A1036" s="111">
        <v>46209</v>
      </c>
      <c r="B1036" t="s">
        <v>476</v>
      </c>
      <c r="C1036" s="95">
        <v>100000</v>
      </c>
      <c r="D1036" s="95"/>
      <c r="E1036" t="s">
        <v>838</v>
      </c>
      <c r="F1036" s="108" t="s">
        <v>108</v>
      </c>
    </row>
    <row r="1037" spans="1:6" x14ac:dyDescent="0.3">
      <c r="A1037" s="38">
        <v>46209</v>
      </c>
      <c r="B1037" t="s">
        <v>674</v>
      </c>
      <c r="C1037" s="11">
        <v>150000</v>
      </c>
      <c r="D1037" s="11"/>
      <c r="E1037" t="s">
        <v>839</v>
      </c>
      <c r="F1037" s="108" t="s">
        <v>108</v>
      </c>
    </row>
    <row r="1038" spans="1:6" x14ac:dyDescent="0.3">
      <c r="A1038" s="111">
        <v>46209</v>
      </c>
      <c r="B1038" t="s">
        <v>211</v>
      </c>
      <c r="C1038" s="11">
        <v>100000</v>
      </c>
      <c r="D1038" s="11"/>
      <c r="E1038" t="s">
        <v>840</v>
      </c>
      <c r="F1038" s="108" t="s">
        <v>108</v>
      </c>
    </row>
    <row r="1039" spans="1:6" x14ac:dyDescent="0.3">
      <c r="A1039" s="38">
        <v>46209</v>
      </c>
      <c r="B1039" t="s">
        <v>799</v>
      </c>
      <c r="C1039" s="11"/>
      <c r="D1039" s="11"/>
      <c r="E1039" t="s">
        <v>841</v>
      </c>
      <c r="F1039" s="108" t="s">
        <v>108</v>
      </c>
    </row>
    <row r="1040" spans="1:6" x14ac:dyDescent="0.3">
      <c r="A1040" s="111">
        <v>46209</v>
      </c>
      <c r="B1040" t="s">
        <v>488</v>
      </c>
      <c r="C1040" s="11">
        <v>1500</v>
      </c>
      <c r="D1040" s="11"/>
      <c r="E1040" t="s">
        <v>842</v>
      </c>
      <c r="F1040" s="108" t="s">
        <v>108</v>
      </c>
    </row>
    <row r="1041" spans="1:6" x14ac:dyDescent="0.3">
      <c r="A1041" s="111">
        <v>46210</v>
      </c>
      <c r="B1041" t="s">
        <v>654</v>
      </c>
      <c r="C1041" s="11"/>
      <c r="D1041" s="11">
        <v>180000</v>
      </c>
      <c r="E1041" t="s">
        <v>858</v>
      </c>
      <c r="F1041" s="108" t="s">
        <v>108</v>
      </c>
    </row>
    <row r="1042" spans="1:6" x14ac:dyDescent="0.3">
      <c r="A1042" s="111">
        <v>46210</v>
      </c>
      <c r="B1042" t="s">
        <v>654</v>
      </c>
      <c r="C1042" s="11"/>
      <c r="D1042" s="11">
        <v>190000</v>
      </c>
      <c r="E1042" t="s">
        <v>858</v>
      </c>
      <c r="F1042" s="108" t="s">
        <v>108</v>
      </c>
    </row>
    <row r="1043" spans="1:6" x14ac:dyDescent="0.3">
      <c r="A1043" s="111">
        <v>46210</v>
      </c>
      <c r="B1043" s="117" t="s">
        <v>219</v>
      </c>
      <c r="C1043" s="11">
        <v>180000</v>
      </c>
      <c r="D1043" s="11"/>
      <c r="E1043" t="s">
        <v>859</v>
      </c>
      <c r="F1043" s="108" t="s">
        <v>108</v>
      </c>
    </row>
    <row r="1044" spans="1:6" x14ac:dyDescent="0.3">
      <c r="A1044" s="111">
        <v>46210</v>
      </c>
      <c r="B1044" t="s">
        <v>219</v>
      </c>
      <c r="C1044" s="11">
        <v>190000</v>
      </c>
      <c r="D1044" s="11"/>
      <c r="E1044" t="s">
        <v>859</v>
      </c>
      <c r="F1044" s="108" t="s">
        <v>108</v>
      </c>
    </row>
    <row r="1045" spans="1:6" x14ac:dyDescent="0.3">
      <c r="A1045" s="38">
        <v>46210</v>
      </c>
      <c r="B1045" t="s">
        <v>269</v>
      </c>
      <c r="C1045" s="11">
        <v>25000</v>
      </c>
      <c r="D1045" s="11"/>
      <c r="E1045" t="s">
        <v>252</v>
      </c>
      <c r="F1045" s="108" t="s">
        <v>108</v>
      </c>
    </row>
    <row r="1046" spans="1:6" x14ac:dyDescent="0.3">
      <c r="A1046" s="111">
        <v>46210</v>
      </c>
      <c r="B1046" t="s">
        <v>367</v>
      </c>
      <c r="C1046" s="11"/>
      <c r="D1046" s="11">
        <v>200000</v>
      </c>
      <c r="E1046" t="s">
        <v>843</v>
      </c>
      <c r="F1046" s="108" t="s">
        <v>108</v>
      </c>
    </row>
    <row r="1047" spans="1:6" x14ac:dyDescent="0.3">
      <c r="A1047" s="38">
        <v>46210</v>
      </c>
      <c r="B1047" t="s">
        <v>753</v>
      </c>
      <c r="C1047" s="11"/>
      <c r="D1047" s="11">
        <v>65000</v>
      </c>
      <c r="E1047" t="s">
        <v>844</v>
      </c>
      <c r="F1047" s="108" t="s">
        <v>108</v>
      </c>
    </row>
    <row r="1048" spans="1:6" x14ac:dyDescent="0.3">
      <c r="A1048" s="111">
        <v>46210</v>
      </c>
      <c r="B1048" t="s">
        <v>222</v>
      </c>
      <c r="C1048" s="11">
        <v>250000</v>
      </c>
      <c r="D1048" s="11"/>
      <c r="E1048" t="s">
        <v>845</v>
      </c>
      <c r="F1048" s="108" t="s">
        <v>108</v>
      </c>
    </row>
    <row r="1049" spans="1:6" x14ac:dyDescent="0.3">
      <c r="A1049" s="38">
        <v>46210</v>
      </c>
      <c r="B1049" t="s">
        <v>55</v>
      </c>
      <c r="C1049" s="11">
        <v>350</v>
      </c>
      <c r="D1049" s="11"/>
      <c r="E1049" t="s">
        <v>846</v>
      </c>
      <c r="F1049" s="108" t="s">
        <v>108</v>
      </c>
    </row>
    <row r="1050" spans="1:6" x14ac:dyDescent="0.3">
      <c r="A1050" s="111">
        <v>46210</v>
      </c>
      <c r="B1050" t="s">
        <v>116</v>
      </c>
      <c r="C1050" s="11">
        <v>18500</v>
      </c>
      <c r="D1050" s="11"/>
      <c r="E1050" t="s">
        <v>163</v>
      </c>
      <c r="F1050" s="108" t="s">
        <v>108</v>
      </c>
    </row>
    <row r="1051" spans="1:6" x14ac:dyDescent="0.3">
      <c r="A1051" s="38">
        <v>46210</v>
      </c>
      <c r="B1051" t="s">
        <v>331</v>
      </c>
      <c r="C1051" s="11">
        <v>25000</v>
      </c>
      <c r="D1051" s="11"/>
      <c r="E1051" t="s">
        <v>847</v>
      </c>
      <c r="F1051" s="108" t="s">
        <v>108</v>
      </c>
    </row>
    <row r="1052" spans="1:6" x14ac:dyDescent="0.3">
      <c r="A1052" s="111">
        <v>46210</v>
      </c>
      <c r="B1052" t="s">
        <v>357</v>
      </c>
      <c r="C1052" s="11">
        <v>2600</v>
      </c>
      <c r="D1052" s="11"/>
      <c r="E1052" t="s">
        <v>848</v>
      </c>
      <c r="F1052" s="108" t="s">
        <v>108</v>
      </c>
    </row>
    <row r="1053" spans="1:6" x14ac:dyDescent="0.3">
      <c r="A1053" s="38">
        <v>46210</v>
      </c>
      <c r="B1053" t="s">
        <v>55</v>
      </c>
      <c r="C1053" s="11">
        <v>2500</v>
      </c>
      <c r="D1053" s="11"/>
      <c r="E1053" t="s">
        <v>849</v>
      </c>
      <c r="F1053" s="108" t="s">
        <v>108</v>
      </c>
    </row>
    <row r="1054" spans="1:6" x14ac:dyDescent="0.3">
      <c r="A1054" s="111">
        <v>46210</v>
      </c>
      <c r="B1054" t="s">
        <v>488</v>
      </c>
      <c r="C1054" s="11">
        <v>200</v>
      </c>
      <c r="D1054" s="11"/>
      <c r="E1054" t="s">
        <v>850</v>
      </c>
      <c r="F1054" s="108" t="s">
        <v>108</v>
      </c>
    </row>
    <row r="1055" spans="1:6" x14ac:dyDescent="0.3">
      <c r="A1055" s="38">
        <v>46210</v>
      </c>
      <c r="B1055" t="s">
        <v>269</v>
      </c>
      <c r="C1055" s="11">
        <v>5000</v>
      </c>
      <c r="D1055" s="11"/>
      <c r="E1055" t="s">
        <v>665</v>
      </c>
      <c r="F1055" s="108" t="s">
        <v>108</v>
      </c>
    </row>
    <row r="1056" spans="1:6" x14ac:dyDescent="0.3">
      <c r="A1056" s="111">
        <v>46210</v>
      </c>
      <c r="B1056" t="s">
        <v>253</v>
      </c>
      <c r="C1056" s="11">
        <v>6000</v>
      </c>
      <c r="D1056" s="11"/>
      <c r="E1056" t="s">
        <v>851</v>
      </c>
      <c r="F1056" s="108" t="s">
        <v>108</v>
      </c>
    </row>
    <row r="1057" spans="1:6" x14ac:dyDescent="0.3">
      <c r="A1057" s="38">
        <v>46210</v>
      </c>
      <c r="B1057" t="s">
        <v>211</v>
      </c>
      <c r="C1057" s="11"/>
      <c r="D1057" s="11">
        <v>13000</v>
      </c>
      <c r="E1057" t="s">
        <v>806</v>
      </c>
      <c r="F1057" s="108" t="s">
        <v>108</v>
      </c>
    </row>
    <row r="1058" spans="1:6" x14ac:dyDescent="0.3">
      <c r="A1058" s="111">
        <v>46210</v>
      </c>
      <c r="B1058" t="s">
        <v>298</v>
      </c>
      <c r="C1058" s="11">
        <v>10000</v>
      </c>
      <c r="D1058" s="11"/>
      <c r="E1058" t="s">
        <v>692</v>
      </c>
      <c r="F1058" s="108" t="s">
        <v>108</v>
      </c>
    </row>
    <row r="1059" spans="1:6" x14ac:dyDescent="0.3">
      <c r="A1059" s="38">
        <v>46210</v>
      </c>
      <c r="B1059" t="s">
        <v>852</v>
      </c>
      <c r="C1059" s="11"/>
      <c r="D1059" s="11">
        <v>75000</v>
      </c>
      <c r="E1059" t="s">
        <v>234</v>
      </c>
      <c r="F1059" s="108" t="s">
        <v>108</v>
      </c>
    </row>
    <row r="1060" spans="1:6" x14ac:dyDescent="0.3">
      <c r="A1060" s="38">
        <v>46210</v>
      </c>
      <c r="B1060" t="s">
        <v>394</v>
      </c>
      <c r="C1060" s="95">
        <v>117810</v>
      </c>
      <c r="D1060" s="95"/>
      <c r="E1060" t="s">
        <v>853</v>
      </c>
      <c r="F1060" s="108" t="s">
        <v>108</v>
      </c>
    </row>
    <row r="1061" spans="1:6" x14ac:dyDescent="0.3">
      <c r="A1061" s="111">
        <v>46211</v>
      </c>
      <c r="B1061" t="s">
        <v>269</v>
      </c>
      <c r="C1061" s="95">
        <v>5000</v>
      </c>
      <c r="D1061" s="95"/>
      <c r="E1061" t="s">
        <v>699</v>
      </c>
      <c r="F1061" s="108" t="s">
        <v>108</v>
      </c>
    </row>
    <row r="1062" spans="1:6" x14ac:dyDescent="0.3">
      <c r="A1062" s="111">
        <v>46211</v>
      </c>
      <c r="B1062" t="s">
        <v>211</v>
      </c>
      <c r="C1062" s="11"/>
      <c r="D1062" s="11">
        <v>5000</v>
      </c>
      <c r="E1062" t="s">
        <v>806</v>
      </c>
      <c r="F1062" s="108" t="s">
        <v>108</v>
      </c>
    </row>
    <row r="1063" spans="1:6" x14ac:dyDescent="0.3">
      <c r="A1063" s="111">
        <v>46211</v>
      </c>
      <c r="B1063" t="s">
        <v>488</v>
      </c>
      <c r="C1063" s="11">
        <v>500</v>
      </c>
      <c r="D1063" s="11"/>
      <c r="E1063" t="s">
        <v>860</v>
      </c>
      <c r="F1063" s="108" t="s">
        <v>108</v>
      </c>
    </row>
    <row r="1064" spans="1:6" x14ac:dyDescent="0.3">
      <c r="A1064" s="111">
        <v>46211</v>
      </c>
      <c r="B1064" t="s">
        <v>244</v>
      </c>
      <c r="C1064" s="11">
        <f>280+2300</f>
        <v>2580</v>
      </c>
      <c r="D1064" s="11"/>
      <c r="E1064" t="s">
        <v>861</v>
      </c>
      <c r="F1064" s="108" t="s">
        <v>108</v>
      </c>
    </row>
    <row r="1065" spans="1:6" x14ac:dyDescent="0.3">
      <c r="A1065" s="111">
        <v>46211</v>
      </c>
      <c r="B1065" t="s">
        <v>55</v>
      </c>
      <c r="C1065" s="11">
        <v>800</v>
      </c>
      <c r="D1065" s="11"/>
      <c r="E1065" t="s">
        <v>862</v>
      </c>
      <c r="F1065" s="108" t="s">
        <v>108</v>
      </c>
    </row>
    <row r="1066" spans="1:6" x14ac:dyDescent="0.3">
      <c r="A1066" s="111">
        <v>46211</v>
      </c>
      <c r="B1066" t="s">
        <v>246</v>
      </c>
      <c r="C1066" s="11">
        <v>1800</v>
      </c>
      <c r="D1066" s="11"/>
      <c r="E1066" t="s">
        <v>863</v>
      </c>
      <c r="F1066" s="108" t="s">
        <v>108</v>
      </c>
    </row>
    <row r="1067" spans="1:6" x14ac:dyDescent="0.3">
      <c r="A1067" s="111">
        <v>46211</v>
      </c>
      <c r="B1067" t="s">
        <v>357</v>
      </c>
      <c r="C1067" s="11">
        <v>12000</v>
      </c>
      <c r="D1067" s="11"/>
      <c r="E1067" t="s">
        <v>864</v>
      </c>
      <c r="F1067" s="108" t="s">
        <v>108</v>
      </c>
    </row>
    <row r="1068" spans="1:6" x14ac:dyDescent="0.3">
      <c r="A1068" s="111">
        <v>46211</v>
      </c>
      <c r="B1068" t="s">
        <v>753</v>
      </c>
      <c r="C1068" s="11"/>
      <c r="D1068" s="11">
        <v>85000</v>
      </c>
      <c r="E1068" t="s">
        <v>267</v>
      </c>
      <c r="F1068" s="108" t="s">
        <v>108</v>
      </c>
    </row>
    <row r="1069" spans="1:6" x14ac:dyDescent="0.3">
      <c r="A1069" s="111">
        <v>46211</v>
      </c>
      <c r="B1069" t="s">
        <v>253</v>
      </c>
      <c r="C1069" s="11">
        <f>31500+3500</f>
        <v>35000</v>
      </c>
      <c r="D1069" s="11"/>
      <c r="E1069" t="s">
        <v>868</v>
      </c>
      <c r="F1069" s="108" t="s">
        <v>108</v>
      </c>
    </row>
    <row r="1070" spans="1:6" x14ac:dyDescent="0.3">
      <c r="A1070" s="38">
        <v>46211</v>
      </c>
      <c r="B1070" t="s">
        <v>865</v>
      </c>
      <c r="C1070" s="11"/>
      <c r="D1070" s="11">
        <v>94900</v>
      </c>
      <c r="E1070" t="s">
        <v>215</v>
      </c>
      <c r="F1070" s="108" t="s">
        <v>108</v>
      </c>
    </row>
    <row r="1071" spans="1:6" x14ac:dyDescent="0.3">
      <c r="A1071" s="38">
        <v>46211</v>
      </c>
      <c r="B1071" t="s">
        <v>253</v>
      </c>
      <c r="C1071" s="95">
        <v>10200</v>
      </c>
      <c r="D1071" s="95"/>
      <c r="E1071" t="s">
        <v>866</v>
      </c>
      <c r="F1071" s="108" t="s">
        <v>108</v>
      </c>
    </row>
    <row r="1072" spans="1:6" x14ac:dyDescent="0.3">
      <c r="A1072" s="38">
        <v>46211</v>
      </c>
      <c r="B1072" t="s">
        <v>253</v>
      </c>
      <c r="C1072" s="95">
        <v>5000</v>
      </c>
      <c r="D1072" s="95"/>
      <c r="E1072" t="s">
        <v>867</v>
      </c>
      <c r="F1072" s="108" t="s">
        <v>108</v>
      </c>
    </row>
    <row r="1073" spans="1:6" x14ac:dyDescent="0.3">
      <c r="A1073" s="38">
        <v>46211</v>
      </c>
      <c r="B1073" t="s">
        <v>269</v>
      </c>
      <c r="C1073" s="95">
        <v>7000</v>
      </c>
      <c r="D1073" s="95"/>
      <c r="E1073" t="s">
        <v>288</v>
      </c>
      <c r="F1073" s="108" t="s">
        <v>108</v>
      </c>
    </row>
    <row r="1074" spans="1:6" x14ac:dyDescent="0.3">
      <c r="A1074" s="38">
        <v>46211</v>
      </c>
      <c r="B1074" t="s">
        <v>211</v>
      </c>
      <c r="C1074" s="95">
        <f>1350+1000</f>
        <v>2350</v>
      </c>
      <c r="D1074" s="11"/>
      <c r="F1074" s="108" t="s">
        <v>108</v>
      </c>
    </row>
    <row r="1075" spans="1:6" x14ac:dyDescent="0.3">
      <c r="A1075" s="111">
        <v>46212</v>
      </c>
      <c r="B1075" t="s">
        <v>222</v>
      </c>
      <c r="C1075" s="95">
        <v>80000</v>
      </c>
      <c r="D1075" s="95"/>
      <c r="E1075" t="s">
        <v>872</v>
      </c>
      <c r="F1075" s="108" t="s">
        <v>108</v>
      </c>
    </row>
    <row r="1076" spans="1:6" x14ac:dyDescent="0.3">
      <c r="A1076" s="111">
        <v>46212</v>
      </c>
      <c r="B1076" t="s">
        <v>792</v>
      </c>
      <c r="C1076" s="11">
        <v>185350</v>
      </c>
      <c r="D1076" s="11"/>
      <c r="E1076" t="s">
        <v>873</v>
      </c>
      <c r="F1076" s="108" t="s">
        <v>108</v>
      </c>
    </row>
    <row r="1077" spans="1:6" x14ac:dyDescent="0.3">
      <c r="A1077" s="111">
        <v>46212</v>
      </c>
      <c r="B1077" t="s">
        <v>852</v>
      </c>
      <c r="C1077" s="11"/>
      <c r="D1077" s="11">
        <v>185350</v>
      </c>
      <c r="E1077" t="s">
        <v>882</v>
      </c>
      <c r="F1077" s="137" t="s">
        <v>108</v>
      </c>
    </row>
    <row r="1078" spans="1:6" x14ac:dyDescent="0.3">
      <c r="A1078" s="38">
        <v>46212</v>
      </c>
      <c r="B1078" t="s">
        <v>488</v>
      </c>
      <c r="C1078" s="11">
        <v>5000</v>
      </c>
      <c r="D1078" s="11"/>
      <c r="E1078" t="s">
        <v>837</v>
      </c>
      <c r="F1078" s="137" t="s">
        <v>108</v>
      </c>
    </row>
    <row r="1079" spans="1:6" x14ac:dyDescent="0.3">
      <c r="A1079" s="111">
        <v>46212</v>
      </c>
      <c r="B1079" t="s">
        <v>488</v>
      </c>
      <c r="C1079" s="11">
        <v>500</v>
      </c>
      <c r="D1079" s="11"/>
      <c r="E1079" t="s">
        <v>874</v>
      </c>
      <c r="F1079" s="108" t="s">
        <v>108</v>
      </c>
    </row>
    <row r="1080" spans="1:6" x14ac:dyDescent="0.3">
      <c r="A1080" s="38">
        <v>46212</v>
      </c>
      <c r="B1080" t="s">
        <v>55</v>
      </c>
      <c r="C1080" s="11">
        <v>1250</v>
      </c>
      <c r="D1080" s="11"/>
      <c r="E1080" t="s">
        <v>875</v>
      </c>
      <c r="F1080" s="108" t="s">
        <v>108</v>
      </c>
    </row>
    <row r="1081" spans="1:6" x14ac:dyDescent="0.3">
      <c r="A1081" s="111">
        <v>46212</v>
      </c>
      <c r="B1081" t="s">
        <v>55</v>
      </c>
      <c r="C1081" s="11">
        <v>1800</v>
      </c>
      <c r="D1081" s="11"/>
      <c r="E1081" t="s">
        <v>876</v>
      </c>
      <c r="F1081" s="108" t="s">
        <v>108</v>
      </c>
    </row>
    <row r="1082" spans="1:6" x14ac:dyDescent="0.3">
      <c r="A1082" s="38">
        <v>46212</v>
      </c>
      <c r="B1082" t="s">
        <v>55</v>
      </c>
      <c r="C1082" s="11">
        <v>1100</v>
      </c>
      <c r="D1082" s="11"/>
      <c r="E1082" t="s">
        <v>877</v>
      </c>
      <c r="F1082" s="108" t="s">
        <v>108</v>
      </c>
    </row>
    <row r="1083" spans="1:6" x14ac:dyDescent="0.3">
      <c r="A1083" s="111">
        <v>46212</v>
      </c>
      <c r="B1083" t="s">
        <v>55</v>
      </c>
      <c r="C1083" s="11">
        <v>3560</v>
      </c>
      <c r="D1083" s="11"/>
      <c r="E1083" t="s">
        <v>878</v>
      </c>
      <c r="F1083" s="108" t="s">
        <v>108</v>
      </c>
    </row>
    <row r="1084" spans="1:6" x14ac:dyDescent="0.3">
      <c r="A1084" s="38">
        <v>46212</v>
      </c>
      <c r="B1084" t="s">
        <v>488</v>
      </c>
      <c r="C1084" s="11">
        <v>800</v>
      </c>
      <c r="D1084" s="11"/>
      <c r="E1084" t="s">
        <v>462</v>
      </c>
      <c r="F1084" s="108" t="s">
        <v>108</v>
      </c>
    </row>
    <row r="1085" spans="1:6" x14ac:dyDescent="0.3">
      <c r="A1085" s="111">
        <v>46212</v>
      </c>
      <c r="B1085" t="s">
        <v>879</v>
      </c>
      <c r="C1085" s="11"/>
      <c r="D1085" s="11">
        <v>85000</v>
      </c>
      <c r="E1085" t="s">
        <v>880</v>
      </c>
      <c r="F1085" s="108" t="s">
        <v>108</v>
      </c>
    </row>
    <row r="1086" spans="1:6" x14ac:dyDescent="0.3">
      <c r="A1086" s="38">
        <v>46212</v>
      </c>
      <c r="B1086" t="s">
        <v>879</v>
      </c>
      <c r="C1086" s="11"/>
      <c r="D1086" s="11">
        <v>6000</v>
      </c>
      <c r="E1086" t="s">
        <v>320</v>
      </c>
      <c r="F1086" s="108" t="s">
        <v>108</v>
      </c>
    </row>
    <row r="1087" spans="1:6" x14ac:dyDescent="0.3">
      <c r="A1087" s="111">
        <v>46212</v>
      </c>
      <c r="B1087" t="s">
        <v>55</v>
      </c>
      <c r="C1087" s="11">
        <v>1200</v>
      </c>
      <c r="D1087" s="11"/>
      <c r="E1087" t="s">
        <v>881</v>
      </c>
      <c r="F1087" s="108" t="s">
        <v>108</v>
      </c>
    </row>
    <row r="1088" spans="1:6" x14ac:dyDescent="0.3">
      <c r="A1088" s="38">
        <v>46212</v>
      </c>
      <c r="B1088" t="s">
        <v>55</v>
      </c>
      <c r="C1088" s="95">
        <v>1350</v>
      </c>
      <c r="D1088" s="95"/>
      <c r="E1088" t="s">
        <v>883</v>
      </c>
      <c r="F1088" s="108" t="s">
        <v>108</v>
      </c>
    </row>
    <row r="1089" spans="1:6" x14ac:dyDescent="0.3">
      <c r="A1089" s="111">
        <v>46212</v>
      </c>
      <c r="B1089" t="s">
        <v>222</v>
      </c>
      <c r="C1089" s="11">
        <v>46850</v>
      </c>
      <c r="D1089" s="11"/>
      <c r="E1089" t="s">
        <v>872</v>
      </c>
      <c r="F1089" s="108" t="s">
        <v>108</v>
      </c>
    </row>
    <row r="1090" spans="1:6" x14ac:dyDescent="0.3">
      <c r="A1090" s="38">
        <v>46212</v>
      </c>
      <c r="B1090" t="s">
        <v>244</v>
      </c>
      <c r="C1090" s="11">
        <v>2450</v>
      </c>
      <c r="D1090" s="11"/>
      <c r="E1090" t="s">
        <v>884</v>
      </c>
      <c r="F1090" s="108" t="s">
        <v>108</v>
      </c>
    </row>
    <row r="1091" spans="1:6" x14ac:dyDescent="0.3">
      <c r="A1091" s="111">
        <v>46212</v>
      </c>
      <c r="B1091" t="s">
        <v>743</v>
      </c>
      <c r="C1091" s="11">
        <v>15000</v>
      </c>
      <c r="D1091" s="11"/>
      <c r="E1091" t="s">
        <v>885</v>
      </c>
      <c r="F1091" s="108" t="s">
        <v>108</v>
      </c>
    </row>
    <row r="1092" spans="1:6" x14ac:dyDescent="0.3">
      <c r="A1092" s="38">
        <v>46212</v>
      </c>
      <c r="B1092" t="s">
        <v>246</v>
      </c>
      <c r="C1092" s="11">
        <v>10000</v>
      </c>
      <c r="D1092" s="11"/>
      <c r="E1092" t="s">
        <v>886</v>
      </c>
      <c r="F1092" s="108" t="s">
        <v>108</v>
      </c>
    </row>
    <row r="1093" spans="1:6" x14ac:dyDescent="0.3">
      <c r="A1093" s="38">
        <v>46212</v>
      </c>
      <c r="B1093" t="s">
        <v>488</v>
      </c>
      <c r="C1093" s="95">
        <v>2000</v>
      </c>
      <c r="D1093" s="95"/>
      <c r="E1093" t="s">
        <v>887</v>
      </c>
      <c r="F1093" s="108" t="s">
        <v>108</v>
      </c>
    </row>
    <row r="1094" spans="1:6" x14ac:dyDescent="0.3">
      <c r="A1094" s="38">
        <v>46212</v>
      </c>
      <c r="B1094" t="s">
        <v>517</v>
      </c>
      <c r="C1094" s="95">
        <v>400000</v>
      </c>
      <c r="D1094" s="95"/>
      <c r="E1094" t="s">
        <v>888</v>
      </c>
      <c r="F1094" s="108" t="s">
        <v>108</v>
      </c>
    </row>
    <row r="1095" spans="1:6" x14ac:dyDescent="0.3">
      <c r="A1095" s="38">
        <v>46212</v>
      </c>
      <c r="B1095" t="s">
        <v>852</v>
      </c>
      <c r="C1095" s="95"/>
      <c r="D1095" s="95">
        <v>400000</v>
      </c>
      <c r="E1095" t="s">
        <v>517</v>
      </c>
      <c r="F1095" s="108" t="s">
        <v>108</v>
      </c>
    </row>
    <row r="1096" spans="1:6" x14ac:dyDescent="0.3">
      <c r="A1096" s="38">
        <v>46212</v>
      </c>
      <c r="B1096" t="s">
        <v>219</v>
      </c>
      <c r="C1096" s="95"/>
      <c r="D1096" s="95">
        <v>170000</v>
      </c>
      <c r="E1096" t="s">
        <v>889</v>
      </c>
      <c r="F1096" s="108" t="s">
        <v>108</v>
      </c>
    </row>
    <row r="1097" spans="1:6" x14ac:dyDescent="0.3">
      <c r="A1097" s="38">
        <v>46212</v>
      </c>
      <c r="B1097" t="s">
        <v>674</v>
      </c>
      <c r="C1097" s="95">
        <v>200000</v>
      </c>
      <c r="D1097" s="95"/>
      <c r="E1097" t="s">
        <v>890</v>
      </c>
      <c r="F1097" s="108" t="s">
        <v>108</v>
      </c>
    </row>
    <row r="1098" spans="1:6" x14ac:dyDescent="0.3">
      <c r="A1098" s="38">
        <v>46213</v>
      </c>
      <c r="B1098" t="s">
        <v>852</v>
      </c>
      <c r="C1098" s="95"/>
      <c r="D1098" s="95">
        <v>36000</v>
      </c>
      <c r="E1098" t="s">
        <v>891</v>
      </c>
      <c r="F1098" s="108" t="s">
        <v>108</v>
      </c>
    </row>
    <row r="1099" spans="1:6" x14ac:dyDescent="0.3">
      <c r="A1099" s="38">
        <v>46213</v>
      </c>
      <c r="B1099" t="s">
        <v>222</v>
      </c>
      <c r="C1099" s="95">
        <v>36000</v>
      </c>
      <c r="D1099" s="95"/>
      <c r="E1099" t="s">
        <v>872</v>
      </c>
      <c r="F1099" s="108" t="s">
        <v>108</v>
      </c>
    </row>
    <row r="1100" spans="1:6" x14ac:dyDescent="0.3">
      <c r="A1100" s="111">
        <v>46213</v>
      </c>
      <c r="B1100" t="s">
        <v>852</v>
      </c>
      <c r="C1100" s="95"/>
      <c r="D1100" s="95">
        <v>80000</v>
      </c>
      <c r="E1100" t="s">
        <v>894</v>
      </c>
      <c r="F1100" s="108" t="s">
        <v>108</v>
      </c>
    </row>
    <row r="1101" spans="1:6" x14ac:dyDescent="0.3">
      <c r="A1101" s="111">
        <v>46213</v>
      </c>
      <c r="B1101" t="s">
        <v>253</v>
      </c>
      <c r="C1101" s="11">
        <v>80000</v>
      </c>
      <c r="D1101" s="11"/>
      <c r="E1101" t="s">
        <v>895</v>
      </c>
      <c r="F1101" s="108" t="s">
        <v>896</v>
      </c>
    </row>
    <row r="1102" spans="1:6" x14ac:dyDescent="0.3">
      <c r="A1102" s="111">
        <v>46213</v>
      </c>
      <c r="B1102" t="s">
        <v>219</v>
      </c>
      <c r="C1102" s="11"/>
      <c r="D1102" s="11">
        <v>280000</v>
      </c>
      <c r="E1102" t="s">
        <v>897</v>
      </c>
      <c r="F1102" s="108" t="s">
        <v>108</v>
      </c>
    </row>
    <row r="1103" spans="1:6" x14ac:dyDescent="0.3">
      <c r="A1103" s="111">
        <v>46213</v>
      </c>
      <c r="B1103" t="s">
        <v>222</v>
      </c>
      <c r="C1103" s="11">
        <v>300000</v>
      </c>
      <c r="D1103" s="11"/>
      <c r="E1103" t="s">
        <v>898</v>
      </c>
      <c r="F1103" s="108" t="s">
        <v>108</v>
      </c>
    </row>
    <row r="1104" spans="1:6" x14ac:dyDescent="0.3">
      <c r="A1104" s="111">
        <v>46213</v>
      </c>
      <c r="B1104" t="s">
        <v>852</v>
      </c>
      <c r="C1104" s="11"/>
      <c r="D1104" s="11">
        <v>24000</v>
      </c>
      <c r="F1104" s="108" t="s">
        <v>108</v>
      </c>
    </row>
    <row r="1105" spans="1:6" x14ac:dyDescent="0.3">
      <c r="A1105" s="111">
        <v>46213</v>
      </c>
      <c r="B1105" t="s">
        <v>386</v>
      </c>
      <c r="C1105" s="11">
        <v>4480</v>
      </c>
      <c r="D1105" s="11"/>
      <c r="E1105" t="s">
        <v>899</v>
      </c>
      <c r="F1105" s="108" t="s">
        <v>108</v>
      </c>
    </row>
    <row r="1106" spans="1:6" x14ac:dyDescent="0.3">
      <c r="A1106" s="111">
        <v>46213</v>
      </c>
      <c r="B1106" t="s">
        <v>765</v>
      </c>
      <c r="C1106" s="95"/>
      <c r="D1106" s="95">
        <v>100000</v>
      </c>
      <c r="F1106" s="108" t="s">
        <v>108</v>
      </c>
    </row>
    <row r="1107" spans="1:6" x14ac:dyDescent="0.3">
      <c r="A1107" s="111">
        <v>46214</v>
      </c>
      <c r="B1107" t="s">
        <v>892</v>
      </c>
      <c r="C1107" s="11"/>
      <c r="D1107" s="11">
        <v>488600</v>
      </c>
      <c r="F1107" s="108" t="s">
        <v>108</v>
      </c>
    </row>
    <row r="1108" spans="1:6" x14ac:dyDescent="0.3">
      <c r="A1108" s="111">
        <v>46214</v>
      </c>
      <c r="B1108" t="s">
        <v>219</v>
      </c>
      <c r="C1108" s="11">
        <v>488600</v>
      </c>
      <c r="D1108" s="11"/>
      <c r="E1108" t="s">
        <v>900</v>
      </c>
      <c r="F1108" s="108" t="s">
        <v>108</v>
      </c>
    </row>
    <row r="1109" spans="1:6" x14ac:dyDescent="0.3">
      <c r="A1109" s="111">
        <v>46214</v>
      </c>
      <c r="B1109" t="s">
        <v>219</v>
      </c>
      <c r="C1109" s="11">
        <v>100000</v>
      </c>
      <c r="D1109" s="11"/>
      <c r="E1109" t="s">
        <v>280</v>
      </c>
      <c r="F1109" s="108" t="s">
        <v>108</v>
      </c>
    </row>
    <row r="1110" spans="1:6" x14ac:dyDescent="0.3">
      <c r="A1110" s="111">
        <v>46214</v>
      </c>
      <c r="B1110" t="s">
        <v>488</v>
      </c>
      <c r="C1110" s="11">
        <v>500</v>
      </c>
      <c r="D1110" s="11"/>
      <c r="E1110" t="s">
        <v>901</v>
      </c>
      <c r="F1110" s="108" t="s">
        <v>108</v>
      </c>
    </row>
    <row r="1111" spans="1:6" x14ac:dyDescent="0.3">
      <c r="A1111" s="111">
        <v>46214</v>
      </c>
      <c r="B1111" t="s">
        <v>269</v>
      </c>
      <c r="C1111" s="11">
        <v>5000</v>
      </c>
      <c r="D1111" s="11"/>
      <c r="E1111" t="s">
        <v>829</v>
      </c>
      <c r="F1111" s="108" t="s">
        <v>108</v>
      </c>
    </row>
    <row r="1112" spans="1:6" x14ac:dyDescent="0.3">
      <c r="A1112" s="111">
        <v>46214</v>
      </c>
      <c r="B1112" t="s">
        <v>55</v>
      </c>
      <c r="C1112" s="11">
        <v>460</v>
      </c>
      <c r="D1112" s="11"/>
      <c r="E1112" t="s">
        <v>902</v>
      </c>
      <c r="F1112" s="108" t="s">
        <v>108</v>
      </c>
    </row>
    <row r="1113" spans="1:6" x14ac:dyDescent="0.3">
      <c r="A1113" s="111">
        <v>46214</v>
      </c>
      <c r="B1113" t="s">
        <v>55</v>
      </c>
      <c r="C1113" s="11">
        <v>3500</v>
      </c>
      <c r="D1113" s="11"/>
      <c r="E1113" t="s">
        <v>903</v>
      </c>
      <c r="F1113" s="108" t="s">
        <v>108</v>
      </c>
    </row>
    <row r="1114" spans="1:6" x14ac:dyDescent="0.3">
      <c r="A1114" s="111">
        <v>46214</v>
      </c>
      <c r="B1114" t="s">
        <v>298</v>
      </c>
      <c r="C1114" s="95">
        <v>49410</v>
      </c>
      <c r="D1114" s="95"/>
      <c r="E1114" t="s">
        <v>904</v>
      </c>
      <c r="F1114" s="108" t="s">
        <v>108</v>
      </c>
    </row>
    <row r="1115" spans="1:6" x14ac:dyDescent="0.3">
      <c r="A1115" s="111">
        <v>46214</v>
      </c>
      <c r="B1115" t="s">
        <v>856</v>
      </c>
      <c r="C1115" s="11"/>
      <c r="D1115" s="11">
        <v>100000</v>
      </c>
      <c r="F1115" s="108" t="s">
        <v>108</v>
      </c>
    </row>
    <row r="1116" spans="1:6" x14ac:dyDescent="0.3">
      <c r="A1116" s="111">
        <v>46214</v>
      </c>
      <c r="B1116" t="s">
        <v>55</v>
      </c>
      <c r="C1116" s="11">
        <v>3400</v>
      </c>
      <c r="D1116" s="11"/>
      <c r="E1116" t="s">
        <v>905</v>
      </c>
      <c r="F1116" s="108" t="s">
        <v>108</v>
      </c>
    </row>
    <row r="1117" spans="1:6" x14ac:dyDescent="0.3">
      <c r="A1117" s="111">
        <v>46214</v>
      </c>
      <c r="B1117" t="s">
        <v>488</v>
      </c>
      <c r="C1117" s="11">
        <v>5000</v>
      </c>
      <c r="D1117" s="11"/>
      <c r="E1117" t="s">
        <v>837</v>
      </c>
      <c r="F1117" s="108" t="s">
        <v>108</v>
      </c>
    </row>
    <row r="1118" spans="1:6" x14ac:dyDescent="0.3">
      <c r="A1118" s="111">
        <v>46214</v>
      </c>
      <c r="B1118" t="s">
        <v>269</v>
      </c>
      <c r="C1118" s="11">
        <v>5000</v>
      </c>
      <c r="D1118" s="11"/>
      <c r="E1118" t="s">
        <v>288</v>
      </c>
      <c r="F1118" s="108" t="s">
        <v>108</v>
      </c>
    </row>
    <row r="1119" spans="1:6" x14ac:dyDescent="0.3">
      <c r="A1119" s="111">
        <v>46215</v>
      </c>
      <c r="B1119" t="s">
        <v>654</v>
      </c>
      <c r="C1119" s="11"/>
      <c r="D1119" s="11">
        <v>200000</v>
      </c>
      <c r="E1119" t="s">
        <v>908</v>
      </c>
      <c r="F1119" s="108" t="s">
        <v>108</v>
      </c>
    </row>
    <row r="1120" spans="1:6" x14ac:dyDescent="0.3">
      <c r="A1120" s="111">
        <v>46215</v>
      </c>
      <c r="B1120" t="s">
        <v>654</v>
      </c>
      <c r="C1120" s="95"/>
      <c r="D1120" s="95">
        <v>200000</v>
      </c>
      <c r="E1120" t="s">
        <v>909</v>
      </c>
      <c r="F1120" s="108" t="s">
        <v>108</v>
      </c>
    </row>
    <row r="1121" spans="1:6" x14ac:dyDescent="0.3">
      <c r="A1121" s="38">
        <v>46215</v>
      </c>
      <c r="B1121" t="s">
        <v>654</v>
      </c>
      <c r="C1121" s="95"/>
      <c r="D1121" s="95">
        <v>200000</v>
      </c>
      <c r="E1121" t="s">
        <v>910</v>
      </c>
      <c r="F1121" s="108" t="s">
        <v>108</v>
      </c>
    </row>
    <row r="1122" spans="1:6" x14ac:dyDescent="0.3">
      <c r="A1122" s="38">
        <v>46215</v>
      </c>
      <c r="B1122" t="s">
        <v>219</v>
      </c>
      <c r="C1122" s="95">
        <v>600000</v>
      </c>
      <c r="D1122" s="95"/>
      <c r="E1122" t="s">
        <v>911</v>
      </c>
      <c r="F1122" s="108" t="s">
        <v>108</v>
      </c>
    </row>
    <row r="1123" spans="1:6" x14ac:dyDescent="0.3">
      <c r="A1123" s="38">
        <v>46215</v>
      </c>
      <c r="B1123" t="s">
        <v>357</v>
      </c>
      <c r="C1123" s="95">
        <v>2860</v>
      </c>
      <c r="D1123" s="95"/>
      <c r="F1123" s="108" t="s">
        <v>108</v>
      </c>
    </row>
    <row r="1124" spans="1:6" x14ac:dyDescent="0.3">
      <c r="A1124" s="38">
        <v>46216</v>
      </c>
      <c r="B1124" t="s">
        <v>269</v>
      </c>
      <c r="C1124" s="95">
        <v>3500</v>
      </c>
      <c r="D1124" s="95"/>
      <c r="E1124" t="s">
        <v>538</v>
      </c>
      <c r="F1124" s="108" t="s">
        <v>108</v>
      </c>
    </row>
    <row r="1125" spans="1:6" x14ac:dyDescent="0.3">
      <c r="A1125" s="38">
        <v>46216</v>
      </c>
      <c r="B1125" t="s">
        <v>244</v>
      </c>
      <c r="C1125" s="95">
        <v>1000</v>
      </c>
      <c r="D1125" s="95"/>
      <c r="E1125" t="s">
        <v>922</v>
      </c>
      <c r="F1125" s="108"/>
    </row>
    <row r="1126" spans="1:6" x14ac:dyDescent="0.3">
      <c r="A1126" s="111">
        <v>46216</v>
      </c>
      <c r="B1126" t="s">
        <v>55</v>
      </c>
      <c r="C1126" s="95">
        <v>160</v>
      </c>
      <c r="D1126" s="95"/>
      <c r="E1126" t="s">
        <v>912</v>
      </c>
      <c r="F1126" s="108" t="s">
        <v>108</v>
      </c>
    </row>
    <row r="1127" spans="1:6" x14ac:dyDescent="0.3">
      <c r="A1127" s="38">
        <v>46216</v>
      </c>
      <c r="B1127" t="s">
        <v>269</v>
      </c>
      <c r="C1127" s="95">
        <v>5000</v>
      </c>
      <c r="D1127" s="95"/>
      <c r="E1127" t="s">
        <v>913</v>
      </c>
      <c r="F1127" s="108" t="s">
        <v>108</v>
      </c>
    </row>
    <row r="1128" spans="1:6" x14ac:dyDescent="0.3">
      <c r="A1128" s="38">
        <v>46216</v>
      </c>
      <c r="B1128" t="s">
        <v>55</v>
      </c>
      <c r="C1128" s="95">
        <v>1250</v>
      </c>
      <c r="D1128" s="95"/>
      <c r="E1128" t="s">
        <v>914</v>
      </c>
      <c r="F1128" s="108" t="s">
        <v>108</v>
      </c>
    </row>
    <row r="1129" spans="1:6" x14ac:dyDescent="0.3">
      <c r="A1129" s="38">
        <v>46216</v>
      </c>
      <c r="B1129" t="s">
        <v>357</v>
      </c>
      <c r="C1129" s="95">
        <v>12000</v>
      </c>
      <c r="D1129" s="95"/>
      <c r="E1129" t="s">
        <v>392</v>
      </c>
      <c r="F1129" s="108" t="s">
        <v>108</v>
      </c>
    </row>
    <row r="1130" spans="1:6" x14ac:dyDescent="0.3">
      <c r="A1130" s="38">
        <v>46217</v>
      </c>
      <c r="B1130" t="s">
        <v>488</v>
      </c>
      <c r="C1130" s="95">
        <v>920</v>
      </c>
      <c r="D1130" s="95"/>
      <c r="E1130" t="s">
        <v>541</v>
      </c>
      <c r="F1130" s="108" t="s">
        <v>108</v>
      </c>
    </row>
    <row r="1131" spans="1:6" x14ac:dyDescent="0.3">
      <c r="A1131" s="38">
        <v>46217</v>
      </c>
      <c r="B1131" t="s">
        <v>211</v>
      </c>
      <c r="C1131" s="95"/>
      <c r="D1131" s="95">
        <v>15000</v>
      </c>
      <c r="E1131" t="s">
        <v>867</v>
      </c>
      <c r="F1131" s="108" t="s">
        <v>108</v>
      </c>
    </row>
    <row r="1132" spans="1:6" x14ac:dyDescent="0.3">
      <c r="A1132" s="38">
        <v>46217</v>
      </c>
      <c r="B1132" t="s">
        <v>253</v>
      </c>
      <c r="C1132" s="95">
        <v>15000</v>
      </c>
      <c r="D1132" s="95"/>
      <c r="E1132" t="s">
        <v>867</v>
      </c>
      <c r="F1132" s="108" t="s">
        <v>108</v>
      </c>
    </row>
    <row r="1133" spans="1:6" x14ac:dyDescent="0.3">
      <c r="A1133" s="38">
        <v>46217</v>
      </c>
      <c r="B1133" t="s">
        <v>219</v>
      </c>
      <c r="C1133" s="95"/>
      <c r="D1133" s="95">
        <v>63000</v>
      </c>
      <c r="E1133" t="s">
        <v>915</v>
      </c>
      <c r="F1133" s="108" t="s">
        <v>108</v>
      </c>
    </row>
    <row r="1134" spans="1:6" x14ac:dyDescent="0.3">
      <c r="A1134" s="38">
        <v>46217</v>
      </c>
      <c r="B1134" t="s">
        <v>269</v>
      </c>
      <c r="C1134" s="95">
        <v>50000</v>
      </c>
      <c r="D1134" s="95"/>
      <c r="E1134" t="s">
        <v>699</v>
      </c>
      <c r="F1134" s="108" t="s">
        <v>108</v>
      </c>
    </row>
    <row r="1135" spans="1:6" x14ac:dyDescent="0.3">
      <c r="A1135" s="38">
        <v>46217</v>
      </c>
      <c r="B1135" t="s">
        <v>269</v>
      </c>
      <c r="C1135" s="95">
        <v>8000</v>
      </c>
      <c r="D1135" s="95"/>
      <c r="E1135" t="s">
        <v>260</v>
      </c>
      <c r="F1135" s="108" t="s">
        <v>108</v>
      </c>
    </row>
    <row r="1136" spans="1:6" x14ac:dyDescent="0.3">
      <c r="A1136" s="38">
        <v>46217</v>
      </c>
      <c r="B1136" t="s">
        <v>211</v>
      </c>
      <c r="C1136" s="95"/>
      <c r="D1136" s="95">
        <v>1000</v>
      </c>
      <c r="E1136" t="s">
        <v>109</v>
      </c>
      <c r="F1136" s="108" t="s">
        <v>108</v>
      </c>
    </row>
    <row r="1137" spans="1:6" x14ac:dyDescent="0.3">
      <c r="A1137" s="111">
        <v>46217</v>
      </c>
      <c r="B1137" t="s">
        <v>488</v>
      </c>
      <c r="C1137" s="95">
        <v>500</v>
      </c>
      <c r="D1137" s="95"/>
      <c r="E1137" t="s">
        <v>916</v>
      </c>
      <c r="F1137" s="108" t="s">
        <v>108</v>
      </c>
    </row>
    <row r="1138" spans="1:6" x14ac:dyDescent="0.3">
      <c r="A1138" s="38">
        <v>46217</v>
      </c>
      <c r="B1138" t="s">
        <v>246</v>
      </c>
      <c r="C1138" s="95">
        <v>12000</v>
      </c>
      <c r="D1138" s="95"/>
      <c r="E1138" t="s">
        <v>917</v>
      </c>
      <c r="F1138" s="108" t="s">
        <v>108</v>
      </c>
    </row>
    <row r="1139" spans="1:6" x14ac:dyDescent="0.3">
      <c r="A1139" s="38">
        <v>46217</v>
      </c>
      <c r="B1139" t="s">
        <v>219</v>
      </c>
      <c r="C1139" s="95"/>
      <c r="D1139" s="95">
        <v>12000</v>
      </c>
      <c r="E1139" t="s">
        <v>917</v>
      </c>
      <c r="F1139" s="108" t="s">
        <v>108</v>
      </c>
    </row>
    <row r="1140" spans="1:6" x14ac:dyDescent="0.3">
      <c r="A1140" s="38">
        <v>46217</v>
      </c>
      <c r="B1140" t="s">
        <v>488</v>
      </c>
      <c r="C1140" s="95">
        <v>5000</v>
      </c>
      <c r="D1140" s="95"/>
      <c r="E1140" t="s">
        <v>837</v>
      </c>
      <c r="F1140" s="108" t="s">
        <v>108</v>
      </c>
    </row>
    <row r="1141" spans="1:6" x14ac:dyDescent="0.3">
      <c r="A1141" s="38">
        <v>46218</v>
      </c>
      <c r="B1141" t="s">
        <v>55</v>
      </c>
      <c r="C1141" s="95">
        <v>3560</v>
      </c>
      <c r="D1141" s="95"/>
      <c r="F1141" s="108" t="s">
        <v>108</v>
      </c>
    </row>
    <row r="1142" spans="1:6" x14ac:dyDescent="0.3">
      <c r="A1142" s="38">
        <v>46218</v>
      </c>
      <c r="B1142" t="s">
        <v>386</v>
      </c>
      <c r="C1142" s="95">
        <v>1540</v>
      </c>
      <c r="D1142" s="95"/>
      <c r="E1142" t="s">
        <v>918</v>
      </c>
      <c r="F1142" s="108" t="s">
        <v>108</v>
      </c>
    </row>
    <row r="1143" spans="1:6" x14ac:dyDescent="0.3">
      <c r="A1143" s="38">
        <v>46218</v>
      </c>
      <c r="B1143" t="s">
        <v>211</v>
      </c>
      <c r="C1143" s="95"/>
      <c r="D1143" s="95">
        <v>3050</v>
      </c>
      <c r="E1143" t="s">
        <v>919</v>
      </c>
      <c r="F1143" s="108" t="s">
        <v>108</v>
      </c>
    </row>
    <row r="1144" spans="1:6" x14ac:dyDescent="0.3">
      <c r="A1144" s="38">
        <v>46218</v>
      </c>
      <c r="B1144" t="s">
        <v>386</v>
      </c>
      <c r="C1144" s="95">
        <v>3050</v>
      </c>
      <c r="D1144" s="95"/>
      <c r="E1144" t="s">
        <v>919</v>
      </c>
      <c r="F1144" s="108" t="s">
        <v>108</v>
      </c>
    </row>
    <row r="1145" spans="1:6" x14ac:dyDescent="0.3">
      <c r="A1145" s="38">
        <v>46218</v>
      </c>
      <c r="B1145" t="s">
        <v>219</v>
      </c>
      <c r="C1145" s="95"/>
      <c r="D1145" s="95">
        <v>146950</v>
      </c>
      <c r="E1145" t="s">
        <v>920</v>
      </c>
      <c r="F1145" s="108" t="s">
        <v>108</v>
      </c>
    </row>
    <row r="1146" spans="1:6" x14ac:dyDescent="0.3">
      <c r="A1146" s="38">
        <v>46218</v>
      </c>
      <c r="B1146" t="s">
        <v>211</v>
      </c>
      <c r="C1146" s="95"/>
      <c r="D1146" s="95">
        <v>2500</v>
      </c>
      <c r="F1146" s="108" t="s">
        <v>108</v>
      </c>
    </row>
    <row r="1147" spans="1:6" x14ac:dyDescent="0.3">
      <c r="A1147" s="38">
        <v>46218</v>
      </c>
      <c r="B1147" t="s">
        <v>674</v>
      </c>
      <c r="C1147" s="95">
        <v>150000</v>
      </c>
      <c r="D1147" s="95"/>
      <c r="E1147" t="s">
        <v>921</v>
      </c>
      <c r="F1147" s="108" t="s">
        <v>108</v>
      </c>
    </row>
    <row r="1148" spans="1:6" x14ac:dyDescent="0.3">
      <c r="A1148" s="38">
        <v>46219</v>
      </c>
      <c r="B1148" t="s">
        <v>488</v>
      </c>
      <c r="C1148" s="11">
        <v>800</v>
      </c>
      <c r="D1148" s="11"/>
      <c r="E1148" t="s">
        <v>462</v>
      </c>
      <c r="F1148" s="108" t="s">
        <v>108</v>
      </c>
    </row>
    <row r="1149" spans="1:6" x14ac:dyDescent="0.3">
      <c r="A1149" s="111">
        <v>46219</v>
      </c>
      <c r="B1149" t="s">
        <v>246</v>
      </c>
      <c r="C1149" s="11">
        <v>2000</v>
      </c>
      <c r="D1149" s="11"/>
      <c r="E1149" t="s">
        <v>282</v>
      </c>
      <c r="F1149" s="108" t="s">
        <v>108</v>
      </c>
    </row>
    <row r="1150" spans="1:6" x14ac:dyDescent="0.3">
      <c r="A1150" s="111">
        <v>46219</v>
      </c>
      <c r="B1150" t="s">
        <v>222</v>
      </c>
      <c r="C1150" s="11">
        <v>200000</v>
      </c>
      <c r="D1150" s="11"/>
      <c r="E1150" t="s">
        <v>923</v>
      </c>
      <c r="F1150" s="108" t="s">
        <v>108</v>
      </c>
    </row>
    <row r="1151" spans="1:6" x14ac:dyDescent="0.3">
      <c r="A1151" s="111">
        <v>46219</v>
      </c>
      <c r="B1151" t="s">
        <v>869</v>
      </c>
      <c r="C1151" s="11">
        <v>255750</v>
      </c>
      <c r="D1151" s="11"/>
      <c r="E1151" t="s">
        <v>924</v>
      </c>
      <c r="F1151" s="108" t="s">
        <v>108</v>
      </c>
    </row>
    <row r="1152" spans="1:6" x14ac:dyDescent="0.3">
      <c r="A1152" s="111">
        <v>46219</v>
      </c>
      <c r="B1152" t="s">
        <v>219</v>
      </c>
      <c r="C1152" s="11"/>
      <c r="D1152" s="11">
        <v>425000</v>
      </c>
      <c r="E1152" t="s">
        <v>925</v>
      </c>
      <c r="F1152" s="108" t="s">
        <v>108</v>
      </c>
    </row>
    <row r="1153" spans="1:6" x14ac:dyDescent="0.3">
      <c r="A1153" s="111">
        <v>46219</v>
      </c>
      <c r="B1153" t="s">
        <v>219</v>
      </c>
      <c r="C1153" s="11"/>
      <c r="D1153" s="11">
        <v>34800</v>
      </c>
      <c r="E1153" t="s">
        <v>926</v>
      </c>
      <c r="F1153" s="108" t="s">
        <v>108</v>
      </c>
    </row>
    <row r="1154" spans="1:6" x14ac:dyDescent="0.3">
      <c r="A1154" s="111">
        <v>46219</v>
      </c>
      <c r="B1154" t="s">
        <v>488</v>
      </c>
      <c r="C1154" s="11">
        <v>1500</v>
      </c>
      <c r="D1154" s="11"/>
      <c r="E1154" t="s">
        <v>927</v>
      </c>
      <c r="F1154" s="108" t="s">
        <v>108</v>
      </c>
    </row>
    <row r="1155" spans="1:6" x14ac:dyDescent="0.3">
      <c r="A1155" s="111">
        <v>46219</v>
      </c>
      <c r="B1155" t="s">
        <v>357</v>
      </c>
      <c r="C1155" s="11">
        <v>14080</v>
      </c>
      <c r="D1155" s="11"/>
      <c r="F1155" s="108" t="s">
        <v>108</v>
      </c>
    </row>
    <row r="1156" spans="1:6" x14ac:dyDescent="0.3">
      <c r="A1156" s="111">
        <v>46219</v>
      </c>
      <c r="B1156" t="s">
        <v>116</v>
      </c>
      <c r="C1156" s="11">
        <v>15500</v>
      </c>
      <c r="D1156" s="11"/>
      <c r="E1156" t="s">
        <v>163</v>
      </c>
      <c r="F1156" s="108" t="s">
        <v>108</v>
      </c>
    </row>
    <row r="1157" spans="1:6" x14ac:dyDescent="0.3">
      <c r="A1157" s="111">
        <v>46219</v>
      </c>
      <c r="B1157" t="s">
        <v>219</v>
      </c>
      <c r="C1157" s="11"/>
      <c r="D1157" s="11">
        <v>20000</v>
      </c>
      <c r="E1157" t="s">
        <v>934</v>
      </c>
      <c r="F1157" s="108" t="s">
        <v>108</v>
      </c>
    </row>
    <row r="1158" spans="1:6" x14ac:dyDescent="0.3">
      <c r="A1158" s="111">
        <v>46219</v>
      </c>
      <c r="B1158" t="s">
        <v>219</v>
      </c>
      <c r="C1158" s="11"/>
      <c r="D1158" s="11">
        <v>15500</v>
      </c>
      <c r="E1158" t="s">
        <v>163</v>
      </c>
      <c r="F1158" s="108" t="s">
        <v>108</v>
      </c>
    </row>
    <row r="1159" spans="1:6" x14ac:dyDescent="0.3">
      <c r="A1159" s="111">
        <v>46219</v>
      </c>
      <c r="B1159" t="s">
        <v>488</v>
      </c>
      <c r="C1159" s="11">
        <v>5000</v>
      </c>
      <c r="D1159" s="11"/>
      <c r="E1159" t="s">
        <v>837</v>
      </c>
      <c r="F1159" s="108" t="s">
        <v>108</v>
      </c>
    </row>
    <row r="1160" spans="1:6" x14ac:dyDescent="0.3">
      <c r="A1160" s="111">
        <v>46220</v>
      </c>
      <c r="B1160" t="s">
        <v>269</v>
      </c>
      <c r="C1160" s="11">
        <v>5000</v>
      </c>
      <c r="D1160" s="11"/>
      <c r="E1160" t="s">
        <v>665</v>
      </c>
      <c r="F1160" s="108" t="s">
        <v>108</v>
      </c>
    </row>
    <row r="1161" spans="1:6" x14ac:dyDescent="0.3">
      <c r="A1161" s="111">
        <v>46220</v>
      </c>
      <c r="B1161" t="s">
        <v>211</v>
      </c>
      <c r="C1161" s="11"/>
      <c r="D1161" s="11">
        <v>5000</v>
      </c>
      <c r="E1161" t="s">
        <v>665</v>
      </c>
      <c r="F1161" s="108" t="s">
        <v>108</v>
      </c>
    </row>
    <row r="1162" spans="1:6" x14ac:dyDescent="0.3">
      <c r="A1162" s="111">
        <v>46220</v>
      </c>
      <c r="B1162" t="s">
        <v>357</v>
      </c>
      <c r="C1162" s="11">
        <v>370</v>
      </c>
      <c r="D1162" s="11"/>
      <c r="F1162" s="108" t="s">
        <v>108</v>
      </c>
    </row>
    <row r="1163" spans="1:6" x14ac:dyDescent="0.3">
      <c r="A1163" s="111">
        <v>46221</v>
      </c>
      <c r="B1163" t="s">
        <v>219</v>
      </c>
      <c r="C1163" s="11"/>
      <c r="D1163" s="11">
        <v>40000</v>
      </c>
      <c r="E1163" t="s">
        <v>929</v>
      </c>
      <c r="F1163" s="108" t="s">
        <v>108</v>
      </c>
    </row>
    <row r="1164" spans="1:6" x14ac:dyDescent="0.3">
      <c r="A1164" s="111">
        <v>46221</v>
      </c>
      <c r="B1164" t="s">
        <v>246</v>
      </c>
      <c r="C1164" s="11">
        <v>39700</v>
      </c>
      <c r="D1164" s="11"/>
      <c r="E1164" t="s">
        <v>930</v>
      </c>
      <c r="F1164" s="108" t="s">
        <v>108</v>
      </c>
    </row>
    <row r="1165" spans="1:6" x14ac:dyDescent="0.3">
      <c r="A1165" s="111">
        <v>46221</v>
      </c>
      <c r="B1165" t="s">
        <v>246</v>
      </c>
      <c r="C1165" s="11">
        <v>3700</v>
      </c>
      <c r="D1165" s="11"/>
      <c r="E1165" t="s">
        <v>282</v>
      </c>
      <c r="F1165" s="108" t="s">
        <v>108</v>
      </c>
    </row>
    <row r="1166" spans="1:6" x14ac:dyDescent="0.3">
      <c r="A1166" s="111">
        <v>46221</v>
      </c>
      <c r="B1166" t="s">
        <v>488</v>
      </c>
      <c r="C1166" s="11">
        <v>2500</v>
      </c>
      <c r="D1166" s="11"/>
      <c r="E1166" t="s">
        <v>931</v>
      </c>
      <c r="F1166" s="108" t="s">
        <v>108</v>
      </c>
    </row>
    <row r="1167" spans="1:6" x14ac:dyDescent="0.3">
      <c r="A1167" s="111">
        <v>46221</v>
      </c>
      <c r="B1167" t="s">
        <v>211</v>
      </c>
      <c r="C1167" s="11"/>
      <c r="D1167" s="11">
        <v>6200</v>
      </c>
      <c r="E1167" t="s">
        <v>932</v>
      </c>
      <c r="F1167" s="108" t="s">
        <v>108</v>
      </c>
    </row>
    <row r="1168" spans="1:6" x14ac:dyDescent="0.3">
      <c r="A1168" s="111">
        <v>46221</v>
      </c>
      <c r="B1168" t="s">
        <v>55</v>
      </c>
      <c r="C1168" s="11">
        <v>1800</v>
      </c>
      <c r="D1168" s="11"/>
      <c r="F1168" s="108" t="s">
        <v>108</v>
      </c>
    </row>
    <row r="1169" spans="1:6" x14ac:dyDescent="0.3">
      <c r="A1169" s="111">
        <v>46221</v>
      </c>
      <c r="B1169" t="s">
        <v>269</v>
      </c>
      <c r="C1169" s="95">
        <v>3000</v>
      </c>
      <c r="D1169" s="95"/>
      <c r="E1169" t="s">
        <v>252</v>
      </c>
      <c r="F1169" s="108" t="s">
        <v>108</v>
      </c>
    </row>
    <row r="1170" spans="1:6" x14ac:dyDescent="0.3">
      <c r="A1170" s="38">
        <v>46221</v>
      </c>
      <c r="B1170" t="s">
        <v>211</v>
      </c>
      <c r="C1170" s="95"/>
      <c r="D1170" s="95">
        <v>3000</v>
      </c>
      <c r="E1170" t="s">
        <v>252</v>
      </c>
      <c r="F1170" s="108" t="s">
        <v>108</v>
      </c>
    </row>
    <row r="1171" spans="1:6" x14ac:dyDescent="0.3">
      <c r="A1171" s="38">
        <v>46221</v>
      </c>
      <c r="B1171" t="s">
        <v>269</v>
      </c>
      <c r="C1171" s="95">
        <v>5000</v>
      </c>
      <c r="D1171" s="95"/>
      <c r="E1171" t="s">
        <v>933</v>
      </c>
      <c r="F1171" s="108" t="s">
        <v>108</v>
      </c>
    </row>
    <row r="1172" spans="1:6" x14ac:dyDescent="0.3">
      <c r="A1172" s="38">
        <v>46221</v>
      </c>
      <c r="B1172" t="s">
        <v>211</v>
      </c>
      <c r="C1172" s="95"/>
      <c r="D1172" s="95">
        <v>5000</v>
      </c>
      <c r="E1172" t="s">
        <v>933</v>
      </c>
      <c r="F1172" s="108" t="s">
        <v>108</v>
      </c>
    </row>
    <row r="1173" spans="1:6" x14ac:dyDescent="0.3">
      <c r="A1173" s="38">
        <v>46221</v>
      </c>
      <c r="B1173" t="s">
        <v>298</v>
      </c>
      <c r="C1173" s="95">
        <v>5000</v>
      </c>
      <c r="D1173" s="95"/>
      <c r="E1173" t="s">
        <v>692</v>
      </c>
      <c r="F1173" s="108" t="s">
        <v>108</v>
      </c>
    </row>
    <row r="1174" spans="1:6" x14ac:dyDescent="0.3">
      <c r="A1174" s="38">
        <v>46221</v>
      </c>
      <c r="B1174" t="s">
        <v>219</v>
      </c>
      <c r="C1174" s="95"/>
      <c r="D1174" s="95">
        <v>5000</v>
      </c>
      <c r="E1174" t="s">
        <v>692</v>
      </c>
      <c r="F1174" s="108" t="s">
        <v>108</v>
      </c>
    </row>
    <row r="1175" spans="1:6" x14ac:dyDescent="0.3">
      <c r="A1175" s="38">
        <v>46221</v>
      </c>
      <c r="B1175" t="s">
        <v>219</v>
      </c>
      <c r="C1175" s="95"/>
      <c r="D1175" s="95">
        <v>57000</v>
      </c>
      <c r="E1175" t="s">
        <v>935</v>
      </c>
      <c r="F1175" s="108" t="s">
        <v>108</v>
      </c>
    </row>
    <row r="1176" spans="1:6" x14ac:dyDescent="0.3">
      <c r="A1176" s="38">
        <v>46221</v>
      </c>
      <c r="B1176" t="s">
        <v>219</v>
      </c>
      <c r="C1176" s="95"/>
      <c r="D1176" s="95">
        <v>40800</v>
      </c>
      <c r="E1176" t="s">
        <v>320</v>
      </c>
      <c r="F1176" s="108" t="s">
        <v>108</v>
      </c>
    </row>
    <row r="1177" spans="1:6" x14ac:dyDescent="0.3">
      <c r="A1177" s="38">
        <v>46221</v>
      </c>
      <c r="B1177" t="s">
        <v>219</v>
      </c>
      <c r="C1177" s="95"/>
      <c r="D1177" s="95">
        <v>10000</v>
      </c>
      <c r="E1177" t="s">
        <v>936</v>
      </c>
      <c r="F1177" s="108" t="s">
        <v>108</v>
      </c>
    </row>
    <row r="1178" spans="1:6" x14ac:dyDescent="0.3">
      <c r="A1178" s="38">
        <v>46221</v>
      </c>
      <c r="B1178" t="s">
        <v>219</v>
      </c>
      <c r="C1178" s="95">
        <v>103000</v>
      </c>
      <c r="D1178" s="95"/>
      <c r="E1178" t="s">
        <v>937</v>
      </c>
      <c r="F1178" s="108" t="s">
        <v>108</v>
      </c>
    </row>
    <row r="1179" spans="1:6" x14ac:dyDescent="0.3">
      <c r="A1179" s="38">
        <v>46221</v>
      </c>
      <c r="B1179" t="s">
        <v>879</v>
      </c>
      <c r="C1179" s="95"/>
      <c r="D1179" s="95">
        <v>103000</v>
      </c>
      <c r="F1179" s="108" t="s">
        <v>108</v>
      </c>
    </row>
    <row r="1180" spans="1:6" x14ac:dyDescent="0.3">
      <c r="A1180" s="38">
        <v>46221</v>
      </c>
      <c r="B1180" t="s">
        <v>674</v>
      </c>
      <c r="C1180" s="95">
        <v>100000</v>
      </c>
      <c r="D1180" s="95"/>
      <c r="E1180" t="s">
        <v>938</v>
      </c>
      <c r="F1180" s="108" t="s">
        <v>108</v>
      </c>
    </row>
    <row r="1181" spans="1:6" x14ac:dyDescent="0.3">
      <c r="A1181" s="38">
        <v>46222</v>
      </c>
      <c r="B1181" t="s">
        <v>246</v>
      </c>
      <c r="C1181" s="95">
        <v>5400</v>
      </c>
      <c r="D1181" s="95"/>
      <c r="E1181" t="s">
        <v>282</v>
      </c>
      <c r="F1181" s="108" t="s">
        <v>108</v>
      </c>
    </row>
    <row r="1182" spans="1:6" x14ac:dyDescent="0.3">
      <c r="A1182" s="38">
        <v>46222</v>
      </c>
      <c r="B1182" t="s">
        <v>211</v>
      </c>
      <c r="C1182" s="95"/>
      <c r="D1182" s="95">
        <v>2600</v>
      </c>
      <c r="E1182" t="s">
        <v>535</v>
      </c>
      <c r="F1182" s="108" t="s">
        <v>108</v>
      </c>
    </row>
    <row r="1183" spans="1:6" x14ac:dyDescent="0.3">
      <c r="A1183" s="38">
        <v>46222</v>
      </c>
      <c r="B1183" t="s">
        <v>357</v>
      </c>
      <c r="C1183" s="95">
        <v>2600</v>
      </c>
      <c r="D1183" s="95"/>
      <c r="E1183" t="s">
        <v>535</v>
      </c>
      <c r="F1183" s="108" t="s">
        <v>108</v>
      </c>
    </row>
    <row r="1184" spans="1:6" x14ac:dyDescent="0.3">
      <c r="A1184" s="38">
        <v>46222</v>
      </c>
      <c r="B1184" t="s">
        <v>269</v>
      </c>
      <c r="C1184" s="95">
        <v>10000</v>
      </c>
      <c r="D1184" s="95"/>
      <c r="E1184" t="s">
        <v>580</v>
      </c>
      <c r="F1184" s="108" t="s">
        <v>108</v>
      </c>
    </row>
    <row r="1185" spans="1:6" x14ac:dyDescent="0.3">
      <c r="A1185" s="38">
        <v>46222</v>
      </c>
      <c r="B1185" t="s">
        <v>211</v>
      </c>
      <c r="C1185" s="95"/>
      <c r="D1185" s="95">
        <v>10000</v>
      </c>
      <c r="E1185" t="s">
        <v>939</v>
      </c>
      <c r="F1185" s="108" t="s">
        <v>108</v>
      </c>
    </row>
    <row r="1186" spans="1:6" x14ac:dyDescent="0.3">
      <c r="A1186" s="38">
        <v>46223</v>
      </c>
      <c r="B1186" t="s">
        <v>357</v>
      </c>
      <c r="C1186" s="95">
        <v>2760</v>
      </c>
      <c r="D1186" s="95"/>
      <c r="F1186" s="108" t="s">
        <v>896</v>
      </c>
    </row>
    <row r="1187" spans="1:6" x14ac:dyDescent="0.3">
      <c r="A1187" s="38">
        <v>46223</v>
      </c>
      <c r="B1187" t="s">
        <v>211</v>
      </c>
      <c r="C1187" s="11"/>
      <c r="D1187" s="11">
        <v>2760</v>
      </c>
      <c r="E1187" t="s">
        <v>357</v>
      </c>
      <c r="F1187" s="108" t="s">
        <v>896</v>
      </c>
    </row>
    <row r="1188" spans="1:6" x14ac:dyDescent="0.3">
      <c r="A1188" s="111">
        <v>46223</v>
      </c>
      <c r="B1188" t="s">
        <v>55</v>
      </c>
      <c r="C1188" s="11">
        <v>4000</v>
      </c>
      <c r="D1188" s="11"/>
      <c r="E1188" t="s">
        <v>940</v>
      </c>
      <c r="F1188" s="108" t="s">
        <v>896</v>
      </c>
    </row>
    <row r="1189" spans="1:6" x14ac:dyDescent="0.3">
      <c r="A1189" s="38">
        <v>46223</v>
      </c>
      <c r="B1189" t="s">
        <v>211</v>
      </c>
      <c r="C1189" s="11"/>
      <c r="D1189" s="11">
        <v>4000</v>
      </c>
      <c r="E1189" t="s">
        <v>521</v>
      </c>
      <c r="F1189" s="108" t="s">
        <v>896</v>
      </c>
    </row>
    <row r="1190" spans="1:6" x14ac:dyDescent="0.3">
      <c r="A1190" s="111">
        <v>46223</v>
      </c>
      <c r="B1190" t="s">
        <v>55</v>
      </c>
      <c r="C1190" s="11">
        <v>1850</v>
      </c>
      <c r="D1190" s="11"/>
      <c r="F1190" s="108" t="s">
        <v>896</v>
      </c>
    </row>
    <row r="1191" spans="1:6" x14ac:dyDescent="0.3">
      <c r="A1191" s="38">
        <v>46223</v>
      </c>
      <c r="B1191" t="s">
        <v>865</v>
      </c>
      <c r="C1191" s="11"/>
      <c r="D1191" s="11">
        <v>110000</v>
      </c>
      <c r="E1191" t="s">
        <v>941</v>
      </c>
      <c r="F1191" s="108" t="s">
        <v>896</v>
      </c>
    </row>
    <row r="1192" spans="1:6" x14ac:dyDescent="0.3">
      <c r="A1192" s="111">
        <v>46223</v>
      </c>
      <c r="B1192" t="s">
        <v>246</v>
      </c>
      <c r="C1192" s="11">
        <v>5200</v>
      </c>
      <c r="D1192" s="11"/>
      <c r="E1192" t="s">
        <v>942</v>
      </c>
      <c r="F1192" s="108" t="s">
        <v>896</v>
      </c>
    </row>
    <row r="1193" spans="1:6" x14ac:dyDescent="0.3">
      <c r="A1193" s="38">
        <v>46223</v>
      </c>
      <c r="B1193" t="s">
        <v>357</v>
      </c>
      <c r="C1193" s="11">
        <v>9300</v>
      </c>
      <c r="D1193" s="11"/>
      <c r="E1193" t="s">
        <v>535</v>
      </c>
      <c r="F1193" s="108" t="s">
        <v>896</v>
      </c>
    </row>
    <row r="1194" spans="1:6" x14ac:dyDescent="0.3">
      <c r="A1194" s="111">
        <v>46223</v>
      </c>
      <c r="B1194" t="s">
        <v>211</v>
      </c>
      <c r="C1194" s="11">
        <v>1490</v>
      </c>
      <c r="D1194" s="11"/>
      <c r="F1194" s="108" t="s">
        <v>896</v>
      </c>
    </row>
    <row r="1195" spans="1:6" x14ac:dyDescent="0.3">
      <c r="A1195" s="38">
        <v>46224</v>
      </c>
      <c r="B1195" t="s">
        <v>219</v>
      </c>
      <c r="C1195" s="11"/>
      <c r="D1195" s="11">
        <v>940000</v>
      </c>
      <c r="E1195" t="s">
        <v>943</v>
      </c>
      <c r="F1195" s="108" t="s">
        <v>896</v>
      </c>
    </row>
    <row r="1196" spans="1:6" x14ac:dyDescent="0.3">
      <c r="A1196" s="111">
        <v>46224</v>
      </c>
      <c r="B1196" t="s">
        <v>219</v>
      </c>
      <c r="C1196" s="11"/>
      <c r="D1196" s="11">
        <v>34000</v>
      </c>
      <c r="E1196" t="s">
        <v>944</v>
      </c>
      <c r="F1196" s="108" t="s">
        <v>108</v>
      </c>
    </row>
    <row r="1197" spans="1:6" x14ac:dyDescent="0.3">
      <c r="A1197" s="38">
        <v>46224</v>
      </c>
      <c r="B1197" t="s">
        <v>945</v>
      </c>
      <c r="C1197" s="11">
        <v>1066588</v>
      </c>
      <c r="D1197" s="11"/>
      <c r="E1197" t="s">
        <v>946</v>
      </c>
      <c r="F1197" s="108" t="s">
        <v>108</v>
      </c>
    </row>
    <row r="1198" spans="1:6" x14ac:dyDescent="0.3">
      <c r="A1198" s="111">
        <v>46224</v>
      </c>
      <c r="B1198" t="s">
        <v>211</v>
      </c>
      <c r="C1198" s="11">
        <v>300</v>
      </c>
      <c r="D1198" s="11"/>
      <c r="F1198" s="108" t="s">
        <v>108</v>
      </c>
    </row>
    <row r="1199" spans="1:6" x14ac:dyDescent="0.3">
      <c r="A1199" s="38">
        <v>46224</v>
      </c>
      <c r="B1199" t="s">
        <v>219</v>
      </c>
      <c r="C1199" s="11"/>
      <c r="D1199" s="11">
        <v>25500</v>
      </c>
      <c r="E1199" t="s">
        <v>320</v>
      </c>
      <c r="F1199" s="108" t="s">
        <v>108</v>
      </c>
    </row>
    <row r="1200" spans="1:6" x14ac:dyDescent="0.3">
      <c r="A1200" s="111">
        <v>46224</v>
      </c>
      <c r="B1200" t="s">
        <v>269</v>
      </c>
      <c r="C1200" s="95">
        <v>20000</v>
      </c>
      <c r="D1200" s="95"/>
      <c r="E1200" t="s">
        <v>252</v>
      </c>
      <c r="F1200" s="108" t="s">
        <v>108</v>
      </c>
    </row>
    <row r="1201" spans="1:6" x14ac:dyDescent="0.3">
      <c r="A1201" s="38">
        <v>46224</v>
      </c>
      <c r="B1201" t="s">
        <v>269</v>
      </c>
      <c r="C1201" s="11">
        <v>5000</v>
      </c>
      <c r="D1201" s="11"/>
      <c r="E1201" t="s">
        <v>933</v>
      </c>
      <c r="F1201" s="108" t="s">
        <v>108</v>
      </c>
    </row>
    <row r="1202" spans="1:6" x14ac:dyDescent="0.3">
      <c r="A1202" s="111">
        <v>46224</v>
      </c>
      <c r="B1202" t="s">
        <v>211</v>
      </c>
      <c r="C1202" s="11"/>
      <c r="D1202" s="11">
        <v>1800</v>
      </c>
      <c r="E1202" t="s">
        <v>521</v>
      </c>
      <c r="F1202" s="108" t="s">
        <v>108</v>
      </c>
    </row>
    <row r="1203" spans="1:6" x14ac:dyDescent="0.3">
      <c r="A1203" s="38">
        <v>46224</v>
      </c>
      <c r="B1203" t="s">
        <v>55</v>
      </c>
      <c r="C1203" s="11">
        <v>1800</v>
      </c>
      <c r="D1203" s="11"/>
      <c r="E1203" t="s">
        <v>947</v>
      </c>
      <c r="F1203" s="108" t="s">
        <v>108</v>
      </c>
    </row>
    <row r="1204" spans="1:6" x14ac:dyDescent="0.3">
      <c r="A1204" s="111">
        <v>46224</v>
      </c>
      <c r="B1204" t="s">
        <v>211</v>
      </c>
      <c r="C1204" s="95"/>
      <c r="D1204" s="95">
        <v>800</v>
      </c>
      <c r="F1204" s="108" t="s">
        <v>108</v>
      </c>
    </row>
    <row r="1205" spans="1:6" x14ac:dyDescent="0.3">
      <c r="A1205" s="38">
        <v>46226</v>
      </c>
      <c r="B1205" t="s">
        <v>219</v>
      </c>
      <c r="C1205" s="95"/>
      <c r="D1205" s="95">
        <v>33000</v>
      </c>
      <c r="E1205" t="s">
        <v>948</v>
      </c>
      <c r="F1205" s="108" t="s">
        <v>108</v>
      </c>
    </row>
    <row r="1206" spans="1:6" x14ac:dyDescent="0.3">
      <c r="A1206" s="38">
        <v>46226</v>
      </c>
      <c r="B1206" t="s">
        <v>269</v>
      </c>
      <c r="C1206" s="95">
        <v>10000</v>
      </c>
      <c r="D1206" s="95"/>
      <c r="E1206" t="s">
        <v>665</v>
      </c>
      <c r="F1206" s="108" t="s">
        <v>108</v>
      </c>
    </row>
    <row r="1207" spans="1:6" x14ac:dyDescent="0.3">
      <c r="A1207" s="38">
        <v>46226</v>
      </c>
      <c r="B1207" t="s">
        <v>253</v>
      </c>
      <c r="C1207" s="95">
        <v>6900</v>
      </c>
      <c r="D1207" s="95"/>
      <c r="E1207" t="s">
        <v>949</v>
      </c>
      <c r="F1207" s="108" t="s">
        <v>108</v>
      </c>
    </row>
    <row r="1208" spans="1:6" x14ac:dyDescent="0.3">
      <c r="A1208" s="38">
        <v>46226</v>
      </c>
      <c r="B1208" t="s">
        <v>253</v>
      </c>
      <c r="C1208" s="95">
        <v>5000</v>
      </c>
      <c r="D1208" s="95"/>
      <c r="E1208" t="s">
        <v>950</v>
      </c>
      <c r="F1208" s="108" t="s">
        <v>108</v>
      </c>
    </row>
    <row r="1209" spans="1:6" x14ac:dyDescent="0.3">
      <c r="A1209" s="38">
        <v>46226</v>
      </c>
      <c r="B1209" t="s">
        <v>386</v>
      </c>
      <c r="C1209" s="95">
        <v>358</v>
      </c>
      <c r="D1209" s="95"/>
      <c r="E1209" t="s">
        <v>899</v>
      </c>
      <c r="F1209" s="108" t="s">
        <v>108</v>
      </c>
    </row>
    <row r="1210" spans="1:6" x14ac:dyDescent="0.3">
      <c r="A1210" s="38">
        <v>46226</v>
      </c>
      <c r="B1210" t="s">
        <v>386</v>
      </c>
      <c r="C1210" s="95">
        <v>1230</v>
      </c>
      <c r="D1210" s="95"/>
      <c r="E1210" t="s">
        <v>951</v>
      </c>
      <c r="F1210" s="108" t="s">
        <v>108</v>
      </c>
    </row>
    <row r="1211" spans="1:6" x14ac:dyDescent="0.3">
      <c r="A1211" s="38">
        <v>46226</v>
      </c>
      <c r="B1211" t="s">
        <v>269</v>
      </c>
      <c r="C1211" s="95">
        <v>10000</v>
      </c>
      <c r="D1211" s="95"/>
      <c r="E1211" t="s">
        <v>288</v>
      </c>
      <c r="F1211" s="108" t="s">
        <v>108</v>
      </c>
    </row>
    <row r="1212" spans="1:6" x14ac:dyDescent="0.3">
      <c r="A1212" s="38">
        <v>46227</v>
      </c>
      <c r="B1212" t="s">
        <v>219</v>
      </c>
      <c r="C1212" s="95"/>
      <c r="D1212" s="95">
        <v>406000</v>
      </c>
      <c r="E1212" t="s">
        <v>227</v>
      </c>
      <c r="F1212" s="108" t="s">
        <v>108</v>
      </c>
    </row>
    <row r="1213" spans="1:6" x14ac:dyDescent="0.3">
      <c r="A1213" s="38">
        <v>46227</v>
      </c>
      <c r="B1213" t="s">
        <v>227</v>
      </c>
      <c r="C1213" s="95">
        <v>406000</v>
      </c>
      <c r="D1213" s="95"/>
      <c r="E1213" t="s">
        <v>952</v>
      </c>
      <c r="F1213" s="108" t="s">
        <v>108</v>
      </c>
    </row>
    <row r="1214" spans="1:6" x14ac:dyDescent="0.3">
      <c r="A1214" s="38">
        <v>46227</v>
      </c>
      <c r="B1214" t="s">
        <v>219</v>
      </c>
      <c r="C1214" s="95"/>
      <c r="D1214" s="95">
        <v>3000</v>
      </c>
      <c r="E1214" t="s">
        <v>318</v>
      </c>
      <c r="F1214" s="108" t="s">
        <v>108</v>
      </c>
    </row>
    <row r="1215" spans="1:6" x14ac:dyDescent="0.3">
      <c r="A1215" s="38">
        <v>46227</v>
      </c>
      <c r="B1215" t="s">
        <v>488</v>
      </c>
      <c r="C1215" s="95">
        <v>3000</v>
      </c>
      <c r="D1215" s="95"/>
      <c r="E1215" t="s">
        <v>953</v>
      </c>
      <c r="F1215" s="108" t="s">
        <v>108</v>
      </c>
    </row>
    <row r="1216" spans="1:6" x14ac:dyDescent="0.3">
      <c r="A1216" s="38">
        <v>46227</v>
      </c>
      <c r="B1216" t="s">
        <v>219</v>
      </c>
      <c r="C1216" s="95"/>
      <c r="D1216" s="95">
        <v>15000</v>
      </c>
      <c r="E1216" t="s">
        <v>318</v>
      </c>
      <c r="F1216" s="108" t="s">
        <v>108</v>
      </c>
    </row>
    <row r="1217" spans="1:6" x14ac:dyDescent="0.3">
      <c r="A1217" s="38">
        <v>46227</v>
      </c>
      <c r="B1217" t="s">
        <v>244</v>
      </c>
      <c r="C1217" s="95">
        <v>5000</v>
      </c>
      <c r="D1217" s="95"/>
      <c r="E1217" t="s">
        <v>884</v>
      </c>
      <c r="F1217" s="108" t="s">
        <v>108</v>
      </c>
    </row>
    <row r="1218" spans="1:6" x14ac:dyDescent="0.3">
      <c r="A1218" s="38">
        <v>46227</v>
      </c>
      <c r="B1218" t="s">
        <v>211</v>
      </c>
      <c r="C1218" s="95">
        <v>1490</v>
      </c>
      <c r="D1218" s="95"/>
      <c r="F1218" s="108" t="s">
        <v>108</v>
      </c>
    </row>
    <row r="1219" spans="1:6" x14ac:dyDescent="0.3">
      <c r="A1219" s="38">
        <v>46228</v>
      </c>
      <c r="B1219" t="s">
        <v>219</v>
      </c>
      <c r="C1219" s="95"/>
      <c r="D1219" s="95">
        <v>100000</v>
      </c>
      <c r="E1219" t="s">
        <v>954</v>
      </c>
      <c r="F1219" s="108" t="s">
        <v>108</v>
      </c>
    </row>
    <row r="1220" spans="1:6" x14ac:dyDescent="0.3">
      <c r="A1220" s="38">
        <v>46228</v>
      </c>
      <c r="B1220" t="s">
        <v>269</v>
      </c>
      <c r="C1220" s="95">
        <v>10000</v>
      </c>
      <c r="D1220" s="95"/>
      <c r="E1220" t="s">
        <v>955</v>
      </c>
      <c r="F1220" s="108" t="s">
        <v>108</v>
      </c>
    </row>
    <row r="1221" spans="1:6" x14ac:dyDescent="0.3">
      <c r="A1221" s="38">
        <v>46228</v>
      </c>
      <c r="B1221" t="s">
        <v>269</v>
      </c>
      <c r="C1221" s="95">
        <v>15000</v>
      </c>
      <c r="D1221" s="95"/>
      <c r="E1221" t="s">
        <v>956</v>
      </c>
      <c r="F1221" s="108" t="s">
        <v>108</v>
      </c>
    </row>
    <row r="1222" spans="1:6" x14ac:dyDescent="0.3">
      <c r="A1222" s="38">
        <v>46228</v>
      </c>
      <c r="B1222" t="s">
        <v>269</v>
      </c>
      <c r="C1222" s="95">
        <v>5000</v>
      </c>
      <c r="D1222" s="95"/>
      <c r="E1222" t="s">
        <v>957</v>
      </c>
      <c r="F1222" s="108" t="s">
        <v>108</v>
      </c>
    </row>
    <row r="1223" spans="1:6" x14ac:dyDescent="0.3">
      <c r="A1223" s="38">
        <v>46228</v>
      </c>
      <c r="B1223" t="s">
        <v>269</v>
      </c>
      <c r="C1223" s="95">
        <v>5000</v>
      </c>
      <c r="D1223" s="95"/>
      <c r="E1223" t="s">
        <v>958</v>
      </c>
      <c r="F1223" s="108" t="s">
        <v>108</v>
      </c>
    </row>
    <row r="1224" spans="1:6" x14ac:dyDescent="0.3">
      <c r="A1224" s="38">
        <v>46228</v>
      </c>
      <c r="B1224" t="s">
        <v>269</v>
      </c>
      <c r="C1224" s="95">
        <v>5000</v>
      </c>
      <c r="D1224" s="95"/>
      <c r="E1224" t="s">
        <v>959</v>
      </c>
      <c r="F1224" s="108" t="s">
        <v>108</v>
      </c>
    </row>
    <row r="1225" spans="1:6" x14ac:dyDescent="0.3">
      <c r="A1225" s="38">
        <v>46228</v>
      </c>
      <c r="B1225" t="s">
        <v>269</v>
      </c>
      <c r="C1225" s="95">
        <v>3000</v>
      </c>
      <c r="D1225" s="95"/>
      <c r="E1225" t="s">
        <v>960</v>
      </c>
      <c r="F1225" s="108" t="s">
        <v>108</v>
      </c>
    </row>
    <row r="1226" spans="1:6" x14ac:dyDescent="0.3">
      <c r="A1226" s="38">
        <v>46228</v>
      </c>
      <c r="B1226" t="s">
        <v>269</v>
      </c>
      <c r="C1226" s="95">
        <v>30000</v>
      </c>
      <c r="D1226" s="95"/>
      <c r="E1226" t="s">
        <v>961</v>
      </c>
      <c r="F1226" s="108" t="s">
        <v>108</v>
      </c>
    </row>
    <row r="1227" spans="1:6" x14ac:dyDescent="0.3">
      <c r="A1227" s="38">
        <v>46228</v>
      </c>
      <c r="B1227" t="s">
        <v>269</v>
      </c>
      <c r="C1227" s="95">
        <v>20000</v>
      </c>
      <c r="D1227" s="95"/>
      <c r="E1227" t="s">
        <v>962</v>
      </c>
      <c r="F1227" s="108" t="s">
        <v>108</v>
      </c>
    </row>
    <row r="1228" spans="1:6" x14ac:dyDescent="0.3">
      <c r="A1228" s="38">
        <v>46228</v>
      </c>
      <c r="B1228" t="s">
        <v>269</v>
      </c>
      <c r="C1228" s="95">
        <v>25000</v>
      </c>
      <c r="D1228" s="95"/>
      <c r="E1228" t="s">
        <v>260</v>
      </c>
      <c r="F1228" s="108" t="s">
        <v>108</v>
      </c>
    </row>
    <row r="1229" spans="1:6" x14ac:dyDescent="0.3">
      <c r="A1229" s="38">
        <v>46228</v>
      </c>
      <c r="B1229" t="s">
        <v>357</v>
      </c>
      <c r="C1229" s="95">
        <v>3000</v>
      </c>
      <c r="D1229" s="95"/>
      <c r="E1229" t="s">
        <v>535</v>
      </c>
      <c r="F1229" s="108" t="s">
        <v>108</v>
      </c>
    </row>
    <row r="1230" spans="1:6" x14ac:dyDescent="0.3">
      <c r="A1230" s="38">
        <v>46228</v>
      </c>
      <c r="B1230" t="s">
        <v>219</v>
      </c>
      <c r="C1230" s="95"/>
      <c r="D1230" s="95">
        <v>100000</v>
      </c>
      <c r="E1230" t="s">
        <v>963</v>
      </c>
      <c r="F1230" s="108" t="s">
        <v>108</v>
      </c>
    </row>
    <row r="1231" spans="1:6" x14ac:dyDescent="0.3">
      <c r="A1231" s="38">
        <v>46228</v>
      </c>
      <c r="B1231" t="s">
        <v>269</v>
      </c>
      <c r="C1231" s="95">
        <v>25000</v>
      </c>
      <c r="D1231" s="95"/>
      <c r="E1231" t="s">
        <v>964</v>
      </c>
      <c r="F1231" s="108" t="s">
        <v>108</v>
      </c>
    </row>
    <row r="1232" spans="1:6" x14ac:dyDescent="0.3">
      <c r="A1232" s="38">
        <v>46228</v>
      </c>
      <c r="B1232" t="s">
        <v>269</v>
      </c>
      <c r="C1232" s="95">
        <v>20000</v>
      </c>
      <c r="D1232" s="95"/>
      <c r="E1232" t="s">
        <v>288</v>
      </c>
      <c r="F1232" s="108" t="s">
        <v>108</v>
      </c>
    </row>
    <row r="1233" spans="1:6" x14ac:dyDescent="0.3">
      <c r="A1233" s="38">
        <v>46228</v>
      </c>
      <c r="B1233" t="s">
        <v>219</v>
      </c>
      <c r="C1233" s="95"/>
      <c r="D1233" s="95">
        <v>52500</v>
      </c>
      <c r="E1233" t="s">
        <v>965</v>
      </c>
      <c r="F1233" s="108" t="s">
        <v>108</v>
      </c>
    </row>
    <row r="1234" spans="1:6" x14ac:dyDescent="0.3">
      <c r="A1234" s="38">
        <v>46228</v>
      </c>
      <c r="B1234" t="s">
        <v>269</v>
      </c>
      <c r="C1234" s="95">
        <v>80000</v>
      </c>
      <c r="D1234" s="95"/>
      <c r="E1234" t="s">
        <v>699</v>
      </c>
      <c r="F1234" s="108" t="s">
        <v>108</v>
      </c>
    </row>
    <row r="1235" spans="1:6" x14ac:dyDescent="0.3">
      <c r="A1235" s="38">
        <v>46228</v>
      </c>
      <c r="B1235" t="s">
        <v>219</v>
      </c>
      <c r="C1235" s="95"/>
      <c r="D1235" s="95">
        <v>120000</v>
      </c>
      <c r="F1235" s="108" t="s">
        <v>108</v>
      </c>
    </row>
    <row r="1236" spans="1:6" x14ac:dyDescent="0.3">
      <c r="A1236" s="38">
        <v>46228</v>
      </c>
      <c r="B1236" t="s">
        <v>269</v>
      </c>
      <c r="C1236" s="95">
        <v>20000</v>
      </c>
      <c r="D1236" s="95"/>
      <c r="E1236" t="s">
        <v>988</v>
      </c>
      <c r="F1236" s="108" t="s">
        <v>108</v>
      </c>
    </row>
    <row r="1237" spans="1:6" x14ac:dyDescent="0.3">
      <c r="A1237" s="38">
        <v>46228</v>
      </c>
      <c r="B1237" t="s">
        <v>269</v>
      </c>
      <c r="C1237" s="95">
        <v>20000</v>
      </c>
      <c r="D1237" s="95"/>
      <c r="E1237" t="s">
        <v>989</v>
      </c>
      <c r="F1237" s="108" t="s">
        <v>108</v>
      </c>
    </row>
    <row r="1238" spans="1:6" x14ac:dyDescent="0.3">
      <c r="A1238" s="38">
        <v>46228</v>
      </c>
      <c r="B1238" t="s">
        <v>269</v>
      </c>
      <c r="C1238" s="95">
        <v>20000</v>
      </c>
      <c r="D1238" s="95"/>
      <c r="E1238" t="s">
        <v>990</v>
      </c>
      <c r="F1238" s="108" t="s">
        <v>108</v>
      </c>
    </row>
    <row r="1239" spans="1:6" x14ac:dyDescent="0.3">
      <c r="A1239" s="38">
        <v>46228</v>
      </c>
      <c r="B1239" t="s">
        <v>269</v>
      </c>
      <c r="C1239" s="95">
        <v>20000</v>
      </c>
      <c r="D1239" s="95"/>
      <c r="E1239" t="s">
        <v>991</v>
      </c>
      <c r="F1239" s="108" t="s">
        <v>108</v>
      </c>
    </row>
    <row r="1240" spans="1:6" x14ac:dyDescent="0.3">
      <c r="A1240" s="38">
        <v>46228</v>
      </c>
      <c r="B1240" t="s">
        <v>269</v>
      </c>
      <c r="C1240" s="95">
        <v>20000</v>
      </c>
      <c r="D1240" s="95"/>
      <c r="E1240" t="s">
        <v>992</v>
      </c>
      <c r="F1240" s="108" t="s">
        <v>108</v>
      </c>
    </row>
    <row r="1241" spans="1:6" x14ac:dyDescent="0.3">
      <c r="A1241" s="38">
        <v>46228</v>
      </c>
      <c r="B1241" t="s">
        <v>269</v>
      </c>
      <c r="C1241" s="95">
        <v>20000</v>
      </c>
      <c r="D1241" s="95"/>
      <c r="E1241" t="s">
        <v>981</v>
      </c>
      <c r="F1241" s="108" t="s">
        <v>108</v>
      </c>
    </row>
    <row r="1242" spans="1:6" x14ac:dyDescent="0.3">
      <c r="A1242" s="38">
        <v>46229</v>
      </c>
      <c r="B1242" t="s">
        <v>219</v>
      </c>
      <c r="C1242" s="95"/>
      <c r="D1242" s="95">
        <v>35000</v>
      </c>
      <c r="E1242" t="s">
        <v>966</v>
      </c>
      <c r="F1242" s="108" t="s">
        <v>108</v>
      </c>
    </row>
    <row r="1243" spans="1:6" x14ac:dyDescent="0.3">
      <c r="A1243" s="38">
        <v>46229</v>
      </c>
      <c r="B1243" t="s">
        <v>55</v>
      </c>
      <c r="C1243" s="95">
        <v>35000</v>
      </c>
      <c r="D1243" s="95"/>
      <c r="E1243" t="s">
        <v>967</v>
      </c>
      <c r="F1243" s="108" t="s">
        <v>108</v>
      </c>
    </row>
    <row r="1244" spans="1:6" x14ac:dyDescent="0.3">
      <c r="A1244" s="38">
        <v>46229</v>
      </c>
      <c r="B1244" t="s">
        <v>55</v>
      </c>
      <c r="C1244" s="95">
        <v>10850</v>
      </c>
      <c r="D1244" s="95"/>
      <c r="E1244" t="s">
        <v>968</v>
      </c>
      <c r="F1244" s="108" t="s">
        <v>108</v>
      </c>
    </row>
    <row r="1245" spans="1:6" x14ac:dyDescent="0.3">
      <c r="A1245" s="38">
        <v>46229</v>
      </c>
      <c r="B1245" t="s">
        <v>219</v>
      </c>
      <c r="C1245" s="95"/>
      <c r="D1245" s="95">
        <v>15000</v>
      </c>
      <c r="E1245" t="s">
        <v>969</v>
      </c>
      <c r="F1245" s="108" t="s">
        <v>108</v>
      </c>
    </row>
    <row r="1246" spans="1:6" x14ac:dyDescent="0.3">
      <c r="A1246" s="38">
        <v>46229</v>
      </c>
      <c r="B1246" t="s">
        <v>269</v>
      </c>
      <c r="C1246" s="95">
        <v>15000</v>
      </c>
      <c r="D1246" s="95"/>
      <c r="E1246" t="s">
        <v>580</v>
      </c>
      <c r="F1246" s="108" t="s">
        <v>108</v>
      </c>
    </row>
    <row r="1247" spans="1:6" x14ac:dyDescent="0.3">
      <c r="A1247" s="38">
        <v>46229</v>
      </c>
      <c r="B1247" t="s">
        <v>55</v>
      </c>
      <c r="C1247" s="95">
        <v>3031</v>
      </c>
      <c r="D1247" s="95"/>
      <c r="E1247" t="s">
        <v>971</v>
      </c>
      <c r="F1247" s="108" t="s">
        <v>108</v>
      </c>
    </row>
    <row r="1248" spans="1:6" x14ac:dyDescent="0.3">
      <c r="A1248" s="38">
        <v>46230</v>
      </c>
      <c r="B1248" t="s">
        <v>219</v>
      </c>
      <c r="C1248" s="95"/>
      <c r="D1248" s="95">
        <v>90000</v>
      </c>
      <c r="E1248" t="s">
        <v>970</v>
      </c>
      <c r="F1248" s="108" t="s">
        <v>108</v>
      </c>
    </row>
    <row r="1249" spans="1:6" x14ac:dyDescent="0.3">
      <c r="A1249" s="38">
        <v>46230</v>
      </c>
      <c r="B1249" t="s">
        <v>269</v>
      </c>
      <c r="C1249" s="95">
        <v>10000</v>
      </c>
      <c r="D1249" s="95"/>
      <c r="E1249" t="s">
        <v>972</v>
      </c>
      <c r="F1249" s="108" t="s">
        <v>108</v>
      </c>
    </row>
    <row r="1250" spans="1:6" x14ac:dyDescent="0.3">
      <c r="A1250" s="38">
        <v>46230</v>
      </c>
      <c r="B1250" t="s">
        <v>269</v>
      </c>
      <c r="C1250" s="95">
        <v>15000</v>
      </c>
      <c r="D1250" s="95"/>
      <c r="E1250" t="s">
        <v>643</v>
      </c>
      <c r="F1250" s="108" t="s">
        <v>108</v>
      </c>
    </row>
    <row r="1251" spans="1:6" x14ac:dyDescent="0.3">
      <c r="A1251" s="38">
        <v>46230</v>
      </c>
      <c r="B1251" t="s">
        <v>55</v>
      </c>
      <c r="C1251" s="95">
        <v>1700</v>
      </c>
      <c r="D1251" s="95"/>
      <c r="F1251" s="108" t="s">
        <v>108</v>
      </c>
    </row>
    <row r="1252" spans="1:6" x14ac:dyDescent="0.3">
      <c r="A1252" s="38">
        <v>46230</v>
      </c>
      <c r="B1252" t="s">
        <v>269</v>
      </c>
      <c r="C1252" s="95">
        <v>20000</v>
      </c>
      <c r="D1252" s="95"/>
      <c r="E1252" t="s">
        <v>288</v>
      </c>
      <c r="F1252" s="108" t="s">
        <v>108</v>
      </c>
    </row>
    <row r="1253" spans="1:6" x14ac:dyDescent="0.3">
      <c r="A1253" s="38">
        <v>46230</v>
      </c>
      <c r="B1253" t="s">
        <v>269</v>
      </c>
      <c r="C1253" s="95">
        <v>15000</v>
      </c>
      <c r="D1253" s="95"/>
      <c r="E1253" t="s">
        <v>665</v>
      </c>
      <c r="F1253" s="108" t="s">
        <v>108</v>
      </c>
    </row>
    <row r="1254" spans="1:6" x14ac:dyDescent="0.3">
      <c r="A1254" s="38">
        <v>46230</v>
      </c>
      <c r="B1254" t="s">
        <v>269</v>
      </c>
      <c r="C1254" s="95">
        <v>10000</v>
      </c>
      <c r="D1254" s="95"/>
      <c r="E1254" t="s">
        <v>913</v>
      </c>
      <c r="F1254" s="108" t="s">
        <v>108</v>
      </c>
    </row>
    <row r="1255" spans="1:6" x14ac:dyDescent="0.3">
      <c r="A1255" s="38">
        <v>46230</v>
      </c>
      <c r="B1255" t="s">
        <v>219</v>
      </c>
      <c r="C1255" s="95"/>
      <c r="D1255" s="95">
        <v>174000</v>
      </c>
      <c r="E1255" t="s">
        <v>973</v>
      </c>
      <c r="F1255" s="108" t="s">
        <v>108</v>
      </c>
    </row>
    <row r="1256" spans="1:6" x14ac:dyDescent="0.3">
      <c r="A1256" s="38">
        <v>46230</v>
      </c>
      <c r="B1256" t="s">
        <v>298</v>
      </c>
      <c r="C1256" s="95">
        <v>10000</v>
      </c>
      <c r="D1256" s="95"/>
      <c r="E1256" t="s">
        <v>692</v>
      </c>
      <c r="F1256" s="108" t="s">
        <v>108</v>
      </c>
    </row>
    <row r="1257" spans="1:6" x14ac:dyDescent="0.3">
      <c r="A1257" s="38">
        <v>46230</v>
      </c>
      <c r="B1257" t="s">
        <v>253</v>
      </c>
      <c r="C1257" s="95">
        <v>31500</v>
      </c>
      <c r="D1257" s="95"/>
      <c r="E1257" t="s">
        <v>974</v>
      </c>
      <c r="F1257" s="108" t="s">
        <v>108</v>
      </c>
    </row>
    <row r="1258" spans="1:6" x14ac:dyDescent="0.3">
      <c r="A1258" s="38">
        <v>46230</v>
      </c>
      <c r="B1258" t="s">
        <v>219</v>
      </c>
      <c r="C1258" s="95"/>
      <c r="D1258" s="95">
        <v>150000</v>
      </c>
      <c r="E1258" t="s">
        <v>975</v>
      </c>
      <c r="F1258" s="108" t="s">
        <v>108</v>
      </c>
    </row>
    <row r="1259" spans="1:6" x14ac:dyDescent="0.3">
      <c r="A1259" s="38">
        <v>46230</v>
      </c>
      <c r="B1259" t="s">
        <v>222</v>
      </c>
      <c r="C1259" s="95">
        <v>200000</v>
      </c>
      <c r="D1259" s="95"/>
      <c r="E1259" t="s">
        <v>976</v>
      </c>
      <c r="F1259" s="108" t="s">
        <v>108</v>
      </c>
    </row>
    <row r="1260" spans="1:6" x14ac:dyDescent="0.3">
      <c r="A1260" s="38">
        <v>46230</v>
      </c>
      <c r="B1260" t="s">
        <v>674</v>
      </c>
      <c r="C1260" s="95">
        <v>100000</v>
      </c>
      <c r="D1260" s="95"/>
      <c r="E1260" t="s">
        <v>977</v>
      </c>
      <c r="F1260" s="108" t="s">
        <v>108</v>
      </c>
    </row>
    <row r="1261" spans="1:6" x14ac:dyDescent="0.3">
      <c r="A1261" s="38">
        <v>46230</v>
      </c>
      <c r="B1261" t="s">
        <v>219</v>
      </c>
      <c r="C1261" s="95"/>
      <c r="D1261" s="95">
        <v>25000</v>
      </c>
      <c r="E1261" t="s">
        <v>288</v>
      </c>
      <c r="F1261" s="108" t="s">
        <v>108</v>
      </c>
    </row>
    <row r="1262" spans="1:6" x14ac:dyDescent="0.3">
      <c r="A1262" s="38">
        <v>46230</v>
      </c>
      <c r="B1262" t="s">
        <v>269</v>
      </c>
      <c r="C1262" s="95">
        <v>25000</v>
      </c>
      <c r="D1262" s="95"/>
      <c r="E1262" t="s">
        <v>288</v>
      </c>
      <c r="F1262" s="108" t="s">
        <v>108</v>
      </c>
    </row>
    <row r="1263" spans="1:6" x14ac:dyDescent="0.3">
      <c r="A1263" s="38">
        <v>46231</v>
      </c>
      <c r="B1263" t="s">
        <v>219</v>
      </c>
      <c r="C1263" s="95"/>
      <c r="D1263" s="95">
        <v>22500</v>
      </c>
      <c r="E1263" t="s">
        <v>318</v>
      </c>
      <c r="F1263" s="108" t="s">
        <v>108</v>
      </c>
    </row>
    <row r="1264" spans="1:6" x14ac:dyDescent="0.3">
      <c r="A1264" s="38">
        <v>46231</v>
      </c>
      <c r="B1264" t="s">
        <v>488</v>
      </c>
      <c r="C1264" s="95">
        <v>1300</v>
      </c>
      <c r="D1264" s="95"/>
      <c r="E1264" t="s">
        <v>978</v>
      </c>
      <c r="F1264" s="108" t="s">
        <v>108</v>
      </c>
    </row>
    <row r="1265" spans="1:6" x14ac:dyDescent="0.3">
      <c r="A1265" s="38">
        <v>46231</v>
      </c>
      <c r="B1265" t="s">
        <v>253</v>
      </c>
      <c r="C1265" s="95">
        <v>22000</v>
      </c>
      <c r="D1265" s="95"/>
      <c r="E1265" t="s">
        <v>979</v>
      </c>
      <c r="F1265" s="108" t="s">
        <v>108</v>
      </c>
    </row>
    <row r="1266" spans="1:6" x14ac:dyDescent="0.3">
      <c r="A1266" s="38">
        <v>46231</v>
      </c>
      <c r="B1266" t="s">
        <v>386</v>
      </c>
      <c r="C1266" s="95">
        <v>200</v>
      </c>
      <c r="D1266" s="95"/>
      <c r="E1266" t="s">
        <v>951</v>
      </c>
      <c r="F1266" s="108" t="s">
        <v>108</v>
      </c>
    </row>
    <row r="1267" spans="1:6" x14ac:dyDescent="0.3">
      <c r="A1267" s="38">
        <v>46233</v>
      </c>
      <c r="B1267" s="80" t="s">
        <v>211</v>
      </c>
      <c r="C1267" s="11"/>
      <c r="D1267" s="86">
        <v>100000</v>
      </c>
      <c r="E1267" s="80" t="s">
        <v>1079</v>
      </c>
      <c r="F1267" s="87" t="s">
        <v>108</v>
      </c>
    </row>
    <row r="1268" spans="1:6" x14ac:dyDescent="0.3">
      <c r="A1268" s="38">
        <v>46233</v>
      </c>
      <c r="B1268" s="80" t="s">
        <v>290</v>
      </c>
      <c r="C1268" s="11">
        <v>100000</v>
      </c>
      <c r="D1268" s="86"/>
      <c r="E1268" s="80" t="s">
        <v>1083</v>
      </c>
      <c r="F1268" s="87" t="s">
        <v>108</v>
      </c>
    </row>
    <row r="1269" spans="1:6" x14ac:dyDescent="0.3">
      <c r="A1269" s="38">
        <v>46233</v>
      </c>
      <c r="B1269" t="s">
        <v>219</v>
      </c>
      <c r="C1269" s="95"/>
      <c r="D1269" s="95">
        <v>54000</v>
      </c>
      <c r="E1269" t="s">
        <v>980</v>
      </c>
      <c r="F1269" s="108" t="s">
        <v>108</v>
      </c>
    </row>
    <row r="1270" spans="1:6" x14ac:dyDescent="0.3">
      <c r="A1270" s="38">
        <v>46233</v>
      </c>
      <c r="B1270" t="s">
        <v>357</v>
      </c>
      <c r="C1270" s="95">
        <v>3100</v>
      </c>
      <c r="D1270" s="95"/>
      <c r="F1270" s="108" t="s">
        <v>108</v>
      </c>
    </row>
    <row r="1271" spans="1:6" x14ac:dyDescent="0.3">
      <c r="A1271" s="38">
        <v>46233</v>
      </c>
      <c r="B1271" t="s">
        <v>269</v>
      </c>
      <c r="C1271" s="95">
        <v>3000</v>
      </c>
      <c r="D1271" s="95"/>
      <c r="E1271" t="s">
        <v>956</v>
      </c>
      <c r="F1271" s="108" t="s">
        <v>108</v>
      </c>
    </row>
    <row r="1272" spans="1:6" x14ac:dyDescent="0.3">
      <c r="A1272" s="38">
        <v>46233</v>
      </c>
      <c r="B1272" t="s">
        <v>269</v>
      </c>
      <c r="C1272" s="95">
        <v>3000</v>
      </c>
      <c r="D1272" s="95"/>
      <c r="E1272" t="s">
        <v>981</v>
      </c>
      <c r="F1272" s="108" t="s">
        <v>108</v>
      </c>
    </row>
    <row r="1273" spans="1:6" x14ac:dyDescent="0.3">
      <c r="A1273" s="38">
        <v>46233</v>
      </c>
      <c r="B1273" t="s">
        <v>219</v>
      </c>
      <c r="C1273" s="95"/>
      <c r="D1273" s="95">
        <v>35000</v>
      </c>
      <c r="E1273" t="s">
        <v>318</v>
      </c>
      <c r="F1273" s="108" t="s">
        <v>108</v>
      </c>
    </row>
    <row r="1274" spans="1:6" x14ac:dyDescent="0.3">
      <c r="A1274" s="38">
        <v>46233</v>
      </c>
      <c r="B1274" t="s">
        <v>253</v>
      </c>
      <c r="C1274" s="95">
        <v>27000</v>
      </c>
      <c r="D1274" s="95"/>
      <c r="E1274" t="s">
        <v>982</v>
      </c>
      <c r="F1274" s="108" t="s">
        <v>108</v>
      </c>
    </row>
    <row r="1275" spans="1:6" x14ac:dyDescent="0.3">
      <c r="A1275" s="38">
        <v>46233</v>
      </c>
      <c r="B1275" t="s">
        <v>253</v>
      </c>
      <c r="C1275" s="95">
        <v>7000</v>
      </c>
      <c r="D1275" s="95"/>
      <c r="E1275" t="s">
        <v>983</v>
      </c>
      <c r="F1275" s="108" t="s">
        <v>108</v>
      </c>
    </row>
    <row r="1276" spans="1:6" x14ac:dyDescent="0.3">
      <c r="A1276" s="38">
        <v>46233</v>
      </c>
      <c r="B1276" t="s">
        <v>219</v>
      </c>
      <c r="C1276" s="95"/>
      <c r="D1276" s="95">
        <v>5000</v>
      </c>
      <c r="F1276" s="108" t="s">
        <v>108</v>
      </c>
    </row>
    <row r="1277" spans="1:6" x14ac:dyDescent="0.3">
      <c r="A1277" s="38">
        <v>46233</v>
      </c>
      <c r="B1277" t="s">
        <v>425</v>
      </c>
      <c r="C1277" s="95">
        <v>50000</v>
      </c>
      <c r="D1277" s="95"/>
      <c r="E1277" t="s">
        <v>984</v>
      </c>
      <c r="F1277" s="108" t="s">
        <v>108</v>
      </c>
    </row>
    <row r="1278" spans="1:6" x14ac:dyDescent="0.3">
      <c r="A1278" s="38">
        <v>46234</v>
      </c>
      <c r="B1278" t="s">
        <v>55</v>
      </c>
      <c r="C1278" s="95">
        <v>3000</v>
      </c>
      <c r="D1278" s="95"/>
      <c r="E1278" t="s">
        <v>985</v>
      </c>
      <c r="F1278" s="108" t="s">
        <v>108</v>
      </c>
    </row>
    <row r="1279" spans="1:6" x14ac:dyDescent="0.3">
      <c r="A1279" s="38">
        <v>46234</v>
      </c>
      <c r="B1279" t="s">
        <v>219</v>
      </c>
      <c r="C1279" s="95"/>
      <c r="D1279" s="95">
        <v>5000</v>
      </c>
      <c r="E1279" t="s">
        <v>986</v>
      </c>
      <c r="F1279" s="108" t="s">
        <v>108</v>
      </c>
    </row>
    <row r="1280" spans="1:6" x14ac:dyDescent="0.3">
      <c r="A1280" s="38">
        <v>46234</v>
      </c>
      <c r="B1280" t="s">
        <v>219</v>
      </c>
      <c r="C1280" s="95"/>
      <c r="D1280" s="95">
        <v>25000</v>
      </c>
      <c r="E1280" t="s">
        <v>987</v>
      </c>
      <c r="F1280" s="108" t="s">
        <v>108</v>
      </c>
    </row>
    <row r="1281" spans="1:6" x14ac:dyDescent="0.3">
      <c r="A1281" s="38">
        <v>46234</v>
      </c>
      <c r="B1281" t="s">
        <v>269</v>
      </c>
      <c r="C1281" s="95">
        <v>25000</v>
      </c>
      <c r="D1281" s="95"/>
      <c r="E1281" t="s">
        <v>699</v>
      </c>
      <c r="F1281" s="108" t="s">
        <v>108</v>
      </c>
    </row>
    <row r="1282" spans="1:6" x14ac:dyDescent="0.3">
      <c r="A1282" s="38">
        <v>46234</v>
      </c>
      <c r="B1282" t="s">
        <v>219</v>
      </c>
      <c r="C1282" s="95"/>
      <c r="D1282" s="95">
        <v>250000</v>
      </c>
      <c r="E1282" t="s">
        <v>925</v>
      </c>
      <c r="F1282" s="108" t="s">
        <v>108</v>
      </c>
    </row>
    <row r="1283" spans="1:6" x14ac:dyDescent="0.3">
      <c r="A1283" s="38">
        <v>46234</v>
      </c>
      <c r="B1283" t="s">
        <v>116</v>
      </c>
      <c r="C1283" s="95">
        <v>14000</v>
      </c>
      <c r="D1283" s="95"/>
      <c r="E1283" t="s">
        <v>993</v>
      </c>
      <c r="F1283" s="108" t="s">
        <v>108</v>
      </c>
    </row>
    <row r="1284" spans="1:6" x14ac:dyDescent="0.3">
      <c r="A1284" s="38">
        <v>46234</v>
      </c>
      <c r="B1284" t="s">
        <v>219</v>
      </c>
      <c r="C1284" s="95"/>
      <c r="D1284" s="95">
        <v>14000</v>
      </c>
      <c r="E1284" t="s">
        <v>175</v>
      </c>
      <c r="F1284" s="108" t="s">
        <v>108</v>
      </c>
    </row>
    <row r="1285" spans="1:6" x14ac:dyDescent="0.3">
      <c r="A1285" s="38">
        <v>46234</v>
      </c>
      <c r="B1285" t="s">
        <v>280</v>
      </c>
      <c r="C1285" s="95"/>
      <c r="D1285" s="95">
        <v>100000</v>
      </c>
      <c r="E1285" t="s">
        <v>925</v>
      </c>
      <c r="F1285" s="108" t="s">
        <v>108</v>
      </c>
    </row>
    <row r="1286" spans="1:6" x14ac:dyDescent="0.3">
      <c r="A1286" s="38">
        <v>46234</v>
      </c>
      <c r="B1286" t="s">
        <v>219</v>
      </c>
      <c r="C1286" s="95">
        <v>100000</v>
      </c>
      <c r="D1286" s="95"/>
      <c r="E1286" t="s">
        <v>280</v>
      </c>
      <c r="F1286" s="108" t="s">
        <v>108</v>
      </c>
    </row>
    <row r="1287" spans="1:6" x14ac:dyDescent="0.3">
      <c r="A1287" s="111">
        <v>46235</v>
      </c>
      <c r="B1287" t="s">
        <v>357</v>
      </c>
      <c r="C1287" s="95">
        <v>13790</v>
      </c>
      <c r="D1287" s="95"/>
      <c r="E1287" t="s">
        <v>357</v>
      </c>
      <c r="F1287" s="108" t="s">
        <v>108</v>
      </c>
    </row>
    <row r="1288" spans="1:6" x14ac:dyDescent="0.3">
      <c r="A1288" s="111">
        <v>46235</v>
      </c>
      <c r="B1288" t="s">
        <v>219</v>
      </c>
      <c r="C1288" s="95"/>
      <c r="D1288" s="95">
        <v>15000</v>
      </c>
      <c r="E1288" t="s">
        <v>1010</v>
      </c>
      <c r="F1288" s="108" t="s">
        <v>108</v>
      </c>
    </row>
    <row r="1289" spans="1:6" x14ac:dyDescent="0.3">
      <c r="A1289" s="111">
        <v>46235</v>
      </c>
      <c r="B1289" t="s">
        <v>211</v>
      </c>
      <c r="C1289" s="95">
        <v>1490</v>
      </c>
      <c r="D1289" s="95"/>
      <c r="F1289" s="108" t="s">
        <v>108</v>
      </c>
    </row>
    <row r="1290" spans="1:6" x14ac:dyDescent="0.3">
      <c r="A1290" s="38">
        <v>46235</v>
      </c>
      <c r="B1290" t="s">
        <v>244</v>
      </c>
      <c r="C1290" s="11">
        <v>140</v>
      </c>
      <c r="D1290" s="11"/>
      <c r="E1290" t="s">
        <v>999</v>
      </c>
      <c r="F1290" s="108" t="s">
        <v>108</v>
      </c>
    </row>
    <row r="1291" spans="1:6" x14ac:dyDescent="0.3">
      <c r="A1291" s="111">
        <v>46235</v>
      </c>
      <c r="B1291" t="s">
        <v>357</v>
      </c>
      <c r="C1291" s="11">
        <v>3000</v>
      </c>
      <c r="D1291" s="11"/>
      <c r="E1291" t="s">
        <v>535</v>
      </c>
      <c r="F1291" s="108" t="s">
        <v>108</v>
      </c>
    </row>
    <row r="1292" spans="1:6" x14ac:dyDescent="0.3">
      <c r="A1292" s="38">
        <v>46235</v>
      </c>
      <c r="B1292" t="s">
        <v>253</v>
      </c>
      <c r="C1292" s="11">
        <v>16330</v>
      </c>
      <c r="D1292" s="11"/>
      <c r="E1292" t="s">
        <v>1000</v>
      </c>
      <c r="F1292" s="108" t="s">
        <v>108</v>
      </c>
    </row>
    <row r="1293" spans="1:6" x14ac:dyDescent="0.3">
      <c r="A1293" s="111">
        <v>46235</v>
      </c>
      <c r="B1293" t="s">
        <v>253</v>
      </c>
      <c r="C1293" s="11">
        <v>23500</v>
      </c>
      <c r="D1293" s="11"/>
      <c r="E1293" t="s">
        <v>1001</v>
      </c>
      <c r="F1293" s="108" t="s">
        <v>108</v>
      </c>
    </row>
    <row r="1294" spans="1:6" x14ac:dyDescent="0.3">
      <c r="A1294" s="38">
        <v>46235</v>
      </c>
      <c r="B1294" t="s">
        <v>55</v>
      </c>
      <c r="C1294" s="11">
        <v>30000</v>
      </c>
      <c r="D1294" s="11"/>
      <c r="E1294" t="s">
        <v>1002</v>
      </c>
      <c r="F1294" s="108" t="s">
        <v>108</v>
      </c>
    </row>
    <row r="1295" spans="1:6" x14ac:dyDescent="0.3">
      <c r="A1295" s="111">
        <v>46235</v>
      </c>
      <c r="B1295" t="s">
        <v>219</v>
      </c>
      <c r="C1295" s="11"/>
      <c r="D1295" s="11">
        <v>30000</v>
      </c>
      <c r="E1295" t="s">
        <v>1002</v>
      </c>
      <c r="F1295" s="108" t="s">
        <v>108</v>
      </c>
    </row>
    <row r="1296" spans="1:6" x14ac:dyDescent="0.3">
      <c r="A1296" s="38">
        <v>46235</v>
      </c>
      <c r="B1296" t="s">
        <v>219</v>
      </c>
      <c r="C1296" s="11"/>
      <c r="D1296" s="11">
        <v>7000</v>
      </c>
      <c r="E1296" t="s">
        <v>288</v>
      </c>
      <c r="F1296" s="108" t="s">
        <v>108</v>
      </c>
    </row>
    <row r="1297" spans="1:6" x14ac:dyDescent="0.3">
      <c r="A1297" s="111">
        <v>46235</v>
      </c>
      <c r="B1297" t="s">
        <v>269</v>
      </c>
      <c r="C1297" s="11">
        <v>7000</v>
      </c>
      <c r="D1297" s="11"/>
      <c r="E1297" t="s">
        <v>288</v>
      </c>
      <c r="F1297" s="108" t="s">
        <v>108</v>
      </c>
    </row>
    <row r="1298" spans="1:6" x14ac:dyDescent="0.3">
      <c r="A1298" s="111">
        <v>46235</v>
      </c>
      <c r="B1298" t="s">
        <v>27</v>
      </c>
      <c r="C1298" s="11"/>
      <c r="D1298" s="11">
        <v>100000</v>
      </c>
      <c r="F1298" s="108" t="s">
        <v>108</v>
      </c>
    </row>
    <row r="1299" spans="1:6" x14ac:dyDescent="0.3">
      <c r="A1299" s="38">
        <v>46236</v>
      </c>
      <c r="B1299" t="s">
        <v>244</v>
      </c>
      <c r="C1299" s="11">
        <v>4000</v>
      </c>
      <c r="D1299" s="11"/>
      <c r="E1299" t="s">
        <v>1003</v>
      </c>
      <c r="F1299" s="108" t="s">
        <v>108</v>
      </c>
    </row>
    <row r="1300" spans="1:6" x14ac:dyDescent="0.3">
      <c r="A1300" s="111">
        <v>46236</v>
      </c>
      <c r="B1300" t="s">
        <v>211</v>
      </c>
      <c r="C1300" s="11">
        <v>3132</v>
      </c>
      <c r="D1300" s="11"/>
      <c r="F1300" s="108" t="s">
        <v>108</v>
      </c>
    </row>
    <row r="1301" spans="1:6" x14ac:dyDescent="0.3">
      <c r="A1301" s="38">
        <v>46236</v>
      </c>
      <c r="B1301" t="s">
        <v>357</v>
      </c>
      <c r="C1301" s="11">
        <v>2900</v>
      </c>
      <c r="D1301" s="11"/>
      <c r="E1301" t="s">
        <v>535</v>
      </c>
      <c r="F1301" s="108" t="s">
        <v>108</v>
      </c>
    </row>
    <row r="1302" spans="1:6" x14ac:dyDescent="0.3">
      <c r="A1302" s="111">
        <v>46236</v>
      </c>
      <c r="B1302" t="s">
        <v>269</v>
      </c>
      <c r="C1302" s="11">
        <v>5000</v>
      </c>
      <c r="D1302" s="11"/>
      <c r="E1302" t="s">
        <v>955</v>
      </c>
      <c r="F1302" s="108" t="s">
        <v>108</v>
      </c>
    </row>
    <row r="1303" spans="1:6" x14ac:dyDescent="0.3">
      <c r="A1303" s="38">
        <v>46236</v>
      </c>
      <c r="B1303" t="s">
        <v>219</v>
      </c>
      <c r="C1303" s="11">
        <v>100000</v>
      </c>
      <c r="D1303" s="11"/>
      <c r="E1303" t="s">
        <v>1004</v>
      </c>
      <c r="F1303" s="108" t="s">
        <v>108</v>
      </c>
    </row>
    <row r="1304" spans="1:6" x14ac:dyDescent="0.3">
      <c r="A1304" s="111">
        <v>46236</v>
      </c>
      <c r="B1304" t="s">
        <v>1005</v>
      </c>
      <c r="C1304" s="11"/>
      <c r="D1304" s="11">
        <v>100000</v>
      </c>
      <c r="F1304" s="108" t="s">
        <v>108</v>
      </c>
    </row>
    <row r="1305" spans="1:6" x14ac:dyDescent="0.3">
      <c r="A1305" s="38">
        <v>46236</v>
      </c>
      <c r="B1305" t="s">
        <v>219</v>
      </c>
      <c r="C1305" s="11">
        <v>100000</v>
      </c>
      <c r="D1305" s="11"/>
      <c r="E1305" t="s">
        <v>1006</v>
      </c>
      <c r="F1305" s="108" t="s">
        <v>108</v>
      </c>
    </row>
    <row r="1306" spans="1:6" x14ac:dyDescent="0.3">
      <c r="A1306" s="111">
        <v>46236</v>
      </c>
      <c r="B1306" t="s">
        <v>244</v>
      </c>
      <c r="C1306" s="95">
        <v>1600</v>
      </c>
      <c r="D1306" s="95"/>
      <c r="E1306" t="s">
        <v>1007</v>
      </c>
      <c r="F1306" s="108" t="s">
        <v>108</v>
      </c>
    </row>
    <row r="1307" spans="1:6" x14ac:dyDescent="0.3">
      <c r="A1307" s="38">
        <v>46237</v>
      </c>
      <c r="B1307" t="s">
        <v>115</v>
      </c>
      <c r="C1307" s="11">
        <v>250000</v>
      </c>
      <c r="D1307" s="11"/>
      <c r="E1307" t="s">
        <v>1008</v>
      </c>
      <c r="F1307" s="108" t="s">
        <v>108</v>
      </c>
    </row>
    <row r="1308" spans="1:6" x14ac:dyDescent="0.3">
      <c r="A1308" s="111">
        <v>46237</v>
      </c>
      <c r="B1308" t="s">
        <v>219</v>
      </c>
      <c r="C1308" s="11"/>
      <c r="D1308" s="11">
        <v>55000</v>
      </c>
      <c r="E1308" t="s">
        <v>1009</v>
      </c>
      <c r="F1308" s="108" t="s">
        <v>108</v>
      </c>
    </row>
    <row r="1309" spans="1:6" x14ac:dyDescent="0.3">
      <c r="A1309" s="38">
        <v>46237</v>
      </c>
      <c r="B1309" t="s">
        <v>244</v>
      </c>
      <c r="C1309" s="11">
        <v>690</v>
      </c>
      <c r="D1309" s="11"/>
      <c r="E1309" t="s">
        <v>819</v>
      </c>
      <c r="F1309" s="108" t="s">
        <v>108</v>
      </c>
    </row>
    <row r="1310" spans="1:6" x14ac:dyDescent="0.3">
      <c r="A1310" s="111">
        <v>46237</v>
      </c>
      <c r="B1310" t="s">
        <v>219</v>
      </c>
      <c r="C1310" s="11"/>
      <c r="D1310" s="11">
        <v>5000</v>
      </c>
      <c r="E1310" t="s">
        <v>318</v>
      </c>
      <c r="F1310" s="108" t="s">
        <v>108</v>
      </c>
    </row>
    <row r="1311" spans="1:6" x14ac:dyDescent="0.3">
      <c r="A1311" s="38">
        <v>46237</v>
      </c>
      <c r="B1311" t="s">
        <v>367</v>
      </c>
      <c r="C1311" s="11"/>
      <c r="D1311" s="11">
        <v>200000</v>
      </c>
      <c r="E1311" t="s">
        <v>1011</v>
      </c>
      <c r="F1311" s="108" t="s">
        <v>108</v>
      </c>
    </row>
    <row r="1312" spans="1:6" x14ac:dyDescent="0.3">
      <c r="A1312" s="111">
        <v>46237</v>
      </c>
      <c r="B1312" t="s">
        <v>55</v>
      </c>
      <c r="C1312" s="95">
        <v>600</v>
      </c>
      <c r="D1312" s="95"/>
      <c r="F1312" s="108" t="s">
        <v>108</v>
      </c>
    </row>
    <row r="1313" spans="1:6" x14ac:dyDescent="0.3">
      <c r="A1313" s="38">
        <v>46237</v>
      </c>
      <c r="B1313" t="s">
        <v>357</v>
      </c>
      <c r="C1313" s="11">
        <v>2900</v>
      </c>
      <c r="D1313" s="11"/>
      <c r="E1313" t="s">
        <v>535</v>
      </c>
      <c r="F1313" s="108" t="s">
        <v>108</v>
      </c>
    </row>
    <row r="1314" spans="1:6" x14ac:dyDescent="0.3">
      <c r="A1314" s="111">
        <v>46237</v>
      </c>
      <c r="B1314" t="s">
        <v>253</v>
      </c>
      <c r="C1314" s="11">
        <v>41800</v>
      </c>
      <c r="D1314" s="11"/>
      <c r="E1314" t="s">
        <v>1012</v>
      </c>
      <c r="F1314" s="108" t="s">
        <v>108</v>
      </c>
    </row>
    <row r="1315" spans="1:6" x14ac:dyDescent="0.3">
      <c r="A1315" s="38">
        <v>46237</v>
      </c>
      <c r="B1315" t="s">
        <v>253</v>
      </c>
      <c r="C1315" s="11">
        <v>14400</v>
      </c>
      <c r="D1315" s="11"/>
      <c r="E1315" t="s">
        <v>990</v>
      </c>
      <c r="F1315" s="108" t="s">
        <v>108</v>
      </c>
    </row>
    <row r="1316" spans="1:6" x14ac:dyDescent="0.3">
      <c r="A1316" s="111">
        <v>46237</v>
      </c>
      <c r="B1316" t="s">
        <v>253</v>
      </c>
      <c r="C1316" s="11">
        <v>20000</v>
      </c>
      <c r="D1316" s="11"/>
      <c r="E1316" t="s">
        <v>988</v>
      </c>
      <c r="F1316" s="108" t="s">
        <v>108</v>
      </c>
    </row>
    <row r="1317" spans="1:6" x14ac:dyDescent="0.3">
      <c r="A1317" s="38">
        <v>46237</v>
      </c>
      <c r="B1317" t="s">
        <v>253</v>
      </c>
      <c r="C1317" s="11">
        <v>12400</v>
      </c>
      <c r="D1317" s="11"/>
      <c r="E1317" t="s">
        <v>989</v>
      </c>
      <c r="F1317" s="108" t="s">
        <v>108</v>
      </c>
    </row>
    <row r="1318" spans="1:6" x14ac:dyDescent="0.3">
      <c r="A1318" s="38">
        <v>46237</v>
      </c>
      <c r="B1318" t="s">
        <v>253</v>
      </c>
      <c r="C1318" s="95">
        <v>1600</v>
      </c>
      <c r="D1318" s="95"/>
      <c r="E1318" t="s">
        <v>981</v>
      </c>
      <c r="F1318" s="108" t="s">
        <v>108</v>
      </c>
    </row>
    <row r="1319" spans="1:6" x14ac:dyDescent="0.3">
      <c r="A1319" s="38">
        <v>46237</v>
      </c>
      <c r="B1319" t="s">
        <v>269</v>
      </c>
      <c r="C1319" s="95">
        <v>10000</v>
      </c>
      <c r="D1319" s="95"/>
      <c r="E1319" t="s">
        <v>665</v>
      </c>
      <c r="F1319" s="108" t="s">
        <v>108</v>
      </c>
    </row>
    <row r="1320" spans="1:6" x14ac:dyDescent="0.3">
      <c r="A1320" s="38">
        <v>46237</v>
      </c>
      <c r="B1320" t="s">
        <v>269</v>
      </c>
      <c r="C1320" s="95">
        <v>100000</v>
      </c>
      <c r="D1320" s="95"/>
      <c r="E1320" t="s">
        <v>961</v>
      </c>
      <c r="F1320" s="108" t="s">
        <v>108</v>
      </c>
    </row>
    <row r="1321" spans="1:6" x14ac:dyDescent="0.3">
      <c r="A1321" s="38">
        <v>46238</v>
      </c>
      <c r="B1321" t="s">
        <v>219</v>
      </c>
      <c r="C1321" s="95"/>
      <c r="D1321" s="95">
        <v>100000</v>
      </c>
      <c r="E1321" t="s">
        <v>1013</v>
      </c>
      <c r="F1321" s="108" t="s">
        <v>108</v>
      </c>
    </row>
    <row r="1322" spans="1:6" x14ac:dyDescent="0.3">
      <c r="A1322" s="38">
        <v>46238</v>
      </c>
      <c r="B1322" t="s">
        <v>674</v>
      </c>
      <c r="C1322" s="95">
        <v>100000</v>
      </c>
      <c r="D1322" s="95"/>
      <c r="E1322" t="s">
        <v>1014</v>
      </c>
      <c r="F1322" s="108" t="s">
        <v>108</v>
      </c>
    </row>
    <row r="1323" spans="1:6" x14ac:dyDescent="0.3">
      <c r="A1323" s="38">
        <v>46238</v>
      </c>
      <c r="B1323" t="s">
        <v>219</v>
      </c>
      <c r="C1323" s="95"/>
      <c r="D1323" s="95">
        <v>10000</v>
      </c>
      <c r="E1323" t="s">
        <v>1015</v>
      </c>
      <c r="F1323" s="108" t="s">
        <v>108</v>
      </c>
    </row>
    <row r="1324" spans="1:6" x14ac:dyDescent="0.3">
      <c r="A1324" s="38">
        <v>46238</v>
      </c>
      <c r="B1324" t="s">
        <v>269</v>
      </c>
      <c r="C1324" s="95">
        <v>10000</v>
      </c>
      <c r="D1324" s="95"/>
      <c r="E1324" t="s">
        <v>1016</v>
      </c>
      <c r="F1324" s="108" t="s">
        <v>108</v>
      </c>
    </row>
    <row r="1325" spans="1:6" x14ac:dyDescent="0.3">
      <c r="A1325" s="38">
        <v>46238</v>
      </c>
      <c r="B1325" t="s">
        <v>219</v>
      </c>
      <c r="C1325" s="95"/>
      <c r="D1325" s="95">
        <v>20000</v>
      </c>
      <c r="E1325" t="s">
        <v>925</v>
      </c>
      <c r="F1325" s="108" t="s">
        <v>108</v>
      </c>
    </row>
    <row r="1326" spans="1:6" x14ac:dyDescent="0.3">
      <c r="A1326" s="38">
        <v>46238</v>
      </c>
      <c r="B1326" t="s">
        <v>246</v>
      </c>
      <c r="C1326" s="95">
        <v>3700</v>
      </c>
      <c r="D1326" s="95"/>
      <c r="E1326" t="s">
        <v>282</v>
      </c>
      <c r="F1326" s="108" t="s">
        <v>108</v>
      </c>
    </row>
    <row r="1327" spans="1:6" x14ac:dyDescent="0.3">
      <c r="A1327" s="38">
        <v>46238</v>
      </c>
      <c r="B1327" t="s">
        <v>298</v>
      </c>
      <c r="C1327" s="11">
        <v>5000</v>
      </c>
      <c r="D1327" s="11"/>
      <c r="E1327" t="s">
        <v>692</v>
      </c>
      <c r="F1327" s="108" t="s">
        <v>108</v>
      </c>
    </row>
    <row r="1328" spans="1:6" x14ac:dyDescent="0.3">
      <c r="A1328" s="38">
        <v>46238</v>
      </c>
      <c r="B1328" t="s">
        <v>55</v>
      </c>
      <c r="C1328" s="11">
        <v>2800</v>
      </c>
      <c r="D1328" s="11"/>
      <c r="E1328" t="s">
        <v>1017</v>
      </c>
      <c r="F1328" s="108" t="s">
        <v>108</v>
      </c>
    </row>
    <row r="1329" spans="1:6" x14ac:dyDescent="0.3">
      <c r="A1329" s="38">
        <v>46238</v>
      </c>
      <c r="B1329" t="s">
        <v>55</v>
      </c>
      <c r="C1329" s="11">
        <v>5780</v>
      </c>
      <c r="D1329" s="11"/>
      <c r="F1329" s="108" t="s">
        <v>108</v>
      </c>
    </row>
    <row r="1330" spans="1:6" x14ac:dyDescent="0.3">
      <c r="A1330" s="38">
        <v>46238</v>
      </c>
      <c r="B1330" t="s">
        <v>55</v>
      </c>
      <c r="C1330" s="11">
        <v>3300</v>
      </c>
      <c r="D1330" s="11"/>
      <c r="E1330" t="s">
        <v>1018</v>
      </c>
      <c r="F1330" s="108" t="s">
        <v>108</v>
      </c>
    </row>
    <row r="1331" spans="1:6" x14ac:dyDescent="0.3">
      <c r="A1331" s="38">
        <v>46238</v>
      </c>
      <c r="B1331" t="s">
        <v>211</v>
      </c>
      <c r="C1331" s="11"/>
      <c r="D1331" s="11">
        <v>1850</v>
      </c>
      <c r="F1331" s="108" t="s">
        <v>108</v>
      </c>
    </row>
    <row r="1332" spans="1:6" x14ac:dyDescent="0.3">
      <c r="A1332" s="38">
        <v>46238</v>
      </c>
      <c r="B1332" t="s">
        <v>357</v>
      </c>
      <c r="C1332" s="11">
        <v>2900</v>
      </c>
      <c r="D1332" s="11"/>
      <c r="E1332" t="s">
        <v>535</v>
      </c>
      <c r="F1332" s="108" t="s">
        <v>108</v>
      </c>
    </row>
    <row r="1333" spans="1:6" x14ac:dyDescent="0.3">
      <c r="A1333" s="38">
        <v>46238</v>
      </c>
      <c r="B1333" t="s">
        <v>211</v>
      </c>
      <c r="C1333" s="11">
        <v>3850</v>
      </c>
      <c r="D1333" s="11"/>
      <c r="F1333" s="108" t="s">
        <v>108</v>
      </c>
    </row>
    <row r="1334" spans="1:6" x14ac:dyDescent="0.3">
      <c r="A1334" s="38">
        <v>46238</v>
      </c>
      <c r="B1334" t="s">
        <v>386</v>
      </c>
      <c r="C1334" s="11">
        <v>740</v>
      </c>
      <c r="D1334" s="11"/>
      <c r="E1334" t="s">
        <v>1019</v>
      </c>
      <c r="F1334" s="108" t="s">
        <v>108</v>
      </c>
    </row>
    <row r="1335" spans="1:6" x14ac:dyDescent="0.3">
      <c r="A1335" s="38">
        <v>46238</v>
      </c>
      <c r="B1335" t="s">
        <v>219</v>
      </c>
      <c r="C1335" s="95"/>
      <c r="D1335" s="95">
        <v>10000</v>
      </c>
      <c r="E1335" t="s">
        <v>318</v>
      </c>
      <c r="F1335" s="108" t="s">
        <v>108</v>
      </c>
    </row>
    <row r="1336" spans="1:6" x14ac:dyDescent="0.3">
      <c r="A1336" s="38">
        <v>46238</v>
      </c>
      <c r="B1336" t="s">
        <v>488</v>
      </c>
      <c r="C1336" s="95">
        <v>5020</v>
      </c>
      <c r="D1336" s="95"/>
      <c r="E1336" t="s">
        <v>1020</v>
      </c>
      <c r="F1336" s="108" t="s">
        <v>108</v>
      </c>
    </row>
    <row r="1337" spans="1:6" x14ac:dyDescent="0.3">
      <c r="A1337" s="38">
        <v>46239</v>
      </c>
      <c r="B1337" t="s">
        <v>219</v>
      </c>
      <c r="C1337" s="95"/>
      <c r="D1337" s="95">
        <v>10000</v>
      </c>
      <c r="E1337" t="s">
        <v>318</v>
      </c>
      <c r="F1337" s="108" t="s">
        <v>108</v>
      </c>
    </row>
    <row r="1338" spans="1:6" x14ac:dyDescent="0.3">
      <c r="A1338" s="38">
        <v>46239</v>
      </c>
      <c r="B1338" t="s">
        <v>55</v>
      </c>
      <c r="C1338" s="95">
        <v>2240</v>
      </c>
      <c r="D1338" s="95"/>
      <c r="E1338" t="s">
        <v>1021</v>
      </c>
      <c r="F1338" s="108" t="s">
        <v>108</v>
      </c>
    </row>
    <row r="1339" spans="1:6" x14ac:dyDescent="0.3">
      <c r="A1339" s="38">
        <v>46239</v>
      </c>
      <c r="B1339" t="s">
        <v>219</v>
      </c>
      <c r="C1339" s="95"/>
      <c r="D1339" s="95">
        <v>50000</v>
      </c>
      <c r="E1339" t="s">
        <v>1022</v>
      </c>
      <c r="F1339" s="108" t="s">
        <v>108</v>
      </c>
    </row>
    <row r="1340" spans="1:6" x14ac:dyDescent="0.3">
      <c r="A1340" s="38">
        <v>46239</v>
      </c>
      <c r="B1340" t="s">
        <v>269</v>
      </c>
      <c r="C1340" s="95">
        <v>50000</v>
      </c>
      <c r="D1340" s="95"/>
      <c r="E1340" t="s">
        <v>1023</v>
      </c>
      <c r="F1340" s="108" t="s">
        <v>108</v>
      </c>
    </row>
    <row r="1341" spans="1:6" x14ac:dyDescent="0.3">
      <c r="A1341" s="38">
        <v>46239</v>
      </c>
      <c r="B1341" t="s">
        <v>488</v>
      </c>
      <c r="C1341" s="95">
        <v>1500</v>
      </c>
      <c r="D1341" s="95"/>
      <c r="E1341" t="s">
        <v>927</v>
      </c>
      <c r="F1341" s="108" t="s">
        <v>108</v>
      </c>
    </row>
    <row r="1342" spans="1:6" x14ac:dyDescent="0.3">
      <c r="A1342" s="38">
        <v>46239</v>
      </c>
      <c r="B1342" t="s">
        <v>55</v>
      </c>
      <c r="C1342" s="95">
        <v>1300</v>
      </c>
      <c r="D1342" s="95"/>
      <c r="E1342" t="s">
        <v>1024</v>
      </c>
      <c r="F1342" s="108" t="s">
        <v>108</v>
      </c>
    </row>
    <row r="1343" spans="1:6" x14ac:dyDescent="0.3">
      <c r="A1343" s="38">
        <v>46239</v>
      </c>
      <c r="B1343" t="s">
        <v>367</v>
      </c>
      <c r="C1343" s="95"/>
      <c r="D1343" s="95">
        <v>8014</v>
      </c>
      <c r="E1343" t="s">
        <v>54</v>
      </c>
      <c r="F1343" s="108" t="s">
        <v>108</v>
      </c>
    </row>
    <row r="1344" spans="1:6" x14ac:dyDescent="0.3">
      <c r="A1344" s="38">
        <v>46239</v>
      </c>
      <c r="B1344" t="s">
        <v>488</v>
      </c>
      <c r="C1344" s="95">
        <v>8014</v>
      </c>
      <c r="D1344" s="95"/>
      <c r="E1344" t="s">
        <v>1025</v>
      </c>
      <c r="F1344" s="108" t="s">
        <v>108</v>
      </c>
    </row>
    <row r="1345" spans="1:6" x14ac:dyDescent="0.3">
      <c r="A1345" s="38">
        <v>46239</v>
      </c>
      <c r="B1345" t="s">
        <v>367</v>
      </c>
      <c r="C1345" s="95"/>
      <c r="D1345" s="95">
        <v>500000</v>
      </c>
      <c r="E1345" t="s">
        <v>1026</v>
      </c>
      <c r="F1345" s="108" t="s">
        <v>108</v>
      </c>
    </row>
    <row r="1346" spans="1:6" x14ac:dyDescent="0.3">
      <c r="A1346" s="38">
        <v>46239</v>
      </c>
      <c r="B1346" t="s">
        <v>357</v>
      </c>
      <c r="C1346" s="95">
        <v>2900</v>
      </c>
      <c r="D1346" s="95"/>
      <c r="E1346" t="s">
        <v>535</v>
      </c>
      <c r="F1346" s="108" t="s">
        <v>108</v>
      </c>
    </row>
    <row r="1347" spans="1:6" x14ac:dyDescent="0.3">
      <c r="A1347" s="38">
        <v>46239</v>
      </c>
      <c r="B1347" t="s">
        <v>269</v>
      </c>
      <c r="C1347" s="95">
        <v>10000</v>
      </c>
      <c r="D1347" s="95"/>
      <c r="E1347" t="s">
        <v>1027</v>
      </c>
      <c r="F1347" s="108" t="s">
        <v>108</v>
      </c>
    </row>
    <row r="1348" spans="1:6" x14ac:dyDescent="0.3">
      <c r="A1348" s="38">
        <v>46239</v>
      </c>
      <c r="B1348" t="s">
        <v>269</v>
      </c>
      <c r="C1348" s="95">
        <v>5000</v>
      </c>
      <c r="D1348" s="95"/>
      <c r="E1348" t="s">
        <v>602</v>
      </c>
      <c r="F1348" s="108" t="s">
        <v>108</v>
      </c>
    </row>
    <row r="1349" spans="1:6" x14ac:dyDescent="0.3">
      <c r="A1349" s="38">
        <v>46239</v>
      </c>
      <c r="B1349" t="s">
        <v>269</v>
      </c>
      <c r="C1349" s="95">
        <v>10000</v>
      </c>
      <c r="D1349" s="95"/>
      <c r="E1349" t="s">
        <v>288</v>
      </c>
      <c r="F1349" s="108" t="s">
        <v>108</v>
      </c>
    </row>
    <row r="1350" spans="1:6" x14ac:dyDescent="0.3">
      <c r="A1350" s="38">
        <v>46239</v>
      </c>
      <c r="B1350" t="s">
        <v>269</v>
      </c>
      <c r="C1350" s="95">
        <v>10000</v>
      </c>
      <c r="D1350" s="95"/>
      <c r="E1350" t="s">
        <v>1028</v>
      </c>
      <c r="F1350" s="108" t="s">
        <v>108</v>
      </c>
    </row>
    <row r="1351" spans="1:6" x14ac:dyDescent="0.3">
      <c r="A1351" s="38">
        <v>46239</v>
      </c>
      <c r="B1351" t="s">
        <v>674</v>
      </c>
      <c r="C1351" s="95">
        <v>200000</v>
      </c>
      <c r="D1351" s="95"/>
      <c r="E1351" t="s">
        <v>1029</v>
      </c>
      <c r="F1351" s="108" t="s">
        <v>108</v>
      </c>
    </row>
    <row r="1352" spans="1:6" x14ac:dyDescent="0.3">
      <c r="A1352" s="38">
        <v>46239</v>
      </c>
      <c r="B1352" t="s">
        <v>246</v>
      </c>
      <c r="C1352" s="95">
        <v>5550</v>
      </c>
      <c r="D1352" s="95"/>
      <c r="E1352" t="s">
        <v>1030</v>
      </c>
      <c r="F1352" s="108" t="s">
        <v>108</v>
      </c>
    </row>
    <row r="1353" spans="1:6" x14ac:dyDescent="0.3">
      <c r="A1353" s="38">
        <v>46239</v>
      </c>
      <c r="B1353" t="s">
        <v>219</v>
      </c>
      <c r="C1353" s="11"/>
      <c r="D1353" s="11">
        <v>32600</v>
      </c>
      <c r="E1353" t="s">
        <v>163</v>
      </c>
      <c r="F1353" s="108" t="s">
        <v>108</v>
      </c>
    </row>
    <row r="1354" spans="1:6" x14ac:dyDescent="0.3">
      <c r="A1354" s="111">
        <v>46239</v>
      </c>
      <c r="B1354" t="s">
        <v>116</v>
      </c>
      <c r="C1354" s="11">
        <v>32600</v>
      </c>
      <c r="D1354" s="11"/>
      <c r="E1354" t="s">
        <v>163</v>
      </c>
      <c r="F1354" s="108" t="s">
        <v>108</v>
      </c>
    </row>
    <row r="1355" spans="1:6" x14ac:dyDescent="0.3">
      <c r="A1355" s="38">
        <v>46240</v>
      </c>
      <c r="B1355" t="s">
        <v>55</v>
      </c>
      <c r="C1355" s="95">
        <v>6000</v>
      </c>
      <c r="D1355" s="95"/>
      <c r="E1355" t="s">
        <v>1031</v>
      </c>
      <c r="F1355" s="108" t="s">
        <v>108</v>
      </c>
    </row>
    <row r="1356" spans="1:6" x14ac:dyDescent="0.3">
      <c r="A1356" s="111">
        <v>46240</v>
      </c>
      <c r="B1356" t="s">
        <v>244</v>
      </c>
      <c r="C1356" s="11">
        <v>740</v>
      </c>
      <c r="D1356" s="11"/>
      <c r="F1356" s="108" t="s">
        <v>108</v>
      </c>
    </row>
    <row r="1357" spans="1:6" x14ac:dyDescent="0.3">
      <c r="A1357" s="38">
        <v>46240</v>
      </c>
      <c r="B1357" t="s">
        <v>55</v>
      </c>
      <c r="C1357" s="11">
        <v>1200</v>
      </c>
      <c r="D1357" s="11"/>
      <c r="F1357" s="108" t="s">
        <v>108</v>
      </c>
    </row>
    <row r="1358" spans="1:6" x14ac:dyDescent="0.3">
      <c r="A1358" s="111">
        <v>46240</v>
      </c>
      <c r="B1358" t="s">
        <v>269</v>
      </c>
      <c r="C1358" s="11">
        <v>8000</v>
      </c>
      <c r="D1358" s="11"/>
      <c r="E1358" t="s">
        <v>602</v>
      </c>
      <c r="F1358" s="108" t="s">
        <v>108</v>
      </c>
    </row>
    <row r="1359" spans="1:6" x14ac:dyDescent="0.3">
      <c r="A1359" s="38">
        <v>46240</v>
      </c>
      <c r="B1359" t="s">
        <v>357</v>
      </c>
      <c r="C1359" s="11">
        <v>2900</v>
      </c>
      <c r="D1359" s="11"/>
      <c r="E1359" t="s">
        <v>535</v>
      </c>
      <c r="F1359" s="108" t="s">
        <v>108</v>
      </c>
    </row>
    <row r="1360" spans="1:6" x14ac:dyDescent="0.3">
      <c r="A1360" s="111">
        <v>46240</v>
      </c>
      <c r="B1360" t="s">
        <v>488</v>
      </c>
      <c r="C1360" s="11">
        <v>4000</v>
      </c>
      <c r="D1360" s="11"/>
      <c r="E1360" t="s">
        <v>1032</v>
      </c>
      <c r="F1360" s="108" t="s">
        <v>108</v>
      </c>
    </row>
    <row r="1361" spans="1:6" x14ac:dyDescent="0.3">
      <c r="A1361" s="38">
        <v>46240</v>
      </c>
      <c r="B1361" t="s">
        <v>269</v>
      </c>
      <c r="C1361" s="11">
        <v>30000</v>
      </c>
      <c r="D1361" s="11"/>
      <c r="E1361" t="s">
        <v>1033</v>
      </c>
      <c r="F1361" s="108" t="s">
        <v>108</v>
      </c>
    </row>
    <row r="1362" spans="1:6" x14ac:dyDescent="0.3">
      <c r="A1362" s="111">
        <v>46240</v>
      </c>
      <c r="B1362" t="s">
        <v>244</v>
      </c>
      <c r="C1362" s="11">
        <v>7500</v>
      </c>
      <c r="D1362" s="11"/>
      <c r="E1362" t="s">
        <v>884</v>
      </c>
      <c r="F1362" s="108" t="s">
        <v>108</v>
      </c>
    </row>
    <row r="1363" spans="1:6" x14ac:dyDescent="0.3">
      <c r="A1363" s="38">
        <v>46240</v>
      </c>
      <c r="B1363" t="s">
        <v>211</v>
      </c>
      <c r="C1363" s="11">
        <v>500</v>
      </c>
      <c r="D1363" s="11"/>
      <c r="F1363" s="108" t="s">
        <v>108</v>
      </c>
    </row>
    <row r="1364" spans="1:6" x14ac:dyDescent="0.3">
      <c r="A1364" s="111">
        <v>46241</v>
      </c>
      <c r="B1364" t="s">
        <v>269</v>
      </c>
      <c r="C1364" s="11">
        <v>20000</v>
      </c>
      <c r="D1364" s="11"/>
      <c r="E1364" t="s">
        <v>1034</v>
      </c>
      <c r="F1364" s="108" t="s">
        <v>108</v>
      </c>
    </row>
    <row r="1365" spans="1:6" x14ac:dyDescent="0.3">
      <c r="A1365" s="38">
        <v>46241</v>
      </c>
      <c r="B1365" t="s">
        <v>55</v>
      </c>
      <c r="C1365" s="11">
        <v>700</v>
      </c>
      <c r="D1365" s="11"/>
      <c r="F1365" s="108" t="s">
        <v>108</v>
      </c>
    </row>
    <row r="1366" spans="1:6" x14ac:dyDescent="0.3">
      <c r="A1366" s="111">
        <v>46241</v>
      </c>
      <c r="B1366" t="s">
        <v>488</v>
      </c>
      <c r="C1366" s="11">
        <v>990</v>
      </c>
      <c r="D1366" s="11"/>
      <c r="E1366" t="s">
        <v>541</v>
      </c>
      <c r="F1366" s="108" t="s">
        <v>108</v>
      </c>
    </row>
    <row r="1367" spans="1:6" x14ac:dyDescent="0.3">
      <c r="A1367" s="38">
        <v>46241</v>
      </c>
      <c r="B1367" t="s">
        <v>488</v>
      </c>
      <c r="C1367" s="11">
        <v>5000</v>
      </c>
      <c r="D1367" s="11"/>
      <c r="E1367" t="s">
        <v>710</v>
      </c>
      <c r="F1367" s="108" t="s">
        <v>108</v>
      </c>
    </row>
    <row r="1368" spans="1:6" x14ac:dyDescent="0.3">
      <c r="A1368" s="111">
        <v>46241</v>
      </c>
      <c r="B1368" t="s">
        <v>488</v>
      </c>
      <c r="C1368" s="11">
        <v>1500</v>
      </c>
      <c r="D1368" s="11"/>
      <c r="E1368" t="s">
        <v>927</v>
      </c>
      <c r="F1368" s="108" t="s">
        <v>108</v>
      </c>
    </row>
    <row r="1369" spans="1:6" x14ac:dyDescent="0.3">
      <c r="A1369" s="38">
        <v>46241</v>
      </c>
      <c r="B1369" t="s">
        <v>55</v>
      </c>
      <c r="C1369" s="11">
        <v>9628</v>
      </c>
      <c r="D1369" s="11"/>
      <c r="F1369" s="108" t="s">
        <v>108</v>
      </c>
    </row>
    <row r="1370" spans="1:6" x14ac:dyDescent="0.3">
      <c r="A1370" s="111">
        <v>46241</v>
      </c>
      <c r="B1370" t="s">
        <v>246</v>
      </c>
      <c r="C1370" s="11">
        <v>7000</v>
      </c>
      <c r="D1370" s="11"/>
      <c r="E1370" t="s">
        <v>282</v>
      </c>
      <c r="F1370" s="108" t="s">
        <v>108</v>
      </c>
    </row>
    <row r="1371" spans="1:6" x14ac:dyDescent="0.3">
      <c r="A1371" s="38">
        <v>46241</v>
      </c>
      <c r="B1371" t="s">
        <v>55</v>
      </c>
      <c r="C1371" s="11">
        <v>480</v>
      </c>
      <c r="D1371" s="11"/>
      <c r="F1371" s="108" t="s">
        <v>108</v>
      </c>
    </row>
    <row r="1372" spans="1:6" x14ac:dyDescent="0.3">
      <c r="A1372" s="111">
        <v>46241</v>
      </c>
      <c r="B1372" t="s">
        <v>357</v>
      </c>
      <c r="C1372" s="11">
        <v>10000</v>
      </c>
      <c r="D1372" s="11"/>
      <c r="E1372" t="s">
        <v>1035</v>
      </c>
      <c r="F1372" s="108" t="s">
        <v>108</v>
      </c>
    </row>
    <row r="1373" spans="1:6" x14ac:dyDescent="0.3">
      <c r="A1373" s="111">
        <v>46241</v>
      </c>
      <c r="B1373" t="s">
        <v>357</v>
      </c>
      <c r="C1373" s="11">
        <v>2900</v>
      </c>
      <c r="D1373" s="11"/>
      <c r="F1373" s="108" t="s">
        <v>108</v>
      </c>
    </row>
    <row r="1374" spans="1:6" x14ac:dyDescent="0.3">
      <c r="A1374" s="111">
        <v>46241</v>
      </c>
      <c r="B1374" t="s">
        <v>219</v>
      </c>
      <c r="C1374" s="11"/>
      <c r="D1374" s="11">
        <v>10600</v>
      </c>
      <c r="E1374" t="s">
        <v>1072</v>
      </c>
      <c r="F1374" s="108" t="s">
        <v>108</v>
      </c>
    </row>
    <row r="1375" spans="1:6" x14ac:dyDescent="0.3">
      <c r="A1375" s="111">
        <v>46241</v>
      </c>
      <c r="B1375" t="s">
        <v>55</v>
      </c>
      <c r="C1375" s="11">
        <v>10600</v>
      </c>
      <c r="D1375" s="11"/>
      <c r="E1375" t="s">
        <v>1072</v>
      </c>
      <c r="F1375" s="108" t="s">
        <v>108</v>
      </c>
    </row>
    <row r="1376" spans="1:6" x14ac:dyDescent="0.3">
      <c r="A1376" s="111">
        <v>46241</v>
      </c>
      <c r="B1376" t="s">
        <v>488</v>
      </c>
      <c r="C1376" s="11">
        <v>5000</v>
      </c>
      <c r="D1376" s="11"/>
      <c r="E1376" t="s">
        <v>710</v>
      </c>
      <c r="F1376" s="108" t="s">
        <v>108</v>
      </c>
    </row>
    <row r="1377" spans="1:6" x14ac:dyDescent="0.3">
      <c r="A1377" s="111">
        <v>46242</v>
      </c>
      <c r="B1377" t="s">
        <v>269</v>
      </c>
      <c r="C1377" s="11">
        <v>10000</v>
      </c>
      <c r="D1377" s="11"/>
      <c r="E1377" t="s">
        <v>665</v>
      </c>
      <c r="F1377" s="108" t="s">
        <v>108</v>
      </c>
    </row>
    <row r="1378" spans="1:6" x14ac:dyDescent="0.3">
      <c r="A1378" s="111">
        <v>46242</v>
      </c>
      <c r="B1378" t="s">
        <v>269</v>
      </c>
      <c r="C1378" s="11">
        <v>80000</v>
      </c>
      <c r="D1378" s="11"/>
      <c r="E1378" t="s">
        <v>699</v>
      </c>
      <c r="F1378" s="108" t="s">
        <v>108</v>
      </c>
    </row>
    <row r="1379" spans="1:6" x14ac:dyDescent="0.3">
      <c r="A1379" s="111">
        <v>46242</v>
      </c>
      <c r="B1379" t="s">
        <v>211</v>
      </c>
      <c r="C1379" s="11">
        <v>350</v>
      </c>
      <c r="D1379" s="11"/>
      <c r="F1379" s="108" t="s">
        <v>108</v>
      </c>
    </row>
    <row r="1380" spans="1:6" x14ac:dyDescent="0.3">
      <c r="A1380" s="111">
        <v>46242</v>
      </c>
      <c r="B1380" t="s">
        <v>636</v>
      </c>
      <c r="C1380" s="95"/>
      <c r="D1380" s="95">
        <v>210000</v>
      </c>
      <c r="E1380" t="s">
        <v>1036</v>
      </c>
      <c r="F1380" s="108" t="s">
        <v>108</v>
      </c>
    </row>
    <row r="1381" spans="1:6" x14ac:dyDescent="0.3">
      <c r="A1381" s="111">
        <v>46242</v>
      </c>
      <c r="B1381" t="s">
        <v>55</v>
      </c>
      <c r="C1381" s="11">
        <v>115000</v>
      </c>
      <c r="D1381" s="11"/>
      <c r="E1381" t="s">
        <v>1037</v>
      </c>
      <c r="F1381" s="108" t="s">
        <v>108</v>
      </c>
    </row>
    <row r="1382" spans="1:6" x14ac:dyDescent="0.3">
      <c r="A1382" s="111">
        <v>46242</v>
      </c>
      <c r="B1382" t="s">
        <v>357</v>
      </c>
      <c r="C1382" s="11">
        <v>2900</v>
      </c>
      <c r="D1382" s="11"/>
      <c r="E1382" t="s">
        <v>535</v>
      </c>
      <c r="F1382" s="108" t="s">
        <v>108</v>
      </c>
    </row>
    <row r="1383" spans="1:6" x14ac:dyDescent="0.3">
      <c r="A1383" s="111">
        <v>46242</v>
      </c>
      <c r="B1383" t="s">
        <v>219</v>
      </c>
      <c r="C1383" s="11">
        <v>100000</v>
      </c>
      <c r="D1383" s="11"/>
      <c r="E1383" t="s">
        <v>1069</v>
      </c>
      <c r="F1383" s="108" t="s">
        <v>108</v>
      </c>
    </row>
    <row r="1384" spans="1:6" x14ac:dyDescent="0.3">
      <c r="A1384" s="111">
        <v>46242</v>
      </c>
      <c r="B1384" t="s">
        <v>280</v>
      </c>
      <c r="C1384" s="11"/>
      <c r="D1384" s="11">
        <v>100000</v>
      </c>
      <c r="E1384" t="s">
        <v>271</v>
      </c>
      <c r="F1384" s="108" t="s">
        <v>108</v>
      </c>
    </row>
    <row r="1385" spans="1:6" x14ac:dyDescent="0.3">
      <c r="A1385" s="111">
        <v>46242</v>
      </c>
      <c r="B1385" t="s">
        <v>386</v>
      </c>
      <c r="C1385" s="11">
        <v>2660</v>
      </c>
      <c r="D1385" s="11"/>
      <c r="E1385" t="s">
        <v>1075</v>
      </c>
      <c r="F1385" s="108" t="s">
        <v>108</v>
      </c>
    </row>
    <row r="1386" spans="1:6" x14ac:dyDescent="0.3">
      <c r="A1386" s="111">
        <v>46243</v>
      </c>
      <c r="B1386" s="117" t="s">
        <v>269</v>
      </c>
      <c r="C1386" s="95">
        <v>25000</v>
      </c>
      <c r="D1386" s="95"/>
      <c r="E1386" t="s">
        <v>288</v>
      </c>
      <c r="F1386" s="108" t="s">
        <v>108</v>
      </c>
    </row>
    <row r="1387" spans="1:6" x14ac:dyDescent="0.3">
      <c r="A1387" s="111">
        <v>46243</v>
      </c>
      <c r="B1387" t="s">
        <v>269</v>
      </c>
      <c r="C1387" s="11">
        <v>14000</v>
      </c>
      <c r="D1387" s="11"/>
      <c r="E1387" t="s">
        <v>1016</v>
      </c>
      <c r="F1387" s="108" t="s">
        <v>108</v>
      </c>
    </row>
    <row r="1388" spans="1:6" x14ac:dyDescent="0.3">
      <c r="A1388" s="38">
        <v>46243</v>
      </c>
      <c r="B1388" t="s">
        <v>55</v>
      </c>
      <c r="C1388" s="11">
        <v>200000</v>
      </c>
      <c r="D1388" s="11"/>
      <c r="E1388" t="s">
        <v>1037</v>
      </c>
      <c r="F1388" s="108" t="s">
        <v>108</v>
      </c>
    </row>
    <row r="1389" spans="1:6" x14ac:dyDescent="0.3">
      <c r="A1389" s="38">
        <v>46243</v>
      </c>
      <c r="B1389" t="s">
        <v>357</v>
      </c>
      <c r="C1389" s="11">
        <v>2900</v>
      </c>
      <c r="D1389" s="11"/>
      <c r="E1389" t="s">
        <v>535</v>
      </c>
      <c r="F1389" s="108" t="s">
        <v>108</v>
      </c>
    </row>
    <row r="1390" spans="1:6" x14ac:dyDescent="0.3">
      <c r="A1390" s="38">
        <v>46243</v>
      </c>
      <c r="B1390" t="s">
        <v>488</v>
      </c>
      <c r="C1390" s="11">
        <v>18400</v>
      </c>
      <c r="D1390" s="11"/>
      <c r="F1390" s="108" t="s">
        <v>108</v>
      </c>
    </row>
    <row r="1391" spans="1:6" x14ac:dyDescent="0.3">
      <c r="A1391" s="38">
        <v>46243</v>
      </c>
      <c r="B1391" t="s">
        <v>219</v>
      </c>
      <c r="C1391" s="11"/>
      <c r="D1391" s="11">
        <v>18400</v>
      </c>
      <c r="F1391" s="108" t="s">
        <v>108</v>
      </c>
    </row>
    <row r="1392" spans="1:6" x14ac:dyDescent="0.3">
      <c r="A1392" s="38">
        <v>46243</v>
      </c>
      <c r="B1392" t="s">
        <v>211</v>
      </c>
      <c r="C1392" s="11"/>
      <c r="D1392" s="11"/>
      <c r="F1392" s="108" t="s">
        <v>108</v>
      </c>
    </row>
    <row r="1393" spans="1:6" x14ac:dyDescent="0.3">
      <c r="A1393" s="38">
        <v>46243</v>
      </c>
      <c r="B1393" t="s">
        <v>357</v>
      </c>
      <c r="C1393" s="11">
        <v>2900</v>
      </c>
      <c r="D1393" s="11"/>
      <c r="F1393" s="108" t="s">
        <v>108</v>
      </c>
    </row>
    <row r="1394" spans="1:6" x14ac:dyDescent="0.3">
      <c r="A1394" s="38">
        <v>46243</v>
      </c>
      <c r="B1394" t="s">
        <v>269</v>
      </c>
      <c r="C1394" s="11">
        <v>5000</v>
      </c>
      <c r="D1394" s="11"/>
      <c r="E1394" t="s">
        <v>538</v>
      </c>
      <c r="F1394" s="108" t="s">
        <v>108</v>
      </c>
    </row>
    <row r="1395" spans="1:6" x14ac:dyDescent="0.3">
      <c r="A1395" s="38">
        <v>46243</v>
      </c>
      <c r="B1395" t="s">
        <v>219</v>
      </c>
      <c r="C1395" s="11"/>
      <c r="D1395" s="11">
        <v>25000</v>
      </c>
      <c r="E1395" t="s">
        <v>288</v>
      </c>
      <c r="F1395" s="108" t="s">
        <v>108</v>
      </c>
    </row>
    <row r="1396" spans="1:6" x14ac:dyDescent="0.3">
      <c r="A1396" s="38">
        <v>46243</v>
      </c>
      <c r="B1396" t="s">
        <v>269</v>
      </c>
      <c r="C1396" s="11">
        <v>20000</v>
      </c>
      <c r="D1396" s="11"/>
      <c r="E1396" t="s">
        <v>1034</v>
      </c>
      <c r="F1396" s="108" t="s">
        <v>108</v>
      </c>
    </row>
    <row r="1397" spans="1:6" x14ac:dyDescent="0.3">
      <c r="A1397" s="38">
        <v>46244</v>
      </c>
      <c r="B1397" t="s">
        <v>219</v>
      </c>
      <c r="C1397" s="11"/>
      <c r="D1397" s="11">
        <v>80000</v>
      </c>
      <c r="E1397" t="s">
        <v>1064</v>
      </c>
      <c r="F1397" s="108" t="s">
        <v>108</v>
      </c>
    </row>
    <row r="1398" spans="1:6" x14ac:dyDescent="0.3">
      <c r="A1398" s="38">
        <v>46244</v>
      </c>
      <c r="B1398" t="s">
        <v>219</v>
      </c>
      <c r="C1398" s="11"/>
      <c r="D1398" s="11">
        <v>29000</v>
      </c>
      <c r="E1398" t="s">
        <v>318</v>
      </c>
      <c r="F1398" s="108" t="s">
        <v>108</v>
      </c>
    </row>
    <row r="1399" spans="1:6" x14ac:dyDescent="0.3">
      <c r="A1399" s="38">
        <v>46244</v>
      </c>
      <c r="B1399" t="s">
        <v>386</v>
      </c>
      <c r="C1399" s="11">
        <v>1190</v>
      </c>
      <c r="D1399" s="11"/>
      <c r="E1399" t="s">
        <v>387</v>
      </c>
      <c r="F1399" s="108" t="s">
        <v>108</v>
      </c>
    </row>
    <row r="1400" spans="1:6" x14ac:dyDescent="0.3">
      <c r="A1400" s="38">
        <v>46244</v>
      </c>
      <c r="B1400" t="s">
        <v>55</v>
      </c>
      <c r="C1400" s="11">
        <v>2500</v>
      </c>
      <c r="D1400" s="11"/>
      <c r="E1400" t="s">
        <v>1070</v>
      </c>
      <c r="F1400" s="108" t="s">
        <v>108</v>
      </c>
    </row>
    <row r="1401" spans="1:6" x14ac:dyDescent="0.3">
      <c r="A1401" s="38">
        <v>46244</v>
      </c>
      <c r="B1401" t="s">
        <v>219</v>
      </c>
      <c r="C1401" s="11"/>
      <c r="D1401" s="11">
        <v>2500</v>
      </c>
      <c r="E1401" t="s">
        <v>1070</v>
      </c>
      <c r="F1401" s="108" t="s">
        <v>108</v>
      </c>
    </row>
    <row r="1402" spans="1:6" x14ac:dyDescent="0.3">
      <c r="A1402" s="38">
        <v>46244</v>
      </c>
      <c r="B1402" t="s">
        <v>219</v>
      </c>
      <c r="C1402" s="11"/>
      <c r="D1402" s="11">
        <v>10000</v>
      </c>
      <c r="E1402" t="s">
        <v>1071</v>
      </c>
      <c r="F1402" s="108" t="s">
        <v>108</v>
      </c>
    </row>
    <row r="1403" spans="1:6" x14ac:dyDescent="0.3">
      <c r="A1403" s="38">
        <v>46244</v>
      </c>
      <c r="B1403" t="s">
        <v>269</v>
      </c>
      <c r="C1403" s="11">
        <v>10000</v>
      </c>
      <c r="D1403" s="11"/>
      <c r="E1403" t="s">
        <v>1071</v>
      </c>
      <c r="F1403" s="108" t="s">
        <v>108</v>
      </c>
    </row>
    <row r="1404" spans="1:6" x14ac:dyDescent="0.3">
      <c r="A1404" s="38">
        <v>46245</v>
      </c>
      <c r="B1404" t="s">
        <v>269</v>
      </c>
      <c r="C1404" s="11">
        <v>50000</v>
      </c>
      <c r="D1404" s="11"/>
      <c r="E1404" t="s">
        <v>602</v>
      </c>
      <c r="F1404" s="108" t="s">
        <v>108</v>
      </c>
    </row>
    <row r="1405" spans="1:6" x14ac:dyDescent="0.3">
      <c r="A1405" s="38">
        <v>46245</v>
      </c>
      <c r="B1405" t="s">
        <v>219</v>
      </c>
      <c r="C1405" s="11"/>
      <c r="D1405" s="11">
        <v>50000</v>
      </c>
      <c r="E1405" t="s">
        <v>602</v>
      </c>
      <c r="F1405" s="108" t="s">
        <v>108</v>
      </c>
    </row>
    <row r="1406" spans="1:6" x14ac:dyDescent="0.3">
      <c r="A1406" s="38">
        <v>46245</v>
      </c>
      <c r="B1406" t="s">
        <v>244</v>
      </c>
      <c r="C1406" s="11">
        <v>500</v>
      </c>
      <c r="D1406" s="11"/>
      <c r="E1406" t="s">
        <v>1038</v>
      </c>
      <c r="F1406" s="108" t="s">
        <v>108</v>
      </c>
    </row>
    <row r="1407" spans="1:6" x14ac:dyDescent="0.3">
      <c r="A1407" s="38">
        <v>46245</v>
      </c>
      <c r="B1407" t="s">
        <v>386</v>
      </c>
      <c r="C1407" s="11">
        <v>4955</v>
      </c>
      <c r="D1407" s="11"/>
      <c r="E1407" t="s">
        <v>899</v>
      </c>
      <c r="F1407" s="108" t="s">
        <v>108</v>
      </c>
    </row>
    <row r="1408" spans="1:6" x14ac:dyDescent="0.3">
      <c r="A1408" s="38">
        <v>46245</v>
      </c>
      <c r="B1408" t="s">
        <v>269</v>
      </c>
      <c r="C1408" s="95">
        <v>36666</v>
      </c>
      <c r="D1408" s="95"/>
      <c r="E1408" t="s">
        <v>602</v>
      </c>
      <c r="F1408" s="108" t="s">
        <v>108</v>
      </c>
    </row>
    <row r="1409" spans="1:6" x14ac:dyDescent="0.3">
      <c r="A1409" s="38">
        <v>46245</v>
      </c>
      <c r="B1409" t="s">
        <v>219</v>
      </c>
      <c r="C1409" s="95"/>
      <c r="D1409" s="95">
        <v>8000</v>
      </c>
      <c r="E1409" t="s">
        <v>318</v>
      </c>
      <c r="F1409" s="108" t="s">
        <v>108</v>
      </c>
    </row>
    <row r="1410" spans="1:6" x14ac:dyDescent="0.3">
      <c r="A1410" s="38">
        <v>46245</v>
      </c>
      <c r="B1410" t="s">
        <v>269</v>
      </c>
      <c r="C1410" s="95">
        <v>8000</v>
      </c>
      <c r="D1410" s="95"/>
      <c r="E1410" t="s">
        <v>955</v>
      </c>
      <c r="F1410" s="108" t="s">
        <v>108</v>
      </c>
    </row>
    <row r="1411" spans="1:6" x14ac:dyDescent="0.3">
      <c r="A1411" s="38">
        <v>46245</v>
      </c>
      <c r="B1411" t="s">
        <v>219</v>
      </c>
      <c r="C1411" s="11"/>
      <c r="D1411" s="11">
        <v>350000</v>
      </c>
      <c r="F1411" s="108" t="s">
        <v>108</v>
      </c>
    </row>
    <row r="1412" spans="1:6" x14ac:dyDescent="0.3">
      <c r="A1412" s="38">
        <v>46245</v>
      </c>
      <c r="B1412" t="s">
        <v>55</v>
      </c>
      <c r="C1412" s="11">
        <v>350000</v>
      </c>
      <c r="D1412" s="11"/>
      <c r="E1412" t="s">
        <v>1039</v>
      </c>
      <c r="F1412" s="108" t="s">
        <v>108</v>
      </c>
    </row>
    <row r="1413" spans="1:6" x14ac:dyDescent="0.3">
      <c r="A1413" s="38">
        <v>46245</v>
      </c>
      <c r="B1413" t="s">
        <v>219</v>
      </c>
      <c r="C1413" s="11"/>
      <c r="D1413" s="11">
        <v>10000</v>
      </c>
      <c r="E1413" t="s">
        <v>1040</v>
      </c>
      <c r="F1413" s="108" t="s">
        <v>108</v>
      </c>
    </row>
    <row r="1414" spans="1:6" x14ac:dyDescent="0.3">
      <c r="A1414" s="111">
        <v>46245</v>
      </c>
      <c r="B1414" t="s">
        <v>244</v>
      </c>
      <c r="C1414" s="11">
        <v>10000</v>
      </c>
      <c r="D1414" s="11"/>
      <c r="E1414" t="s">
        <v>1041</v>
      </c>
      <c r="F1414" s="108" t="s">
        <v>108</v>
      </c>
    </row>
    <row r="1415" spans="1:6" x14ac:dyDescent="0.3">
      <c r="A1415" s="38">
        <v>46245</v>
      </c>
      <c r="B1415" t="s">
        <v>269</v>
      </c>
      <c r="C1415" s="11">
        <v>1000</v>
      </c>
      <c r="D1415" s="11"/>
      <c r="E1415" t="s">
        <v>1073</v>
      </c>
      <c r="F1415" s="108" t="s">
        <v>108</v>
      </c>
    </row>
    <row r="1416" spans="1:6" x14ac:dyDescent="0.3">
      <c r="A1416" s="38">
        <v>46245</v>
      </c>
      <c r="B1416" t="s">
        <v>386</v>
      </c>
      <c r="C1416" s="11">
        <v>1000</v>
      </c>
      <c r="D1416" s="11"/>
      <c r="E1416" t="s">
        <v>1074</v>
      </c>
      <c r="F1416" s="108" t="s">
        <v>108</v>
      </c>
    </row>
    <row r="1417" spans="1:6" x14ac:dyDescent="0.3">
      <c r="A1417" s="38">
        <v>46245</v>
      </c>
      <c r="B1417" t="s">
        <v>219</v>
      </c>
      <c r="C1417" s="11"/>
      <c r="D1417" s="11">
        <v>36000</v>
      </c>
      <c r="E1417" t="s">
        <v>318</v>
      </c>
      <c r="F1417" s="108" t="s">
        <v>108</v>
      </c>
    </row>
    <row r="1418" spans="1:6" x14ac:dyDescent="0.3">
      <c r="A1418" s="38">
        <v>46245</v>
      </c>
      <c r="B1418" t="s">
        <v>219</v>
      </c>
      <c r="C1418" s="11"/>
      <c r="D1418" s="11">
        <v>10000</v>
      </c>
      <c r="E1418" s="117" t="s">
        <v>318</v>
      </c>
      <c r="F1418" s="108" t="s">
        <v>108</v>
      </c>
    </row>
    <row r="1419" spans="1:6" x14ac:dyDescent="0.3">
      <c r="A1419" s="38">
        <v>46245</v>
      </c>
      <c r="B1419" t="s">
        <v>211</v>
      </c>
      <c r="C1419" s="11">
        <v>1490</v>
      </c>
      <c r="D1419" s="11"/>
      <c r="F1419" s="108" t="s">
        <v>108</v>
      </c>
    </row>
    <row r="1420" spans="1:6" x14ac:dyDescent="0.3">
      <c r="A1420" s="38">
        <v>46246</v>
      </c>
      <c r="B1420" t="s">
        <v>488</v>
      </c>
      <c r="C1420" s="11">
        <v>13500</v>
      </c>
      <c r="D1420" s="11"/>
      <c r="E1420" t="s">
        <v>1042</v>
      </c>
      <c r="F1420" s="108" t="s">
        <v>108</v>
      </c>
    </row>
    <row r="1421" spans="1:6" x14ac:dyDescent="0.3">
      <c r="A1421" s="38">
        <v>46246</v>
      </c>
      <c r="B1421" t="s">
        <v>219</v>
      </c>
      <c r="C1421" s="11"/>
      <c r="D1421" s="11">
        <v>13500</v>
      </c>
      <c r="E1421" t="s">
        <v>1042</v>
      </c>
      <c r="F1421" s="108" t="s">
        <v>108</v>
      </c>
    </row>
    <row r="1422" spans="1:6" x14ac:dyDescent="0.3">
      <c r="A1422" s="38">
        <v>46246</v>
      </c>
      <c r="B1422" t="s">
        <v>55</v>
      </c>
      <c r="C1422" s="11">
        <v>15500</v>
      </c>
      <c r="D1422" s="11"/>
      <c r="F1422" s="108" t="s">
        <v>108</v>
      </c>
    </row>
    <row r="1423" spans="1:6" x14ac:dyDescent="0.3">
      <c r="A1423" s="38">
        <v>46246</v>
      </c>
      <c r="B1423" t="s">
        <v>219</v>
      </c>
      <c r="C1423" s="11"/>
      <c r="D1423" s="11">
        <v>15500</v>
      </c>
      <c r="F1423" s="108" t="s">
        <v>108</v>
      </c>
    </row>
    <row r="1424" spans="1:6" x14ac:dyDescent="0.3">
      <c r="A1424" s="38">
        <v>46246</v>
      </c>
      <c r="B1424" t="s">
        <v>55</v>
      </c>
      <c r="C1424" s="11">
        <v>4300</v>
      </c>
      <c r="D1424" s="11"/>
      <c r="E1424" t="s">
        <v>1043</v>
      </c>
      <c r="F1424" s="108" t="s">
        <v>108</v>
      </c>
    </row>
    <row r="1425" spans="1:6" x14ac:dyDescent="0.3">
      <c r="A1425" s="38">
        <v>46246</v>
      </c>
      <c r="B1425" t="s">
        <v>219</v>
      </c>
      <c r="C1425" s="11"/>
      <c r="D1425" s="11">
        <v>4300</v>
      </c>
      <c r="E1425" t="s">
        <v>1043</v>
      </c>
      <c r="F1425" s="108" t="s">
        <v>108</v>
      </c>
    </row>
    <row r="1426" spans="1:6" x14ac:dyDescent="0.3">
      <c r="A1426" s="38">
        <v>46246</v>
      </c>
      <c r="B1426" t="s">
        <v>219</v>
      </c>
      <c r="C1426" s="11"/>
      <c r="D1426" s="11">
        <v>25000</v>
      </c>
      <c r="E1426" t="s">
        <v>1044</v>
      </c>
      <c r="F1426" s="108" t="s">
        <v>108</v>
      </c>
    </row>
    <row r="1427" spans="1:6" x14ac:dyDescent="0.3">
      <c r="A1427" s="111">
        <v>46246</v>
      </c>
      <c r="B1427" t="s">
        <v>55</v>
      </c>
      <c r="C1427" s="11">
        <v>17000</v>
      </c>
      <c r="D1427" s="11"/>
      <c r="E1427" t="s">
        <v>1045</v>
      </c>
      <c r="F1427" s="108" t="s">
        <v>108</v>
      </c>
    </row>
    <row r="1428" spans="1:6" x14ac:dyDescent="0.3">
      <c r="A1428" s="111">
        <v>46246</v>
      </c>
      <c r="B1428" t="s">
        <v>55</v>
      </c>
      <c r="C1428" s="11">
        <v>9000</v>
      </c>
      <c r="D1428" s="11"/>
      <c r="E1428" t="s">
        <v>1046</v>
      </c>
      <c r="F1428" s="108" t="s">
        <v>108</v>
      </c>
    </row>
    <row r="1429" spans="1:6" x14ac:dyDescent="0.3">
      <c r="A1429" s="111">
        <v>46246</v>
      </c>
      <c r="B1429" t="s">
        <v>55</v>
      </c>
      <c r="C1429" s="11">
        <v>9800</v>
      </c>
      <c r="D1429" s="11"/>
      <c r="E1429" t="s">
        <v>1047</v>
      </c>
      <c r="F1429" s="108" t="s">
        <v>108</v>
      </c>
    </row>
    <row r="1430" spans="1:6" x14ac:dyDescent="0.3">
      <c r="A1430" s="111">
        <v>46246</v>
      </c>
      <c r="B1430" t="s">
        <v>55</v>
      </c>
      <c r="C1430" s="11">
        <v>2500</v>
      </c>
      <c r="D1430" s="11"/>
      <c r="F1430" s="108" t="s">
        <v>108</v>
      </c>
    </row>
    <row r="1431" spans="1:6" x14ac:dyDescent="0.3">
      <c r="A1431" s="111">
        <v>46246</v>
      </c>
      <c r="B1431" t="s">
        <v>219</v>
      </c>
      <c r="C1431" s="11"/>
      <c r="D1431" s="11">
        <v>15000</v>
      </c>
      <c r="E1431" t="s">
        <v>1048</v>
      </c>
      <c r="F1431" s="108" t="s">
        <v>108</v>
      </c>
    </row>
    <row r="1432" spans="1:6" x14ac:dyDescent="0.3">
      <c r="A1432" s="111">
        <v>46246</v>
      </c>
      <c r="B1432" t="s">
        <v>357</v>
      </c>
      <c r="C1432" s="11">
        <v>2900</v>
      </c>
      <c r="D1432" s="11"/>
      <c r="E1432" t="s">
        <v>535</v>
      </c>
      <c r="F1432" s="108" t="s">
        <v>108</v>
      </c>
    </row>
    <row r="1433" spans="1:6" x14ac:dyDescent="0.3">
      <c r="A1433" s="111">
        <v>46246</v>
      </c>
      <c r="B1433" t="s">
        <v>219</v>
      </c>
      <c r="C1433" s="11"/>
      <c r="D1433" s="11">
        <v>10000</v>
      </c>
      <c r="E1433" t="s">
        <v>1063</v>
      </c>
      <c r="F1433" s="108" t="s">
        <v>108</v>
      </c>
    </row>
    <row r="1434" spans="1:6" x14ac:dyDescent="0.3">
      <c r="A1434" s="38">
        <v>46246</v>
      </c>
      <c r="B1434" t="s">
        <v>219</v>
      </c>
      <c r="C1434" s="11"/>
      <c r="D1434" s="11">
        <v>25000</v>
      </c>
      <c r="E1434" t="s">
        <v>1065</v>
      </c>
      <c r="F1434" s="108" t="s">
        <v>108</v>
      </c>
    </row>
    <row r="1435" spans="1:6" x14ac:dyDescent="0.3">
      <c r="A1435" s="38">
        <v>46246</v>
      </c>
      <c r="B1435" t="s">
        <v>246</v>
      </c>
      <c r="C1435" s="11">
        <v>1500</v>
      </c>
      <c r="D1435" s="11"/>
      <c r="F1435" s="108" t="s">
        <v>108</v>
      </c>
    </row>
    <row r="1436" spans="1:6" x14ac:dyDescent="0.3">
      <c r="A1436" s="38">
        <v>46246</v>
      </c>
      <c r="B1436" t="s">
        <v>244</v>
      </c>
      <c r="C1436" s="11">
        <v>1780</v>
      </c>
      <c r="D1436" s="11"/>
      <c r="F1436" s="108" t="s">
        <v>108</v>
      </c>
    </row>
    <row r="1437" spans="1:6" x14ac:dyDescent="0.3">
      <c r="A1437" s="38">
        <v>46246</v>
      </c>
      <c r="B1437" t="s">
        <v>488</v>
      </c>
      <c r="C1437" s="11">
        <v>800</v>
      </c>
      <c r="D1437" s="11"/>
      <c r="F1437" s="108" t="s">
        <v>108</v>
      </c>
    </row>
    <row r="1438" spans="1:6" x14ac:dyDescent="0.3">
      <c r="A1438" s="38">
        <v>46246</v>
      </c>
      <c r="B1438" t="s">
        <v>211</v>
      </c>
      <c r="C1438" s="11">
        <v>800</v>
      </c>
      <c r="D1438" s="11"/>
      <c r="F1438" s="108" t="s">
        <v>108</v>
      </c>
    </row>
    <row r="1439" spans="1:6" x14ac:dyDescent="0.3">
      <c r="A1439" s="38">
        <v>46246</v>
      </c>
      <c r="B1439" t="s">
        <v>386</v>
      </c>
      <c r="C1439" s="11">
        <v>1900</v>
      </c>
      <c r="D1439" s="11"/>
      <c r="E1439" t="s">
        <v>1066</v>
      </c>
      <c r="F1439" s="108" t="s">
        <v>108</v>
      </c>
    </row>
    <row r="1440" spans="1:6" x14ac:dyDescent="0.3">
      <c r="A1440" s="38">
        <v>46246</v>
      </c>
      <c r="B1440" t="s">
        <v>488</v>
      </c>
      <c r="C1440" s="11">
        <v>5500</v>
      </c>
      <c r="D1440" s="11"/>
      <c r="E1440">
        <v>464</v>
      </c>
      <c r="F1440" s="108" t="s">
        <v>108</v>
      </c>
    </row>
    <row r="1441" spans="1:6" x14ac:dyDescent="0.3">
      <c r="A1441" s="38">
        <v>46247</v>
      </c>
      <c r="B1441" t="s">
        <v>219</v>
      </c>
      <c r="C1441" s="11"/>
      <c r="D1441" s="11">
        <v>11500</v>
      </c>
      <c r="E1441" t="s">
        <v>288</v>
      </c>
      <c r="F1441" s="108" t="s">
        <v>108</v>
      </c>
    </row>
    <row r="1442" spans="1:6" x14ac:dyDescent="0.3">
      <c r="A1442" s="38">
        <v>46247</v>
      </c>
      <c r="B1442" t="s">
        <v>269</v>
      </c>
      <c r="C1442" s="95">
        <v>11500</v>
      </c>
      <c r="D1442" s="95"/>
      <c r="E1442" t="s">
        <v>288</v>
      </c>
      <c r="F1442" s="108" t="s">
        <v>108</v>
      </c>
    </row>
    <row r="1443" spans="1:6" x14ac:dyDescent="0.3">
      <c r="A1443" s="38">
        <v>46247</v>
      </c>
      <c r="B1443" t="s">
        <v>488</v>
      </c>
      <c r="C1443" s="95">
        <v>750</v>
      </c>
      <c r="D1443" s="95"/>
      <c r="F1443" s="108" t="s">
        <v>108</v>
      </c>
    </row>
    <row r="1444" spans="1:6" x14ac:dyDescent="0.3">
      <c r="A1444" s="38">
        <v>46247</v>
      </c>
      <c r="B1444" t="s">
        <v>357</v>
      </c>
      <c r="C1444" s="11">
        <v>16550</v>
      </c>
      <c r="D1444" s="11"/>
      <c r="F1444" s="108" t="s">
        <v>108</v>
      </c>
    </row>
    <row r="1445" spans="1:6" x14ac:dyDescent="0.3">
      <c r="A1445" s="38">
        <v>46247</v>
      </c>
      <c r="B1445" t="s">
        <v>367</v>
      </c>
      <c r="C1445" s="11"/>
      <c r="D1445" s="11">
        <v>158500</v>
      </c>
      <c r="E1445" t="s">
        <v>1049</v>
      </c>
      <c r="F1445" s="108" t="s">
        <v>108</v>
      </c>
    </row>
    <row r="1446" spans="1:6" x14ac:dyDescent="0.3">
      <c r="A1446" s="38">
        <v>46247</v>
      </c>
      <c r="B1446" t="s">
        <v>269</v>
      </c>
      <c r="C1446" s="11">
        <v>5000</v>
      </c>
      <c r="D1446" s="11"/>
      <c r="E1446" t="s">
        <v>957</v>
      </c>
      <c r="F1446" s="108" t="s">
        <v>108</v>
      </c>
    </row>
    <row r="1447" spans="1:6" x14ac:dyDescent="0.3">
      <c r="A1447" s="38">
        <v>46247</v>
      </c>
      <c r="B1447" t="s">
        <v>55</v>
      </c>
      <c r="C1447" s="11">
        <v>4000</v>
      </c>
      <c r="D1447" s="11"/>
      <c r="E1447" t="s">
        <v>1050</v>
      </c>
      <c r="F1447" s="108" t="s">
        <v>108</v>
      </c>
    </row>
    <row r="1448" spans="1:6" x14ac:dyDescent="0.3">
      <c r="A1448" s="38">
        <v>46247</v>
      </c>
      <c r="B1448" t="s">
        <v>55</v>
      </c>
      <c r="C1448" s="11">
        <v>1100</v>
      </c>
      <c r="D1448" s="11"/>
      <c r="F1448" s="108" t="s">
        <v>108</v>
      </c>
    </row>
    <row r="1449" spans="1:6" x14ac:dyDescent="0.3">
      <c r="A1449" s="38">
        <v>46247</v>
      </c>
      <c r="B1449" t="s">
        <v>357</v>
      </c>
      <c r="C1449" s="11">
        <v>2900</v>
      </c>
      <c r="D1449" s="11"/>
      <c r="E1449" t="s">
        <v>535</v>
      </c>
      <c r="F1449" s="108" t="s">
        <v>108</v>
      </c>
    </row>
    <row r="1450" spans="1:6" x14ac:dyDescent="0.3">
      <c r="A1450" s="38">
        <v>46247</v>
      </c>
      <c r="B1450" t="s">
        <v>219</v>
      </c>
      <c r="C1450" s="11">
        <v>100000</v>
      </c>
      <c r="D1450" s="11"/>
      <c r="E1450" t="s">
        <v>243</v>
      </c>
      <c r="F1450" s="108" t="s">
        <v>108</v>
      </c>
    </row>
    <row r="1451" spans="1:6" x14ac:dyDescent="0.3">
      <c r="A1451" s="38">
        <v>46247</v>
      </c>
      <c r="B1451" t="s">
        <v>27</v>
      </c>
      <c r="C1451" s="11"/>
      <c r="D1451" s="11">
        <v>100000</v>
      </c>
      <c r="E1451" t="s">
        <v>109</v>
      </c>
      <c r="F1451" s="108" t="s">
        <v>108</v>
      </c>
    </row>
    <row r="1452" spans="1:6" x14ac:dyDescent="0.3">
      <c r="A1452" s="38">
        <v>46247</v>
      </c>
      <c r="B1452" t="s">
        <v>211</v>
      </c>
      <c r="C1452" s="11">
        <v>780</v>
      </c>
      <c r="D1452" s="11"/>
      <c r="F1452" s="108" t="s">
        <v>108</v>
      </c>
    </row>
    <row r="1453" spans="1:6" x14ac:dyDescent="0.3">
      <c r="A1453" s="38">
        <v>46248</v>
      </c>
      <c r="B1453" t="s">
        <v>211</v>
      </c>
      <c r="C1453" s="11">
        <v>780</v>
      </c>
      <c r="D1453" s="11"/>
      <c r="F1453" s="108" t="s">
        <v>108</v>
      </c>
    </row>
    <row r="1454" spans="1:6" x14ac:dyDescent="0.3">
      <c r="A1454" s="38">
        <v>46249</v>
      </c>
      <c r="B1454" t="s">
        <v>269</v>
      </c>
      <c r="C1454" s="11">
        <v>13500</v>
      </c>
      <c r="D1454" s="11"/>
      <c r="E1454" t="s">
        <v>288</v>
      </c>
      <c r="F1454" s="108" t="s">
        <v>108</v>
      </c>
    </row>
    <row r="1455" spans="1:6" x14ac:dyDescent="0.3">
      <c r="A1455" s="38">
        <v>46249</v>
      </c>
      <c r="B1455" t="s">
        <v>269</v>
      </c>
      <c r="C1455" s="11">
        <v>40314</v>
      </c>
      <c r="D1455" s="11"/>
      <c r="E1455" t="s">
        <v>1051</v>
      </c>
      <c r="F1455" s="108" t="s">
        <v>108</v>
      </c>
    </row>
    <row r="1456" spans="1:6" x14ac:dyDescent="0.3">
      <c r="A1456" s="38">
        <v>46249</v>
      </c>
      <c r="B1456" t="s">
        <v>55</v>
      </c>
      <c r="C1456" s="11">
        <v>3120</v>
      </c>
      <c r="D1456" s="11"/>
      <c r="F1456" s="108" t="s">
        <v>108</v>
      </c>
    </row>
    <row r="1457" spans="1:6" x14ac:dyDescent="0.3">
      <c r="A1457" s="38">
        <v>46249</v>
      </c>
      <c r="B1457" t="s">
        <v>269</v>
      </c>
      <c r="C1457" s="11">
        <v>10000</v>
      </c>
      <c r="D1457" s="11"/>
      <c r="E1457" t="s">
        <v>981</v>
      </c>
      <c r="F1457" s="108" t="s">
        <v>108</v>
      </c>
    </row>
    <row r="1458" spans="1:6" x14ac:dyDescent="0.3">
      <c r="A1458" s="111">
        <v>46249</v>
      </c>
      <c r="B1458" t="s">
        <v>55</v>
      </c>
      <c r="C1458" s="11">
        <v>350</v>
      </c>
      <c r="D1458" s="11"/>
      <c r="F1458" s="108" t="s">
        <v>108</v>
      </c>
    </row>
    <row r="1459" spans="1:6" x14ac:dyDescent="0.3">
      <c r="A1459" s="111">
        <v>46249</v>
      </c>
      <c r="B1459" t="s">
        <v>269</v>
      </c>
      <c r="C1459" s="11">
        <v>5000</v>
      </c>
      <c r="D1459" s="11"/>
      <c r="E1459" t="s">
        <v>538</v>
      </c>
      <c r="F1459" s="108" t="s">
        <v>108</v>
      </c>
    </row>
    <row r="1460" spans="1:6" x14ac:dyDescent="0.3">
      <c r="A1460" s="111">
        <v>46249</v>
      </c>
      <c r="B1460" t="s">
        <v>55</v>
      </c>
      <c r="C1460" s="11">
        <v>3000</v>
      </c>
      <c r="D1460" s="11"/>
      <c r="F1460" s="108" t="s">
        <v>108</v>
      </c>
    </row>
    <row r="1461" spans="1:6" x14ac:dyDescent="0.3">
      <c r="A1461" s="111">
        <v>46249</v>
      </c>
      <c r="B1461" t="s">
        <v>357</v>
      </c>
      <c r="C1461" s="11">
        <v>400</v>
      </c>
      <c r="D1461" s="11"/>
      <c r="F1461" s="108" t="s">
        <v>108</v>
      </c>
    </row>
    <row r="1462" spans="1:6" x14ac:dyDescent="0.3">
      <c r="A1462" s="111">
        <v>46249</v>
      </c>
      <c r="B1462" t="s">
        <v>298</v>
      </c>
      <c r="C1462" s="11">
        <v>5000</v>
      </c>
      <c r="D1462" s="11"/>
      <c r="E1462" t="s">
        <v>692</v>
      </c>
      <c r="F1462" s="108" t="s">
        <v>108</v>
      </c>
    </row>
    <row r="1463" spans="1:6" x14ac:dyDescent="0.3">
      <c r="A1463" s="111">
        <v>46249</v>
      </c>
      <c r="B1463" t="s">
        <v>219</v>
      </c>
      <c r="C1463" s="11"/>
      <c r="D1463" s="11">
        <v>100000</v>
      </c>
      <c r="E1463" t="s">
        <v>1052</v>
      </c>
      <c r="F1463" s="108" t="s">
        <v>108</v>
      </c>
    </row>
    <row r="1464" spans="1:6" x14ac:dyDescent="0.3">
      <c r="A1464" s="111">
        <v>46249</v>
      </c>
      <c r="B1464" t="s">
        <v>269</v>
      </c>
      <c r="C1464" s="95">
        <v>100000</v>
      </c>
      <c r="D1464" s="95"/>
      <c r="E1464" t="s">
        <v>699</v>
      </c>
      <c r="F1464" s="108" t="s">
        <v>108</v>
      </c>
    </row>
    <row r="1465" spans="1:6" x14ac:dyDescent="0.3">
      <c r="A1465" s="111">
        <v>46249</v>
      </c>
      <c r="B1465" t="s">
        <v>219</v>
      </c>
      <c r="C1465" s="95"/>
      <c r="D1465" s="95">
        <v>20000</v>
      </c>
      <c r="E1465" t="s">
        <v>1053</v>
      </c>
      <c r="F1465" s="108" t="s">
        <v>108</v>
      </c>
    </row>
    <row r="1466" spans="1:6" x14ac:dyDescent="0.3">
      <c r="A1466" s="111">
        <v>46249</v>
      </c>
      <c r="B1466" t="s">
        <v>386</v>
      </c>
      <c r="C1466" s="95">
        <v>12000</v>
      </c>
      <c r="D1466" s="95"/>
      <c r="E1466" t="s">
        <v>1054</v>
      </c>
      <c r="F1466" s="108" t="s">
        <v>108</v>
      </c>
    </row>
    <row r="1467" spans="1:6" x14ac:dyDescent="0.3">
      <c r="A1467" s="111">
        <v>46249</v>
      </c>
      <c r="B1467" t="s">
        <v>269</v>
      </c>
      <c r="C1467" s="95">
        <v>14000</v>
      </c>
      <c r="D1467" s="95"/>
      <c r="E1467" t="s">
        <v>1055</v>
      </c>
      <c r="F1467" s="108" t="s">
        <v>108</v>
      </c>
    </row>
    <row r="1468" spans="1:6" x14ac:dyDescent="0.3">
      <c r="A1468" s="111">
        <v>46249</v>
      </c>
      <c r="B1468" t="s">
        <v>269</v>
      </c>
      <c r="C1468" s="95">
        <v>6000</v>
      </c>
      <c r="D1468" s="95"/>
      <c r="E1468" t="s">
        <v>1056</v>
      </c>
      <c r="F1468" s="108" t="s">
        <v>108</v>
      </c>
    </row>
    <row r="1469" spans="1:6" x14ac:dyDescent="0.3">
      <c r="A1469" s="111">
        <v>46249</v>
      </c>
      <c r="B1469" t="s">
        <v>211</v>
      </c>
      <c r="C1469" s="95">
        <v>2000</v>
      </c>
      <c r="D1469" s="95"/>
      <c r="F1469" s="108" t="s">
        <v>108</v>
      </c>
    </row>
    <row r="1470" spans="1:6" x14ac:dyDescent="0.3">
      <c r="A1470" s="111">
        <v>46249</v>
      </c>
      <c r="B1470" t="s">
        <v>55</v>
      </c>
      <c r="C1470" s="95">
        <v>80000</v>
      </c>
      <c r="D1470" s="95"/>
      <c r="E1470" t="s">
        <v>1057</v>
      </c>
      <c r="F1470" s="108" t="s">
        <v>108</v>
      </c>
    </row>
    <row r="1471" spans="1:6" x14ac:dyDescent="0.3">
      <c r="A1471" s="111">
        <v>46249</v>
      </c>
      <c r="B1471" t="s">
        <v>219</v>
      </c>
      <c r="C1471" s="95"/>
      <c r="D1471" s="95">
        <v>80000</v>
      </c>
      <c r="E1471" t="s">
        <v>1057</v>
      </c>
      <c r="F1471" s="108" t="s">
        <v>108</v>
      </c>
    </row>
    <row r="1472" spans="1:6" x14ac:dyDescent="0.3">
      <c r="A1472" s="111">
        <v>46249</v>
      </c>
      <c r="B1472" t="s">
        <v>219</v>
      </c>
      <c r="C1472" s="95"/>
      <c r="D1472" s="95">
        <v>20000</v>
      </c>
      <c r="E1472" t="s">
        <v>1061</v>
      </c>
      <c r="F1472" s="108" t="s">
        <v>108</v>
      </c>
    </row>
    <row r="1473" spans="1:6" x14ac:dyDescent="0.3">
      <c r="A1473" s="111">
        <v>46249</v>
      </c>
      <c r="B1473" t="s">
        <v>219</v>
      </c>
      <c r="C1473" s="11"/>
      <c r="D1473" s="11">
        <v>37000</v>
      </c>
      <c r="E1473" t="s">
        <v>1062</v>
      </c>
      <c r="F1473" s="108" t="s">
        <v>108</v>
      </c>
    </row>
    <row r="1474" spans="1:6" x14ac:dyDescent="0.3">
      <c r="A1474" s="111">
        <v>46249</v>
      </c>
      <c r="B1474" t="s">
        <v>269</v>
      </c>
      <c r="C1474" s="11">
        <v>43320</v>
      </c>
      <c r="D1474" s="11"/>
      <c r="E1474" t="s">
        <v>1027</v>
      </c>
      <c r="F1474" s="108" t="s">
        <v>108</v>
      </c>
    </row>
    <row r="1475" spans="1:6" x14ac:dyDescent="0.3">
      <c r="A1475" s="111">
        <v>46249</v>
      </c>
      <c r="B1475" t="s">
        <v>269</v>
      </c>
      <c r="C1475" s="11">
        <v>25500</v>
      </c>
      <c r="D1475" s="11"/>
      <c r="E1475" t="s">
        <v>1067</v>
      </c>
      <c r="F1475" s="108" t="s">
        <v>108</v>
      </c>
    </row>
    <row r="1476" spans="1:6" x14ac:dyDescent="0.3">
      <c r="A1476" s="111">
        <v>46249</v>
      </c>
      <c r="B1476" t="s">
        <v>269</v>
      </c>
      <c r="C1476" s="11">
        <v>25000</v>
      </c>
      <c r="D1476" s="11"/>
      <c r="E1476" t="s">
        <v>665</v>
      </c>
      <c r="F1476" s="108" t="s">
        <v>108</v>
      </c>
    </row>
    <row r="1477" spans="1:6" x14ac:dyDescent="0.3">
      <c r="A1477" s="111">
        <v>46250</v>
      </c>
      <c r="B1477" t="s">
        <v>219</v>
      </c>
      <c r="C1477" s="95"/>
      <c r="D1477" s="95">
        <v>98000</v>
      </c>
      <c r="E1477" t="s">
        <v>1058</v>
      </c>
      <c r="F1477" s="108" t="s">
        <v>108</v>
      </c>
    </row>
    <row r="1478" spans="1:6" x14ac:dyDescent="0.3">
      <c r="A1478" s="111">
        <v>46250</v>
      </c>
      <c r="B1478" t="s">
        <v>55</v>
      </c>
      <c r="C1478" s="95">
        <v>45000</v>
      </c>
      <c r="D1478" s="95"/>
      <c r="F1478" s="108" t="s">
        <v>108</v>
      </c>
    </row>
    <row r="1479" spans="1:6" x14ac:dyDescent="0.3">
      <c r="A1479" s="111">
        <v>46250</v>
      </c>
      <c r="B1479" t="s">
        <v>55</v>
      </c>
      <c r="C1479" s="95">
        <v>3230</v>
      </c>
      <c r="D1479" s="95"/>
      <c r="F1479" s="108" t="s">
        <v>108</v>
      </c>
    </row>
    <row r="1480" spans="1:6" x14ac:dyDescent="0.3">
      <c r="A1480" s="111">
        <v>46250</v>
      </c>
      <c r="B1480" t="s">
        <v>211</v>
      </c>
      <c r="C1480" s="11">
        <v>780</v>
      </c>
      <c r="D1480" s="11"/>
      <c r="F1480" s="108" t="s">
        <v>108</v>
      </c>
    </row>
    <row r="1481" spans="1:6" x14ac:dyDescent="0.3">
      <c r="A1481" s="111">
        <v>46250</v>
      </c>
      <c r="B1481" t="s">
        <v>211</v>
      </c>
      <c r="C1481" s="11">
        <v>2240</v>
      </c>
      <c r="D1481" s="11"/>
      <c r="F1481" s="108" t="s">
        <v>108</v>
      </c>
    </row>
    <row r="1482" spans="1:6" x14ac:dyDescent="0.3">
      <c r="A1482" s="111">
        <v>46250</v>
      </c>
      <c r="B1482" t="s">
        <v>211</v>
      </c>
      <c r="C1482" s="11"/>
      <c r="D1482" s="11">
        <v>4000</v>
      </c>
      <c r="F1482" s="108" t="s">
        <v>108</v>
      </c>
    </row>
    <row r="1483" spans="1:6" x14ac:dyDescent="0.3">
      <c r="A1483" s="111">
        <v>46251</v>
      </c>
      <c r="B1483" t="s">
        <v>357</v>
      </c>
      <c r="C1483" s="95">
        <v>3500</v>
      </c>
      <c r="D1483" s="95"/>
      <c r="E1483" t="s">
        <v>535</v>
      </c>
      <c r="F1483" s="108" t="s">
        <v>108</v>
      </c>
    </row>
    <row r="1484" spans="1:6" x14ac:dyDescent="0.3">
      <c r="A1484" s="111">
        <v>46251</v>
      </c>
      <c r="B1484" t="s">
        <v>386</v>
      </c>
      <c r="C1484" s="95">
        <v>600</v>
      </c>
      <c r="D1484" s="95"/>
      <c r="E1484" t="s">
        <v>1059</v>
      </c>
      <c r="F1484" s="108" t="s">
        <v>108</v>
      </c>
    </row>
    <row r="1485" spans="1:6" x14ac:dyDescent="0.3">
      <c r="A1485" s="111">
        <v>46251</v>
      </c>
      <c r="B1485" t="s">
        <v>246</v>
      </c>
      <c r="C1485" s="95">
        <v>33000</v>
      </c>
      <c r="D1485" s="95"/>
      <c r="E1485" t="s">
        <v>1060</v>
      </c>
      <c r="F1485" s="108" t="s">
        <v>108</v>
      </c>
    </row>
    <row r="1486" spans="1:6" x14ac:dyDescent="0.3">
      <c r="A1486" s="111">
        <v>46251</v>
      </c>
      <c r="B1486" t="s">
        <v>219</v>
      </c>
      <c r="C1486" s="95"/>
      <c r="D1486" s="95">
        <v>33000</v>
      </c>
      <c r="E1486" t="s">
        <v>1060</v>
      </c>
      <c r="F1486" s="108" t="s">
        <v>108</v>
      </c>
    </row>
    <row r="1487" spans="1:6" x14ac:dyDescent="0.3">
      <c r="A1487" s="111">
        <v>46251</v>
      </c>
      <c r="B1487" t="s">
        <v>55</v>
      </c>
      <c r="C1487" s="95">
        <v>150</v>
      </c>
      <c r="D1487" s="95"/>
      <c r="F1487" s="108" t="s">
        <v>108</v>
      </c>
    </row>
    <row r="1488" spans="1:6" x14ac:dyDescent="0.3">
      <c r="A1488" s="111">
        <v>46251</v>
      </c>
      <c r="B1488" t="s">
        <v>488</v>
      </c>
      <c r="C1488" s="95">
        <v>1500</v>
      </c>
      <c r="D1488" s="95"/>
      <c r="E1488" t="s">
        <v>927</v>
      </c>
      <c r="F1488" s="108" t="s">
        <v>108</v>
      </c>
    </row>
    <row r="1489" spans="1:6" x14ac:dyDescent="0.3">
      <c r="A1489" s="111">
        <v>46251</v>
      </c>
      <c r="B1489" t="s">
        <v>386</v>
      </c>
      <c r="C1489" s="95">
        <v>900</v>
      </c>
      <c r="D1489" s="95"/>
      <c r="F1489" s="108" t="s">
        <v>108</v>
      </c>
    </row>
    <row r="1490" spans="1:6" x14ac:dyDescent="0.3">
      <c r="A1490" s="111">
        <v>46251</v>
      </c>
      <c r="B1490" t="s">
        <v>55</v>
      </c>
      <c r="C1490" s="95">
        <v>800</v>
      </c>
      <c r="D1490" s="95"/>
      <c r="F1490" s="108" t="s">
        <v>108</v>
      </c>
    </row>
    <row r="1491" spans="1:6" x14ac:dyDescent="0.3">
      <c r="A1491" s="111">
        <v>46251</v>
      </c>
      <c r="B1491" t="s">
        <v>386</v>
      </c>
      <c r="C1491" s="11">
        <v>1273</v>
      </c>
      <c r="D1491" s="11"/>
      <c r="E1491" t="s">
        <v>1068</v>
      </c>
      <c r="F1491" s="108" t="s">
        <v>108</v>
      </c>
    </row>
    <row r="1492" spans="1:6" x14ac:dyDescent="0.3">
      <c r="A1492" s="111">
        <v>46251</v>
      </c>
      <c r="B1492" t="s">
        <v>386</v>
      </c>
      <c r="C1492" s="11">
        <v>510</v>
      </c>
      <c r="D1492" s="11"/>
      <c r="F1492" s="108" t="s">
        <v>108</v>
      </c>
    </row>
    <row r="1493" spans="1:6" x14ac:dyDescent="0.3">
      <c r="A1493" s="111">
        <v>46252</v>
      </c>
      <c r="B1493" t="s">
        <v>636</v>
      </c>
      <c r="C1493" s="11"/>
      <c r="D1493" s="11">
        <f>36789*59</f>
        <v>2170551</v>
      </c>
      <c r="E1493" s="162" t="s">
        <v>1084</v>
      </c>
      <c r="F1493" s="108" t="s">
        <v>108</v>
      </c>
    </row>
    <row r="1494" spans="1:6" x14ac:dyDescent="0.3">
      <c r="A1494" s="111">
        <v>46252</v>
      </c>
      <c r="B1494" t="s">
        <v>219</v>
      </c>
      <c r="C1494" s="11">
        <f>36789*59</f>
        <v>2170551</v>
      </c>
      <c r="D1494" s="11"/>
      <c r="E1494" t="s">
        <v>1085</v>
      </c>
      <c r="F1494" s="108" t="s">
        <v>108</v>
      </c>
    </row>
    <row r="1495" spans="1:6" x14ac:dyDescent="0.3">
      <c r="A1495" s="111">
        <v>46252</v>
      </c>
      <c r="B1495" t="s">
        <v>211</v>
      </c>
      <c r="C1495" s="95">
        <v>3000</v>
      </c>
      <c r="D1495" s="95"/>
      <c r="F1495" s="108" t="s">
        <v>108</v>
      </c>
    </row>
    <row r="1496" spans="1:6" x14ac:dyDescent="0.3">
      <c r="A1496" s="111">
        <v>46252</v>
      </c>
      <c r="B1496" t="s">
        <v>357</v>
      </c>
      <c r="C1496" s="11">
        <v>2900</v>
      </c>
      <c r="D1496" s="11"/>
      <c r="F1496" s="108" t="s">
        <v>108</v>
      </c>
    </row>
    <row r="1497" spans="1:6" x14ac:dyDescent="0.3">
      <c r="A1497" s="111">
        <v>46252</v>
      </c>
      <c r="B1497" t="s">
        <v>244</v>
      </c>
      <c r="C1497" s="11">
        <v>4044</v>
      </c>
      <c r="D1497" s="11"/>
      <c r="E1497" t="s">
        <v>884</v>
      </c>
      <c r="F1497" s="108" t="s">
        <v>108</v>
      </c>
    </row>
    <row r="1498" spans="1:6" x14ac:dyDescent="0.3">
      <c r="A1498" s="111">
        <v>46252</v>
      </c>
      <c r="B1498" t="s">
        <v>367</v>
      </c>
      <c r="C1498" s="11"/>
      <c r="D1498" s="11">
        <v>500000</v>
      </c>
      <c r="E1498" t="s">
        <v>1086</v>
      </c>
      <c r="F1498" s="108" t="s">
        <v>108</v>
      </c>
    </row>
    <row r="1499" spans="1:6" x14ac:dyDescent="0.3">
      <c r="A1499" s="38">
        <v>46252</v>
      </c>
      <c r="B1499" t="s">
        <v>488</v>
      </c>
      <c r="C1499" s="11">
        <v>1010</v>
      </c>
      <c r="D1499" s="11"/>
      <c r="E1499" t="s">
        <v>541</v>
      </c>
      <c r="F1499" s="108" t="s">
        <v>108</v>
      </c>
    </row>
    <row r="1500" spans="1:6" x14ac:dyDescent="0.3">
      <c r="A1500" s="111">
        <v>46252</v>
      </c>
      <c r="B1500" t="s">
        <v>269</v>
      </c>
      <c r="C1500" s="11">
        <v>15000</v>
      </c>
      <c r="D1500" s="11"/>
      <c r="E1500" t="s">
        <v>1087</v>
      </c>
      <c r="F1500" s="108" t="s">
        <v>108</v>
      </c>
    </row>
    <row r="1501" spans="1:6" x14ac:dyDescent="0.3">
      <c r="A1501" s="38">
        <v>46252</v>
      </c>
      <c r="B1501" t="s">
        <v>488</v>
      </c>
      <c r="C1501" s="11">
        <v>1000</v>
      </c>
      <c r="D1501" s="11"/>
      <c r="E1501" t="s">
        <v>1088</v>
      </c>
      <c r="F1501" s="108" t="s">
        <v>108</v>
      </c>
    </row>
    <row r="1502" spans="1:6" x14ac:dyDescent="0.3">
      <c r="A1502" s="111">
        <v>46252</v>
      </c>
      <c r="B1502" t="s">
        <v>244</v>
      </c>
      <c r="C1502" s="11">
        <v>290</v>
      </c>
      <c r="D1502" s="11"/>
      <c r="F1502" s="108" t="s">
        <v>108</v>
      </c>
    </row>
    <row r="1503" spans="1:6" x14ac:dyDescent="0.3">
      <c r="A1503" s="38">
        <v>46253</v>
      </c>
      <c r="B1503" t="s">
        <v>488</v>
      </c>
      <c r="C1503" s="11">
        <v>1500</v>
      </c>
      <c r="D1503" s="11"/>
      <c r="E1503" t="s">
        <v>850</v>
      </c>
      <c r="F1503" s="108" t="s">
        <v>108</v>
      </c>
    </row>
    <row r="1504" spans="1:6" x14ac:dyDescent="0.3">
      <c r="A1504" s="111">
        <v>46253</v>
      </c>
      <c r="B1504" t="s">
        <v>219</v>
      </c>
      <c r="C1504" s="11"/>
      <c r="D1504" s="11">
        <v>940</v>
      </c>
      <c r="E1504" t="s">
        <v>1089</v>
      </c>
      <c r="F1504" s="108" t="s">
        <v>108</v>
      </c>
    </row>
    <row r="1505" spans="1:6" x14ac:dyDescent="0.3">
      <c r="A1505" s="38">
        <v>46253</v>
      </c>
      <c r="B1505" t="s">
        <v>55</v>
      </c>
      <c r="C1505" s="11">
        <v>940</v>
      </c>
      <c r="D1505" s="11"/>
      <c r="E1505" t="s">
        <v>1089</v>
      </c>
      <c r="F1505" s="108" t="s">
        <v>108</v>
      </c>
    </row>
    <row r="1506" spans="1:6" x14ac:dyDescent="0.3">
      <c r="A1506" s="111">
        <v>46253</v>
      </c>
      <c r="B1506" t="s">
        <v>219</v>
      </c>
      <c r="C1506" s="95"/>
      <c r="D1506" s="95">
        <v>4162</v>
      </c>
      <c r="E1506" t="s">
        <v>1090</v>
      </c>
      <c r="F1506" s="108" t="s">
        <v>108</v>
      </c>
    </row>
    <row r="1507" spans="1:6" x14ac:dyDescent="0.3">
      <c r="A1507" s="38">
        <v>46253</v>
      </c>
      <c r="B1507" t="s">
        <v>55</v>
      </c>
      <c r="C1507" s="95">
        <v>4162</v>
      </c>
      <c r="D1507" s="95"/>
      <c r="E1507" t="s">
        <v>1090</v>
      </c>
      <c r="F1507" s="108" t="s">
        <v>108</v>
      </c>
    </row>
    <row r="1508" spans="1:6" x14ac:dyDescent="0.3">
      <c r="A1508" s="111">
        <v>46253</v>
      </c>
      <c r="B1508" t="s">
        <v>269</v>
      </c>
      <c r="C1508" s="95">
        <v>5000</v>
      </c>
      <c r="D1508" s="95"/>
      <c r="E1508" t="s">
        <v>580</v>
      </c>
      <c r="F1508" s="108" t="s">
        <v>108</v>
      </c>
    </row>
    <row r="1509" spans="1:6" x14ac:dyDescent="0.3">
      <c r="A1509" s="111">
        <v>46253</v>
      </c>
      <c r="B1509" t="s">
        <v>55</v>
      </c>
      <c r="C1509" s="11">
        <v>3750</v>
      </c>
      <c r="D1509" s="11"/>
      <c r="E1509" t="s">
        <v>1091</v>
      </c>
      <c r="F1509" s="108" t="s">
        <v>108</v>
      </c>
    </row>
    <row r="1510" spans="1:6" x14ac:dyDescent="0.3">
      <c r="A1510" s="38">
        <v>46253</v>
      </c>
      <c r="B1510" t="s">
        <v>219</v>
      </c>
      <c r="C1510" s="11"/>
      <c r="D1510" s="11">
        <v>3750</v>
      </c>
      <c r="E1510" t="s">
        <v>1091</v>
      </c>
      <c r="F1510" s="108" t="s">
        <v>108</v>
      </c>
    </row>
    <row r="1511" spans="1:6" x14ac:dyDescent="0.3">
      <c r="A1511" s="38">
        <v>46253</v>
      </c>
      <c r="B1511" t="s">
        <v>222</v>
      </c>
      <c r="C1511" s="11">
        <v>200000</v>
      </c>
      <c r="D1511" s="11"/>
      <c r="E1511" t="s">
        <v>540</v>
      </c>
      <c r="F1511" s="108" t="s">
        <v>108</v>
      </c>
    </row>
    <row r="1512" spans="1:6" x14ac:dyDescent="0.3">
      <c r="A1512" s="38">
        <v>46253</v>
      </c>
      <c r="B1512" t="s">
        <v>219</v>
      </c>
      <c r="C1512" s="11"/>
      <c r="D1512" s="11">
        <v>200000</v>
      </c>
      <c r="E1512" t="s">
        <v>1092</v>
      </c>
      <c r="F1512" s="108" t="s">
        <v>108</v>
      </c>
    </row>
    <row r="1513" spans="1:6" x14ac:dyDescent="0.3">
      <c r="A1513" s="38">
        <v>46253</v>
      </c>
      <c r="B1513" t="s">
        <v>219</v>
      </c>
      <c r="C1513" s="11"/>
      <c r="D1513" s="11">
        <v>6500</v>
      </c>
      <c r="E1513" t="s">
        <v>1093</v>
      </c>
      <c r="F1513" s="108" t="s">
        <v>108</v>
      </c>
    </row>
    <row r="1514" spans="1:6" x14ac:dyDescent="0.3">
      <c r="A1514" s="38">
        <v>46253</v>
      </c>
      <c r="B1514" t="s">
        <v>219</v>
      </c>
      <c r="C1514" s="11"/>
      <c r="D1514" s="11">
        <v>5100</v>
      </c>
      <c r="E1514" t="s">
        <v>1094</v>
      </c>
      <c r="F1514" s="108" t="s">
        <v>108</v>
      </c>
    </row>
    <row r="1515" spans="1:6" x14ac:dyDescent="0.3">
      <c r="A1515" s="38">
        <v>46253</v>
      </c>
      <c r="B1515" t="s">
        <v>55</v>
      </c>
      <c r="C1515" s="11">
        <f>6500+5100</f>
        <v>11600</v>
      </c>
      <c r="D1515" s="11"/>
      <c r="E1515" t="s">
        <v>1095</v>
      </c>
      <c r="F1515" s="108" t="s">
        <v>108</v>
      </c>
    </row>
    <row r="1516" spans="1:6" x14ac:dyDescent="0.3">
      <c r="A1516" s="38">
        <v>46253</v>
      </c>
      <c r="B1516" t="s">
        <v>219</v>
      </c>
      <c r="C1516" s="11"/>
      <c r="D1516" s="11">
        <v>84000</v>
      </c>
      <c r="E1516" t="s">
        <v>1096</v>
      </c>
      <c r="F1516" s="108" t="s">
        <v>108</v>
      </c>
    </row>
    <row r="1517" spans="1:6" x14ac:dyDescent="0.3">
      <c r="A1517" s="38">
        <v>46253</v>
      </c>
      <c r="B1517" t="s">
        <v>55</v>
      </c>
      <c r="C1517" s="11">
        <v>84000</v>
      </c>
      <c r="D1517" s="11"/>
      <c r="E1517" t="s">
        <v>1096</v>
      </c>
      <c r="F1517" s="108" t="s">
        <v>108</v>
      </c>
    </row>
    <row r="1518" spans="1:6" x14ac:dyDescent="0.3">
      <c r="A1518" s="38">
        <v>46253</v>
      </c>
      <c r="B1518" t="s">
        <v>244</v>
      </c>
      <c r="C1518" s="11">
        <v>650</v>
      </c>
      <c r="D1518" s="11"/>
      <c r="F1518" s="108" t="s">
        <v>108</v>
      </c>
    </row>
    <row r="1519" spans="1:6" x14ac:dyDescent="0.3">
      <c r="A1519" s="38">
        <v>46253</v>
      </c>
      <c r="B1519" t="s">
        <v>488</v>
      </c>
      <c r="C1519" s="11">
        <v>2500</v>
      </c>
      <c r="D1519" s="11"/>
      <c r="E1519" t="s">
        <v>287</v>
      </c>
      <c r="F1519" s="108" t="s">
        <v>108</v>
      </c>
    </row>
    <row r="1520" spans="1:6" x14ac:dyDescent="0.3">
      <c r="A1520" s="38">
        <v>46253</v>
      </c>
      <c r="B1520" t="s">
        <v>488</v>
      </c>
      <c r="C1520" s="11">
        <v>5000</v>
      </c>
      <c r="D1520" s="11"/>
      <c r="E1520" t="s">
        <v>837</v>
      </c>
      <c r="F1520" s="108" t="s">
        <v>108</v>
      </c>
    </row>
    <row r="1521" spans="1:11" x14ac:dyDescent="0.3">
      <c r="A1521" s="38">
        <v>46253</v>
      </c>
      <c r="B1521" t="s">
        <v>219</v>
      </c>
      <c r="C1521" s="11"/>
      <c r="D1521" s="11">
        <v>150000</v>
      </c>
      <c r="E1521" t="s">
        <v>1097</v>
      </c>
      <c r="F1521" s="108" t="s">
        <v>108</v>
      </c>
    </row>
    <row r="1522" spans="1:11" x14ac:dyDescent="0.3">
      <c r="A1522" s="38">
        <v>46253</v>
      </c>
      <c r="B1522" t="s">
        <v>246</v>
      </c>
      <c r="C1522" s="11">
        <v>13300</v>
      </c>
      <c r="D1522" s="11"/>
      <c r="E1522" t="s">
        <v>1098</v>
      </c>
      <c r="F1522" s="108" t="s">
        <v>108</v>
      </c>
    </row>
    <row r="1523" spans="1:11" x14ac:dyDescent="0.3">
      <c r="A1523" s="38">
        <v>46253</v>
      </c>
      <c r="B1523" t="s">
        <v>244</v>
      </c>
      <c r="C1523" s="11">
        <v>1500</v>
      </c>
      <c r="D1523" s="11"/>
      <c r="E1523" t="s">
        <v>1099</v>
      </c>
      <c r="F1523" s="108" t="s">
        <v>108</v>
      </c>
    </row>
    <row r="1524" spans="1:11" x14ac:dyDescent="0.3">
      <c r="A1524" s="38">
        <v>46253</v>
      </c>
      <c r="B1524" t="s">
        <v>244</v>
      </c>
      <c r="C1524" s="11">
        <v>900</v>
      </c>
      <c r="D1524" s="11"/>
      <c r="E1524" t="s">
        <v>884</v>
      </c>
      <c r="F1524" s="108" t="s">
        <v>108</v>
      </c>
      <c r="I1524" s="163">
        <v>37408</v>
      </c>
      <c r="J1524" s="163">
        <v>37073</v>
      </c>
      <c r="K1524" s="163">
        <v>37438</v>
      </c>
    </row>
    <row r="1525" spans="1:11" x14ac:dyDescent="0.3">
      <c r="A1525" s="38">
        <v>46253</v>
      </c>
      <c r="B1525" t="s">
        <v>269</v>
      </c>
      <c r="C1525" s="11"/>
      <c r="D1525" s="11"/>
      <c r="E1525" t="s">
        <v>1105</v>
      </c>
      <c r="F1525" s="108" t="s">
        <v>108</v>
      </c>
      <c r="I1525">
        <v>5000</v>
      </c>
      <c r="J1525">
        <v>13400</v>
      </c>
      <c r="K1525">
        <v>8800</v>
      </c>
    </row>
    <row r="1526" spans="1:11" x14ac:dyDescent="0.3">
      <c r="A1526" s="38">
        <v>46253</v>
      </c>
      <c r="B1526" t="s">
        <v>269</v>
      </c>
      <c r="C1526" s="11">
        <v>20000</v>
      </c>
      <c r="D1526" s="11"/>
      <c r="E1526" t="s">
        <v>1106</v>
      </c>
      <c r="F1526" s="108" t="s">
        <v>108</v>
      </c>
      <c r="I1526">
        <v>5640</v>
      </c>
      <c r="J1526">
        <v>14400</v>
      </c>
      <c r="K1526">
        <v>6800</v>
      </c>
    </row>
    <row r="1527" spans="1:11" x14ac:dyDescent="0.3">
      <c r="A1527" s="38">
        <v>46253</v>
      </c>
      <c r="B1527" t="s">
        <v>269</v>
      </c>
      <c r="C1527" s="11">
        <v>50000</v>
      </c>
      <c r="D1527" s="11"/>
      <c r="E1527" t="s">
        <v>1107</v>
      </c>
      <c r="F1527" s="108" t="s">
        <v>108</v>
      </c>
      <c r="I1527">
        <v>7200</v>
      </c>
      <c r="J1527">
        <v>22650</v>
      </c>
      <c r="K1527">
        <v>8800</v>
      </c>
    </row>
    <row r="1528" spans="1:11" x14ac:dyDescent="0.3">
      <c r="A1528" s="38">
        <v>46253</v>
      </c>
      <c r="B1528" t="s">
        <v>253</v>
      </c>
      <c r="C1528" s="11">
        <v>50000</v>
      </c>
      <c r="D1528" s="11"/>
      <c r="E1528" t="s">
        <v>1108</v>
      </c>
      <c r="F1528" s="108" t="s">
        <v>108</v>
      </c>
      <c r="I1528">
        <v>15000</v>
      </c>
      <c r="J1528">
        <v>10000</v>
      </c>
      <c r="K1528">
        <v>8800</v>
      </c>
    </row>
    <row r="1529" spans="1:11" x14ac:dyDescent="0.3">
      <c r="A1529" s="38">
        <v>46253</v>
      </c>
      <c r="B1529" t="s">
        <v>253</v>
      </c>
      <c r="C1529" s="95">
        <v>440340</v>
      </c>
      <c r="D1529" s="95"/>
      <c r="E1529" t="s">
        <v>268</v>
      </c>
      <c r="F1529" s="108" t="s">
        <v>108</v>
      </c>
      <c r="I1529">
        <v>14500</v>
      </c>
      <c r="J1529">
        <v>20000</v>
      </c>
      <c r="K1529">
        <v>6600</v>
      </c>
    </row>
    <row r="1530" spans="1:11" x14ac:dyDescent="0.3">
      <c r="A1530" s="38">
        <v>46253</v>
      </c>
      <c r="B1530" t="s">
        <v>211</v>
      </c>
      <c r="C1530" s="95">
        <v>10000</v>
      </c>
      <c r="D1530" s="95"/>
      <c r="E1530" t="s">
        <v>1110</v>
      </c>
      <c r="F1530" s="108" t="s">
        <v>108</v>
      </c>
      <c r="I1530">
        <v>35000</v>
      </c>
      <c r="J1530">
        <v>9300</v>
      </c>
    </row>
    <row r="1531" spans="1:11" x14ac:dyDescent="0.3">
      <c r="A1531" s="38">
        <v>46254</v>
      </c>
      <c r="B1531" t="s">
        <v>269</v>
      </c>
      <c r="C1531" s="11">
        <v>1000</v>
      </c>
      <c r="D1531" s="11"/>
      <c r="E1531" t="s">
        <v>1100</v>
      </c>
      <c r="F1531" s="108" t="s">
        <v>108</v>
      </c>
      <c r="I1531">
        <v>8350</v>
      </c>
      <c r="J1531">
        <v>35000</v>
      </c>
    </row>
    <row r="1532" spans="1:11" x14ac:dyDescent="0.3">
      <c r="A1532" s="38">
        <v>46254</v>
      </c>
      <c r="B1532" t="s">
        <v>269</v>
      </c>
      <c r="C1532" s="11">
        <v>1000</v>
      </c>
      <c r="D1532" s="11"/>
      <c r="E1532" t="s">
        <v>1101</v>
      </c>
      <c r="F1532" s="108" t="s">
        <v>108</v>
      </c>
      <c r="J1532">
        <v>29800</v>
      </c>
    </row>
    <row r="1533" spans="1:11" x14ac:dyDescent="0.3">
      <c r="A1533" s="38">
        <v>46254</v>
      </c>
      <c r="B1533" t="s">
        <v>269</v>
      </c>
      <c r="C1533" s="11">
        <v>3000</v>
      </c>
      <c r="D1533" s="11"/>
      <c r="E1533" t="s">
        <v>1102</v>
      </c>
      <c r="F1533" s="108" t="s">
        <v>108</v>
      </c>
      <c r="J1533">
        <v>4150</v>
      </c>
    </row>
    <row r="1534" spans="1:11" x14ac:dyDescent="0.3">
      <c r="A1534" s="38">
        <v>46254</v>
      </c>
      <c r="B1534" t="s">
        <v>269</v>
      </c>
      <c r="C1534" s="11">
        <v>1000</v>
      </c>
      <c r="D1534" s="11"/>
      <c r="E1534" t="s">
        <v>1103</v>
      </c>
      <c r="F1534" s="108" t="s">
        <v>108</v>
      </c>
      <c r="J1534">
        <v>18150</v>
      </c>
    </row>
    <row r="1535" spans="1:11" x14ac:dyDescent="0.3">
      <c r="A1535" s="38">
        <v>46254</v>
      </c>
      <c r="B1535" t="s">
        <v>269</v>
      </c>
      <c r="C1535" s="11">
        <v>1000</v>
      </c>
      <c r="D1535" s="11"/>
      <c r="E1535" t="s">
        <v>1104</v>
      </c>
      <c r="F1535" s="108" t="s">
        <v>108</v>
      </c>
      <c r="J1535">
        <v>50000</v>
      </c>
    </row>
    <row r="1536" spans="1:11" x14ac:dyDescent="0.3">
      <c r="A1536" s="38">
        <v>46254</v>
      </c>
      <c r="B1536" t="s">
        <v>269</v>
      </c>
      <c r="C1536" s="95">
        <v>2500</v>
      </c>
      <c r="D1536" s="95"/>
      <c r="E1536" t="s">
        <v>1109</v>
      </c>
      <c r="F1536" s="108" t="s">
        <v>108</v>
      </c>
      <c r="J1536">
        <v>50000</v>
      </c>
    </row>
    <row r="1537" spans="1:12" x14ac:dyDescent="0.3">
      <c r="A1537" s="38">
        <v>46254</v>
      </c>
      <c r="B1537" t="s">
        <v>357</v>
      </c>
      <c r="C1537" s="95">
        <v>2900</v>
      </c>
      <c r="D1537" s="95"/>
      <c r="F1537" s="108" t="s">
        <v>108</v>
      </c>
      <c r="J1537">
        <v>25000</v>
      </c>
    </row>
    <row r="1538" spans="1:12" x14ac:dyDescent="0.3">
      <c r="A1538" s="38">
        <v>46254</v>
      </c>
      <c r="B1538" t="s">
        <v>244</v>
      </c>
      <c r="C1538" s="95">
        <v>600</v>
      </c>
      <c r="D1538" s="95"/>
      <c r="E1538" t="s">
        <v>399</v>
      </c>
      <c r="F1538" s="108" t="s">
        <v>108</v>
      </c>
      <c r="J1538">
        <v>8000</v>
      </c>
      <c r="L1538">
        <f>SUM(I1525:K1538)</f>
        <v>440340</v>
      </c>
    </row>
    <row r="1539" spans="1:12" x14ac:dyDescent="0.3">
      <c r="A1539" s="38">
        <v>46254</v>
      </c>
      <c r="B1539" t="s">
        <v>253</v>
      </c>
      <c r="C1539" s="11">
        <v>3686</v>
      </c>
      <c r="D1539" s="11"/>
      <c r="E1539" t="s">
        <v>1051</v>
      </c>
      <c r="F1539" s="108" t="s">
        <v>108</v>
      </c>
    </row>
    <row r="1540" spans="1:12" x14ac:dyDescent="0.3">
      <c r="A1540" s="38">
        <v>46254</v>
      </c>
      <c r="B1540" t="s">
        <v>211</v>
      </c>
      <c r="C1540" s="11">
        <v>2250</v>
      </c>
      <c r="D1540" s="11"/>
      <c r="F1540" s="108" t="s">
        <v>108</v>
      </c>
    </row>
    <row r="1541" spans="1:12" x14ac:dyDescent="0.3">
      <c r="A1541" s="38">
        <v>46254</v>
      </c>
      <c r="B1541" t="s">
        <v>55</v>
      </c>
      <c r="C1541" s="11">
        <v>550</v>
      </c>
      <c r="D1541" s="11"/>
      <c r="F1541" s="108" t="s">
        <v>108</v>
      </c>
    </row>
    <row r="1542" spans="1:12" x14ac:dyDescent="0.3">
      <c r="A1542" s="38">
        <v>46254</v>
      </c>
      <c r="B1542" t="s">
        <v>298</v>
      </c>
      <c r="C1542" s="11">
        <v>2000</v>
      </c>
      <c r="D1542" s="11"/>
      <c r="E1542" t="s">
        <v>692</v>
      </c>
      <c r="F1542" s="108" t="s">
        <v>108</v>
      </c>
    </row>
    <row r="1543" spans="1:12" x14ac:dyDescent="0.3">
      <c r="A1543" s="38">
        <v>46254</v>
      </c>
      <c r="B1543" t="s">
        <v>488</v>
      </c>
      <c r="C1543" s="11">
        <v>1500</v>
      </c>
      <c r="D1543" s="11"/>
      <c r="E1543" t="s">
        <v>927</v>
      </c>
      <c r="F1543" s="108" t="s">
        <v>108</v>
      </c>
    </row>
    <row r="1544" spans="1:12" x14ac:dyDescent="0.3">
      <c r="A1544" s="38">
        <v>46254</v>
      </c>
      <c r="B1544" t="s">
        <v>298</v>
      </c>
      <c r="C1544" s="95"/>
      <c r="D1544" s="95">
        <v>241410</v>
      </c>
      <c r="E1544" t="s">
        <v>1164</v>
      </c>
      <c r="F1544" s="108" t="s">
        <v>108</v>
      </c>
    </row>
    <row r="1545" spans="1:12" x14ac:dyDescent="0.3">
      <c r="A1545" s="38">
        <v>46255</v>
      </c>
      <c r="B1545" t="s">
        <v>219</v>
      </c>
      <c r="C1545" s="11"/>
      <c r="D1545" s="11">
        <v>13900</v>
      </c>
      <c r="E1545" t="s">
        <v>1111</v>
      </c>
      <c r="F1545" s="108" t="s">
        <v>108</v>
      </c>
    </row>
    <row r="1546" spans="1:12" x14ac:dyDescent="0.3">
      <c r="A1546" s="38">
        <v>46255</v>
      </c>
      <c r="B1546" t="s">
        <v>244</v>
      </c>
      <c r="C1546" s="11">
        <v>9000</v>
      </c>
      <c r="D1546" s="11"/>
      <c r="E1546" t="s">
        <v>1112</v>
      </c>
      <c r="F1546" s="108" t="s">
        <v>108</v>
      </c>
    </row>
    <row r="1547" spans="1:12" x14ac:dyDescent="0.3">
      <c r="A1547" s="38">
        <v>46255</v>
      </c>
      <c r="B1547" t="s">
        <v>55</v>
      </c>
      <c r="C1547" s="11">
        <v>1030</v>
      </c>
      <c r="D1547" s="11"/>
      <c r="F1547" s="108" t="s">
        <v>108</v>
      </c>
    </row>
    <row r="1548" spans="1:12" x14ac:dyDescent="0.3">
      <c r="A1548" s="38">
        <v>46255</v>
      </c>
      <c r="B1548" t="s">
        <v>55</v>
      </c>
      <c r="C1548" s="11">
        <v>400</v>
      </c>
      <c r="D1548" s="11"/>
      <c r="E1548" t="s">
        <v>1113</v>
      </c>
      <c r="F1548" s="108" t="s">
        <v>108</v>
      </c>
    </row>
    <row r="1549" spans="1:12" x14ac:dyDescent="0.3">
      <c r="A1549" s="38">
        <v>46255</v>
      </c>
      <c r="B1549" t="s">
        <v>55</v>
      </c>
      <c r="C1549" s="11">
        <v>8000</v>
      </c>
      <c r="D1549" s="11"/>
      <c r="E1549" t="s">
        <v>1114</v>
      </c>
      <c r="F1549" s="108" t="s">
        <v>108</v>
      </c>
    </row>
    <row r="1550" spans="1:12" x14ac:dyDescent="0.3">
      <c r="A1550" s="38">
        <v>46255</v>
      </c>
      <c r="B1550" t="s">
        <v>357</v>
      </c>
      <c r="C1550" s="11">
        <v>2900</v>
      </c>
      <c r="D1550" s="11"/>
      <c r="E1550" t="s">
        <v>535</v>
      </c>
      <c r="F1550" s="108" t="s">
        <v>108</v>
      </c>
    </row>
    <row r="1551" spans="1:12" x14ac:dyDescent="0.3">
      <c r="A1551" s="38">
        <v>46255</v>
      </c>
      <c r="B1551" t="s">
        <v>246</v>
      </c>
      <c r="C1551" s="11">
        <v>8900</v>
      </c>
      <c r="D1551" s="11"/>
      <c r="E1551" t="s">
        <v>942</v>
      </c>
      <c r="F1551" s="108" t="s">
        <v>108</v>
      </c>
    </row>
    <row r="1552" spans="1:12" x14ac:dyDescent="0.3">
      <c r="A1552" s="38">
        <v>46255</v>
      </c>
      <c r="B1552" t="s">
        <v>253</v>
      </c>
      <c r="C1552" s="11">
        <v>16000</v>
      </c>
      <c r="D1552" s="11"/>
      <c r="E1552" t="s">
        <v>423</v>
      </c>
      <c r="F1552" s="108" t="s">
        <v>108</v>
      </c>
    </row>
    <row r="1553" spans="1:6" x14ac:dyDescent="0.3">
      <c r="A1553" s="38">
        <v>46255</v>
      </c>
      <c r="B1553" t="s">
        <v>211</v>
      </c>
      <c r="C1553" s="11"/>
      <c r="D1553" s="11">
        <v>500</v>
      </c>
      <c r="F1553" s="108" t="s">
        <v>108</v>
      </c>
    </row>
    <row r="1554" spans="1:6" x14ac:dyDescent="0.3">
      <c r="A1554" s="38">
        <v>46255</v>
      </c>
      <c r="B1554" t="s">
        <v>298</v>
      </c>
      <c r="C1554" s="11">
        <v>15000</v>
      </c>
      <c r="D1554" s="11"/>
      <c r="E1554" t="s">
        <v>692</v>
      </c>
      <c r="F1554" s="108" t="s">
        <v>108</v>
      </c>
    </row>
    <row r="1555" spans="1:6" x14ac:dyDescent="0.3">
      <c r="A1555" s="38">
        <v>46255</v>
      </c>
      <c r="B1555" t="s">
        <v>55</v>
      </c>
      <c r="C1555" s="11">
        <v>600</v>
      </c>
      <c r="D1555" s="11"/>
      <c r="F1555" s="108" t="s">
        <v>108</v>
      </c>
    </row>
    <row r="1556" spans="1:6" x14ac:dyDescent="0.3">
      <c r="A1556" s="38">
        <v>46255</v>
      </c>
      <c r="B1556" t="s">
        <v>244</v>
      </c>
      <c r="C1556" s="11">
        <v>620</v>
      </c>
      <c r="D1556" s="11"/>
      <c r="F1556" s="108" t="s">
        <v>108</v>
      </c>
    </row>
    <row r="1557" spans="1:6" x14ac:dyDescent="0.3">
      <c r="A1557" s="38">
        <v>46255</v>
      </c>
      <c r="B1557" t="s">
        <v>219</v>
      </c>
      <c r="C1557" s="11"/>
      <c r="D1557" s="11">
        <v>85000</v>
      </c>
      <c r="E1557" t="s">
        <v>1157</v>
      </c>
      <c r="F1557" s="108" t="s">
        <v>108</v>
      </c>
    </row>
    <row r="1558" spans="1:6" x14ac:dyDescent="0.3">
      <c r="A1558" s="38">
        <v>46255</v>
      </c>
      <c r="B1558" t="s">
        <v>253</v>
      </c>
      <c r="C1558" s="11">
        <v>85000</v>
      </c>
      <c r="D1558" s="11"/>
      <c r="E1558" t="s">
        <v>961</v>
      </c>
      <c r="F1558" s="108" t="s">
        <v>108</v>
      </c>
    </row>
    <row r="1559" spans="1:6" x14ac:dyDescent="0.3">
      <c r="A1559" s="38">
        <v>46255</v>
      </c>
      <c r="B1559" t="s">
        <v>219</v>
      </c>
      <c r="C1559" s="11"/>
      <c r="D1559" s="11">
        <v>5000</v>
      </c>
      <c r="E1559" t="s">
        <v>1158</v>
      </c>
      <c r="F1559" s="108" t="s">
        <v>108</v>
      </c>
    </row>
    <row r="1560" spans="1:6" x14ac:dyDescent="0.3">
      <c r="A1560" s="38">
        <v>46255</v>
      </c>
      <c r="B1560" t="s">
        <v>219</v>
      </c>
      <c r="C1560" s="11"/>
      <c r="D1560" s="11">
        <v>37900</v>
      </c>
      <c r="E1560" t="s">
        <v>1159</v>
      </c>
      <c r="F1560" s="108" t="s">
        <v>108</v>
      </c>
    </row>
    <row r="1561" spans="1:6" x14ac:dyDescent="0.3">
      <c r="A1561" s="38">
        <v>46255</v>
      </c>
      <c r="B1561" t="s">
        <v>219</v>
      </c>
      <c r="C1561" s="11">
        <v>110000</v>
      </c>
      <c r="D1561" s="11"/>
      <c r="E1561" t="s">
        <v>667</v>
      </c>
      <c r="F1561" s="108" t="s">
        <v>108</v>
      </c>
    </row>
    <row r="1562" spans="1:6" x14ac:dyDescent="0.3">
      <c r="A1562" s="38">
        <v>46255</v>
      </c>
      <c r="B1562" t="s">
        <v>27</v>
      </c>
      <c r="C1562" s="11"/>
      <c r="D1562" s="11">
        <v>110000</v>
      </c>
      <c r="E1562" t="s">
        <v>21</v>
      </c>
      <c r="F1562" s="108" t="s">
        <v>108</v>
      </c>
    </row>
    <row r="1563" spans="1:6" x14ac:dyDescent="0.3">
      <c r="A1563" s="38">
        <v>46256</v>
      </c>
      <c r="B1563" t="s">
        <v>246</v>
      </c>
      <c r="C1563" s="11">
        <v>5200</v>
      </c>
      <c r="D1563" s="11"/>
      <c r="E1563" t="s">
        <v>942</v>
      </c>
      <c r="F1563" s="108" t="s">
        <v>108</v>
      </c>
    </row>
    <row r="1564" spans="1:6" x14ac:dyDescent="0.3">
      <c r="A1564" s="38">
        <v>46256</v>
      </c>
      <c r="B1564" t="s">
        <v>488</v>
      </c>
      <c r="C1564" s="11">
        <v>750</v>
      </c>
      <c r="D1564" s="11"/>
      <c r="E1564" t="s">
        <v>901</v>
      </c>
      <c r="F1564" s="108" t="s">
        <v>108</v>
      </c>
    </row>
    <row r="1565" spans="1:6" x14ac:dyDescent="0.3">
      <c r="A1565" s="38">
        <v>46256</v>
      </c>
      <c r="B1565" t="s">
        <v>219</v>
      </c>
      <c r="C1565" s="11"/>
      <c r="D1565" s="11">
        <v>250000</v>
      </c>
      <c r="E1565" t="s">
        <v>1115</v>
      </c>
      <c r="F1565" s="108" t="s">
        <v>108</v>
      </c>
    </row>
    <row r="1566" spans="1:6" x14ac:dyDescent="0.3">
      <c r="A1566" s="38">
        <v>46256</v>
      </c>
      <c r="B1566" t="s">
        <v>1116</v>
      </c>
      <c r="C1566" s="11">
        <v>250000</v>
      </c>
      <c r="D1566" s="11"/>
      <c r="E1566" t="s">
        <v>1115</v>
      </c>
      <c r="F1566" s="108" t="s">
        <v>108</v>
      </c>
    </row>
    <row r="1567" spans="1:6" x14ac:dyDescent="0.3">
      <c r="A1567" s="38">
        <v>46256</v>
      </c>
      <c r="B1567" t="s">
        <v>357</v>
      </c>
      <c r="C1567" s="11">
        <v>2900</v>
      </c>
      <c r="D1567" s="11"/>
      <c r="E1567" t="s">
        <v>535</v>
      </c>
      <c r="F1567" s="108" t="s">
        <v>108</v>
      </c>
    </row>
    <row r="1568" spans="1:6" x14ac:dyDescent="0.3">
      <c r="A1568" s="38">
        <v>46256</v>
      </c>
      <c r="B1568" t="s">
        <v>219</v>
      </c>
      <c r="C1568" s="11"/>
      <c r="D1568" s="11">
        <v>5000</v>
      </c>
      <c r="E1568" t="s">
        <v>1156</v>
      </c>
      <c r="F1568" s="108" t="s">
        <v>108</v>
      </c>
    </row>
    <row r="1569" spans="1:6" x14ac:dyDescent="0.3">
      <c r="A1569" s="38">
        <v>46256</v>
      </c>
      <c r="B1569" s="1" t="s">
        <v>488</v>
      </c>
      <c r="C1569" s="11">
        <v>5000</v>
      </c>
      <c r="D1569" s="11"/>
      <c r="E1569" t="s">
        <v>648</v>
      </c>
      <c r="F1569" s="108" t="s">
        <v>108</v>
      </c>
    </row>
    <row r="1570" spans="1:6" x14ac:dyDescent="0.3">
      <c r="A1570" s="38">
        <v>46256</v>
      </c>
      <c r="B1570" s="1" t="s">
        <v>211</v>
      </c>
      <c r="C1570" s="11">
        <v>1000</v>
      </c>
      <c r="D1570" s="11"/>
      <c r="F1570" s="108" t="s">
        <v>108</v>
      </c>
    </row>
    <row r="1571" spans="1:6" x14ac:dyDescent="0.3">
      <c r="A1571" s="38">
        <v>46256</v>
      </c>
      <c r="B1571" t="s">
        <v>219</v>
      </c>
      <c r="C1571" s="11"/>
      <c r="D1571" s="11">
        <v>42000</v>
      </c>
      <c r="E1571" t="s">
        <v>794</v>
      </c>
      <c r="F1571" s="108" t="s">
        <v>108</v>
      </c>
    </row>
    <row r="1572" spans="1:6" x14ac:dyDescent="0.3">
      <c r="A1572" s="38">
        <v>46256</v>
      </c>
      <c r="B1572" t="s">
        <v>246</v>
      </c>
      <c r="C1572" s="11">
        <v>42000</v>
      </c>
      <c r="D1572" s="11"/>
      <c r="E1572" t="s">
        <v>794</v>
      </c>
      <c r="F1572" s="108" t="s">
        <v>108</v>
      </c>
    </row>
    <row r="1573" spans="1:6" x14ac:dyDescent="0.3">
      <c r="A1573" s="38">
        <v>46257</v>
      </c>
      <c r="B1573" t="s">
        <v>219</v>
      </c>
      <c r="C1573" s="11"/>
      <c r="D1573" s="11">
        <v>18000</v>
      </c>
      <c r="E1573" t="s">
        <v>1117</v>
      </c>
      <c r="F1573" s="108" t="s">
        <v>108</v>
      </c>
    </row>
    <row r="1574" spans="1:6" x14ac:dyDescent="0.3">
      <c r="A1574" s="38">
        <v>46257</v>
      </c>
      <c r="B1574" t="s">
        <v>298</v>
      </c>
      <c r="C1574" s="11">
        <v>10000</v>
      </c>
      <c r="D1574" s="11"/>
      <c r="E1574" t="s">
        <v>692</v>
      </c>
      <c r="F1574" s="108" t="s">
        <v>108</v>
      </c>
    </row>
    <row r="1575" spans="1:6" x14ac:dyDescent="0.3">
      <c r="A1575" s="38">
        <v>46257</v>
      </c>
      <c r="B1575" t="s">
        <v>246</v>
      </c>
      <c r="C1575" s="11">
        <v>2500</v>
      </c>
      <c r="D1575" s="11"/>
      <c r="E1575" t="s">
        <v>942</v>
      </c>
      <c r="F1575" s="108" t="s">
        <v>108</v>
      </c>
    </row>
    <row r="1576" spans="1:6" x14ac:dyDescent="0.3">
      <c r="A1576" s="38">
        <v>46257</v>
      </c>
      <c r="B1576" t="s">
        <v>357</v>
      </c>
      <c r="C1576" s="11">
        <v>2620</v>
      </c>
      <c r="D1576" s="11"/>
      <c r="F1576" s="108" t="s">
        <v>108</v>
      </c>
    </row>
    <row r="1577" spans="1:6" x14ac:dyDescent="0.3">
      <c r="A1577" s="38">
        <v>46257</v>
      </c>
      <c r="B1577" t="s">
        <v>488</v>
      </c>
      <c r="C1577" s="11">
        <v>6000</v>
      </c>
      <c r="D1577" s="11"/>
      <c r="E1577" t="s">
        <v>1118</v>
      </c>
      <c r="F1577" s="108" t="s">
        <v>108</v>
      </c>
    </row>
    <row r="1578" spans="1:6" x14ac:dyDescent="0.3">
      <c r="A1578" s="38">
        <v>46257</v>
      </c>
      <c r="B1578" t="s">
        <v>211</v>
      </c>
      <c r="C1578" s="95">
        <v>1900</v>
      </c>
      <c r="D1578" s="95"/>
      <c r="F1578" s="108" t="s">
        <v>108</v>
      </c>
    </row>
    <row r="1579" spans="1:6" x14ac:dyDescent="0.3">
      <c r="A1579" s="111">
        <v>46258</v>
      </c>
      <c r="B1579" t="s">
        <v>357</v>
      </c>
      <c r="C1579" s="11">
        <v>950</v>
      </c>
      <c r="D1579" s="11"/>
      <c r="F1579" s="108" t="s">
        <v>108</v>
      </c>
    </row>
    <row r="1580" spans="1:6" x14ac:dyDescent="0.3">
      <c r="A1580" s="111">
        <v>46258</v>
      </c>
      <c r="B1580" t="s">
        <v>246</v>
      </c>
      <c r="C1580" s="11">
        <v>1100</v>
      </c>
      <c r="D1580" s="11"/>
      <c r="E1580" t="s">
        <v>942</v>
      </c>
      <c r="F1580" s="108" t="s">
        <v>108</v>
      </c>
    </row>
    <row r="1581" spans="1:6" x14ac:dyDescent="0.3">
      <c r="A1581" s="111">
        <v>46258</v>
      </c>
      <c r="B1581" t="s">
        <v>246</v>
      </c>
      <c r="C1581" s="11">
        <v>4500</v>
      </c>
      <c r="D1581" s="11"/>
      <c r="E1581" t="s">
        <v>942</v>
      </c>
      <c r="F1581" s="108" t="s">
        <v>108</v>
      </c>
    </row>
    <row r="1582" spans="1:6" x14ac:dyDescent="0.3">
      <c r="A1582" s="111">
        <v>46258</v>
      </c>
      <c r="B1582" t="s">
        <v>211</v>
      </c>
      <c r="C1582" s="11"/>
      <c r="D1582" s="11"/>
      <c r="F1582" s="108" t="s">
        <v>108</v>
      </c>
    </row>
    <row r="1583" spans="1:6" x14ac:dyDescent="0.3">
      <c r="A1583" s="111">
        <v>46258</v>
      </c>
      <c r="B1583" t="s">
        <v>488</v>
      </c>
      <c r="C1583" s="11">
        <v>1500</v>
      </c>
      <c r="D1583" s="11"/>
      <c r="E1583" t="s">
        <v>927</v>
      </c>
      <c r="F1583" s="108" t="s">
        <v>108</v>
      </c>
    </row>
    <row r="1584" spans="1:6" x14ac:dyDescent="0.3">
      <c r="A1584" s="111">
        <v>46258</v>
      </c>
      <c r="B1584" t="s">
        <v>219</v>
      </c>
      <c r="C1584" s="11"/>
      <c r="D1584" s="11">
        <v>30000</v>
      </c>
      <c r="E1584" t="s">
        <v>1119</v>
      </c>
      <c r="F1584" s="108" t="s">
        <v>108</v>
      </c>
    </row>
    <row r="1585" spans="1:6" x14ac:dyDescent="0.3">
      <c r="A1585" s="111">
        <v>46258</v>
      </c>
      <c r="B1585" t="s">
        <v>253</v>
      </c>
      <c r="C1585" s="11">
        <v>15000</v>
      </c>
      <c r="D1585" s="11"/>
      <c r="E1585" t="s">
        <v>1120</v>
      </c>
      <c r="F1585" s="108" t="s">
        <v>108</v>
      </c>
    </row>
    <row r="1586" spans="1:6" x14ac:dyDescent="0.3">
      <c r="A1586" s="111">
        <v>46258</v>
      </c>
      <c r="B1586" t="s">
        <v>357</v>
      </c>
      <c r="C1586" s="11">
        <v>3460</v>
      </c>
      <c r="D1586" s="11"/>
      <c r="E1586" t="s">
        <v>535</v>
      </c>
      <c r="F1586" s="108" t="s">
        <v>108</v>
      </c>
    </row>
    <row r="1587" spans="1:6" x14ac:dyDescent="0.3">
      <c r="A1587" s="111">
        <v>46258</v>
      </c>
      <c r="B1587" t="s">
        <v>55</v>
      </c>
      <c r="C1587" s="11">
        <v>2832</v>
      </c>
      <c r="D1587" s="11"/>
      <c r="F1587" s="108" t="s">
        <v>108</v>
      </c>
    </row>
    <row r="1588" spans="1:6" x14ac:dyDescent="0.3">
      <c r="A1588" s="111">
        <v>46258</v>
      </c>
      <c r="B1588" t="s">
        <v>219</v>
      </c>
      <c r="C1588" s="11"/>
      <c r="D1588" s="11">
        <v>25000</v>
      </c>
      <c r="E1588" t="s">
        <v>1121</v>
      </c>
      <c r="F1588" s="108" t="s">
        <v>108</v>
      </c>
    </row>
    <row r="1589" spans="1:6" x14ac:dyDescent="0.3">
      <c r="A1589" s="111">
        <v>46258</v>
      </c>
      <c r="B1589" t="s">
        <v>55</v>
      </c>
      <c r="C1589" s="11">
        <v>11222</v>
      </c>
      <c r="D1589" s="11"/>
      <c r="E1589" t="s">
        <v>1089</v>
      </c>
      <c r="F1589" s="108" t="s">
        <v>108</v>
      </c>
    </row>
    <row r="1590" spans="1:6" x14ac:dyDescent="0.3">
      <c r="A1590" s="111">
        <v>46258</v>
      </c>
      <c r="B1590" t="s">
        <v>244</v>
      </c>
      <c r="C1590" s="11">
        <v>510</v>
      </c>
      <c r="D1590" s="11"/>
      <c r="F1590" s="108" t="s">
        <v>108</v>
      </c>
    </row>
    <row r="1591" spans="1:6" x14ac:dyDescent="0.3">
      <c r="A1591" s="111">
        <v>46258</v>
      </c>
      <c r="B1591" t="s">
        <v>488</v>
      </c>
      <c r="C1591" s="11">
        <v>1500</v>
      </c>
      <c r="D1591" s="11"/>
      <c r="F1591" s="108" t="s">
        <v>108</v>
      </c>
    </row>
    <row r="1592" spans="1:6" x14ac:dyDescent="0.3">
      <c r="A1592" s="111">
        <v>46258</v>
      </c>
      <c r="B1592" t="s">
        <v>269</v>
      </c>
      <c r="C1592" s="11">
        <v>15000</v>
      </c>
      <c r="D1592" s="11"/>
      <c r="E1592" t="s">
        <v>1122</v>
      </c>
      <c r="F1592" s="108" t="s">
        <v>108</v>
      </c>
    </row>
    <row r="1593" spans="1:6" x14ac:dyDescent="0.3">
      <c r="A1593" s="111">
        <v>46258</v>
      </c>
      <c r="B1593" t="s">
        <v>211</v>
      </c>
      <c r="C1593" s="11">
        <v>780</v>
      </c>
      <c r="D1593" s="11"/>
      <c r="F1593" s="108" t="s">
        <v>108</v>
      </c>
    </row>
    <row r="1594" spans="1:6" x14ac:dyDescent="0.3">
      <c r="A1594" s="111">
        <v>46258</v>
      </c>
      <c r="B1594" t="s">
        <v>386</v>
      </c>
      <c r="C1594" s="95">
        <v>1500</v>
      </c>
      <c r="D1594" s="95"/>
      <c r="E1594" t="s">
        <v>1163</v>
      </c>
      <c r="F1594" s="108" t="s">
        <v>108</v>
      </c>
    </row>
    <row r="1595" spans="1:6" x14ac:dyDescent="0.3">
      <c r="A1595" s="111">
        <v>46259</v>
      </c>
      <c r="B1595" t="s">
        <v>55</v>
      </c>
      <c r="C1595" s="11">
        <v>3920</v>
      </c>
      <c r="D1595" s="11"/>
      <c r="F1595" s="108" t="s">
        <v>108</v>
      </c>
    </row>
    <row r="1596" spans="1:6" x14ac:dyDescent="0.3">
      <c r="A1596" s="111">
        <v>46259</v>
      </c>
      <c r="B1596" t="s">
        <v>945</v>
      </c>
      <c r="C1596" s="11">
        <v>856374</v>
      </c>
      <c r="D1596" s="11"/>
      <c r="E1596" t="s">
        <v>1123</v>
      </c>
      <c r="F1596" s="108" t="s">
        <v>108</v>
      </c>
    </row>
    <row r="1597" spans="1:6" x14ac:dyDescent="0.3">
      <c r="A1597" s="38">
        <v>46259</v>
      </c>
      <c r="B1597" t="s">
        <v>219</v>
      </c>
      <c r="C1597" s="11"/>
      <c r="D1597" s="11">
        <v>856374</v>
      </c>
      <c r="E1597" t="s">
        <v>1123</v>
      </c>
      <c r="F1597" s="108" t="s">
        <v>108</v>
      </c>
    </row>
    <row r="1598" spans="1:6" x14ac:dyDescent="0.3">
      <c r="A1598" s="38">
        <v>46259</v>
      </c>
      <c r="B1598" t="s">
        <v>222</v>
      </c>
      <c r="C1598" s="11">
        <v>45300</v>
      </c>
      <c r="D1598" s="11"/>
      <c r="E1598" t="s">
        <v>240</v>
      </c>
      <c r="F1598" s="108" t="s">
        <v>108</v>
      </c>
    </row>
    <row r="1599" spans="1:6" x14ac:dyDescent="0.3">
      <c r="A1599" s="38">
        <v>46259</v>
      </c>
      <c r="B1599" t="s">
        <v>488</v>
      </c>
      <c r="C1599" s="11">
        <v>1000</v>
      </c>
      <c r="D1599" s="11"/>
      <c r="E1599" t="s">
        <v>850</v>
      </c>
      <c r="F1599" s="108" t="s">
        <v>108</v>
      </c>
    </row>
    <row r="1600" spans="1:6" x14ac:dyDescent="0.3">
      <c r="A1600" s="38">
        <v>46259</v>
      </c>
      <c r="B1600" t="s">
        <v>55</v>
      </c>
      <c r="C1600" s="11">
        <v>1000</v>
      </c>
      <c r="D1600" s="11"/>
      <c r="E1600" t="s">
        <v>1124</v>
      </c>
      <c r="F1600" s="108" t="s">
        <v>108</v>
      </c>
    </row>
    <row r="1601" spans="1:6" x14ac:dyDescent="0.3">
      <c r="A1601" s="38">
        <v>46259</v>
      </c>
      <c r="B1601" t="s">
        <v>1125</v>
      </c>
      <c r="C1601" s="11">
        <v>50000</v>
      </c>
      <c r="D1601" s="11"/>
      <c r="E1601" t="s">
        <v>1126</v>
      </c>
      <c r="F1601" s="108" t="s">
        <v>108</v>
      </c>
    </row>
    <row r="1602" spans="1:6" x14ac:dyDescent="0.3">
      <c r="A1602" s="38">
        <v>46259</v>
      </c>
      <c r="B1602" t="s">
        <v>219</v>
      </c>
      <c r="C1602" s="11"/>
      <c r="D1602" s="11">
        <v>50000</v>
      </c>
      <c r="E1602" t="s">
        <v>1127</v>
      </c>
      <c r="F1602" s="108" t="s">
        <v>108</v>
      </c>
    </row>
    <row r="1603" spans="1:6" x14ac:dyDescent="0.3">
      <c r="A1603" s="38">
        <v>46259</v>
      </c>
      <c r="B1603" t="s">
        <v>298</v>
      </c>
      <c r="C1603" s="11"/>
      <c r="D1603" s="11">
        <f>9877*5</f>
        <v>49385</v>
      </c>
      <c r="E1603" t="s">
        <v>1128</v>
      </c>
      <c r="F1603" s="108" t="s">
        <v>108</v>
      </c>
    </row>
    <row r="1604" spans="1:6" x14ac:dyDescent="0.3">
      <c r="A1604" s="38">
        <v>46259</v>
      </c>
      <c r="B1604" t="s">
        <v>1129</v>
      </c>
      <c r="C1604" s="11">
        <v>49385</v>
      </c>
      <c r="D1604" s="11"/>
      <c r="E1604" t="s">
        <v>1128</v>
      </c>
      <c r="F1604" s="108" t="s">
        <v>108</v>
      </c>
    </row>
    <row r="1605" spans="1:6" x14ac:dyDescent="0.3">
      <c r="A1605" s="38">
        <v>46259</v>
      </c>
      <c r="B1605" t="s">
        <v>222</v>
      </c>
      <c r="C1605" s="11">
        <v>7500</v>
      </c>
      <c r="D1605" s="11"/>
      <c r="E1605" t="s">
        <v>1130</v>
      </c>
      <c r="F1605" s="108" t="s">
        <v>108</v>
      </c>
    </row>
    <row r="1606" spans="1:6" x14ac:dyDescent="0.3">
      <c r="A1606" s="38">
        <v>46259</v>
      </c>
      <c r="B1606" t="s">
        <v>357</v>
      </c>
      <c r="C1606" s="11">
        <v>2900</v>
      </c>
      <c r="D1606" s="11"/>
      <c r="E1606" t="s">
        <v>535</v>
      </c>
      <c r="F1606" s="108" t="s">
        <v>108</v>
      </c>
    </row>
    <row r="1607" spans="1:6" x14ac:dyDescent="0.3">
      <c r="A1607" s="38">
        <v>46259</v>
      </c>
      <c r="B1607" t="s">
        <v>219</v>
      </c>
      <c r="C1607" s="11"/>
      <c r="D1607" s="11">
        <v>15000</v>
      </c>
      <c r="E1607" t="s">
        <v>1131</v>
      </c>
      <c r="F1607" s="108" t="s">
        <v>108</v>
      </c>
    </row>
    <row r="1608" spans="1:6" x14ac:dyDescent="0.3">
      <c r="A1608" s="38">
        <v>46259</v>
      </c>
      <c r="B1608" t="s">
        <v>298</v>
      </c>
      <c r="C1608" s="11">
        <v>15000</v>
      </c>
      <c r="D1608" s="11"/>
      <c r="E1608" t="s">
        <v>692</v>
      </c>
      <c r="F1608" s="108" t="s">
        <v>108</v>
      </c>
    </row>
    <row r="1609" spans="1:6" x14ac:dyDescent="0.3">
      <c r="A1609" s="38">
        <v>46259</v>
      </c>
      <c r="B1609" t="s">
        <v>219</v>
      </c>
      <c r="C1609" s="95"/>
      <c r="D1609" s="95">
        <v>50000</v>
      </c>
      <c r="E1609" t="s">
        <v>540</v>
      </c>
      <c r="F1609" s="108" t="s">
        <v>108</v>
      </c>
    </row>
    <row r="1610" spans="1:6" x14ac:dyDescent="0.3">
      <c r="A1610" s="38">
        <v>46259</v>
      </c>
      <c r="B1610" s="1" t="s">
        <v>269</v>
      </c>
      <c r="C1610" s="11">
        <v>1000</v>
      </c>
      <c r="D1610" s="11"/>
      <c r="E1610" t="s">
        <v>1160</v>
      </c>
      <c r="F1610" s="108" t="s">
        <v>108</v>
      </c>
    </row>
    <row r="1611" spans="1:6" x14ac:dyDescent="0.3">
      <c r="A1611" s="38">
        <v>46259</v>
      </c>
      <c r="B1611" s="1" t="s">
        <v>357</v>
      </c>
      <c r="C1611" s="11">
        <v>5000</v>
      </c>
      <c r="D1611" s="11"/>
      <c r="E1611" t="s">
        <v>1161</v>
      </c>
      <c r="F1611" s="108" t="s">
        <v>108</v>
      </c>
    </row>
    <row r="1612" spans="1:6" x14ac:dyDescent="0.3">
      <c r="A1612" s="38">
        <v>46259</v>
      </c>
      <c r="B1612" s="1" t="s">
        <v>488</v>
      </c>
      <c r="C1612" s="11">
        <v>5000</v>
      </c>
      <c r="D1612" s="11"/>
      <c r="E1612" t="s">
        <v>1162</v>
      </c>
      <c r="F1612" s="108" t="s">
        <v>108</v>
      </c>
    </row>
    <row r="1613" spans="1:6" x14ac:dyDescent="0.3">
      <c r="A1613" s="38">
        <v>46259</v>
      </c>
      <c r="B1613" t="s">
        <v>27</v>
      </c>
      <c r="C1613" s="11"/>
      <c r="D1613" s="11">
        <v>200000</v>
      </c>
      <c r="E1613" t="s">
        <v>21</v>
      </c>
      <c r="F1613" s="108" t="s">
        <v>108</v>
      </c>
    </row>
    <row r="1614" spans="1:6" x14ac:dyDescent="0.3">
      <c r="A1614" s="38">
        <v>46259</v>
      </c>
      <c r="B1614" t="s">
        <v>219</v>
      </c>
      <c r="C1614" s="11">
        <v>200000</v>
      </c>
      <c r="D1614" s="11"/>
      <c r="E1614" t="s">
        <v>667</v>
      </c>
      <c r="F1614" s="108" t="s">
        <v>108</v>
      </c>
    </row>
    <row r="1615" spans="1:6" x14ac:dyDescent="0.3">
      <c r="A1615" s="38">
        <v>46260</v>
      </c>
      <c r="B1615" t="s">
        <v>219</v>
      </c>
      <c r="C1615" s="11"/>
      <c r="D1615" s="11">
        <v>5000</v>
      </c>
      <c r="E1615" t="s">
        <v>1132</v>
      </c>
      <c r="F1615" s="108" t="s">
        <v>108</v>
      </c>
    </row>
    <row r="1616" spans="1:6" x14ac:dyDescent="0.3">
      <c r="A1616" s="38">
        <v>46260</v>
      </c>
      <c r="B1616" t="s">
        <v>269</v>
      </c>
      <c r="C1616" s="95">
        <v>1500</v>
      </c>
      <c r="D1616" s="95"/>
      <c r="E1616" t="s">
        <v>538</v>
      </c>
      <c r="F1616" s="108" t="s">
        <v>108</v>
      </c>
    </row>
    <row r="1617" spans="1:6" x14ac:dyDescent="0.3">
      <c r="A1617" s="38">
        <v>46260</v>
      </c>
      <c r="B1617" t="s">
        <v>211</v>
      </c>
      <c r="C1617" s="95">
        <v>780</v>
      </c>
      <c r="D1617" s="95"/>
      <c r="F1617" s="108" t="s">
        <v>108</v>
      </c>
    </row>
    <row r="1618" spans="1:6" x14ac:dyDescent="0.3">
      <c r="A1618" s="38">
        <v>46260</v>
      </c>
      <c r="B1618" t="s">
        <v>386</v>
      </c>
      <c r="C1618" s="95">
        <v>2000</v>
      </c>
      <c r="D1618" s="95"/>
      <c r="E1618" t="s">
        <v>1054</v>
      </c>
      <c r="F1618" s="108" t="s">
        <v>108</v>
      </c>
    </row>
    <row r="1619" spans="1:6" x14ac:dyDescent="0.3">
      <c r="A1619" s="38">
        <v>46260</v>
      </c>
      <c r="B1619" t="s">
        <v>488</v>
      </c>
      <c r="C1619" s="95">
        <v>5000</v>
      </c>
      <c r="D1619" s="95"/>
      <c r="E1619" t="s">
        <v>648</v>
      </c>
      <c r="F1619" s="108" t="s">
        <v>108</v>
      </c>
    </row>
    <row r="1620" spans="1:6" x14ac:dyDescent="0.3">
      <c r="A1620" s="38">
        <v>46260</v>
      </c>
      <c r="B1620" t="s">
        <v>1129</v>
      </c>
      <c r="C1620" s="95">
        <v>241410</v>
      </c>
      <c r="D1620" s="95"/>
      <c r="E1620" t="s">
        <v>1164</v>
      </c>
      <c r="F1620" s="108" t="s">
        <v>108</v>
      </c>
    </row>
    <row r="1621" spans="1:6" x14ac:dyDescent="0.3">
      <c r="A1621" s="38">
        <v>46261</v>
      </c>
      <c r="B1621" t="s">
        <v>219</v>
      </c>
      <c r="C1621" s="95"/>
      <c r="D1621" s="95">
        <v>100000</v>
      </c>
      <c r="E1621" t="s">
        <v>1133</v>
      </c>
      <c r="F1621" s="108" t="s">
        <v>108</v>
      </c>
    </row>
    <row r="1622" spans="1:6" x14ac:dyDescent="0.3">
      <c r="A1622" s="38">
        <v>46261</v>
      </c>
      <c r="B1622" t="s">
        <v>222</v>
      </c>
      <c r="C1622" s="95">
        <v>70000</v>
      </c>
      <c r="D1622" s="95"/>
      <c r="E1622" t="s">
        <v>240</v>
      </c>
      <c r="F1622" s="108" t="s">
        <v>108</v>
      </c>
    </row>
    <row r="1623" spans="1:6" x14ac:dyDescent="0.3">
      <c r="A1623" s="38">
        <v>46261</v>
      </c>
      <c r="B1623" t="s">
        <v>1134</v>
      </c>
      <c r="C1623" s="95">
        <v>2000</v>
      </c>
      <c r="D1623" s="95"/>
      <c r="E1623" t="s">
        <v>1135</v>
      </c>
      <c r="F1623" s="108" t="s">
        <v>108</v>
      </c>
    </row>
    <row r="1624" spans="1:6" x14ac:dyDescent="0.3">
      <c r="A1624" s="38">
        <v>46261</v>
      </c>
      <c r="B1624" t="s">
        <v>219</v>
      </c>
      <c r="C1624" s="95"/>
      <c r="D1624" s="95">
        <v>50001</v>
      </c>
      <c r="E1624" t="s">
        <v>1136</v>
      </c>
      <c r="F1624" s="108" t="s">
        <v>108</v>
      </c>
    </row>
    <row r="1625" spans="1:6" x14ac:dyDescent="0.3">
      <c r="A1625" s="38">
        <v>46261</v>
      </c>
      <c r="B1625" t="s">
        <v>55</v>
      </c>
      <c r="C1625" s="95">
        <v>50001</v>
      </c>
      <c r="D1625" s="95"/>
      <c r="E1625" t="s">
        <v>1136</v>
      </c>
      <c r="F1625" s="108" t="s">
        <v>108</v>
      </c>
    </row>
    <row r="1626" spans="1:6" x14ac:dyDescent="0.3">
      <c r="A1626" s="38">
        <v>46261</v>
      </c>
      <c r="B1626" t="s">
        <v>298</v>
      </c>
      <c r="C1626" s="95"/>
      <c r="D1626" s="95">
        <v>1000</v>
      </c>
      <c r="E1626" t="s">
        <v>1137</v>
      </c>
      <c r="F1626" s="108" t="s">
        <v>108</v>
      </c>
    </row>
    <row r="1627" spans="1:6" x14ac:dyDescent="0.3">
      <c r="A1627" s="38">
        <v>46261</v>
      </c>
      <c r="B1627" t="s">
        <v>298</v>
      </c>
      <c r="C1627" s="95">
        <v>1000</v>
      </c>
      <c r="D1627" s="95"/>
      <c r="E1627" t="s">
        <v>1137</v>
      </c>
      <c r="F1627" s="108" t="s">
        <v>108</v>
      </c>
    </row>
    <row r="1628" spans="1:6" x14ac:dyDescent="0.3">
      <c r="A1628" s="38">
        <v>46261</v>
      </c>
      <c r="B1628" t="s">
        <v>219</v>
      </c>
      <c r="C1628" s="95"/>
      <c r="D1628" s="95">
        <v>3300</v>
      </c>
      <c r="E1628" t="s">
        <v>1138</v>
      </c>
      <c r="F1628" s="108" t="s">
        <v>108</v>
      </c>
    </row>
    <row r="1629" spans="1:6" x14ac:dyDescent="0.3">
      <c r="A1629" s="38">
        <v>46261</v>
      </c>
      <c r="B1629" t="s">
        <v>55</v>
      </c>
      <c r="C1629" s="95">
        <v>3300</v>
      </c>
      <c r="D1629" s="95"/>
      <c r="E1629" t="s">
        <v>1138</v>
      </c>
      <c r="F1629" s="108" t="s">
        <v>108</v>
      </c>
    </row>
    <row r="1630" spans="1:6" x14ac:dyDescent="0.3">
      <c r="A1630" s="38">
        <v>46261</v>
      </c>
      <c r="B1630" t="s">
        <v>488</v>
      </c>
      <c r="C1630" s="95">
        <v>6000</v>
      </c>
      <c r="D1630" s="95"/>
      <c r="E1630" t="s">
        <v>1032</v>
      </c>
      <c r="F1630" s="108" t="s">
        <v>108</v>
      </c>
    </row>
    <row r="1631" spans="1:6" x14ac:dyDescent="0.3">
      <c r="A1631" s="38">
        <v>46261</v>
      </c>
      <c r="B1631" t="s">
        <v>269</v>
      </c>
      <c r="C1631" s="95">
        <v>10000</v>
      </c>
      <c r="D1631" s="95"/>
      <c r="E1631" t="s">
        <v>665</v>
      </c>
      <c r="F1631" s="108" t="s">
        <v>108</v>
      </c>
    </row>
    <row r="1632" spans="1:6" x14ac:dyDescent="0.3">
      <c r="A1632" s="38">
        <v>46261</v>
      </c>
      <c r="B1632" s="1" t="s">
        <v>488</v>
      </c>
      <c r="C1632" s="11">
        <v>5000</v>
      </c>
      <c r="D1632" s="11"/>
      <c r="E1632" t="s">
        <v>648</v>
      </c>
      <c r="F1632" s="108" t="s">
        <v>108</v>
      </c>
    </row>
    <row r="1633" spans="1:6" x14ac:dyDescent="0.3">
      <c r="A1633" s="38">
        <v>46261</v>
      </c>
      <c r="B1633" t="s">
        <v>219</v>
      </c>
      <c r="C1633" s="11"/>
      <c r="D1633" s="11">
        <v>5300</v>
      </c>
      <c r="E1633" t="s">
        <v>1165</v>
      </c>
      <c r="F1633" s="108" t="s">
        <v>108</v>
      </c>
    </row>
    <row r="1634" spans="1:6" x14ac:dyDescent="0.3">
      <c r="A1634" s="38">
        <v>46261</v>
      </c>
      <c r="B1634" t="s">
        <v>55</v>
      </c>
      <c r="C1634" s="11">
        <v>5300</v>
      </c>
      <c r="D1634" s="11"/>
      <c r="E1634" t="s">
        <v>1165</v>
      </c>
      <c r="F1634" s="108" t="s">
        <v>108</v>
      </c>
    </row>
    <row r="1635" spans="1:6" x14ac:dyDescent="0.3">
      <c r="A1635" s="38">
        <v>46261</v>
      </c>
      <c r="B1635" t="s">
        <v>219</v>
      </c>
      <c r="C1635" s="11"/>
      <c r="D1635" s="11">
        <v>75000</v>
      </c>
      <c r="E1635" t="s">
        <v>1166</v>
      </c>
      <c r="F1635" s="108" t="s">
        <v>108</v>
      </c>
    </row>
    <row r="1636" spans="1:6" x14ac:dyDescent="0.3">
      <c r="A1636" s="38">
        <v>46261</v>
      </c>
      <c r="B1636" t="s">
        <v>55</v>
      </c>
      <c r="C1636" s="11">
        <v>75000</v>
      </c>
      <c r="D1636" s="11"/>
      <c r="E1636" t="s">
        <v>1166</v>
      </c>
      <c r="F1636" s="108" t="s">
        <v>108</v>
      </c>
    </row>
    <row r="1637" spans="1:6" x14ac:dyDescent="0.3">
      <c r="A1637" s="38">
        <v>46262</v>
      </c>
      <c r="B1637" t="s">
        <v>211</v>
      </c>
      <c r="C1637" s="95">
        <v>780</v>
      </c>
      <c r="D1637" s="95"/>
      <c r="F1637" s="108" t="s">
        <v>108</v>
      </c>
    </row>
    <row r="1638" spans="1:6" x14ac:dyDescent="0.3">
      <c r="A1638" s="38">
        <v>46262</v>
      </c>
      <c r="B1638" t="s">
        <v>357</v>
      </c>
      <c r="C1638" s="95">
        <v>13435</v>
      </c>
      <c r="D1638" s="95"/>
      <c r="F1638" s="108" t="s">
        <v>108</v>
      </c>
    </row>
    <row r="1639" spans="1:6" x14ac:dyDescent="0.3">
      <c r="A1639" s="38">
        <v>46262</v>
      </c>
      <c r="B1639" t="s">
        <v>244</v>
      </c>
      <c r="C1639" s="95">
        <v>440</v>
      </c>
      <c r="D1639" s="95"/>
      <c r="F1639" s="108" t="s">
        <v>108</v>
      </c>
    </row>
    <row r="1640" spans="1:6" x14ac:dyDescent="0.3">
      <c r="A1640" s="38">
        <v>46262</v>
      </c>
      <c r="B1640" t="s">
        <v>219</v>
      </c>
      <c r="C1640" s="95"/>
      <c r="D1640" s="95">
        <v>1620000</v>
      </c>
      <c r="E1640" t="s">
        <v>1139</v>
      </c>
      <c r="F1640" s="108" t="s">
        <v>108</v>
      </c>
    </row>
    <row r="1641" spans="1:6" x14ac:dyDescent="0.3">
      <c r="A1641" s="38">
        <v>46262</v>
      </c>
      <c r="B1641" t="s">
        <v>55</v>
      </c>
      <c r="C1641" s="95">
        <v>1620000</v>
      </c>
      <c r="D1641" s="95"/>
      <c r="E1641" t="s">
        <v>1139</v>
      </c>
      <c r="F1641" s="108" t="s">
        <v>108</v>
      </c>
    </row>
    <row r="1642" spans="1:6" x14ac:dyDescent="0.3">
      <c r="A1642" s="38">
        <v>46262</v>
      </c>
      <c r="B1642" t="s">
        <v>219</v>
      </c>
      <c r="C1642" s="95"/>
      <c r="D1642" s="95">
        <v>10000</v>
      </c>
      <c r="E1642" t="s">
        <v>1140</v>
      </c>
      <c r="F1642" s="108" t="s">
        <v>108</v>
      </c>
    </row>
    <row r="1643" spans="1:6" x14ac:dyDescent="0.3">
      <c r="A1643" s="38">
        <v>46262</v>
      </c>
      <c r="B1643" t="s">
        <v>636</v>
      </c>
      <c r="C1643" s="95"/>
      <c r="D1643" s="95">
        <v>848000</v>
      </c>
      <c r="E1643" t="s">
        <v>1141</v>
      </c>
      <c r="F1643" s="108" t="s">
        <v>108</v>
      </c>
    </row>
    <row r="1644" spans="1:6" x14ac:dyDescent="0.3">
      <c r="A1644" s="38">
        <v>46262</v>
      </c>
      <c r="B1644" t="s">
        <v>219</v>
      </c>
      <c r="C1644" s="95">
        <v>300000</v>
      </c>
      <c r="D1644" s="95"/>
      <c r="E1644" t="s">
        <v>1142</v>
      </c>
      <c r="F1644" s="108" t="s">
        <v>108</v>
      </c>
    </row>
    <row r="1645" spans="1:6" x14ac:dyDescent="0.3">
      <c r="A1645" s="38">
        <v>46262</v>
      </c>
      <c r="B1645" t="s">
        <v>674</v>
      </c>
      <c r="C1645" s="95">
        <v>300000</v>
      </c>
      <c r="D1645" s="95"/>
      <c r="E1645" t="s">
        <v>1143</v>
      </c>
      <c r="F1645" s="108" t="s">
        <v>108</v>
      </c>
    </row>
    <row r="1646" spans="1:6" x14ac:dyDescent="0.3">
      <c r="A1646" s="111">
        <v>46262</v>
      </c>
      <c r="B1646" t="s">
        <v>211</v>
      </c>
      <c r="C1646" s="95"/>
      <c r="D1646" s="95">
        <v>10000</v>
      </c>
      <c r="F1646" s="108" t="s">
        <v>108</v>
      </c>
    </row>
    <row r="1647" spans="1:6" x14ac:dyDescent="0.3">
      <c r="A1647" s="111">
        <v>46263</v>
      </c>
      <c r="B1647" t="s">
        <v>222</v>
      </c>
      <c r="C1647" s="95">
        <v>45000</v>
      </c>
      <c r="D1647" s="95"/>
      <c r="E1647" t="s">
        <v>240</v>
      </c>
      <c r="F1647" s="108" t="s">
        <v>108</v>
      </c>
    </row>
    <row r="1648" spans="1:6" x14ac:dyDescent="0.3">
      <c r="A1648" s="111">
        <v>46263</v>
      </c>
      <c r="B1648" t="s">
        <v>219</v>
      </c>
      <c r="C1648" s="95">
        <v>200000</v>
      </c>
      <c r="D1648" s="95"/>
      <c r="E1648" t="s">
        <v>1144</v>
      </c>
      <c r="F1648" s="108" t="s">
        <v>108</v>
      </c>
    </row>
    <row r="1649" spans="1:6" x14ac:dyDescent="0.3">
      <c r="A1649" s="111">
        <v>46263</v>
      </c>
      <c r="B1649" s="165" t="s">
        <v>269</v>
      </c>
      <c r="C1649" s="95">
        <v>2000</v>
      </c>
      <c r="D1649" s="95"/>
      <c r="E1649" t="s">
        <v>1145</v>
      </c>
      <c r="F1649" s="108" t="s">
        <v>108</v>
      </c>
    </row>
    <row r="1650" spans="1:6" x14ac:dyDescent="0.3">
      <c r="A1650" s="111">
        <v>46263</v>
      </c>
      <c r="B1650" s="165" t="s">
        <v>269</v>
      </c>
      <c r="C1650" s="95">
        <v>2000</v>
      </c>
      <c r="D1650" s="95"/>
      <c r="E1650" t="s">
        <v>1146</v>
      </c>
      <c r="F1650" s="108" t="s">
        <v>108</v>
      </c>
    </row>
    <row r="1651" spans="1:6" x14ac:dyDescent="0.3">
      <c r="A1651" s="111">
        <v>46263</v>
      </c>
      <c r="B1651" s="165" t="s">
        <v>55</v>
      </c>
      <c r="C1651" s="95">
        <v>3360</v>
      </c>
      <c r="D1651" s="95"/>
      <c r="E1651" t="s">
        <v>448</v>
      </c>
      <c r="F1651" s="108" t="s">
        <v>108</v>
      </c>
    </row>
    <row r="1652" spans="1:6" x14ac:dyDescent="0.3">
      <c r="A1652" s="111">
        <v>46263</v>
      </c>
      <c r="B1652" s="165" t="s">
        <v>244</v>
      </c>
      <c r="C1652" s="95">
        <v>260</v>
      </c>
      <c r="D1652" s="95"/>
      <c r="E1652" t="s">
        <v>1147</v>
      </c>
      <c r="F1652" s="108" t="s">
        <v>108</v>
      </c>
    </row>
    <row r="1653" spans="1:6" x14ac:dyDescent="0.3">
      <c r="A1653" s="111">
        <v>46263</v>
      </c>
      <c r="B1653" s="165" t="s">
        <v>219</v>
      </c>
      <c r="C1653" s="95"/>
      <c r="D1653" s="95">
        <v>10000</v>
      </c>
      <c r="E1653" t="s">
        <v>1148</v>
      </c>
      <c r="F1653" s="108" t="s">
        <v>108</v>
      </c>
    </row>
    <row r="1654" spans="1:6" x14ac:dyDescent="0.3">
      <c r="A1654" s="111">
        <v>46263</v>
      </c>
      <c r="B1654" s="165" t="s">
        <v>55</v>
      </c>
      <c r="C1654" s="95">
        <v>420</v>
      </c>
      <c r="D1654" s="95"/>
      <c r="F1654" s="108" t="s">
        <v>108</v>
      </c>
    </row>
    <row r="1655" spans="1:6" x14ac:dyDescent="0.3">
      <c r="A1655" s="111">
        <v>46263</v>
      </c>
      <c r="B1655" s="165" t="s">
        <v>357</v>
      </c>
      <c r="C1655" s="95">
        <v>2900</v>
      </c>
      <c r="D1655" s="95"/>
      <c r="F1655" s="108" t="s">
        <v>108</v>
      </c>
    </row>
    <row r="1656" spans="1:6" x14ac:dyDescent="0.3">
      <c r="A1656" s="111">
        <v>46263</v>
      </c>
      <c r="B1656" s="165" t="s">
        <v>298</v>
      </c>
      <c r="C1656" s="95">
        <v>5000</v>
      </c>
      <c r="D1656" s="95"/>
      <c r="E1656" t="s">
        <v>692</v>
      </c>
      <c r="F1656" s="108" t="s">
        <v>108</v>
      </c>
    </row>
    <row r="1657" spans="1:6" x14ac:dyDescent="0.3">
      <c r="A1657" s="38">
        <v>46263</v>
      </c>
      <c r="B1657" s="204" t="s">
        <v>219</v>
      </c>
      <c r="C1657" s="95"/>
      <c r="D1657" s="95">
        <v>20000</v>
      </c>
      <c r="E1657" t="s">
        <v>1149</v>
      </c>
      <c r="F1657" s="108" t="s">
        <v>108</v>
      </c>
    </row>
    <row r="1658" spans="1:6" x14ac:dyDescent="0.3">
      <c r="A1658" s="38">
        <v>46263</v>
      </c>
      <c r="B1658" t="s">
        <v>269</v>
      </c>
      <c r="C1658" s="95">
        <v>5000</v>
      </c>
      <c r="D1658" s="95"/>
      <c r="E1658" t="s">
        <v>1023</v>
      </c>
      <c r="F1658" s="108" t="s">
        <v>108</v>
      </c>
    </row>
    <row r="1659" spans="1:6" x14ac:dyDescent="0.3">
      <c r="A1659" s="38">
        <v>46263</v>
      </c>
      <c r="B1659" t="s">
        <v>269</v>
      </c>
      <c r="C1659" s="95">
        <v>15000</v>
      </c>
      <c r="D1659" s="95"/>
      <c r="E1659" t="s">
        <v>1150</v>
      </c>
      <c r="F1659" s="108" t="s">
        <v>108</v>
      </c>
    </row>
    <row r="1660" spans="1:6" x14ac:dyDescent="0.3">
      <c r="A1660" s="38">
        <v>46263</v>
      </c>
      <c r="B1660" t="s">
        <v>211</v>
      </c>
      <c r="C1660" s="95">
        <v>780</v>
      </c>
      <c r="D1660" s="95"/>
      <c r="F1660" s="108" t="s">
        <v>108</v>
      </c>
    </row>
    <row r="1661" spans="1:6" x14ac:dyDescent="0.3">
      <c r="A1661" s="38">
        <v>46263</v>
      </c>
      <c r="B1661" s="1" t="s">
        <v>488</v>
      </c>
      <c r="C1661" s="11">
        <v>3000</v>
      </c>
      <c r="D1661" s="11"/>
      <c r="E1661" t="s">
        <v>648</v>
      </c>
      <c r="F1661" s="108" t="s">
        <v>108</v>
      </c>
    </row>
    <row r="1662" spans="1:6" x14ac:dyDescent="0.3">
      <c r="A1662" s="38">
        <v>46263</v>
      </c>
      <c r="B1662" s="1" t="s">
        <v>211</v>
      </c>
      <c r="C1662" s="11">
        <v>516</v>
      </c>
      <c r="D1662" s="11"/>
      <c r="F1662" s="108" t="s">
        <v>108</v>
      </c>
    </row>
    <row r="1663" spans="1:6" x14ac:dyDescent="0.3">
      <c r="A1663" s="111">
        <v>46264</v>
      </c>
      <c r="B1663" t="s">
        <v>55</v>
      </c>
      <c r="C1663" s="95">
        <v>420</v>
      </c>
      <c r="D1663" s="95"/>
      <c r="F1663" s="108" t="s">
        <v>108</v>
      </c>
    </row>
    <row r="1664" spans="1:6" x14ac:dyDescent="0.3">
      <c r="A1664" s="111">
        <v>46264</v>
      </c>
      <c r="B1664" t="s">
        <v>269</v>
      </c>
      <c r="C1664" s="95">
        <v>10000</v>
      </c>
      <c r="D1664" s="95"/>
      <c r="E1664" t="s">
        <v>1151</v>
      </c>
      <c r="F1664" s="108" t="s">
        <v>108</v>
      </c>
    </row>
    <row r="1665" spans="1:11" x14ac:dyDescent="0.3">
      <c r="A1665" s="111">
        <v>46264</v>
      </c>
      <c r="B1665" t="s">
        <v>357</v>
      </c>
      <c r="C1665" s="95">
        <v>2900</v>
      </c>
      <c r="D1665" s="95"/>
      <c r="F1665" s="108" t="s">
        <v>108</v>
      </c>
    </row>
    <row r="1666" spans="1:11" x14ac:dyDescent="0.3">
      <c r="A1666" s="111">
        <v>46264</v>
      </c>
      <c r="B1666" t="s">
        <v>219</v>
      </c>
      <c r="C1666" s="95"/>
      <c r="D1666" s="95">
        <v>10000</v>
      </c>
      <c r="E1666" t="s">
        <v>1152</v>
      </c>
      <c r="F1666" s="108" t="s">
        <v>108</v>
      </c>
      <c r="J1666" t="s">
        <v>872</v>
      </c>
    </row>
    <row r="1667" spans="1:11" x14ac:dyDescent="0.3">
      <c r="A1667" s="111">
        <v>46264</v>
      </c>
      <c r="B1667" t="s">
        <v>488</v>
      </c>
      <c r="C1667" s="95">
        <v>5000</v>
      </c>
      <c r="D1667" s="95"/>
      <c r="E1667" t="s">
        <v>648</v>
      </c>
      <c r="F1667" s="108" t="s">
        <v>108</v>
      </c>
      <c r="J1667" s="117">
        <v>46137</v>
      </c>
      <c r="K1667">
        <v>14000</v>
      </c>
    </row>
    <row r="1668" spans="1:11" x14ac:dyDescent="0.3">
      <c r="A1668" s="111">
        <v>46265</v>
      </c>
      <c r="B1668" t="s">
        <v>219</v>
      </c>
      <c r="C1668" s="95"/>
      <c r="D1668" s="95">
        <v>17000</v>
      </c>
      <c r="E1668" t="s">
        <v>1153</v>
      </c>
      <c r="F1668" s="108" t="s">
        <v>108</v>
      </c>
      <c r="J1668" s="117">
        <v>46151</v>
      </c>
      <c r="K1668">
        <v>8000</v>
      </c>
    </row>
    <row r="1669" spans="1:11" x14ac:dyDescent="0.3">
      <c r="A1669" s="111">
        <v>46265</v>
      </c>
      <c r="B1669" t="s">
        <v>246</v>
      </c>
      <c r="C1669" s="95">
        <v>15100</v>
      </c>
      <c r="D1669" s="95"/>
      <c r="E1669" t="s">
        <v>942</v>
      </c>
      <c r="F1669" s="108" t="s">
        <v>108</v>
      </c>
      <c r="J1669" s="117">
        <v>46153</v>
      </c>
      <c r="K1669">
        <v>8000</v>
      </c>
    </row>
    <row r="1670" spans="1:11" x14ac:dyDescent="0.3">
      <c r="A1670" s="111">
        <v>46265</v>
      </c>
      <c r="B1670" t="s">
        <v>55</v>
      </c>
      <c r="C1670" s="95">
        <v>11197</v>
      </c>
      <c r="D1670" s="95"/>
      <c r="E1670" t="s">
        <v>259</v>
      </c>
      <c r="F1670" s="108" t="s">
        <v>108</v>
      </c>
      <c r="J1670" s="117">
        <v>46182</v>
      </c>
      <c r="K1670">
        <v>8000</v>
      </c>
    </row>
    <row r="1671" spans="1:11" x14ac:dyDescent="0.3">
      <c r="A1671" s="111">
        <v>46265</v>
      </c>
      <c r="B1671" t="s">
        <v>219</v>
      </c>
      <c r="C1671" s="95"/>
      <c r="D1671" s="95">
        <v>15000</v>
      </c>
      <c r="E1671" t="s">
        <v>1154</v>
      </c>
      <c r="F1671" s="108" t="s">
        <v>108</v>
      </c>
      <c r="J1671" s="117">
        <v>46183</v>
      </c>
      <c r="K1671">
        <v>8000</v>
      </c>
    </row>
    <row r="1672" spans="1:11" x14ac:dyDescent="0.3">
      <c r="A1672" s="111">
        <v>46265</v>
      </c>
      <c r="B1672" t="s">
        <v>357</v>
      </c>
      <c r="C1672" s="95">
        <v>2900</v>
      </c>
      <c r="D1672" s="95"/>
      <c r="E1672" t="s">
        <v>535</v>
      </c>
      <c r="F1672" s="108" t="s">
        <v>108</v>
      </c>
      <c r="J1672" s="117">
        <v>46191</v>
      </c>
      <c r="K1672">
        <v>8000</v>
      </c>
    </row>
    <row r="1673" spans="1:11" x14ac:dyDescent="0.3">
      <c r="A1673" s="111">
        <v>46265</v>
      </c>
      <c r="B1673" t="s">
        <v>219</v>
      </c>
      <c r="C1673" s="95"/>
      <c r="D1673" s="95">
        <v>11000</v>
      </c>
      <c r="E1673" t="s">
        <v>1155</v>
      </c>
      <c r="F1673" s="108" t="s">
        <v>108</v>
      </c>
      <c r="J1673" s="117">
        <v>46242</v>
      </c>
      <c r="K1673">
        <v>6000</v>
      </c>
    </row>
    <row r="1674" spans="1:11" x14ac:dyDescent="0.3">
      <c r="A1674" s="111">
        <v>46266</v>
      </c>
      <c r="B1674" t="s">
        <v>55</v>
      </c>
      <c r="C1674" s="11">
        <v>11166</v>
      </c>
      <c r="D1674" s="11"/>
      <c r="E1674" t="s">
        <v>259</v>
      </c>
      <c r="F1674" s="108" t="s">
        <v>108</v>
      </c>
      <c r="J1674" t="s">
        <v>157</v>
      </c>
      <c r="K1674">
        <f>SUM(K1667:K1673)</f>
        <v>60000</v>
      </c>
    </row>
    <row r="1675" spans="1:11" x14ac:dyDescent="0.3">
      <c r="A1675" s="111">
        <v>46266</v>
      </c>
      <c r="B1675" t="s">
        <v>219</v>
      </c>
      <c r="C1675" s="11"/>
      <c r="D1675" s="11">
        <v>11166</v>
      </c>
      <c r="E1675" t="s">
        <v>259</v>
      </c>
      <c r="F1675" s="108" t="s">
        <v>108</v>
      </c>
    </row>
    <row r="1676" spans="1:11" x14ac:dyDescent="0.3">
      <c r="A1676" s="111">
        <v>46266</v>
      </c>
      <c r="B1676" t="s">
        <v>219</v>
      </c>
      <c r="C1676" s="11"/>
      <c r="D1676" s="11">
        <v>200000</v>
      </c>
      <c r="E1676" t="s">
        <v>1167</v>
      </c>
      <c r="F1676" s="108" t="s">
        <v>108</v>
      </c>
    </row>
    <row r="1677" spans="1:11" x14ac:dyDescent="0.3">
      <c r="A1677" s="111">
        <v>46266</v>
      </c>
      <c r="B1677" t="s">
        <v>222</v>
      </c>
      <c r="C1677" s="11">
        <v>200000</v>
      </c>
      <c r="D1677" s="11"/>
      <c r="E1677" t="s">
        <v>1168</v>
      </c>
      <c r="F1677" s="108" t="s">
        <v>108</v>
      </c>
    </row>
    <row r="1678" spans="1:11" x14ac:dyDescent="0.3">
      <c r="A1678" s="111">
        <v>46266</v>
      </c>
      <c r="B1678" t="s">
        <v>55</v>
      </c>
      <c r="C1678" s="11">
        <v>5200</v>
      </c>
      <c r="D1678" s="11"/>
      <c r="E1678" t="s">
        <v>1024</v>
      </c>
      <c r="F1678" s="108" t="s">
        <v>108</v>
      </c>
    </row>
    <row r="1679" spans="1:11" x14ac:dyDescent="0.3">
      <c r="A1679" s="111">
        <v>46266</v>
      </c>
      <c r="B1679" t="s">
        <v>219</v>
      </c>
      <c r="C1679" s="11"/>
      <c r="D1679" s="11">
        <v>5200</v>
      </c>
      <c r="E1679" t="s">
        <v>1024</v>
      </c>
      <c r="F1679" s="108" t="s">
        <v>108</v>
      </c>
    </row>
    <row r="1680" spans="1:11" x14ac:dyDescent="0.3">
      <c r="A1680" s="111">
        <v>46266</v>
      </c>
      <c r="B1680" t="s">
        <v>211</v>
      </c>
      <c r="C1680" s="11">
        <v>230</v>
      </c>
      <c r="D1680" s="11"/>
      <c r="F1680" s="108" t="s">
        <v>108</v>
      </c>
    </row>
    <row r="1681" spans="1:6" x14ac:dyDescent="0.3">
      <c r="A1681" s="111">
        <v>46266</v>
      </c>
      <c r="B1681" t="s">
        <v>244</v>
      </c>
      <c r="C1681" s="11">
        <v>1450</v>
      </c>
      <c r="D1681" s="11"/>
      <c r="E1681" t="s">
        <v>1169</v>
      </c>
      <c r="F1681" s="108" t="s">
        <v>108</v>
      </c>
    </row>
    <row r="1682" spans="1:6" x14ac:dyDescent="0.3">
      <c r="A1682" s="111">
        <v>46266</v>
      </c>
      <c r="B1682" t="s">
        <v>244</v>
      </c>
      <c r="C1682" s="11">
        <v>675</v>
      </c>
      <c r="D1682" s="11"/>
      <c r="E1682" t="s">
        <v>435</v>
      </c>
      <c r="F1682" s="108" t="s">
        <v>108</v>
      </c>
    </row>
    <row r="1683" spans="1:6" x14ac:dyDescent="0.3">
      <c r="A1683" s="111">
        <v>46266</v>
      </c>
      <c r="B1683" t="s">
        <v>219</v>
      </c>
      <c r="C1683" s="11"/>
      <c r="D1683" s="11">
        <v>30000</v>
      </c>
      <c r="E1683" t="s">
        <v>1170</v>
      </c>
      <c r="F1683" s="108" t="s">
        <v>108</v>
      </c>
    </row>
    <row r="1684" spans="1:6" x14ac:dyDescent="0.3">
      <c r="A1684" s="111">
        <v>46266</v>
      </c>
      <c r="B1684" t="s">
        <v>269</v>
      </c>
      <c r="C1684" s="11">
        <v>5000</v>
      </c>
      <c r="D1684" s="11"/>
      <c r="E1684" t="s">
        <v>1171</v>
      </c>
      <c r="F1684" s="108" t="s">
        <v>108</v>
      </c>
    </row>
    <row r="1685" spans="1:6" x14ac:dyDescent="0.3">
      <c r="A1685" s="111">
        <v>46266</v>
      </c>
      <c r="B1685" t="s">
        <v>219</v>
      </c>
      <c r="C1685" s="11"/>
      <c r="D1685" s="11">
        <v>3000</v>
      </c>
      <c r="E1685" t="s">
        <v>386</v>
      </c>
      <c r="F1685" s="108" t="s">
        <v>108</v>
      </c>
    </row>
    <row r="1686" spans="1:6" x14ac:dyDescent="0.3">
      <c r="A1686" s="111">
        <v>46266</v>
      </c>
      <c r="B1686" t="s">
        <v>386</v>
      </c>
      <c r="C1686" s="11">
        <v>2000</v>
      </c>
      <c r="D1686" s="11"/>
      <c r="E1686" t="s">
        <v>776</v>
      </c>
      <c r="F1686" s="108" t="s">
        <v>108</v>
      </c>
    </row>
    <row r="1687" spans="1:6" x14ac:dyDescent="0.3">
      <c r="A1687" s="111">
        <v>46266</v>
      </c>
      <c r="B1687" t="s">
        <v>253</v>
      </c>
      <c r="C1687" s="11">
        <v>18000</v>
      </c>
      <c r="D1687" s="11"/>
      <c r="E1687" t="s">
        <v>1172</v>
      </c>
      <c r="F1687" s="108" t="s">
        <v>108</v>
      </c>
    </row>
    <row r="1688" spans="1:6" x14ac:dyDescent="0.3">
      <c r="A1688" s="111">
        <v>46266</v>
      </c>
      <c r="B1688" t="s">
        <v>55</v>
      </c>
      <c r="C1688" s="95">
        <v>5800</v>
      </c>
      <c r="D1688" s="95"/>
      <c r="F1688" s="108" t="s">
        <v>108</v>
      </c>
    </row>
    <row r="1689" spans="1:6" x14ac:dyDescent="0.3">
      <c r="A1689" s="111">
        <v>46266</v>
      </c>
      <c r="B1689" t="s">
        <v>357</v>
      </c>
      <c r="C1689" s="11">
        <v>2900</v>
      </c>
      <c r="D1689" s="11"/>
      <c r="F1689" s="108" t="s">
        <v>108</v>
      </c>
    </row>
    <row r="1690" spans="1:6" x14ac:dyDescent="0.3">
      <c r="A1690" s="111">
        <v>46266</v>
      </c>
      <c r="B1690" t="s">
        <v>298</v>
      </c>
      <c r="C1690" s="11">
        <v>2000</v>
      </c>
      <c r="D1690" s="11"/>
      <c r="E1690" t="s">
        <v>692</v>
      </c>
      <c r="F1690" s="108" t="s">
        <v>108</v>
      </c>
    </row>
    <row r="1691" spans="1:6" x14ac:dyDescent="0.3">
      <c r="A1691" s="111">
        <v>46266</v>
      </c>
      <c r="B1691" t="s">
        <v>219</v>
      </c>
      <c r="C1691" s="11"/>
      <c r="D1691" s="11">
        <v>15000</v>
      </c>
      <c r="E1691" t="s">
        <v>1173</v>
      </c>
      <c r="F1691" s="108" t="s">
        <v>108</v>
      </c>
    </row>
    <row r="1692" spans="1:6" x14ac:dyDescent="0.3">
      <c r="A1692" s="111">
        <v>46266</v>
      </c>
      <c r="B1692" t="s">
        <v>55</v>
      </c>
      <c r="C1692" s="11">
        <v>11166</v>
      </c>
      <c r="D1692" s="11"/>
      <c r="E1692" t="s">
        <v>259</v>
      </c>
      <c r="F1692" s="108" t="s">
        <v>108</v>
      </c>
    </row>
    <row r="1693" spans="1:6" x14ac:dyDescent="0.3">
      <c r="A1693" s="111">
        <v>46266</v>
      </c>
      <c r="B1693" t="s">
        <v>219</v>
      </c>
      <c r="C1693" s="11">
        <v>11000</v>
      </c>
      <c r="D1693" s="11"/>
      <c r="E1693" t="s">
        <v>1174</v>
      </c>
      <c r="F1693" s="108" t="s">
        <v>108</v>
      </c>
    </row>
    <row r="1694" spans="1:6" x14ac:dyDescent="0.3">
      <c r="A1694" s="111">
        <v>46266</v>
      </c>
      <c r="B1694" t="s">
        <v>1175</v>
      </c>
      <c r="C1694" s="11"/>
      <c r="D1694" s="11">
        <v>11000</v>
      </c>
      <c r="E1694" t="s">
        <v>1174</v>
      </c>
      <c r="F1694" s="108" t="s">
        <v>108</v>
      </c>
    </row>
    <row r="1695" spans="1:6" x14ac:dyDescent="0.3">
      <c r="A1695" s="111">
        <v>46266</v>
      </c>
      <c r="B1695" t="s">
        <v>219</v>
      </c>
      <c r="C1695" s="11"/>
      <c r="D1695" s="11">
        <v>5000</v>
      </c>
      <c r="E1695" t="s">
        <v>1176</v>
      </c>
      <c r="F1695" s="108" t="s">
        <v>108</v>
      </c>
    </row>
    <row r="1696" spans="1:6" x14ac:dyDescent="0.3">
      <c r="A1696" s="111">
        <v>46266</v>
      </c>
      <c r="B1696" t="s">
        <v>244</v>
      </c>
      <c r="C1696" s="11">
        <v>5000</v>
      </c>
      <c r="D1696" s="11"/>
      <c r="E1696" t="s">
        <v>346</v>
      </c>
      <c r="F1696" s="108" t="s">
        <v>108</v>
      </c>
    </row>
    <row r="1697" spans="1:6" x14ac:dyDescent="0.3">
      <c r="A1697" s="111">
        <v>46266</v>
      </c>
      <c r="B1697" t="s">
        <v>219</v>
      </c>
      <c r="C1697" s="11"/>
      <c r="D1697" s="11">
        <v>5000</v>
      </c>
      <c r="E1697" t="s">
        <v>346</v>
      </c>
      <c r="F1697" s="108" t="s">
        <v>108</v>
      </c>
    </row>
    <row r="1698" spans="1:6" x14ac:dyDescent="0.3">
      <c r="A1698" s="111">
        <v>46266</v>
      </c>
      <c r="B1698" t="s">
        <v>367</v>
      </c>
      <c r="C1698" s="11"/>
      <c r="D1698" s="11">
        <v>7418</v>
      </c>
      <c r="E1698" t="s">
        <v>54</v>
      </c>
      <c r="F1698" s="108" t="s">
        <v>108</v>
      </c>
    </row>
    <row r="1699" spans="1:6" x14ac:dyDescent="0.3">
      <c r="A1699" s="111">
        <v>46267</v>
      </c>
      <c r="B1699" t="s">
        <v>211</v>
      </c>
      <c r="C1699" s="11">
        <v>780</v>
      </c>
      <c r="D1699" s="11"/>
      <c r="F1699" s="108" t="s">
        <v>108</v>
      </c>
    </row>
    <row r="1700" spans="1:6" x14ac:dyDescent="0.3">
      <c r="A1700" s="111">
        <v>46267</v>
      </c>
      <c r="B1700" t="s">
        <v>219</v>
      </c>
      <c r="C1700" s="11"/>
      <c r="D1700" s="11">
        <v>20500</v>
      </c>
      <c r="E1700" t="s">
        <v>981</v>
      </c>
      <c r="F1700" s="108" t="s">
        <v>108</v>
      </c>
    </row>
    <row r="1701" spans="1:6" x14ac:dyDescent="0.3">
      <c r="A1701" s="111">
        <v>46267</v>
      </c>
      <c r="B1701" t="s">
        <v>219</v>
      </c>
      <c r="C1701" s="11"/>
      <c r="D1701" s="11">
        <v>14000</v>
      </c>
      <c r="E1701" t="s">
        <v>1177</v>
      </c>
      <c r="F1701" s="108" t="s">
        <v>108</v>
      </c>
    </row>
    <row r="1702" spans="1:6" x14ac:dyDescent="0.3">
      <c r="A1702" s="111">
        <v>46267</v>
      </c>
      <c r="B1702" t="s">
        <v>253</v>
      </c>
      <c r="C1702" s="11">
        <v>20500</v>
      </c>
      <c r="D1702" s="11"/>
      <c r="E1702" t="s">
        <v>981</v>
      </c>
      <c r="F1702" s="108" t="s">
        <v>108</v>
      </c>
    </row>
    <row r="1703" spans="1:6" x14ac:dyDescent="0.3">
      <c r="A1703" s="111">
        <v>46267</v>
      </c>
      <c r="B1703" t="s">
        <v>386</v>
      </c>
      <c r="C1703" s="11">
        <v>14000</v>
      </c>
      <c r="D1703" s="11"/>
      <c r="E1703" t="s">
        <v>1177</v>
      </c>
      <c r="F1703" s="108" t="s">
        <v>108</v>
      </c>
    </row>
    <row r="1704" spans="1:6" x14ac:dyDescent="0.3">
      <c r="A1704" s="111">
        <v>46267</v>
      </c>
      <c r="B1704" t="s">
        <v>357</v>
      </c>
      <c r="C1704" s="11">
        <v>2900</v>
      </c>
      <c r="D1704" s="11"/>
      <c r="E1704" t="s">
        <v>392</v>
      </c>
      <c r="F1704" s="108" t="s">
        <v>108</v>
      </c>
    </row>
    <row r="1705" spans="1:6" x14ac:dyDescent="0.3">
      <c r="A1705" s="111">
        <v>46267</v>
      </c>
      <c r="B1705" t="s">
        <v>219</v>
      </c>
      <c r="C1705" s="11"/>
      <c r="D1705" s="11">
        <v>24000</v>
      </c>
      <c r="E1705" t="s">
        <v>1251</v>
      </c>
      <c r="F1705" s="108" t="s">
        <v>108</v>
      </c>
    </row>
    <row r="1706" spans="1:6" x14ac:dyDescent="0.3">
      <c r="A1706" s="111">
        <v>46267</v>
      </c>
      <c r="B1706" t="s">
        <v>298</v>
      </c>
      <c r="C1706" s="11">
        <v>15000</v>
      </c>
      <c r="D1706" s="11"/>
      <c r="E1706" t="s">
        <v>692</v>
      </c>
      <c r="F1706" s="108" t="s">
        <v>108</v>
      </c>
    </row>
    <row r="1707" spans="1:6" x14ac:dyDescent="0.3">
      <c r="A1707" s="111">
        <v>46267</v>
      </c>
      <c r="B1707" t="s">
        <v>488</v>
      </c>
      <c r="C1707" s="11">
        <v>3500</v>
      </c>
      <c r="D1707" s="11"/>
      <c r="E1707" t="s">
        <v>1088</v>
      </c>
      <c r="F1707" s="108" t="s">
        <v>108</v>
      </c>
    </row>
    <row r="1708" spans="1:6" x14ac:dyDescent="0.3">
      <c r="A1708" s="111">
        <v>46267</v>
      </c>
      <c r="B1708" t="s">
        <v>269</v>
      </c>
      <c r="C1708" s="11">
        <v>3000</v>
      </c>
      <c r="D1708" s="11"/>
      <c r="E1708" t="s">
        <v>288</v>
      </c>
      <c r="F1708" s="108" t="s">
        <v>108</v>
      </c>
    </row>
    <row r="1709" spans="1:6" x14ac:dyDescent="0.3">
      <c r="A1709" s="111">
        <v>46267</v>
      </c>
      <c r="B1709" t="s">
        <v>219</v>
      </c>
      <c r="C1709" s="11"/>
      <c r="D1709" s="11">
        <v>20000</v>
      </c>
      <c r="E1709" t="s">
        <v>1178</v>
      </c>
      <c r="F1709" s="108" t="s">
        <v>108</v>
      </c>
    </row>
    <row r="1710" spans="1:6" x14ac:dyDescent="0.3">
      <c r="A1710" s="111">
        <v>46267</v>
      </c>
      <c r="B1710" t="s">
        <v>298</v>
      </c>
      <c r="C1710" s="11">
        <v>5000</v>
      </c>
      <c r="D1710" s="11"/>
      <c r="E1710" t="s">
        <v>692</v>
      </c>
      <c r="F1710" s="108" t="s">
        <v>108</v>
      </c>
    </row>
    <row r="1711" spans="1:6" x14ac:dyDescent="0.3">
      <c r="A1711" s="111">
        <v>46267</v>
      </c>
      <c r="B1711" t="s">
        <v>269</v>
      </c>
      <c r="C1711" s="11">
        <v>15000</v>
      </c>
      <c r="D1711" s="11"/>
      <c r="E1711" t="s">
        <v>665</v>
      </c>
      <c r="F1711" s="108" t="s">
        <v>108</v>
      </c>
    </row>
    <row r="1712" spans="1:6" x14ac:dyDescent="0.3">
      <c r="A1712" s="111">
        <v>46267</v>
      </c>
      <c r="B1712" t="s">
        <v>55</v>
      </c>
      <c r="C1712" s="11">
        <v>11181</v>
      </c>
      <c r="D1712" s="11"/>
      <c r="E1712" t="s">
        <v>259</v>
      </c>
      <c r="F1712" s="108" t="s">
        <v>108</v>
      </c>
    </row>
    <row r="1713" spans="1:6" x14ac:dyDescent="0.3">
      <c r="A1713" s="111">
        <v>46268</v>
      </c>
      <c r="B1713" t="s">
        <v>211</v>
      </c>
      <c r="C1713" s="11">
        <v>300</v>
      </c>
      <c r="D1713" s="11"/>
      <c r="F1713" s="108" t="s">
        <v>108</v>
      </c>
    </row>
    <row r="1714" spans="1:6" x14ac:dyDescent="0.3">
      <c r="A1714" s="111">
        <v>46268</v>
      </c>
      <c r="B1714" t="s">
        <v>55</v>
      </c>
      <c r="C1714" s="11">
        <v>1900</v>
      </c>
      <c r="D1714" s="11"/>
      <c r="F1714" s="108" t="s">
        <v>108</v>
      </c>
    </row>
    <row r="1715" spans="1:6" x14ac:dyDescent="0.3">
      <c r="A1715" s="111">
        <v>46268</v>
      </c>
      <c r="B1715" t="s">
        <v>219</v>
      </c>
      <c r="C1715" s="11"/>
      <c r="D1715" s="11">
        <v>1900</v>
      </c>
      <c r="E1715" t="s">
        <v>521</v>
      </c>
      <c r="F1715" s="108" t="s">
        <v>108</v>
      </c>
    </row>
    <row r="1716" spans="1:6" x14ac:dyDescent="0.3">
      <c r="A1716" s="111">
        <v>46268</v>
      </c>
      <c r="B1716" t="s">
        <v>367</v>
      </c>
      <c r="C1716" s="11"/>
      <c r="D1716" s="11">
        <v>500000</v>
      </c>
      <c r="E1716" t="s">
        <v>1179</v>
      </c>
      <c r="F1716" s="108" t="s">
        <v>108</v>
      </c>
    </row>
    <row r="1717" spans="1:6" x14ac:dyDescent="0.3">
      <c r="A1717" s="111">
        <v>46268</v>
      </c>
      <c r="B1717" t="s">
        <v>219</v>
      </c>
      <c r="C1717" s="11">
        <v>450000</v>
      </c>
      <c r="D1717" s="11"/>
      <c r="E1717" t="s">
        <v>1180</v>
      </c>
      <c r="F1717" s="108" t="s">
        <v>108</v>
      </c>
    </row>
    <row r="1718" spans="1:6" x14ac:dyDescent="0.3">
      <c r="A1718" s="111">
        <v>46268</v>
      </c>
      <c r="B1718" t="s">
        <v>488</v>
      </c>
      <c r="C1718" s="11">
        <v>1500</v>
      </c>
      <c r="D1718" s="11"/>
      <c r="E1718" t="s">
        <v>1088</v>
      </c>
      <c r="F1718" s="108" t="s">
        <v>108</v>
      </c>
    </row>
    <row r="1719" spans="1:6" x14ac:dyDescent="0.3">
      <c r="A1719" s="111">
        <v>46268</v>
      </c>
      <c r="B1719" t="s">
        <v>269</v>
      </c>
      <c r="C1719" s="11">
        <v>20000</v>
      </c>
      <c r="D1719" s="11"/>
      <c r="E1719" t="s">
        <v>1181</v>
      </c>
      <c r="F1719" s="108" t="s">
        <v>108</v>
      </c>
    </row>
    <row r="1720" spans="1:6" x14ac:dyDescent="0.3">
      <c r="A1720" s="111">
        <v>46268</v>
      </c>
      <c r="B1720" t="s">
        <v>244</v>
      </c>
      <c r="C1720" s="11">
        <v>5000</v>
      </c>
      <c r="D1720" s="11"/>
      <c r="E1720" t="s">
        <v>1182</v>
      </c>
      <c r="F1720" s="108" t="s">
        <v>108</v>
      </c>
    </row>
    <row r="1721" spans="1:6" x14ac:dyDescent="0.3">
      <c r="A1721" s="111">
        <v>46268</v>
      </c>
      <c r="B1721" t="s">
        <v>253</v>
      </c>
      <c r="C1721" s="11">
        <v>10000</v>
      </c>
      <c r="D1721" s="11"/>
      <c r="E1721" t="s">
        <v>706</v>
      </c>
      <c r="F1721" s="108" t="s">
        <v>108</v>
      </c>
    </row>
    <row r="1722" spans="1:6" x14ac:dyDescent="0.3">
      <c r="A1722" s="111">
        <v>46268</v>
      </c>
      <c r="B1722" t="s">
        <v>55</v>
      </c>
      <c r="C1722" s="11">
        <v>2200</v>
      </c>
      <c r="D1722" s="11"/>
      <c r="F1722" s="108" t="s">
        <v>108</v>
      </c>
    </row>
    <row r="1723" spans="1:6" x14ac:dyDescent="0.3">
      <c r="A1723" s="111">
        <v>46268</v>
      </c>
      <c r="B1723" t="s">
        <v>55</v>
      </c>
      <c r="C1723" s="11">
        <v>1470</v>
      </c>
      <c r="D1723" s="11"/>
      <c r="F1723" s="108" t="s">
        <v>108</v>
      </c>
    </row>
    <row r="1724" spans="1:6" x14ac:dyDescent="0.3">
      <c r="A1724" s="111">
        <v>46268</v>
      </c>
      <c r="B1724" t="s">
        <v>357</v>
      </c>
      <c r="C1724" s="11">
        <v>2900</v>
      </c>
      <c r="D1724" s="11"/>
      <c r="F1724" s="108" t="s">
        <v>108</v>
      </c>
    </row>
    <row r="1725" spans="1:6" x14ac:dyDescent="0.3">
      <c r="A1725" s="111">
        <v>46268</v>
      </c>
      <c r="B1725" t="s">
        <v>55</v>
      </c>
      <c r="C1725" s="11">
        <v>11215</v>
      </c>
      <c r="D1725" s="11"/>
      <c r="E1725" t="s">
        <v>259</v>
      </c>
      <c r="F1725" s="108" t="s">
        <v>108</v>
      </c>
    </row>
    <row r="1726" spans="1:6" x14ac:dyDescent="0.3">
      <c r="A1726" s="111">
        <v>46268</v>
      </c>
      <c r="B1726" t="s">
        <v>219</v>
      </c>
      <c r="C1726" s="11"/>
      <c r="D1726" s="11">
        <v>11215</v>
      </c>
      <c r="E1726" t="s">
        <v>259</v>
      </c>
      <c r="F1726" s="108" t="s">
        <v>108</v>
      </c>
    </row>
    <row r="1727" spans="1:6" x14ac:dyDescent="0.3">
      <c r="A1727" s="111">
        <v>46268</v>
      </c>
      <c r="B1727" t="s">
        <v>219</v>
      </c>
      <c r="C1727" s="95"/>
      <c r="D1727" s="95">
        <v>19000</v>
      </c>
      <c r="E1727" t="s">
        <v>298</v>
      </c>
      <c r="F1727" s="108"/>
    </row>
    <row r="1728" spans="1:6" x14ac:dyDescent="0.3">
      <c r="A1728" s="111">
        <v>46268</v>
      </c>
      <c r="B1728" t="s">
        <v>298</v>
      </c>
      <c r="C1728" s="11">
        <v>19000</v>
      </c>
      <c r="D1728" s="11"/>
      <c r="E1728" t="s">
        <v>692</v>
      </c>
      <c r="F1728" s="108"/>
    </row>
    <row r="1729" spans="1:6" x14ac:dyDescent="0.3">
      <c r="A1729" s="111">
        <v>46268</v>
      </c>
      <c r="B1729" t="s">
        <v>219</v>
      </c>
      <c r="C1729" s="11"/>
      <c r="D1729" s="11">
        <v>6000</v>
      </c>
      <c r="E1729" t="s">
        <v>1265</v>
      </c>
      <c r="F1729" s="108"/>
    </row>
    <row r="1730" spans="1:6" x14ac:dyDescent="0.3">
      <c r="A1730" s="111">
        <v>46268</v>
      </c>
      <c r="B1730" t="s">
        <v>219</v>
      </c>
      <c r="C1730" s="11"/>
      <c r="D1730" s="11">
        <v>6000</v>
      </c>
      <c r="E1730" t="s">
        <v>1289</v>
      </c>
      <c r="F1730" s="108"/>
    </row>
    <row r="1731" spans="1:6" x14ac:dyDescent="0.3">
      <c r="A1731" s="111">
        <v>46268</v>
      </c>
      <c r="B1731" t="s">
        <v>269</v>
      </c>
      <c r="C1731" s="11">
        <v>6000</v>
      </c>
      <c r="D1731" s="11"/>
      <c r="E1731" t="s">
        <v>1265</v>
      </c>
      <c r="F1731" s="108"/>
    </row>
    <row r="1732" spans="1:6" x14ac:dyDescent="0.3">
      <c r="A1732" s="111">
        <v>46268</v>
      </c>
      <c r="B1732" t="s">
        <v>488</v>
      </c>
      <c r="C1732" s="11">
        <v>6000</v>
      </c>
      <c r="D1732" s="11"/>
      <c r="E1732" t="s">
        <v>1289</v>
      </c>
      <c r="F1732" s="108"/>
    </row>
    <row r="1733" spans="1:6" x14ac:dyDescent="0.3">
      <c r="A1733" s="111">
        <v>46269</v>
      </c>
      <c r="B1733" t="s">
        <v>219</v>
      </c>
      <c r="C1733" s="11"/>
      <c r="D1733" s="11">
        <v>300000</v>
      </c>
      <c r="E1733" t="s">
        <v>1183</v>
      </c>
      <c r="F1733" s="108" t="s">
        <v>108</v>
      </c>
    </row>
    <row r="1734" spans="1:6" x14ac:dyDescent="0.3">
      <c r="A1734" s="111">
        <v>46269</v>
      </c>
      <c r="B1734" t="s">
        <v>1116</v>
      </c>
      <c r="C1734" s="11">
        <v>300000</v>
      </c>
      <c r="D1734" s="11"/>
      <c r="E1734" t="s">
        <v>1184</v>
      </c>
      <c r="F1734" s="108" t="s">
        <v>108</v>
      </c>
    </row>
    <row r="1735" spans="1:6" x14ac:dyDescent="0.3">
      <c r="A1735" s="111">
        <v>46269</v>
      </c>
      <c r="B1735" t="s">
        <v>1185</v>
      </c>
      <c r="C1735" s="11"/>
      <c r="D1735" s="11">
        <v>300000</v>
      </c>
      <c r="E1735" t="s">
        <v>1186</v>
      </c>
      <c r="F1735" s="108" t="s">
        <v>108</v>
      </c>
    </row>
    <row r="1736" spans="1:6" x14ac:dyDescent="0.3">
      <c r="A1736" s="111">
        <v>46269</v>
      </c>
      <c r="B1736" t="s">
        <v>219</v>
      </c>
      <c r="C1736" s="11">
        <v>300000</v>
      </c>
      <c r="D1736" s="11"/>
      <c r="E1736" t="s">
        <v>1187</v>
      </c>
      <c r="F1736" s="108" t="s">
        <v>108</v>
      </c>
    </row>
    <row r="1737" spans="1:6" x14ac:dyDescent="0.3">
      <c r="A1737" s="111">
        <v>46269</v>
      </c>
      <c r="B1737" t="s">
        <v>219</v>
      </c>
      <c r="C1737" s="11"/>
      <c r="D1737" s="11">
        <v>42000</v>
      </c>
      <c r="E1737" t="s">
        <v>1188</v>
      </c>
      <c r="F1737" s="108" t="s">
        <v>108</v>
      </c>
    </row>
    <row r="1738" spans="1:6" x14ac:dyDescent="0.3">
      <c r="A1738" s="111">
        <v>46269</v>
      </c>
      <c r="B1738" t="s">
        <v>269</v>
      </c>
      <c r="C1738" s="11">
        <v>42000</v>
      </c>
      <c r="D1738" s="11"/>
      <c r="E1738" t="s">
        <v>1171</v>
      </c>
      <c r="F1738" s="108" t="s">
        <v>108</v>
      </c>
    </row>
    <row r="1739" spans="1:6" x14ac:dyDescent="0.3">
      <c r="A1739" s="111">
        <v>46269</v>
      </c>
      <c r="B1739" t="s">
        <v>219</v>
      </c>
      <c r="C1739" s="11"/>
      <c r="D1739" s="11">
        <v>7000</v>
      </c>
      <c r="E1739" t="s">
        <v>1189</v>
      </c>
      <c r="F1739" s="108" t="s">
        <v>108</v>
      </c>
    </row>
    <row r="1740" spans="1:6" x14ac:dyDescent="0.3">
      <c r="A1740" s="111">
        <v>46269</v>
      </c>
      <c r="B1740" t="s">
        <v>357</v>
      </c>
      <c r="C1740" s="11">
        <v>3660</v>
      </c>
      <c r="D1740" s="11"/>
      <c r="F1740" s="108" t="s">
        <v>108</v>
      </c>
    </row>
    <row r="1741" spans="1:6" x14ac:dyDescent="0.3">
      <c r="A1741" s="111">
        <v>46269</v>
      </c>
      <c r="B1741" t="s">
        <v>55</v>
      </c>
      <c r="C1741" s="11">
        <v>1100</v>
      </c>
      <c r="D1741" s="11"/>
      <c r="F1741" s="108" t="s">
        <v>108</v>
      </c>
    </row>
    <row r="1742" spans="1:6" x14ac:dyDescent="0.3">
      <c r="A1742" s="111">
        <v>46269</v>
      </c>
      <c r="B1742" t="s">
        <v>219</v>
      </c>
      <c r="C1742" s="11"/>
      <c r="D1742" s="11">
        <v>79000</v>
      </c>
      <c r="E1742" t="s">
        <v>1190</v>
      </c>
      <c r="F1742" s="108" t="s">
        <v>108</v>
      </c>
    </row>
    <row r="1743" spans="1:6" x14ac:dyDescent="0.3">
      <c r="A1743" s="111">
        <v>46269</v>
      </c>
      <c r="B1743" t="s">
        <v>222</v>
      </c>
      <c r="C1743" s="11">
        <v>79000</v>
      </c>
      <c r="D1743" s="11"/>
      <c r="E1743" t="s">
        <v>240</v>
      </c>
      <c r="F1743" s="108" t="s">
        <v>108</v>
      </c>
    </row>
    <row r="1744" spans="1:6" x14ac:dyDescent="0.3">
      <c r="A1744" s="111">
        <v>46269</v>
      </c>
      <c r="B1744" t="s">
        <v>219</v>
      </c>
      <c r="C1744" s="11"/>
      <c r="D1744" s="11">
        <v>8000</v>
      </c>
      <c r="E1744" t="s">
        <v>1191</v>
      </c>
      <c r="F1744" s="108" t="s">
        <v>108</v>
      </c>
    </row>
    <row r="1745" spans="1:13" x14ac:dyDescent="0.3">
      <c r="A1745" s="111">
        <v>46269</v>
      </c>
      <c r="B1745" t="s">
        <v>269</v>
      </c>
      <c r="C1745" s="11">
        <v>8000</v>
      </c>
      <c r="D1745" s="11"/>
      <c r="E1745" t="s">
        <v>1191</v>
      </c>
      <c r="F1745" s="108" t="s">
        <v>108</v>
      </c>
    </row>
    <row r="1746" spans="1:13" x14ac:dyDescent="0.3">
      <c r="A1746" s="111">
        <v>46269</v>
      </c>
      <c r="B1746" t="s">
        <v>488</v>
      </c>
      <c r="C1746" s="11">
        <v>2200</v>
      </c>
      <c r="D1746" s="11"/>
      <c r="E1746" t="s">
        <v>1192</v>
      </c>
      <c r="F1746" s="108" t="s">
        <v>108</v>
      </c>
    </row>
    <row r="1747" spans="1:13" x14ac:dyDescent="0.3">
      <c r="A1747" s="111">
        <v>46269</v>
      </c>
      <c r="B1747" t="s">
        <v>219</v>
      </c>
      <c r="C1747" s="11"/>
      <c r="D1747" s="11">
        <v>10000</v>
      </c>
      <c r="E1747" t="s">
        <v>320</v>
      </c>
      <c r="F1747" s="108" t="s">
        <v>108</v>
      </c>
      <c r="J1747">
        <v>7600</v>
      </c>
      <c r="K1747">
        <v>6800</v>
      </c>
      <c r="L1747">
        <v>14300</v>
      </c>
      <c r="M1747">
        <v>14800</v>
      </c>
    </row>
    <row r="1748" spans="1:13" x14ac:dyDescent="0.3">
      <c r="A1748" s="111">
        <v>46269</v>
      </c>
      <c r="B1748" t="s">
        <v>386</v>
      </c>
      <c r="C1748" s="11">
        <v>8000</v>
      </c>
      <c r="D1748" s="11"/>
      <c r="E1748" t="s">
        <v>1177</v>
      </c>
      <c r="F1748" s="108" t="s">
        <v>108</v>
      </c>
      <c r="J1748">
        <v>7200</v>
      </c>
      <c r="K1748">
        <v>7500</v>
      </c>
      <c r="L1748">
        <v>23320</v>
      </c>
      <c r="M1748">
        <v>15160</v>
      </c>
    </row>
    <row r="1749" spans="1:13" x14ac:dyDescent="0.3">
      <c r="A1749" s="111">
        <v>46269</v>
      </c>
      <c r="B1749" t="s">
        <v>357</v>
      </c>
      <c r="C1749" s="11">
        <v>5170</v>
      </c>
      <c r="D1749" s="11"/>
      <c r="F1749" s="108" t="s">
        <v>108</v>
      </c>
      <c r="J1749">
        <v>6400</v>
      </c>
      <c r="K1749">
        <v>3750</v>
      </c>
      <c r="L1749">
        <v>14930</v>
      </c>
      <c r="M1749">
        <v>5330</v>
      </c>
    </row>
    <row r="1750" spans="1:13" x14ac:dyDescent="0.3">
      <c r="A1750" s="111">
        <v>46269</v>
      </c>
      <c r="B1750" t="s">
        <v>219</v>
      </c>
      <c r="C1750" s="11"/>
      <c r="D1750" s="11">
        <v>13400</v>
      </c>
      <c r="E1750" t="s">
        <v>1195</v>
      </c>
      <c r="F1750" s="108" t="s">
        <v>108</v>
      </c>
      <c r="J1750">
        <v>5330</v>
      </c>
      <c r="K1750">
        <v>6250</v>
      </c>
      <c r="L1750">
        <v>6850</v>
      </c>
      <c r="M1750">
        <v>22400</v>
      </c>
    </row>
    <row r="1751" spans="1:13" x14ac:dyDescent="0.3">
      <c r="A1751" s="111">
        <v>46269</v>
      </c>
      <c r="B1751" t="s">
        <v>55</v>
      </c>
      <c r="C1751" s="11">
        <v>11395</v>
      </c>
      <c r="D1751" s="11"/>
      <c r="E1751" t="s">
        <v>259</v>
      </c>
      <c r="F1751" s="108" t="s">
        <v>108</v>
      </c>
      <c r="J1751">
        <v>5330</v>
      </c>
      <c r="K1751">
        <v>7500</v>
      </c>
      <c r="L1751">
        <v>22912</v>
      </c>
      <c r="M1751">
        <v>14650</v>
      </c>
    </row>
    <row r="1752" spans="1:13" x14ac:dyDescent="0.3">
      <c r="A1752" s="111">
        <v>46269</v>
      </c>
      <c r="B1752" t="s">
        <v>219</v>
      </c>
      <c r="C1752" s="11"/>
      <c r="D1752" s="11">
        <v>275000</v>
      </c>
      <c r="E1752" t="s">
        <v>1252</v>
      </c>
      <c r="F1752" s="108" t="s">
        <v>108</v>
      </c>
      <c r="J1752">
        <v>15158</v>
      </c>
      <c r="K1752">
        <v>23320</v>
      </c>
      <c r="L1752">
        <v>6250</v>
      </c>
    </row>
    <row r="1753" spans="1:13" x14ac:dyDescent="0.3">
      <c r="A1753" s="111">
        <v>46269</v>
      </c>
      <c r="B1753" t="s">
        <v>219</v>
      </c>
      <c r="C1753" s="11"/>
      <c r="D1753" s="11">
        <v>200000</v>
      </c>
      <c r="E1753" t="s">
        <v>109</v>
      </c>
      <c r="F1753" s="108" t="s">
        <v>108</v>
      </c>
      <c r="J1753">
        <v>22400</v>
      </c>
      <c r="K1753">
        <v>15000</v>
      </c>
      <c r="L1753">
        <v>7500</v>
      </c>
      <c r="M1753">
        <v>9800</v>
      </c>
    </row>
    <row r="1754" spans="1:13" x14ac:dyDescent="0.3">
      <c r="A1754" s="111">
        <v>46269</v>
      </c>
      <c r="B1754" t="s">
        <v>55</v>
      </c>
      <c r="C1754" s="11">
        <v>1500</v>
      </c>
      <c r="D1754" s="11"/>
      <c r="E1754" t="s">
        <v>1262</v>
      </c>
      <c r="F1754" s="108" t="s">
        <v>108</v>
      </c>
      <c r="J1754">
        <v>14660</v>
      </c>
      <c r="K1754">
        <v>130000</v>
      </c>
      <c r="L1754">
        <v>25000</v>
      </c>
      <c r="M1754">
        <v>6400</v>
      </c>
    </row>
    <row r="1755" spans="1:13" x14ac:dyDescent="0.3">
      <c r="A1755" s="111">
        <v>46269</v>
      </c>
      <c r="B1755" t="s">
        <v>269</v>
      </c>
      <c r="C1755" s="11">
        <v>2000</v>
      </c>
      <c r="D1755" s="11"/>
      <c r="E1755" t="s">
        <v>1263</v>
      </c>
      <c r="F1755" s="108" t="s">
        <v>108</v>
      </c>
      <c r="L1755">
        <v>19750</v>
      </c>
      <c r="M1755">
        <v>5330</v>
      </c>
    </row>
    <row r="1756" spans="1:13" x14ac:dyDescent="0.3">
      <c r="A1756" s="111">
        <v>46269</v>
      </c>
      <c r="B1756" t="s">
        <v>357</v>
      </c>
      <c r="C1756" s="11">
        <v>4000</v>
      </c>
      <c r="D1756" s="11"/>
      <c r="F1756" s="108" t="s">
        <v>108</v>
      </c>
      <c r="K1756">
        <v>6860</v>
      </c>
      <c r="L1756">
        <v>3750</v>
      </c>
    </row>
    <row r="1757" spans="1:13" x14ac:dyDescent="0.3">
      <c r="A1757" s="111">
        <v>46269</v>
      </c>
      <c r="B1757" t="s">
        <v>253</v>
      </c>
      <c r="C1757" s="11">
        <v>13000</v>
      </c>
      <c r="D1757" s="11"/>
      <c r="E1757" t="s">
        <v>1266</v>
      </c>
      <c r="F1757" s="108" t="s">
        <v>108</v>
      </c>
      <c r="K1757">
        <v>19750</v>
      </c>
      <c r="L1757">
        <v>130000</v>
      </c>
    </row>
    <row r="1758" spans="1:13" x14ac:dyDescent="0.3">
      <c r="A1758" s="111">
        <v>46269</v>
      </c>
      <c r="B1758" t="s">
        <v>244</v>
      </c>
      <c r="C1758" s="11">
        <v>1000</v>
      </c>
      <c r="D1758" s="11"/>
      <c r="F1758" s="108" t="s">
        <v>108</v>
      </c>
      <c r="K1758">
        <v>22900</v>
      </c>
    </row>
    <row r="1759" spans="1:13" x14ac:dyDescent="0.3">
      <c r="A1759" s="111">
        <v>46269</v>
      </c>
      <c r="B1759" t="s">
        <v>253</v>
      </c>
      <c r="C1759" s="11">
        <v>368450</v>
      </c>
      <c r="D1759" s="11"/>
      <c r="E1759" t="s">
        <v>1267</v>
      </c>
      <c r="F1759" s="108" t="s">
        <v>108</v>
      </c>
      <c r="K1759">
        <v>25000</v>
      </c>
    </row>
    <row r="1760" spans="1:13" x14ac:dyDescent="0.3">
      <c r="A1760" s="111">
        <v>46269</v>
      </c>
      <c r="B1760" t="s">
        <v>219</v>
      </c>
      <c r="C1760" s="11">
        <v>5000</v>
      </c>
      <c r="D1760" s="11"/>
      <c r="E1760" t="s">
        <v>1268</v>
      </c>
      <c r="F1760" s="108" t="s">
        <v>108</v>
      </c>
    </row>
    <row r="1761" spans="1:6" x14ac:dyDescent="0.3">
      <c r="A1761" s="111">
        <v>46269</v>
      </c>
      <c r="B1761" t="s">
        <v>488</v>
      </c>
      <c r="C1761" s="11">
        <v>5000</v>
      </c>
      <c r="D1761" s="11"/>
      <c r="E1761" t="s">
        <v>648</v>
      </c>
      <c r="F1761" s="108" t="s">
        <v>108</v>
      </c>
    </row>
    <row r="1762" spans="1:6" x14ac:dyDescent="0.3">
      <c r="A1762" s="111">
        <v>46269</v>
      </c>
      <c r="B1762" t="s">
        <v>269</v>
      </c>
      <c r="C1762" s="11">
        <v>31000</v>
      </c>
      <c r="D1762" s="11"/>
      <c r="E1762" t="s">
        <v>1264</v>
      </c>
      <c r="F1762" s="108" t="s">
        <v>108</v>
      </c>
    </row>
    <row r="1763" spans="1:6" x14ac:dyDescent="0.3">
      <c r="A1763" s="111">
        <v>46269</v>
      </c>
      <c r="B1763" t="s">
        <v>219</v>
      </c>
      <c r="C1763" s="11"/>
      <c r="D1763" s="11">
        <v>11395</v>
      </c>
      <c r="E1763" t="s">
        <v>259</v>
      </c>
      <c r="F1763" s="108" t="s">
        <v>108</v>
      </c>
    </row>
    <row r="1764" spans="1:6" x14ac:dyDescent="0.3">
      <c r="A1764" s="111">
        <v>46269</v>
      </c>
      <c r="B1764" t="s">
        <v>219</v>
      </c>
      <c r="C1764" s="11"/>
      <c r="D1764" s="11">
        <v>2900</v>
      </c>
      <c r="E1764" t="s">
        <v>288</v>
      </c>
      <c r="F1764" s="108"/>
    </row>
    <row r="1765" spans="1:6" x14ac:dyDescent="0.3">
      <c r="A1765" s="111">
        <v>46269</v>
      </c>
      <c r="B1765" t="s">
        <v>219</v>
      </c>
      <c r="C1765" s="95"/>
      <c r="D1765" s="95">
        <v>40000</v>
      </c>
      <c r="E1765" t="s">
        <v>1290</v>
      </c>
      <c r="F1765" s="108"/>
    </row>
    <row r="1766" spans="1:6" x14ac:dyDescent="0.3">
      <c r="A1766" s="111">
        <v>46269</v>
      </c>
      <c r="B1766" t="s">
        <v>269</v>
      </c>
      <c r="C1766" s="11">
        <v>2900</v>
      </c>
      <c r="D1766" s="11"/>
      <c r="E1766" t="s">
        <v>288</v>
      </c>
      <c r="F1766" s="108"/>
    </row>
    <row r="1767" spans="1:6" x14ac:dyDescent="0.3">
      <c r="A1767" s="111">
        <v>46269</v>
      </c>
      <c r="B1767" t="s">
        <v>525</v>
      </c>
      <c r="C1767" s="95">
        <v>40000</v>
      </c>
      <c r="D1767" s="11"/>
      <c r="E1767" t="s">
        <v>1290</v>
      </c>
      <c r="F1767" s="108"/>
    </row>
    <row r="1768" spans="1:6" x14ac:dyDescent="0.3">
      <c r="A1768" s="111">
        <v>46270</v>
      </c>
      <c r="B1768" t="s">
        <v>219</v>
      </c>
      <c r="C1768" s="11"/>
      <c r="D1768" s="11">
        <v>12000</v>
      </c>
      <c r="E1768" t="s">
        <v>1289</v>
      </c>
      <c r="F1768" s="108"/>
    </row>
    <row r="1769" spans="1:6" x14ac:dyDescent="0.3">
      <c r="A1769" s="111">
        <v>46270</v>
      </c>
      <c r="B1769" t="s">
        <v>219</v>
      </c>
      <c r="C1769" s="11"/>
      <c r="D1769" s="11">
        <v>5000</v>
      </c>
      <c r="E1769" t="s">
        <v>1291</v>
      </c>
      <c r="F1769" s="108"/>
    </row>
    <row r="1770" spans="1:6" x14ac:dyDescent="0.3">
      <c r="A1770" s="111">
        <v>46270</v>
      </c>
      <c r="B1770" t="s">
        <v>488</v>
      </c>
      <c r="C1770" s="11">
        <v>12000</v>
      </c>
      <c r="D1770" s="11"/>
      <c r="E1770" t="s">
        <v>1289</v>
      </c>
      <c r="F1770" s="108"/>
    </row>
    <row r="1771" spans="1:6" x14ac:dyDescent="0.3">
      <c r="A1771" s="111">
        <v>46270</v>
      </c>
      <c r="B1771" t="s">
        <v>298</v>
      </c>
      <c r="C1771" s="11">
        <v>5000</v>
      </c>
      <c r="D1771" s="11">
        <v>5000</v>
      </c>
      <c r="E1771" t="s">
        <v>1291</v>
      </c>
      <c r="F1771" s="108"/>
    </row>
    <row r="1772" spans="1:6" x14ac:dyDescent="0.3">
      <c r="A1772" s="111">
        <v>46270</v>
      </c>
      <c r="B1772" t="s">
        <v>1292</v>
      </c>
      <c r="C1772" s="11">
        <v>5000</v>
      </c>
      <c r="D1772" s="11"/>
      <c r="F1772" s="108"/>
    </row>
    <row r="1773" spans="1:6" x14ac:dyDescent="0.3">
      <c r="A1773" s="111">
        <v>46271</v>
      </c>
      <c r="B1773" t="s">
        <v>55</v>
      </c>
      <c r="C1773" s="11">
        <v>11395</v>
      </c>
      <c r="D1773" s="11"/>
      <c r="E1773" t="s">
        <v>259</v>
      </c>
      <c r="F1773" s="108" t="s">
        <v>108</v>
      </c>
    </row>
    <row r="1774" spans="1:6" x14ac:dyDescent="0.3">
      <c r="A1774" s="111">
        <v>46271</v>
      </c>
      <c r="B1774" t="s">
        <v>269</v>
      </c>
      <c r="C1774" s="11">
        <v>5000</v>
      </c>
      <c r="D1774" s="11"/>
      <c r="E1774" t="s">
        <v>665</v>
      </c>
      <c r="F1774" s="108" t="s">
        <v>108</v>
      </c>
    </row>
    <row r="1775" spans="1:6" x14ac:dyDescent="0.3">
      <c r="A1775" s="111">
        <v>46271</v>
      </c>
      <c r="B1775" t="s">
        <v>55</v>
      </c>
      <c r="C1775" s="11">
        <v>4800</v>
      </c>
      <c r="D1775" s="11"/>
      <c r="F1775" s="108" t="s">
        <v>108</v>
      </c>
    </row>
    <row r="1776" spans="1:6" x14ac:dyDescent="0.3">
      <c r="A1776" s="111">
        <v>46271</v>
      </c>
      <c r="B1776" t="s">
        <v>55</v>
      </c>
      <c r="C1776" s="11">
        <v>3480</v>
      </c>
      <c r="D1776" s="11"/>
      <c r="F1776" s="108" t="s">
        <v>108</v>
      </c>
    </row>
    <row r="1777" spans="1:6" x14ac:dyDescent="0.3">
      <c r="A1777" s="111">
        <v>46271</v>
      </c>
      <c r="B1777" t="s">
        <v>55</v>
      </c>
      <c r="C1777" s="11">
        <v>1500</v>
      </c>
      <c r="D1777" s="11"/>
      <c r="F1777" s="108" t="s">
        <v>108</v>
      </c>
    </row>
    <row r="1778" spans="1:6" x14ac:dyDescent="0.3">
      <c r="A1778" s="111">
        <v>46271</v>
      </c>
      <c r="B1778" t="s">
        <v>488</v>
      </c>
      <c r="C1778" s="11">
        <v>600</v>
      </c>
      <c r="D1778" s="11"/>
      <c r="F1778" s="108" t="s">
        <v>108</v>
      </c>
    </row>
    <row r="1779" spans="1:6" x14ac:dyDescent="0.3">
      <c r="A1779" s="111">
        <v>46271</v>
      </c>
      <c r="B1779" t="s">
        <v>244</v>
      </c>
      <c r="C1779" s="11">
        <v>360</v>
      </c>
      <c r="D1779" s="11"/>
      <c r="F1779" s="108"/>
    </row>
    <row r="1780" spans="1:6" x14ac:dyDescent="0.3">
      <c r="A1780" s="111">
        <v>46271</v>
      </c>
      <c r="B1780" t="s">
        <v>488</v>
      </c>
      <c r="C1780" s="11">
        <v>4500</v>
      </c>
      <c r="D1780" s="11"/>
      <c r="E1780" t="s">
        <v>289</v>
      </c>
      <c r="F1780" s="108"/>
    </row>
    <row r="1781" spans="1:6" x14ac:dyDescent="0.3">
      <c r="A1781" s="111">
        <v>46271</v>
      </c>
      <c r="B1781" t="s">
        <v>357</v>
      </c>
      <c r="C1781" s="11">
        <v>3000</v>
      </c>
      <c r="D1781" s="11"/>
      <c r="F1781" s="108"/>
    </row>
    <row r="1782" spans="1:6" x14ac:dyDescent="0.3">
      <c r="A1782" s="111">
        <v>46271</v>
      </c>
      <c r="B1782" t="s">
        <v>488</v>
      </c>
      <c r="C1782" s="95">
        <v>5000</v>
      </c>
      <c r="D1782" s="95"/>
      <c r="E1782" t="s">
        <v>648</v>
      </c>
      <c r="F1782" s="108"/>
    </row>
    <row r="1783" spans="1:6" x14ac:dyDescent="0.3">
      <c r="A1783" s="111">
        <v>46272</v>
      </c>
      <c r="B1783" t="s">
        <v>219</v>
      </c>
      <c r="C1783" s="11"/>
      <c r="D1783" s="11">
        <v>200000</v>
      </c>
      <c r="E1783" t="s">
        <v>1253</v>
      </c>
      <c r="F1783" s="108" t="s">
        <v>108</v>
      </c>
    </row>
    <row r="1784" spans="1:6" x14ac:dyDescent="0.3">
      <c r="A1784" s="111">
        <v>46272</v>
      </c>
      <c r="B1784" t="s">
        <v>219</v>
      </c>
      <c r="C1784" s="11"/>
      <c r="D1784" s="11">
        <v>200000</v>
      </c>
      <c r="E1784" t="s">
        <v>1254</v>
      </c>
      <c r="F1784" s="108" t="s">
        <v>108</v>
      </c>
    </row>
    <row r="1785" spans="1:6" x14ac:dyDescent="0.3">
      <c r="A1785" s="111">
        <v>46272</v>
      </c>
      <c r="B1785" t="s">
        <v>222</v>
      </c>
      <c r="C1785" s="11">
        <v>200000</v>
      </c>
      <c r="D1785" s="11"/>
      <c r="E1785" t="s">
        <v>1196</v>
      </c>
      <c r="F1785" s="108"/>
    </row>
    <row r="1786" spans="1:6" x14ac:dyDescent="0.3">
      <c r="A1786" s="111">
        <v>46272</v>
      </c>
      <c r="B1786" t="s">
        <v>1197</v>
      </c>
      <c r="C1786" s="11">
        <v>200000</v>
      </c>
      <c r="D1786" s="11"/>
      <c r="E1786" t="s">
        <v>1198</v>
      </c>
      <c r="F1786" s="108"/>
    </row>
    <row r="1787" spans="1:6" x14ac:dyDescent="0.3">
      <c r="A1787" s="111">
        <v>46272</v>
      </c>
      <c r="B1787" t="s">
        <v>219</v>
      </c>
      <c r="C1787" s="11"/>
      <c r="D1787" s="11">
        <v>55000</v>
      </c>
      <c r="E1787" t="s">
        <v>1199</v>
      </c>
      <c r="F1787" s="108"/>
    </row>
    <row r="1788" spans="1:6" x14ac:dyDescent="0.3">
      <c r="A1788" s="111">
        <v>46272</v>
      </c>
      <c r="B1788" t="s">
        <v>269</v>
      </c>
      <c r="C1788" s="11">
        <v>50000</v>
      </c>
      <c r="D1788" s="11"/>
      <c r="E1788" t="s">
        <v>1171</v>
      </c>
      <c r="F1788" s="108"/>
    </row>
    <row r="1789" spans="1:6" x14ac:dyDescent="0.3">
      <c r="A1789" s="111">
        <v>46272</v>
      </c>
      <c r="B1789" t="s">
        <v>219</v>
      </c>
      <c r="C1789" s="11"/>
      <c r="D1789" s="11">
        <v>94000</v>
      </c>
      <c r="E1789" t="s">
        <v>1200</v>
      </c>
      <c r="F1789" s="108"/>
    </row>
    <row r="1790" spans="1:6" x14ac:dyDescent="0.3">
      <c r="A1790" s="111">
        <v>46272</v>
      </c>
      <c r="B1790" t="s">
        <v>219</v>
      </c>
      <c r="C1790" s="11"/>
      <c r="D1790" s="11">
        <v>70000</v>
      </c>
      <c r="E1790" t="s">
        <v>1255</v>
      </c>
      <c r="F1790" s="108"/>
    </row>
    <row r="1791" spans="1:6" x14ac:dyDescent="0.3">
      <c r="A1791" s="111">
        <v>46272</v>
      </c>
      <c r="B1791" t="s">
        <v>222</v>
      </c>
      <c r="C1791" s="11">
        <v>90000</v>
      </c>
      <c r="D1791" s="11"/>
      <c r="E1791" t="s">
        <v>240</v>
      </c>
      <c r="F1791" s="108"/>
    </row>
    <row r="1792" spans="1:6" x14ac:dyDescent="0.3">
      <c r="A1792" s="111">
        <v>46272</v>
      </c>
      <c r="B1792" t="s">
        <v>55</v>
      </c>
      <c r="C1792" s="11">
        <v>12895</v>
      </c>
      <c r="D1792" s="11"/>
      <c r="E1792" t="s">
        <v>259</v>
      </c>
      <c r="F1792" s="108"/>
    </row>
    <row r="1793" spans="1:6" x14ac:dyDescent="0.3">
      <c r="A1793" s="111">
        <v>46272</v>
      </c>
      <c r="B1793" t="s">
        <v>253</v>
      </c>
      <c r="C1793" s="11">
        <v>55000</v>
      </c>
      <c r="D1793" s="11"/>
      <c r="E1793" t="s">
        <v>1201</v>
      </c>
      <c r="F1793" s="108"/>
    </row>
    <row r="1794" spans="1:6" x14ac:dyDescent="0.3">
      <c r="A1794" s="111">
        <v>46272</v>
      </c>
      <c r="B1794" t="s">
        <v>386</v>
      </c>
      <c r="C1794" s="11">
        <v>5000</v>
      </c>
      <c r="D1794" s="11"/>
      <c r="E1794" t="s">
        <v>1177</v>
      </c>
      <c r="F1794" s="108"/>
    </row>
    <row r="1795" spans="1:6" x14ac:dyDescent="0.3">
      <c r="A1795" s="111">
        <v>46272</v>
      </c>
      <c r="B1795" t="s">
        <v>1134</v>
      </c>
      <c r="C1795" s="11">
        <v>7000</v>
      </c>
      <c r="D1795" s="11"/>
      <c r="E1795" t="s">
        <v>1202</v>
      </c>
      <c r="F1795" s="108"/>
    </row>
    <row r="1796" spans="1:6" x14ac:dyDescent="0.3">
      <c r="A1796" s="111">
        <v>46272</v>
      </c>
      <c r="B1796" t="s">
        <v>357</v>
      </c>
      <c r="C1796" s="11">
        <v>4270</v>
      </c>
      <c r="D1796" s="11"/>
      <c r="F1796" s="108"/>
    </row>
    <row r="1797" spans="1:6" x14ac:dyDescent="0.3">
      <c r="A1797" s="111">
        <v>46272</v>
      </c>
      <c r="B1797" t="s">
        <v>219</v>
      </c>
      <c r="C1797" s="11"/>
      <c r="D1797" s="11">
        <v>402119</v>
      </c>
      <c r="E1797" t="s">
        <v>1293</v>
      </c>
      <c r="F1797" s="108"/>
    </row>
    <row r="1798" spans="1:6" x14ac:dyDescent="0.3">
      <c r="A1798" s="111">
        <v>46272</v>
      </c>
      <c r="B1798" t="s">
        <v>1292</v>
      </c>
      <c r="C1798" s="11">
        <v>402119</v>
      </c>
      <c r="D1798" s="11"/>
      <c r="E1798" t="s">
        <v>1293</v>
      </c>
      <c r="F1798" s="108"/>
    </row>
    <row r="1799" spans="1:6" x14ac:dyDescent="0.3">
      <c r="A1799" s="111">
        <v>46272</v>
      </c>
      <c r="B1799" t="s">
        <v>219</v>
      </c>
      <c r="C1799" s="11"/>
      <c r="D1799" s="11">
        <v>6000</v>
      </c>
      <c r="E1799" t="s">
        <v>1294</v>
      </c>
      <c r="F1799" s="108"/>
    </row>
    <row r="1800" spans="1:6" x14ac:dyDescent="0.3">
      <c r="A1800" s="111">
        <v>46272</v>
      </c>
      <c r="B1800" t="s">
        <v>488</v>
      </c>
      <c r="C1800" s="11">
        <v>6000</v>
      </c>
      <c r="D1800" s="11"/>
      <c r="E1800" t="s">
        <v>1294</v>
      </c>
      <c r="F1800" s="108"/>
    </row>
    <row r="1801" spans="1:6" x14ac:dyDescent="0.3">
      <c r="A1801" s="111">
        <v>46273</v>
      </c>
      <c r="B1801" t="s">
        <v>219</v>
      </c>
      <c r="C1801" s="11"/>
      <c r="D1801" s="11">
        <v>30000</v>
      </c>
      <c r="E1801" t="s">
        <v>1203</v>
      </c>
      <c r="F1801" s="108"/>
    </row>
    <row r="1802" spans="1:6" x14ac:dyDescent="0.3">
      <c r="A1802" s="111">
        <v>46273</v>
      </c>
      <c r="B1802" t="s">
        <v>219</v>
      </c>
      <c r="C1802" s="11"/>
      <c r="D1802" s="11">
        <v>100000</v>
      </c>
      <c r="E1802" t="s">
        <v>869</v>
      </c>
      <c r="F1802" s="108"/>
    </row>
    <row r="1803" spans="1:6" x14ac:dyDescent="0.3">
      <c r="A1803" s="111">
        <v>46273</v>
      </c>
      <c r="B1803" t="s">
        <v>1197</v>
      </c>
      <c r="C1803" s="11">
        <v>100000</v>
      </c>
      <c r="D1803" s="11"/>
      <c r="E1803" t="s">
        <v>1204</v>
      </c>
      <c r="F1803" s="108"/>
    </row>
    <row r="1804" spans="1:6" x14ac:dyDescent="0.3">
      <c r="A1804" s="111">
        <v>46273</v>
      </c>
      <c r="B1804" t="s">
        <v>219</v>
      </c>
      <c r="C1804" s="11"/>
      <c r="D1804" s="11">
        <v>7500</v>
      </c>
      <c r="E1804" t="s">
        <v>318</v>
      </c>
      <c r="F1804" s="108"/>
    </row>
    <row r="1805" spans="1:6" x14ac:dyDescent="0.3">
      <c r="A1805" s="111">
        <v>46273</v>
      </c>
      <c r="B1805" t="s">
        <v>55</v>
      </c>
      <c r="C1805" s="11">
        <v>6500</v>
      </c>
      <c r="D1805" s="11"/>
      <c r="F1805" s="108"/>
    </row>
    <row r="1806" spans="1:6" x14ac:dyDescent="0.3">
      <c r="A1806" s="111">
        <v>46273</v>
      </c>
      <c r="B1806" t="s">
        <v>654</v>
      </c>
      <c r="C1806" s="11"/>
      <c r="D1806" s="11">
        <v>100000</v>
      </c>
      <c r="E1806" t="s">
        <v>1205</v>
      </c>
      <c r="F1806" s="108"/>
    </row>
    <row r="1807" spans="1:6" x14ac:dyDescent="0.3">
      <c r="A1807" s="111">
        <v>46273</v>
      </c>
      <c r="B1807" t="s">
        <v>55</v>
      </c>
      <c r="C1807" s="11">
        <f>6700+4300+750</f>
        <v>11750</v>
      </c>
      <c r="D1807" s="11"/>
      <c r="F1807" s="108"/>
    </row>
    <row r="1808" spans="1:6" x14ac:dyDescent="0.3">
      <c r="A1808" s="111">
        <v>46273</v>
      </c>
      <c r="B1808" t="s">
        <v>219</v>
      </c>
      <c r="C1808" s="11"/>
      <c r="D1808" s="11">
        <v>122000</v>
      </c>
      <c r="E1808" t="s">
        <v>1256</v>
      </c>
      <c r="F1808" s="108"/>
    </row>
    <row r="1809" spans="1:6" x14ac:dyDescent="0.3">
      <c r="A1809" s="111">
        <v>46273</v>
      </c>
      <c r="B1809" t="s">
        <v>219</v>
      </c>
      <c r="C1809" s="11"/>
      <c r="D1809" s="11">
        <v>13000</v>
      </c>
      <c r="E1809" t="s">
        <v>1296</v>
      </c>
      <c r="F1809" s="108"/>
    </row>
    <row r="1810" spans="1:6" x14ac:dyDescent="0.3">
      <c r="A1810" s="111">
        <v>46273</v>
      </c>
      <c r="B1810" t="s">
        <v>674</v>
      </c>
      <c r="C1810" s="11">
        <v>200000</v>
      </c>
      <c r="D1810" s="11"/>
      <c r="E1810" t="s">
        <v>1206</v>
      </c>
      <c r="F1810" s="108"/>
    </row>
    <row r="1811" spans="1:6" x14ac:dyDescent="0.3">
      <c r="A1811" s="111">
        <v>46273</v>
      </c>
      <c r="B1811" t="s">
        <v>269</v>
      </c>
      <c r="C1811" s="11">
        <v>22000</v>
      </c>
      <c r="D1811" s="11"/>
      <c r="E1811" t="s">
        <v>1207</v>
      </c>
      <c r="F1811" s="108"/>
    </row>
    <row r="1812" spans="1:6" x14ac:dyDescent="0.3">
      <c r="A1812" s="111">
        <v>46273</v>
      </c>
      <c r="B1812" t="s">
        <v>219</v>
      </c>
      <c r="C1812" s="11"/>
      <c r="D1812" s="11">
        <v>7100</v>
      </c>
      <c r="E1812" t="s">
        <v>288</v>
      </c>
      <c r="F1812" s="108"/>
    </row>
    <row r="1813" spans="1:6" x14ac:dyDescent="0.3">
      <c r="A1813" s="111">
        <v>46273</v>
      </c>
      <c r="B1813" t="s">
        <v>269</v>
      </c>
      <c r="C1813" s="11">
        <v>7100</v>
      </c>
      <c r="D1813" s="11"/>
      <c r="E1813" t="s">
        <v>288</v>
      </c>
      <c r="F1813" s="108"/>
    </row>
    <row r="1814" spans="1:6" x14ac:dyDescent="0.3">
      <c r="A1814" s="38">
        <v>46273</v>
      </c>
      <c r="B1814" t="s">
        <v>1273</v>
      </c>
      <c r="C1814" s="11"/>
      <c r="D1814" s="11">
        <v>387256</v>
      </c>
      <c r="E1814" t="s">
        <v>1274</v>
      </c>
      <c r="F1814" s="108"/>
    </row>
    <row r="1815" spans="1:6" x14ac:dyDescent="0.3">
      <c r="A1815" s="38">
        <v>46273</v>
      </c>
      <c r="B1815" t="s">
        <v>219</v>
      </c>
      <c r="C1815" s="11">
        <v>387256</v>
      </c>
      <c r="D1815" s="11"/>
      <c r="E1815" t="s">
        <v>1273</v>
      </c>
      <c r="F1815" s="108"/>
    </row>
    <row r="1816" spans="1:6" x14ac:dyDescent="0.3">
      <c r="A1816" s="38">
        <v>46273</v>
      </c>
      <c r="B1816" t="s">
        <v>219</v>
      </c>
      <c r="C1816" s="11"/>
      <c r="D1816" s="11">
        <v>12000</v>
      </c>
      <c r="E1816" t="s">
        <v>1291</v>
      </c>
      <c r="F1816" s="108"/>
    </row>
    <row r="1817" spans="1:6" x14ac:dyDescent="0.3">
      <c r="A1817" s="38">
        <v>46273</v>
      </c>
      <c r="B1817" t="s">
        <v>219</v>
      </c>
      <c r="C1817" s="11"/>
      <c r="D1817" s="11">
        <v>17000</v>
      </c>
      <c r="E1817" t="s">
        <v>1295</v>
      </c>
      <c r="F1817" s="108"/>
    </row>
    <row r="1818" spans="1:6" x14ac:dyDescent="0.3">
      <c r="A1818" s="38">
        <v>46273</v>
      </c>
      <c r="B1818" t="s">
        <v>1292</v>
      </c>
      <c r="C1818" s="11">
        <v>12000</v>
      </c>
      <c r="D1818" s="11"/>
      <c r="E1818" t="s">
        <v>1291</v>
      </c>
      <c r="F1818" s="108"/>
    </row>
    <row r="1819" spans="1:6" x14ac:dyDescent="0.3">
      <c r="A1819" s="38">
        <v>46273</v>
      </c>
      <c r="B1819" t="s">
        <v>298</v>
      </c>
      <c r="C1819" s="11">
        <v>12000</v>
      </c>
      <c r="D1819" s="11">
        <v>12000</v>
      </c>
      <c r="E1819" t="s">
        <v>1291</v>
      </c>
      <c r="F1819" s="108"/>
    </row>
    <row r="1820" spans="1:6" x14ac:dyDescent="0.3">
      <c r="A1820" s="111">
        <v>46273</v>
      </c>
      <c r="B1820" t="s">
        <v>654</v>
      </c>
      <c r="C1820" s="11"/>
      <c r="D1820" s="11">
        <v>280000</v>
      </c>
      <c r="E1820" t="s">
        <v>1311</v>
      </c>
      <c r="F1820" s="108"/>
    </row>
    <row r="1821" spans="1:6" x14ac:dyDescent="0.3">
      <c r="A1821" s="38">
        <v>46273</v>
      </c>
      <c r="B1821" t="s">
        <v>654</v>
      </c>
      <c r="C1821" s="11"/>
      <c r="D1821" s="11">
        <v>260000</v>
      </c>
      <c r="E1821" t="s">
        <v>1312</v>
      </c>
      <c r="F1821" s="108"/>
    </row>
    <row r="1822" spans="1:6" x14ac:dyDescent="0.3">
      <c r="A1822" s="38">
        <v>46273</v>
      </c>
      <c r="B1822" t="s">
        <v>654</v>
      </c>
      <c r="C1822" s="11"/>
      <c r="D1822" s="11">
        <v>300000</v>
      </c>
      <c r="E1822" t="s">
        <v>1313</v>
      </c>
      <c r="F1822" s="108"/>
    </row>
    <row r="1823" spans="1:6" x14ac:dyDescent="0.3">
      <c r="A1823" s="38">
        <v>46273</v>
      </c>
      <c r="B1823" t="s">
        <v>219</v>
      </c>
      <c r="C1823" s="11">
        <v>280000</v>
      </c>
      <c r="D1823" s="11"/>
      <c r="E1823" t="s">
        <v>1314</v>
      </c>
      <c r="F1823" s="108"/>
    </row>
    <row r="1824" spans="1:6" x14ac:dyDescent="0.3">
      <c r="A1824" s="38">
        <v>46273</v>
      </c>
      <c r="B1824" t="s">
        <v>219</v>
      </c>
      <c r="C1824" s="11">
        <v>260000</v>
      </c>
      <c r="D1824" s="11"/>
      <c r="E1824" t="s">
        <v>1315</v>
      </c>
      <c r="F1824" s="108"/>
    </row>
    <row r="1825" spans="1:11" x14ac:dyDescent="0.3">
      <c r="A1825" s="38">
        <v>46273</v>
      </c>
      <c r="B1825" t="s">
        <v>219</v>
      </c>
      <c r="C1825" s="11">
        <v>300000</v>
      </c>
      <c r="D1825" s="11"/>
      <c r="E1825" t="s">
        <v>1316</v>
      </c>
      <c r="F1825" s="108"/>
    </row>
    <row r="1826" spans="1:11" x14ac:dyDescent="0.3">
      <c r="A1826" s="38">
        <v>46274</v>
      </c>
      <c r="B1826" t="s">
        <v>219</v>
      </c>
      <c r="C1826" s="11"/>
      <c r="D1826" s="11">
        <v>40000</v>
      </c>
      <c r="E1826" t="s">
        <v>1208</v>
      </c>
      <c r="F1826" s="108"/>
    </row>
    <row r="1827" spans="1:11" x14ac:dyDescent="0.3">
      <c r="A1827" s="38">
        <v>46274</v>
      </c>
      <c r="B1827" t="s">
        <v>357</v>
      </c>
      <c r="C1827" s="11">
        <v>22310</v>
      </c>
      <c r="D1827" s="11"/>
      <c r="F1827" s="108"/>
    </row>
    <row r="1828" spans="1:11" x14ac:dyDescent="0.3">
      <c r="A1828" s="38">
        <v>46274</v>
      </c>
      <c r="B1828" t="s">
        <v>55</v>
      </c>
      <c r="C1828" s="11">
        <v>11632</v>
      </c>
      <c r="D1828" s="11"/>
      <c r="E1828" t="s">
        <v>259</v>
      </c>
      <c r="F1828" s="108"/>
    </row>
    <row r="1829" spans="1:11" x14ac:dyDescent="0.3">
      <c r="A1829" s="38">
        <v>46274</v>
      </c>
      <c r="B1829" t="s">
        <v>253</v>
      </c>
      <c r="C1829" s="11">
        <v>33287</v>
      </c>
      <c r="D1829" s="11"/>
      <c r="E1829" t="s">
        <v>1209</v>
      </c>
      <c r="F1829" s="108"/>
    </row>
    <row r="1830" spans="1:11" x14ac:dyDescent="0.3">
      <c r="A1830" s="38">
        <v>46274</v>
      </c>
      <c r="B1830" t="s">
        <v>253</v>
      </c>
      <c r="C1830" s="11">
        <v>50000</v>
      </c>
      <c r="D1830" s="11"/>
      <c r="E1830" t="s">
        <v>1210</v>
      </c>
      <c r="F1830" s="108"/>
    </row>
    <row r="1831" spans="1:11" x14ac:dyDescent="0.3">
      <c r="A1831" s="38">
        <v>46274</v>
      </c>
      <c r="B1831" t="s">
        <v>219</v>
      </c>
      <c r="C1831" s="11"/>
      <c r="D1831" s="11">
        <v>60000</v>
      </c>
      <c r="E1831" t="s">
        <v>1211</v>
      </c>
      <c r="F1831" s="108"/>
    </row>
    <row r="1832" spans="1:11" x14ac:dyDescent="0.3">
      <c r="A1832" s="38">
        <v>46274</v>
      </c>
      <c r="B1832" t="s">
        <v>219</v>
      </c>
      <c r="C1832" s="11"/>
      <c r="D1832" s="11">
        <v>33287</v>
      </c>
      <c r="E1832" t="s">
        <v>1209</v>
      </c>
      <c r="F1832" s="108"/>
    </row>
    <row r="1833" spans="1:11" x14ac:dyDescent="0.3">
      <c r="A1833" s="38">
        <v>46274</v>
      </c>
      <c r="B1833" t="s">
        <v>219</v>
      </c>
      <c r="C1833" s="11"/>
      <c r="D1833" s="11">
        <v>50000</v>
      </c>
      <c r="E1833" t="s">
        <v>1210</v>
      </c>
      <c r="F1833" s="108"/>
    </row>
    <row r="1834" spans="1:11" x14ac:dyDescent="0.3">
      <c r="A1834" s="38">
        <v>46274</v>
      </c>
      <c r="B1834" t="s">
        <v>253</v>
      </c>
      <c r="C1834" s="11">
        <v>35000</v>
      </c>
      <c r="D1834" s="11"/>
      <c r="E1834" t="s">
        <v>1212</v>
      </c>
      <c r="F1834" s="108"/>
      <c r="J1834">
        <v>13000</v>
      </c>
      <c r="K1834">
        <v>20000</v>
      </c>
    </row>
    <row r="1835" spans="1:11" x14ac:dyDescent="0.3">
      <c r="A1835" s="38">
        <v>46274</v>
      </c>
      <c r="B1835" t="s">
        <v>253</v>
      </c>
      <c r="C1835" s="11">
        <v>50000</v>
      </c>
      <c r="D1835" s="11"/>
      <c r="E1835" t="s">
        <v>1023</v>
      </c>
      <c r="F1835" s="108"/>
      <c r="J1835">
        <v>12540</v>
      </c>
      <c r="K1835">
        <v>20000</v>
      </c>
    </row>
    <row r="1836" spans="1:11" x14ac:dyDescent="0.3">
      <c r="A1836" s="111">
        <v>46274</v>
      </c>
      <c r="B1836" t="s">
        <v>253</v>
      </c>
      <c r="C1836" s="11">
        <v>50000</v>
      </c>
      <c r="D1836" s="11"/>
      <c r="E1836" t="s">
        <v>580</v>
      </c>
      <c r="F1836" s="108"/>
      <c r="J1836">
        <v>13000</v>
      </c>
      <c r="K1836">
        <v>35000</v>
      </c>
    </row>
    <row r="1837" spans="1:11" x14ac:dyDescent="0.3">
      <c r="A1837" s="111">
        <v>46274</v>
      </c>
      <c r="B1837" t="s">
        <v>253</v>
      </c>
      <c r="C1837" s="11">
        <v>110000</v>
      </c>
      <c r="D1837" s="11"/>
      <c r="E1837" t="s">
        <v>570</v>
      </c>
      <c r="F1837" s="108"/>
      <c r="J1837">
        <v>10350</v>
      </c>
      <c r="K1837">
        <v>60000</v>
      </c>
    </row>
    <row r="1838" spans="1:11" x14ac:dyDescent="0.3">
      <c r="A1838" s="111">
        <v>46274</v>
      </c>
      <c r="B1838" t="s">
        <v>253</v>
      </c>
      <c r="C1838" s="11">
        <v>45000</v>
      </c>
      <c r="D1838" s="11"/>
      <c r="E1838" t="s">
        <v>1016</v>
      </c>
      <c r="F1838" s="108"/>
      <c r="J1838">
        <v>4000</v>
      </c>
    </row>
    <row r="1839" spans="1:11" x14ac:dyDescent="0.3">
      <c r="A1839" s="111">
        <v>46274</v>
      </c>
      <c r="B1839" t="s">
        <v>219</v>
      </c>
      <c r="C1839" s="11"/>
      <c r="D1839" s="11">
        <v>35000</v>
      </c>
      <c r="E1839" t="s">
        <v>1212</v>
      </c>
      <c r="F1839" s="108"/>
      <c r="J1839">
        <v>100000</v>
      </c>
    </row>
    <row r="1840" spans="1:11" x14ac:dyDescent="0.3">
      <c r="A1840" s="111">
        <v>46274</v>
      </c>
      <c r="B1840" t="s">
        <v>219</v>
      </c>
      <c r="C1840" s="11"/>
      <c r="D1840" s="11">
        <v>50000</v>
      </c>
      <c r="E1840" t="s">
        <v>1023</v>
      </c>
      <c r="F1840" s="108"/>
      <c r="J1840">
        <v>1000</v>
      </c>
    </row>
    <row r="1841" spans="1:10" x14ac:dyDescent="0.3">
      <c r="A1841" s="111">
        <v>46274</v>
      </c>
      <c r="B1841" t="s">
        <v>219</v>
      </c>
      <c r="C1841" s="11"/>
      <c r="D1841" s="11">
        <v>50000</v>
      </c>
      <c r="E1841" t="s">
        <v>580</v>
      </c>
      <c r="F1841" s="108"/>
      <c r="J1841">
        <v>1250</v>
      </c>
    </row>
    <row r="1842" spans="1:10" x14ac:dyDescent="0.3">
      <c r="A1842" s="111">
        <v>46274</v>
      </c>
      <c r="B1842" t="s">
        <v>219</v>
      </c>
      <c r="C1842" s="11"/>
      <c r="D1842" s="11">
        <v>110000</v>
      </c>
      <c r="E1842" t="s">
        <v>570</v>
      </c>
      <c r="F1842" s="108"/>
      <c r="J1842">
        <v>21000</v>
      </c>
    </row>
    <row r="1843" spans="1:10" x14ac:dyDescent="0.3">
      <c r="A1843" s="111">
        <v>46274</v>
      </c>
      <c r="B1843" t="s">
        <v>219</v>
      </c>
      <c r="C1843" s="11"/>
      <c r="D1843" s="11">
        <v>45000</v>
      </c>
      <c r="E1843" t="s">
        <v>1016</v>
      </c>
      <c r="F1843" s="108"/>
      <c r="J1843">
        <v>4500</v>
      </c>
    </row>
    <row r="1844" spans="1:10" x14ac:dyDescent="0.3">
      <c r="A1844" s="111">
        <v>46274</v>
      </c>
      <c r="B1844" t="s">
        <v>222</v>
      </c>
      <c r="C1844" s="11">
        <v>55000</v>
      </c>
      <c r="D1844" s="11"/>
      <c r="E1844" t="s">
        <v>240</v>
      </c>
      <c r="F1844" s="108"/>
      <c r="J1844">
        <v>20000</v>
      </c>
    </row>
    <row r="1845" spans="1:10" x14ac:dyDescent="0.3">
      <c r="A1845" s="111">
        <v>46274</v>
      </c>
      <c r="B1845" t="s">
        <v>244</v>
      </c>
      <c r="C1845" s="11">
        <v>400</v>
      </c>
      <c r="D1845" s="11"/>
      <c r="F1845" s="108"/>
      <c r="J1845">
        <v>10000</v>
      </c>
    </row>
    <row r="1846" spans="1:10" x14ac:dyDescent="0.3">
      <c r="A1846" s="111">
        <v>46274</v>
      </c>
      <c r="B1846" t="s">
        <v>253</v>
      </c>
      <c r="C1846" s="11">
        <v>3300</v>
      </c>
      <c r="D1846" s="11"/>
      <c r="E1846" t="s">
        <v>1181</v>
      </c>
      <c r="F1846" s="108"/>
    </row>
    <row r="1847" spans="1:10" x14ac:dyDescent="0.3">
      <c r="A1847" s="111">
        <v>46274</v>
      </c>
      <c r="B1847" t="s">
        <v>219</v>
      </c>
      <c r="C1847" s="11"/>
      <c r="D1847" s="11">
        <v>260000</v>
      </c>
      <c r="E1847" t="s">
        <v>568</v>
      </c>
      <c r="F1847" s="108"/>
    </row>
    <row r="1848" spans="1:10" x14ac:dyDescent="0.3">
      <c r="A1848" s="111">
        <v>46274</v>
      </c>
      <c r="B1848" t="s">
        <v>568</v>
      </c>
      <c r="C1848" s="95">
        <v>260000</v>
      </c>
      <c r="D1848" s="95"/>
      <c r="E1848" t="s">
        <v>1213</v>
      </c>
      <c r="F1848" s="108"/>
    </row>
    <row r="1849" spans="1:10" x14ac:dyDescent="0.3">
      <c r="A1849" s="111">
        <v>46274</v>
      </c>
      <c r="B1849" t="s">
        <v>219</v>
      </c>
      <c r="C1849" s="95"/>
      <c r="D1849" s="95">
        <v>100000</v>
      </c>
      <c r="E1849" t="s">
        <v>1214</v>
      </c>
      <c r="F1849" s="108"/>
    </row>
    <row r="1850" spans="1:10" x14ac:dyDescent="0.3">
      <c r="A1850" s="111">
        <v>46274</v>
      </c>
      <c r="B1850" t="s">
        <v>253</v>
      </c>
      <c r="C1850" s="95">
        <v>70000</v>
      </c>
      <c r="D1850" s="95"/>
      <c r="E1850" t="s">
        <v>1215</v>
      </c>
      <c r="F1850" s="108"/>
    </row>
    <row r="1851" spans="1:10" x14ac:dyDescent="0.3">
      <c r="A1851" s="38">
        <v>46274</v>
      </c>
      <c r="B1851" t="s">
        <v>269</v>
      </c>
      <c r="C1851" s="95">
        <v>30000</v>
      </c>
      <c r="D1851" s="95"/>
      <c r="E1851" t="s">
        <v>1216</v>
      </c>
      <c r="F1851" s="108"/>
    </row>
    <row r="1852" spans="1:10" x14ac:dyDescent="0.3">
      <c r="A1852" s="38">
        <v>46274</v>
      </c>
      <c r="B1852" t="s">
        <v>488</v>
      </c>
      <c r="C1852" s="95">
        <v>900</v>
      </c>
      <c r="D1852" s="95"/>
      <c r="F1852" s="108"/>
    </row>
    <row r="1853" spans="1:10" x14ac:dyDescent="0.3">
      <c r="A1853" s="38">
        <v>46274</v>
      </c>
      <c r="B1853" t="s">
        <v>24</v>
      </c>
      <c r="C1853" s="11"/>
      <c r="D1853" s="11">
        <v>700000</v>
      </c>
      <c r="E1853" t="s">
        <v>21</v>
      </c>
      <c r="F1853" s="108"/>
    </row>
    <row r="1854" spans="1:10" x14ac:dyDescent="0.3">
      <c r="A1854" s="38">
        <v>46274</v>
      </c>
      <c r="B1854" t="s">
        <v>232</v>
      </c>
      <c r="C1854" s="11"/>
      <c r="D1854" s="11">
        <v>100000</v>
      </c>
      <c r="E1854" t="s">
        <v>21</v>
      </c>
      <c r="F1854" s="108"/>
    </row>
    <row r="1855" spans="1:10" x14ac:dyDescent="0.3">
      <c r="A1855" s="38">
        <v>46274</v>
      </c>
      <c r="B1855" t="s">
        <v>1275</v>
      </c>
      <c r="C1855" s="11"/>
      <c r="D1855" s="11">
        <v>315656</v>
      </c>
      <c r="E1855" t="s">
        <v>1276</v>
      </c>
      <c r="F1855" s="108"/>
    </row>
    <row r="1856" spans="1:10" x14ac:dyDescent="0.3">
      <c r="A1856" s="111">
        <v>46274</v>
      </c>
      <c r="B1856" t="s">
        <v>219</v>
      </c>
      <c r="C1856" s="11">
        <v>700000</v>
      </c>
      <c r="D1856" s="11"/>
      <c r="E1856" t="s">
        <v>24</v>
      </c>
      <c r="F1856" s="108"/>
    </row>
    <row r="1857" spans="1:6" x14ac:dyDescent="0.3">
      <c r="A1857" s="111">
        <v>46274</v>
      </c>
      <c r="B1857" t="s">
        <v>219</v>
      </c>
      <c r="C1857" s="11">
        <v>100000</v>
      </c>
      <c r="D1857" s="11"/>
      <c r="E1857" t="s">
        <v>232</v>
      </c>
      <c r="F1857" s="108"/>
    </row>
    <row r="1858" spans="1:6" x14ac:dyDescent="0.3">
      <c r="A1858" s="111">
        <v>46274</v>
      </c>
      <c r="B1858" t="s">
        <v>219</v>
      </c>
      <c r="C1858" s="11">
        <v>315656</v>
      </c>
      <c r="D1858" s="11"/>
      <c r="E1858" t="s">
        <v>1275</v>
      </c>
      <c r="F1858" s="108"/>
    </row>
    <row r="1859" spans="1:6" x14ac:dyDescent="0.3">
      <c r="A1859" s="111">
        <v>46274</v>
      </c>
      <c r="B1859" t="s">
        <v>219</v>
      </c>
      <c r="C1859" s="11"/>
      <c r="D1859" s="11">
        <v>57750</v>
      </c>
      <c r="E1859" t="s">
        <v>316</v>
      </c>
      <c r="F1859" s="108"/>
    </row>
    <row r="1860" spans="1:6" x14ac:dyDescent="0.3">
      <c r="A1860" s="111">
        <v>46274</v>
      </c>
      <c r="B1860" t="s">
        <v>219</v>
      </c>
      <c r="C1860" s="11"/>
      <c r="D1860" s="11">
        <v>5000</v>
      </c>
      <c r="E1860" t="s">
        <v>692</v>
      </c>
      <c r="F1860" s="108"/>
    </row>
    <row r="1861" spans="1:6" x14ac:dyDescent="0.3">
      <c r="A1861" s="111">
        <v>46274</v>
      </c>
      <c r="B1861" t="s">
        <v>219</v>
      </c>
      <c r="C1861" s="11"/>
      <c r="D1861" s="11">
        <v>58000</v>
      </c>
      <c r="E1861" t="s">
        <v>1290</v>
      </c>
      <c r="F1861" s="108"/>
    </row>
    <row r="1862" spans="1:6" x14ac:dyDescent="0.3">
      <c r="A1862" s="111">
        <v>46274</v>
      </c>
      <c r="B1862" t="s">
        <v>219</v>
      </c>
      <c r="C1862" s="11"/>
      <c r="D1862" s="11">
        <v>2000</v>
      </c>
      <c r="E1862" t="s">
        <v>1265</v>
      </c>
      <c r="F1862" s="108"/>
    </row>
    <row r="1863" spans="1:6" x14ac:dyDescent="0.3">
      <c r="A1863" s="111">
        <v>46274</v>
      </c>
      <c r="B1863" t="s">
        <v>219</v>
      </c>
      <c r="C1863" s="11"/>
      <c r="D1863" s="11">
        <v>1500</v>
      </c>
      <c r="E1863" t="s">
        <v>850</v>
      </c>
      <c r="F1863" s="108"/>
    </row>
    <row r="1864" spans="1:6" x14ac:dyDescent="0.3">
      <c r="A1864" s="111">
        <v>46274</v>
      </c>
      <c r="B1864" t="s">
        <v>363</v>
      </c>
      <c r="C1864" s="11">
        <v>17000</v>
      </c>
      <c r="D1864" s="11"/>
      <c r="E1864" t="s">
        <v>1295</v>
      </c>
      <c r="F1864" s="108"/>
    </row>
    <row r="1865" spans="1:6" x14ac:dyDescent="0.3">
      <c r="A1865" s="111">
        <v>46274</v>
      </c>
      <c r="B1865" t="s">
        <v>316</v>
      </c>
      <c r="C1865" s="11">
        <v>57750</v>
      </c>
      <c r="D1865" s="11"/>
      <c r="E1865" t="s">
        <v>316</v>
      </c>
      <c r="F1865" s="108"/>
    </row>
    <row r="1866" spans="1:6" x14ac:dyDescent="0.3">
      <c r="A1866" s="111">
        <v>46274</v>
      </c>
      <c r="B1866" t="s">
        <v>298</v>
      </c>
      <c r="C1866" s="11">
        <v>5000</v>
      </c>
      <c r="D1866" s="11"/>
      <c r="E1866" t="s">
        <v>692</v>
      </c>
      <c r="F1866" s="108"/>
    </row>
    <row r="1867" spans="1:6" x14ac:dyDescent="0.3">
      <c r="A1867" s="111">
        <v>46274</v>
      </c>
      <c r="B1867" t="s">
        <v>525</v>
      </c>
      <c r="C1867" s="11">
        <v>58000</v>
      </c>
      <c r="D1867" s="11"/>
      <c r="E1867" t="s">
        <v>1290</v>
      </c>
      <c r="F1867" s="108"/>
    </row>
    <row r="1868" spans="1:6" x14ac:dyDescent="0.3">
      <c r="A1868" s="111">
        <v>46274</v>
      </c>
      <c r="B1868" t="s">
        <v>269</v>
      </c>
      <c r="C1868" s="11">
        <v>2000</v>
      </c>
      <c r="D1868" s="11"/>
      <c r="E1868" t="s">
        <v>1265</v>
      </c>
      <c r="F1868" s="108"/>
    </row>
    <row r="1869" spans="1:6" x14ac:dyDescent="0.3">
      <c r="A1869" s="111">
        <v>46274</v>
      </c>
      <c r="B1869" t="s">
        <v>488</v>
      </c>
      <c r="C1869" s="11">
        <v>1500</v>
      </c>
      <c r="D1869" s="11"/>
      <c r="E1869" t="s">
        <v>850</v>
      </c>
      <c r="F1869" s="108"/>
    </row>
    <row r="1870" spans="1:6" x14ac:dyDescent="0.3">
      <c r="A1870" s="111">
        <v>46274</v>
      </c>
      <c r="B1870" t="s">
        <v>219</v>
      </c>
      <c r="C1870" s="11"/>
      <c r="D1870" s="11">
        <v>110000</v>
      </c>
      <c r="E1870" t="s">
        <v>288</v>
      </c>
      <c r="F1870" s="108"/>
    </row>
    <row r="1871" spans="1:6" x14ac:dyDescent="0.3">
      <c r="A1871" s="111">
        <v>46274</v>
      </c>
      <c r="B1871" t="s">
        <v>219</v>
      </c>
      <c r="C1871" s="11">
        <v>60000</v>
      </c>
      <c r="D1871" s="11"/>
      <c r="E1871" t="s">
        <v>27</v>
      </c>
      <c r="F1871" s="108"/>
    </row>
    <row r="1872" spans="1:6" x14ac:dyDescent="0.3">
      <c r="A1872" s="111">
        <v>46274</v>
      </c>
      <c r="B1872" t="s">
        <v>269</v>
      </c>
      <c r="C1872" s="11">
        <v>110000</v>
      </c>
      <c r="D1872" s="11"/>
      <c r="E1872" t="s">
        <v>288</v>
      </c>
      <c r="F1872" s="108"/>
    </row>
    <row r="1873" spans="1:6" x14ac:dyDescent="0.3">
      <c r="A1873" s="111">
        <v>46274</v>
      </c>
      <c r="B1873" t="s">
        <v>243</v>
      </c>
      <c r="C1873" s="11"/>
      <c r="D1873" s="11">
        <v>60000</v>
      </c>
      <c r="E1873" t="s">
        <v>277</v>
      </c>
      <c r="F1873" s="108"/>
    </row>
    <row r="1874" spans="1:6" x14ac:dyDescent="0.3">
      <c r="A1874" s="111">
        <v>46275</v>
      </c>
      <c r="B1874" t="s">
        <v>219</v>
      </c>
      <c r="C1874" s="95"/>
      <c r="D1874" s="95">
        <v>28000</v>
      </c>
      <c r="E1874" t="s">
        <v>1218</v>
      </c>
      <c r="F1874" s="108"/>
    </row>
    <row r="1875" spans="1:6" x14ac:dyDescent="0.3">
      <c r="A1875" s="111">
        <v>46275</v>
      </c>
      <c r="B1875" t="s">
        <v>219</v>
      </c>
      <c r="C1875" s="95"/>
      <c r="D1875" s="95">
        <v>61000</v>
      </c>
      <c r="E1875" t="s">
        <v>1257</v>
      </c>
      <c r="F1875" s="108"/>
    </row>
    <row r="1876" spans="1:6" x14ac:dyDescent="0.3">
      <c r="A1876" s="111">
        <v>46275</v>
      </c>
      <c r="B1876" t="s">
        <v>269</v>
      </c>
      <c r="C1876" s="95">
        <v>28000</v>
      </c>
      <c r="D1876" s="95"/>
      <c r="E1876" t="s">
        <v>1219</v>
      </c>
      <c r="F1876" s="108"/>
    </row>
    <row r="1877" spans="1:6" x14ac:dyDescent="0.3">
      <c r="A1877" s="111">
        <v>46275</v>
      </c>
      <c r="B1877" t="s">
        <v>222</v>
      </c>
      <c r="C1877" s="95">
        <v>55600</v>
      </c>
      <c r="D1877" s="95"/>
      <c r="E1877" t="s">
        <v>240</v>
      </c>
      <c r="F1877" s="108"/>
    </row>
    <row r="1878" spans="1:6" x14ac:dyDescent="0.3">
      <c r="A1878" s="111">
        <v>46275</v>
      </c>
      <c r="B1878" t="s">
        <v>1220</v>
      </c>
      <c r="C1878" s="95"/>
      <c r="D1878" s="95">
        <v>106900</v>
      </c>
      <c r="E1878" t="s">
        <v>1221</v>
      </c>
      <c r="F1878" s="108"/>
    </row>
    <row r="1879" spans="1:6" x14ac:dyDescent="0.3">
      <c r="A1879" s="111">
        <v>46275</v>
      </c>
      <c r="B1879" t="s">
        <v>55</v>
      </c>
      <c r="C1879" s="11">
        <v>3200</v>
      </c>
      <c r="D1879" s="11"/>
      <c r="F1879" s="108"/>
    </row>
    <row r="1880" spans="1:6" x14ac:dyDescent="0.3">
      <c r="A1880" s="111">
        <v>46275</v>
      </c>
      <c r="B1880" t="s">
        <v>55</v>
      </c>
      <c r="C1880" s="11">
        <v>2400</v>
      </c>
      <c r="D1880" s="11"/>
      <c r="F1880" s="108"/>
    </row>
    <row r="1881" spans="1:6" x14ac:dyDescent="0.3">
      <c r="A1881" s="111">
        <v>46275</v>
      </c>
      <c r="B1881" t="s">
        <v>55</v>
      </c>
      <c r="C1881" s="11">
        <v>73000</v>
      </c>
      <c r="D1881" s="11"/>
      <c r="E1881" t="s">
        <v>1222</v>
      </c>
      <c r="F1881" s="108"/>
    </row>
    <row r="1882" spans="1:6" x14ac:dyDescent="0.3">
      <c r="A1882" s="111">
        <v>46275</v>
      </c>
      <c r="B1882" t="s">
        <v>269</v>
      </c>
      <c r="C1882" s="11">
        <v>35000</v>
      </c>
      <c r="D1882" s="11"/>
      <c r="E1882" t="s">
        <v>1223</v>
      </c>
      <c r="F1882" s="108"/>
    </row>
    <row r="1883" spans="1:6" x14ac:dyDescent="0.3">
      <c r="A1883" s="111">
        <v>46275</v>
      </c>
      <c r="B1883" t="s">
        <v>219</v>
      </c>
      <c r="C1883" s="11"/>
      <c r="D1883" s="11">
        <v>35000</v>
      </c>
      <c r="E1883" t="s">
        <v>570</v>
      </c>
      <c r="F1883" s="108"/>
    </row>
    <row r="1884" spans="1:6" x14ac:dyDescent="0.3">
      <c r="A1884" s="111">
        <v>46275</v>
      </c>
      <c r="B1884" t="s">
        <v>269</v>
      </c>
      <c r="C1884" s="11">
        <v>35000</v>
      </c>
      <c r="D1884" s="11"/>
      <c r="E1884" t="s">
        <v>1223</v>
      </c>
      <c r="F1884" s="108"/>
    </row>
    <row r="1885" spans="1:6" x14ac:dyDescent="0.3">
      <c r="A1885" s="111">
        <v>46275</v>
      </c>
      <c r="B1885" t="s">
        <v>219</v>
      </c>
      <c r="C1885" s="11"/>
      <c r="D1885" s="11">
        <v>120000</v>
      </c>
      <c r="E1885" t="s">
        <v>1224</v>
      </c>
      <c r="F1885" s="108"/>
    </row>
    <row r="1886" spans="1:6" x14ac:dyDescent="0.3">
      <c r="A1886" s="111">
        <v>46275</v>
      </c>
      <c r="B1886" t="s">
        <v>298</v>
      </c>
      <c r="C1886" s="11">
        <v>15000</v>
      </c>
      <c r="D1886" s="11"/>
      <c r="E1886" t="s">
        <v>692</v>
      </c>
      <c r="F1886" s="108"/>
    </row>
    <row r="1887" spans="1:6" x14ac:dyDescent="0.3">
      <c r="A1887" s="111">
        <v>46275</v>
      </c>
      <c r="B1887" t="s">
        <v>222</v>
      </c>
      <c r="C1887" s="11">
        <v>50000</v>
      </c>
      <c r="D1887" s="11"/>
      <c r="E1887" t="s">
        <v>240</v>
      </c>
      <c r="F1887" s="108"/>
    </row>
    <row r="1888" spans="1:6" x14ac:dyDescent="0.3">
      <c r="A1888" s="111">
        <v>46275</v>
      </c>
      <c r="B1888" t="s">
        <v>219</v>
      </c>
      <c r="C1888" s="11"/>
      <c r="D1888" s="11">
        <v>200000</v>
      </c>
      <c r="E1888" t="s">
        <v>222</v>
      </c>
      <c r="F1888" s="108"/>
    </row>
    <row r="1889" spans="1:6" x14ac:dyDescent="0.3">
      <c r="A1889" s="111">
        <v>46275</v>
      </c>
      <c r="B1889" t="s">
        <v>222</v>
      </c>
      <c r="C1889" s="11">
        <v>200000</v>
      </c>
      <c r="D1889" s="11"/>
      <c r="E1889" t="s">
        <v>1225</v>
      </c>
      <c r="F1889" s="108"/>
    </row>
    <row r="1890" spans="1:6" x14ac:dyDescent="0.3">
      <c r="A1890" s="111">
        <v>46275</v>
      </c>
      <c r="B1890" t="s">
        <v>55</v>
      </c>
      <c r="C1890" s="11">
        <v>11833</v>
      </c>
      <c r="D1890" s="11"/>
      <c r="E1890" t="s">
        <v>259</v>
      </c>
      <c r="F1890" s="108"/>
    </row>
    <row r="1891" spans="1:6" x14ac:dyDescent="0.3">
      <c r="A1891" s="111">
        <v>46275</v>
      </c>
      <c r="B1891" t="s">
        <v>219</v>
      </c>
      <c r="C1891" s="11"/>
      <c r="D1891" s="11">
        <v>350000</v>
      </c>
      <c r="E1891" t="s">
        <v>1258</v>
      </c>
      <c r="F1891" s="108"/>
    </row>
    <row r="1892" spans="1:6" x14ac:dyDescent="0.3">
      <c r="A1892" s="111">
        <v>46275</v>
      </c>
      <c r="B1892" t="s">
        <v>269</v>
      </c>
      <c r="C1892" s="11">
        <v>2000</v>
      </c>
      <c r="D1892" s="11"/>
      <c r="E1892" t="s">
        <v>1269</v>
      </c>
      <c r="F1892" s="108"/>
    </row>
    <row r="1893" spans="1:6" x14ac:dyDescent="0.3">
      <c r="A1893" s="111">
        <v>46275</v>
      </c>
      <c r="B1893" t="s">
        <v>269</v>
      </c>
      <c r="C1893" s="11">
        <v>3000</v>
      </c>
      <c r="D1893" s="11"/>
      <c r="E1893" t="s">
        <v>1270</v>
      </c>
      <c r="F1893" s="108"/>
    </row>
    <row r="1894" spans="1:6" x14ac:dyDescent="0.3">
      <c r="A1894" s="111">
        <v>46275</v>
      </c>
      <c r="B1894" t="s">
        <v>357</v>
      </c>
      <c r="C1894" s="11">
        <v>16500</v>
      </c>
      <c r="D1894" s="11"/>
      <c r="E1894" t="s">
        <v>1271</v>
      </c>
      <c r="F1894" s="108"/>
    </row>
    <row r="1895" spans="1:6" x14ac:dyDescent="0.3">
      <c r="A1895" s="111">
        <v>46275</v>
      </c>
      <c r="B1895" t="s">
        <v>253</v>
      </c>
      <c r="C1895" s="11">
        <v>345650</v>
      </c>
      <c r="D1895" s="11"/>
      <c r="E1895" t="s">
        <v>1272</v>
      </c>
      <c r="F1895" s="108"/>
    </row>
    <row r="1896" spans="1:6" x14ac:dyDescent="0.3">
      <c r="A1896" s="111">
        <v>46275</v>
      </c>
      <c r="B1896" t="s">
        <v>35</v>
      </c>
      <c r="C1896" s="11"/>
      <c r="D1896" s="11">
        <v>539659</v>
      </c>
      <c r="E1896" t="s">
        <v>21</v>
      </c>
      <c r="F1896" s="108"/>
    </row>
    <row r="1897" spans="1:6" x14ac:dyDescent="0.3">
      <c r="A1897" s="111">
        <v>46275</v>
      </c>
      <c r="B1897" t="s">
        <v>219</v>
      </c>
      <c r="C1897" s="11">
        <v>539659</v>
      </c>
      <c r="D1897" s="11"/>
      <c r="E1897" t="s">
        <v>35</v>
      </c>
      <c r="F1897" s="108"/>
    </row>
    <row r="1898" spans="1:6" x14ac:dyDescent="0.3">
      <c r="A1898" s="111">
        <v>46275</v>
      </c>
      <c r="B1898" t="s">
        <v>219</v>
      </c>
      <c r="C1898" s="11"/>
      <c r="D1898" s="11">
        <v>11833</v>
      </c>
      <c r="E1898" t="s">
        <v>259</v>
      </c>
      <c r="F1898" s="108"/>
    </row>
    <row r="1899" spans="1:6" x14ac:dyDescent="0.3">
      <c r="A1899" s="111">
        <v>46275</v>
      </c>
      <c r="B1899" t="s">
        <v>253</v>
      </c>
      <c r="C1899" s="11">
        <v>15500</v>
      </c>
      <c r="D1899" s="11"/>
      <c r="E1899" t="s">
        <v>1226</v>
      </c>
      <c r="F1899" s="108"/>
    </row>
    <row r="1900" spans="1:6" x14ac:dyDescent="0.3">
      <c r="A1900" s="111">
        <v>46275</v>
      </c>
      <c r="B1900" t="s">
        <v>298</v>
      </c>
      <c r="C1900" s="11">
        <v>8500</v>
      </c>
      <c r="D1900" s="11"/>
      <c r="E1900" t="s">
        <v>692</v>
      </c>
      <c r="F1900" s="108"/>
    </row>
    <row r="1901" spans="1:6" x14ac:dyDescent="0.3">
      <c r="A1901" s="111">
        <v>46275</v>
      </c>
      <c r="B1901" t="s">
        <v>219</v>
      </c>
      <c r="C1901" s="11"/>
      <c r="D1901" s="11">
        <v>8500</v>
      </c>
      <c r="E1901" t="s">
        <v>1227</v>
      </c>
      <c r="F1901" s="108"/>
    </row>
    <row r="1902" spans="1:6" x14ac:dyDescent="0.3">
      <c r="A1902" s="111">
        <v>46275</v>
      </c>
      <c r="B1902" t="s">
        <v>386</v>
      </c>
      <c r="C1902" s="11">
        <v>1600</v>
      </c>
      <c r="D1902" s="11"/>
      <c r="E1902" t="s">
        <v>951</v>
      </c>
      <c r="F1902" s="108"/>
    </row>
    <row r="1903" spans="1:6" x14ac:dyDescent="0.3">
      <c r="A1903" s="111">
        <v>46275</v>
      </c>
      <c r="B1903" t="s">
        <v>386</v>
      </c>
      <c r="C1903" s="11">
        <v>1000</v>
      </c>
      <c r="D1903" s="11"/>
      <c r="E1903" t="s">
        <v>1283</v>
      </c>
      <c r="F1903" s="108"/>
    </row>
    <row r="1904" spans="1:6" x14ac:dyDescent="0.3">
      <c r="A1904" s="111">
        <v>46275</v>
      </c>
      <c r="B1904" t="s">
        <v>211</v>
      </c>
      <c r="C1904" s="11">
        <v>1500</v>
      </c>
      <c r="D1904" s="11"/>
      <c r="F1904" s="108"/>
    </row>
    <row r="1905" spans="1:6" x14ac:dyDescent="0.3">
      <c r="A1905" s="111">
        <v>46275</v>
      </c>
      <c r="B1905" t="s">
        <v>386</v>
      </c>
      <c r="C1905" s="11">
        <v>500</v>
      </c>
      <c r="D1905" s="11"/>
      <c r="E1905" t="s">
        <v>1284</v>
      </c>
      <c r="F1905" s="108"/>
    </row>
    <row r="1906" spans="1:6" x14ac:dyDescent="0.3">
      <c r="A1906" s="111">
        <v>46275</v>
      </c>
      <c r="B1906" t="s">
        <v>211</v>
      </c>
      <c r="C1906" s="11">
        <v>650</v>
      </c>
      <c r="D1906" s="11"/>
      <c r="F1906" s="108"/>
    </row>
    <row r="1907" spans="1:6" x14ac:dyDescent="0.3">
      <c r="A1907" s="111">
        <v>46275</v>
      </c>
      <c r="B1907" t="s">
        <v>386</v>
      </c>
      <c r="C1907" s="11">
        <v>1100</v>
      </c>
      <c r="D1907" s="11"/>
      <c r="E1907" t="s">
        <v>830</v>
      </c>
      <c r="F1907" s="108"/>
    </row>
    <row r="1908" spans="1:6" x14ac:dyDescent="0.3">
      <c r="A1908" s="111">
        <v>46275</v>
      </c>
      <c r="B1908" t="s">
        <v>219</v>
      </c>
      <c r="C1908" s="11"/>
      <c r="D1908" s="11">
        <v>6000</v>
      </c>
      <c r="E1908" t="s">
        <v>1289</v>
      </c>
      <c r="F1908" s="108"/>
    </row>
    <row r="1909" spans="1:6" x14ac:dyDescent="0.3">
      <c r="A1909" s="111">
        <v>46275</v>
      </c>
      <c r="B1909" t="s">
        <v>219</v>
      </c>
      <c r="C1909" s="11"/>
      <c r="D1909" s="11">
        <v>135000</v>
      </c>
      <c r="E1909" t="s">
        <v>1297</v>
      </c>
      <c r="F1909" s="108"/>
    </row>
    <row r="1910" spans="1:6" x14ac:dyDescent="0.3">
      <c r="A1910" s="111">
        <v>46275</v>
      </c>
      <c r="B1910" t="s">
        <v>219</v>
      </c>
      <c r="C1910" s="11"/>
      <c r="D1910" s="11">
        <v>3000</v>
      </c>
      <c r="E1910" t="s">
        <v>265</v>
      </c>
      <c r="F1910" s="108"/>
    </row>
    <row r="1911" spans="1:6" x14ac:dyDescent="0.3">
      <c r="A1911" s="111">
        <v>46275</v>
      </c>
      <c r="B1911" t="s">
        <v>222</v>
      </c>
      <c r="C1911" s="11">
        <v>6000</v>
      </c>
      <c r="D1911" s="11"/>
      <c r="E1911" t="s">
        <v>265</v>
      </c>
      <c r="F1911" s="108"/>
    </row>
    <row r="1912" spans="1:6" x14ac:dyDescent="0.3">
      <c r="A1912" s="111">
        <v>46275</v>
      </c>
      <c r="B1912" t="s">
        <v>488</v>
      </c>
      <c r="C1912" s="11">
        <v>6000</v>
      </c>
      <c r="D1912" s="11"/>
      <c r="E1912" t="s">
        <v>1289</v>
      </c>
      <c r="F1912" s="108"/>
    </row>
    <row r="1913" spans="1:6" x14ac:dyDescent="0.3">
      <c r="A1913" s="111">
        <v>46275</v>
      </c>
      <c r="B1913" t="s">
        <v>758</v>
      </c>
      <c r="C1913" s="11">
        <v>135000</v>
      </c>
      <c r="D1913" s="11"/>
      <c r="E1913" t="s">
        <v>267</v>
      </c>
      <c r="F1913" s="108"/>
    </row>
    <row r="1914" spans="1:6" x14ac:dyDescent="0.3">
      <c r="A1914" s="111">
        <v>46275</v>
      </c>
      <c r="C1914" s="11"/>
      <c r="D1914" s="11"/>
      <c r="F1914" s="108"/>
    </row>
    <row r="1915" spans="1:6" x14ac:dyDescent="0.3">
      <c r="A1915" s="111">
        <v>46275</v>
      </c>
      <c r="B1915" t="s">
        <v>219</v>
      </c>
      <c r="C1915" s="11"/>
      <c r="D1915" s="11"/>
      <c r="E1915" t="s">
        <v>265</v>
      </c>
      <c r="F1915" s="108"/>
    </row>
    <row r="1916" spans="1:6" x14ac:dyDescent="0.3">
      <c r="A1916" s="111">
        <v>46276</v>
      </c>
      <c r="B1916" t="s">
        <v>269</v>
      </c>
      <c r="C1916" s="11">
        <v>7000</v>
      </c>
      <c r="D1916" s="11"/>
      <c r="E1916" t="s">
        <v>1265</v>
      </c>
      <c r="F1916" s="108"/>
    </row>
    <row r="1917" spans="1:6" x14ac:dyDescent="0.3">
      <c r="A1917" s="111">
        <v>46276</v>
      </c>
      <c r="B1917" t="s">
        <v>219</v>
      </c>
      <c r="C1917" s="11"/>
      <c r="D1917" s="11">
        <v>160000</v>
      </c>
      <c r="E1917" t="s">
        <v>1228</v>
      </c>
      <c r="F1917" s="108"/>
    </row>
    <row r="1918" spans="1:6" x14ac:dyDescent="0.3">
      <c r="A1918" s="111">
        <v>46276</v>
      </c>
      <c r="B1918" t="s">
        <v>1229</v>
      </c>
      <c r="C1918" s="11">
        <v>100600</v>
      </c>
      <c r="D1918" s="11"/>
      <c r="E1918" t="s">
        <v>1230</v>
      </c>
      <c r="F1918" s="108"/>
    </row>
    <row r="1919" spans="1:6" x14ac:dyDescent="0.3">
      <c r="A1919" s="111">
        <v>46276</v>
      </c>
      <c r="B1919" t="s">
        <v>222</v>
      </c>
      <c r="C1919" s="11">
        <v>57000</v>
      </c>
      <c r="D1919" s="11"/>
      <c r="E1919" t="s">
        <v>240</v>
      </c>
      <c r="F1919" s="108"/>
    </row>
    <row r="1920" spans="1:6" x14ac:dyDescent="0.3">
      <c r="A1920" s="111">
        <v>46276</v>
      </c>
      <c r="B1920" t="s">
        <v>386</v>
      </c>
      <c r="C1920" s="11">
        <v>5000</v>
      </c>
      <c r="D1920" s="11"/>
      <c r="E1920" t="s">
        <v>899</v>
      </c>
      <c r="F1920" s="108"/>
    </row>
    <row r="1921" spans="1:6" x14ac:dyDescent="0.3">
      <c r="A1921" s="111">
        <v>46276</v>
      </c>
      <c r="B1921" t="s">
        <v>55</v>
      </c>
      <c r="C1921" s="11">
        <v>11994</v>
      </c>
      <c r="D1921" s="11"/>
      <c r="E1921" t="s">
        <v>259</v>
      </c>
      <c r="F1921" s="108"/>
    </row>
    <row r="1922" spans="1:6" x14ac:dyDescent="0.3">
      <c r="A1922" s="111">
        <v>46276</v>
      </c>
      <c r="B1922" t="s">
        <v>211</v>
      </c>
      <c r="C1922" s="11"/>
      <c r="D1922" s="11">
        <v>1000</v>
      </c>
      <c r="F1922" s="108"/>
    </row>
    <row r="1923" spans="1:6" x14ac:dyDescent="0.3">
      <c r="A1923" s="111">
        <v>46276</v>
      </c>
      <c r="B1923" t="s">
        <v>222</v>
      </c>
      <c r="C1923" s="11">
        <v>1500</v>
      </c>
      <c r="D1923" s="11"/>
      <c r="E1923" t="s">
        <v>265</v>
      </c>
      <c r="F1923" s="108"/>
    </row>
    <row r="1924" spans="1:6" x14ac:dyDescent="0.3">
      <c r="A1924" s="111">
        <v>46276</v>
      </c>
      <c r="B1924" t="s">
        <v>386</v>
      </c>
      <c r="C1924" s="11">
        <v>9000</v>
      </c>
      <c r="D1924" s="11"/>
      <c r="E1924" t="s">
        <v>1285</v>
      </c>
      <c r="F1924" s="108"/>
    </row>
    <row r="1925" spans="1:6" x14ac:dyDescent="0.3">
      <c r="A1925" s="111">
        <v>46276</v>
      </c>
      <c r="B1925" t="s">
        <v>219</v>
      </c>
      <c r="C1925" s="11"/>
      <c r="D1925" s="11">
        <v>12000</v>
      </c>
      <c r="E1925" t="s">
        <v>1289</v>
      </c>
      <c r="F1925" s="108"/>
    </row>
    <row r="1926" spans="1:6" x14ac:dyDescent="0.3">
      <c r="A1926" s="111">
        <v>46276</v>
      </c>
      <c r="B1926" t="s">
        <v>488</v>
      </c>
      <c r="C1926" s="11">
        <v>12000</v>
      </c>
      <c r="D1926" s="11"/>
      <c r="E1926" t="s">
        <v>1289</v>
      </c>
      <c r="F1926" s="108"/>
    </row>
    <row r="1927" spans="1:6" x14ac:dyDescent="0.3">
      <c r="A1927" s="111">
        <v>46277</v>
      </c>
      <c r="B1927" t="s">
        <v>219</v>
      </c>
      <c r="C1927" s="95"/>
      <c r="D1927" s="95">
        <v>115000</v>
      </c>
      <c r="E1927" t="s">
        <v>1231</v>
      </c>
      <c r="F1927" s="108"/>
    </row>
    <row r="1928" spans="1:6" x14ac:dyDescent="0.3">
      <c r="A1928" s="111">
        <v>46277</v>
      </c>
      <c r="B1928" t="s">
        <v>568</v>
      </c>
      <c r="C1928" s="11">
        <v>45000</v>
      </c>
      <c r="D1928" s="11"/>
      <c r="E1928" t="s">
        <v>163</v>
      </c>
      <c r="F1928" s="108"/>
    </row>
    <row r="1929" spans="1:6" x14ac:dyDescent="0.3">
      <c r="A1929" s="111">
        <v>46277</v>
      </c>
      <c r="B1929" t="s">
        <v>219</v>
      </c>
      <c r="C1929" s="11"/>
      <c r="D1929" s="11">
        <v>45000</v>
      </c>
      <c r="E1929" t="s">
        <v>568</v>
      </c>
      <c r="F1929" s="108"/>
    </row>
    <row r="1930" spans="1:6" x14ac:dyDescent="0.3">
      <c r="A1930" s="111">
        <v>46277</v>
      </c>
      <c r="B1930" t="s">
        <v>222</v>
      </c>
      <c r="C1930" s="11">
        <v>115000</v>
      </c>
      <c r="D1930" s="11"/>
      <c r="E1930" t="s">
        <v>240</v>
      </c>
      <c r="F1930" s="108"/>
    </row>
    <row r="1931" spans="1:6" x14ac:dyDescent="0.3">
      <c r="A1931" s="111">
        <v>46277</v>
      </c>
      <c r="B1931" t="s">
        <v>219</v>
      </c>
      <c r="C1931" s="11"/>
      <c r="D1931" s="11">
        <v>10000</v>
      </c>
      <c r="E1931" t="s">
        <v>1232</v>
      </c>
      <c r="F1931" s="108"/>
    </row>
    <row r="1932" spans="1:6" x14ac:dyDescent="0.3">
      <c r="A1932" s="111">
        <v>46277</v>
      </c>
      <c r="B1932" t="s">
        <v>55</v>
      </c>
      <c r="C1932" s="11">
        <v>4140</v>
      </c>
      <c r="D1932" s="11"/>
      <c r="F1932" s="108"/>
    </row>
    <row r="1933" spans="1:6" x14ac:dyDescent="0.3">
      <c r="A1933" s="38">
        <v>46277</v>
      </c>
      <c r="B1933" t="s">
        <v>55</v>
      </c>
      <c r="C1933" s="11">
        <v>5500</v>
      </c>
      <c r="D1933" s="11"/>
      <c r="E1933" t="s">
        <v>1233</v>
      </c>
      <c r="F1933" s="108"/>
    </row>
    <row r="1934" spans="1:6" x14ac:dyDescent="0.3">
      <c r="A1934" s="38">
        <v>46277</v>
      </c>
      <c r="B1934" t="s">
        <v>219</v>
      </c>
      <c r="C1934" s="11"/>
      <c r="D1934" s="11">
        <v>19000</v>
      </c>
      <c r="E1934" t="s">
        <v>318</v>
      </c>
      <c r="F1934" s="108"/>
    </row>
    <row r="1935" spans="1:6" x14ac:dyDescent="0.3">
      <c r="A1935" s="38">
        <v>46277</v>
      </c>
      <c r="B1935" t="s">
        <v>1134</v>
      </c>
      <c r="C1935" s="11">
        <v>20000</v>
      </c>
      <c r="D1935" s="11"/>
      <c r="E1935" t="s">
        <v>109</v>
      </c>
      <c r="F1935" s="108"/>
    </row>
    <row r="1936" spans="1:6" x14ac:dyDescent="0.3">
      <c r="A1936" s="111">
        <v>46277</v>
      </c>
      <c r="B1936" t="s">
        <v>219</v>
      </c>
      <c r="C1936" s="11"/>
      <c r="D1936" s="11">
        <v>290000</v>
      </c>
      <c r="E1936" t="s">
        <v>1234</v>
      </c>
      <c r="F1936" s="108"/>
    </row>
    <row r="1937" spans="1:6" x14ac:dyDescent="0.3">
      <c r="A1937" s="111">
        <v>46277</v>
      </c>
      <c r="B1937" t="s">
        <v>222</v>
      </c>
      <c r="C1937" s="11">
        <v>200000</v>
      </c>
      <c r="D1937" s="11"/>
      <c r="E1937" t="s">
        <v>1235</v>
      </c>
      <c r="F1937" s="108"/>
    </row>
    <row r="1938" spans="1:6" x14ac:dyDescent="0.3">
      <c r="A1938" s="111">
        <v>46277</v>
      </c>
      <c r="B1938" t="s">
        <v>55</v>
      </c>
      <c r="C1938" s="11">
        <v>12153</v>
      </c>
      <c r="D1938" s="11"/>
      <c r="E1938" t="s">
        <v>259</v>
      </c>
      <c r="F1938" s="108"/>
    </row>
    <row r="1939" spans="1:6" x14ac:dyDescent="0.3">
      <c r="A1939" s="111">
        <v>46277</v>
      </c>
      <c r="B1939" t="s">
        <v>55</v>
      </c>
      <c r="C1939" s="11">
        <v>16732</v>
      </c>
      <c r="D1939" s="11"/>
      <c r="E1939" t="s">
        <v>259</v>
      </c>
      <c r="F1939" s="108"/>
    </row>
    <row r="1940" spans="1:6" x14ac:dyDescent="0.3">
      <c r="A1940" s="38">
        <v>46277</v>
      </c>
      <c r="B1940" t="s">
        <v>219</v>
      </c>
      <c r="C1940" s="11"/>
      <c r="D1940" s="11">
        <v>8800</v>
      </c>
      <c r="E1940" t="s">
        <v>1298</v>
      </c>
      <c r="F1940" s="108"/>
    </row>
    <row r="1941" spans="1:6" x14ac:dyDescent="0.3">
      <c r="A1941" s="111">
        <v>46277</v>
      </c>
      <c r="B1941" t="s">
        <v>219</v>
      </c>
      <c r="C1941" s="11"/>
      <c r="D1941" s="11">
        <v>15000</v>
      </c>
      <c r="E1941" t="s">
        <v>1299</v>
      </c>
      <c r="F1941" s="108"/>
    </row>
    <row r="1942" spans="1:6" x14ac:dyDescent="0.3">
      <c r="A1942" s="111">
        <v>46277</v>
      </c>
      <c r="B1942" t="s">
        <v>219</v>
      </c>
      <c r="C1942" s="11"/>
      <c r="D1942" s="11">
        <v>12000</v>
      </c>
      <c r="E1942" t="s">
        <v>1289</v>
      </c>
      <c r="F1942" s="108"/>
    </row>
    <row r="1943" spans="1:6" x14ac:dyDescent="0.3">
      <c r="A1943" s="111">
        <v>46277</v>
      </c>
      <c r="B1943" t="s">
        <v>219</v>
      </c>
      <c r="C1943" s="11"/>
      <c r="D1943" s="11">
        <v>100000</v>
      </c>
      <c r="E1943" t="s">
        <v>1297</v>
      </c>
      <c r="F1943" s="108"/>
    </row>
    <row r="1944" spans="1:6" x14ac:dyDescent="0.3">
      <c r="A1944" s="111">
        <v>46277</v>
      </c>
      <c r="B1944" t="s">
        <v>219</v>
      </c>
      <c r="C1944" s="11"/>
      <c r="D1944" s="11">
        <v>29875</v>
      </c>
      <c r="E1944" t="s">
        <v>568</v>
      </c>
      <c r="F1944" s="108"/>
    </row>
    <row r="1945" spans="1:6" x14ac:dyDescent="0.3">
      <c r="A1945" s="111">
        <v>46277</v>
      </c>
      <c r="B1945" t="s">
        <v>219</v>
      </c>
      <c r="C1945" s="11"/>
      <c r="D1945" s="11">
        <v>9826</v>
      </c>
      <c r="E1945" t="s">
        <v>1017</v>
      </c>
      <c r="F1945" s="108"/>
    </row>
    <row r="1946" spans="1:6" x14ac:dyDescent="0.3">
      <c r="A1946" s="38">
        <v>46277</v>
      </c>
      <c r="B1946" t="s">
        <v>219</v>
      </c>
      <c r="C1946" s="11"/>
      <c r="D1946" s="11">
        <v>8000</v>
      </c>
      <c r="E1946" t="s">
        <v>1300</v>
      </c>
      <c r="F1946" s="108"/>
    </row>
    <row r="1947" spans="1:6" x14ac:dyDescent="0.3">
      <c r="A1947" s="111">
        <v>46277</v>
      </c>
      <c r="B1947" t="s">
        <v>55</v>
      </c>
      <c r="C1947" s="11">
        <v>8800</v>
      </c>
      <c r="D1947" s="11"/>
      <c r="E1947" t="s">
        <v>1298</v>
      </c>
      <c r="F1947" s="108"/>
    </row>
    <row r="1948" spans="1:6" x14ac:dyDescent="0.3">
      <c r="A1948" s="111">
        <v>46277</v>
      </c>
      <c r="B1948" t="s">
        <v>55</v>
      </c>
      <c r="C1948" s="11">
        <v>15000</v>
      </c>
      <c r="D1948" s="11"/>
      <c r="E1948" t="s">
        <v>1299</v>
      </c>
      <c r="F1948" s="108"/>
    </row>
    <row r="1949" spans="1:6" x14ac:dyDescent="0.3">
      <c r="A1949" s="111">
        <v>46277</v>
      </c>
      <c r="B1949" t="s">
        <v>488</v>
      </c>
      <c r="C1949" s="11">
        <v>12000</v>
      </c>
      <c r="D1949" s="11"/>
      <c r="E1949" t="s">
        <v>1289</v>
      </c>
      <c r="F1949" s="108"/>
    </row>
    <row r="1950" spans="1:6" x14ac:dyDescent="0.3">
      <c r="A1950" s="111">
        <v>46277</v>
      </c>
      <c r="B1950" t="s">
        <v>758</v>
      </c>
      <c r="C1950" s="11">
        <v>100000</v>
      </c>
      <c r="D1950" s="11"/>
      <c r="E1950" t="s">
        <v>1297</v>
      </c>
      <c r="F1950" s="108"/>
    </row>
    <row r="1951" spans="1:6" x14ac:dyDescent="0.3">
      <c r="A1951" s="111">
        <v>46277</v>
      </c>
      <c r="B1951" t="s">
        <v>568</v>
      </c>
      <c r="C1951" s="11">
        <v>29875</v>
      </c>
      <c r="D1951" s="11"/>
      <c r="E1951" t="s">
        <v>1301</v>
      </c>
      <c r="F1951" s="108"/>
    </row>
    <row r="1952" spans="1:6" x14ac:dyDescent="0.3">
      <c r="A1952" s="111">
        <v>46277</v>
      </c>
      <c r="B1952" t="s">
        <v>55</v>
      </c>
      <c r="C1952" s="11">
        <v>9826</v>
      </c>
      <c r="D1952" s="11"/>
      <c r="E1952" t="s">
        <v>1017</v>
      </c>
      <c r="F1952" s="108"/>
    </row>
    <row r="1953" spans="1:6" x14ac:dyDescent="0.3">
      <c r="A1953" s="111">
        <v>46277</v>
      </c>
      <c r="B1953" t="s">
        <v>55</v>
      </c>
      <c r="C1953" s="11">
        <v>8000</v>
      </c>
      <c r="D1953" s="11"/>
      <c r="E1953" t="s">
        <v>1300</v>
      </c>
      <c r="F1953" s="108"/>
    </row>
    <row r="1954" spans="1:6" x14ac:dyDescent="0.3">
      <c r="A1954" s="111">
        <v>46278</v>
      </c>
      <c r="B1954" t="s">
        <v>674</v>
      </c>
      <c r="C1954" s="11">
        <v>50000</v>
      </c>
      <c r="D1954" s="11"/>
      <c r="E1954" t="s">
        <v>240</v>
      </c>
      <c r="F1954" s="108"/>
    </row>
    <row r="1955" spans="1:6" x14ac:dyDescent="0.3">
      <c r="A1955" s="111">
        <v>46278</v>
      </c>
      <c r="B1955" t="s">
        <v>55</v>
      </c>
      <c r="C1955" s="11">
        <v>8000</v>
      </c>
      <c r="D1955" s="11"/>
      <c r="E1955" t="s">
        <v>1236</v>
      </c>
      <c r="F1955" s="108"/>
    </row>
    <row r="1956" spans="1:6" x14ac:dyDescent="0.3">
      <c r="A1956" s="111">
        <v>46278</v>
      </c>
      <c r="B1956" t="s">
        <v>219</v>
      </c>
      <c r="C1956" s="11"/>
      <c r="D1956" s="11">
        <v>4500</v>
      </c>
      <c r="F1956" s="108"/>
    </row>
    <row r="1957" spans="1:6" x14ac:dyDescent="0.3">
      <c r="A1957" s="111">
        <v>46278</v>
      </c>
      <c r="B1957" t="s">
        <v>298</v>
      </c>
      <c r="C1957" s="11">
        <v>5500</v>
      </c>
      <c r="D1957" s="11"/>
      <c r="E1957" t="s">
        <v>1237</v>
      </c>
      <c r="F1957" s="108"/>
    </row>
    <row r="1958" spans="1:6" x14ac:dyDescent="0.3">
      <c r="A1958" s="111">
        <v>46278</v>
      </c>
      <c r="B1958" t="s">
        <v>1175</v>
      </c>
      <c r="C1958" s="11">
        <v>5500</v>
      </c>
      <c r="D1958" s="11"/>
      <c r="F1958" s="108"/>
    </row>
    <row r="1959" spans="1:6" x14ac:dyDescent="0.3">
      <c r="A1959" s="111">
        <v>46278</v>
      </c>
      <c r="B1959" t="s">
        <v>298</v>
      </c>
      <c r="C1959" s="11"/>
      <c r="D1959" s="11">
        <v>5500</v>
      </c>
      <c r="E1959" t="s">
        <v>1237</v>
      </c>
      <c r="F1959" s="108"/>
    </row>
    <row r="1960" spans="1:6" x14ac:dyDescent="0.3">
      <c r="A1960" s="111">
        <v>46278</v>
      </c>
      <c r="B1960" t="s">
        <v>55</v>
      </c>
      <c r="C1960" s="11">
        <v>1440</v>
      </c>
      <c r="D1960" s="11"/>
      <c r="F1960" s="108"/>
    </row>
    <row r="1961" spans="1:6" x14ac:dyDescent="0.3">
      <c r="A1961" s="111">
        <v>46278</v>
      </c>
      <c r="B1961" t="s">
        <v>244</v>
      </c>
      <c r="C1961" s="11">
        <v>600</v>
      </c>
      <c r="D1961" s="11"/>
      <c r="F1961" s="108"/>
    </row>
    <row r="1962" spans="1:6" x14ac:dyDescent="0.3">
      <c r="A1962" s="111">
        <v>46278</v>
      </c>
      <c r="B1962" t="s">
        <v>386</v>
      </c>
      <c r="C1962" s="11">
        <v>1200</v>
      </c>
      <c r="D1962" s="11"/>
      <c r="E1962" t="s">
        <v>951</v>
      </c>
      <c r="F1962" s="108"/>
    </row>
    <row r="1963" spans="1:6" x14ac:dyDescent="0.3">
      <c r="A1963" s="111">
        <v>46278</v>
      </c>
      <c r="B1963" t="s">
        <v>488</v>
      </c>
      <c r="C1963" s="11">
        <v>4000</v>
      </c>
      <c r="D1963" s="11"/>
      <c r="E1963" t="s">
        <v>648</v>
      </c>
      <c r="F1963" s="108"/>
    </row>
    <row r="1964" spans="1:6" x14ac:dyDescent="0.3">
      <c r="A1964" s="111">
        <v>46278</v>
      </c>
      <c r="B1964" t="s">
        <v>386</v>
      </c>
      <c r="C1964" s="11">
        <v>4500</v>
      </c>
      <c r="D1964" s="11"/>
      <c r="E1964" t="s">
        <v>1075</v>
      </c>
      <c r="F1964" s="108"/>
    </row>
    <row r="1965" spans="1:6" x14ac:dyDescent="0.3">
      <c r="A1965" s="111">
        <v>46278</v>
      </c>
      <c r="B1965" t="s">
        <v>386</v>
      </c>
      <c r="C1965" s="11">
        <v>1000</v>
      </c>
      <c r="D1965" s="11"/>
      <c r="E1965" t="s">
        <v>1286</v>
      </c>
      <c r="F1965" s="108"/>
    </row>
    <row r="1966" spans="1:6" x14ac:dyDescent="0.3">
      <c r="A1966" s="111">
        <v>46278</v>
      </c>
      <c r="B1966" t="s">
        <v>386</v>
      </c>
      <c r="C1966" s="95">
        <f>500+910</f>
        <v>1410</v>
      </c>
      <c r="D1966" s="95"/>
      <c r="E1966" t="s">
        <v>1287</v>
      </c>
      <c r="F1966" s="108"/>
    </row>
    <row r="1967" spans="1:6" x14ac:dyDescent="0.3">
      <c r="A1967" s="111">
        <v>46278</v>
      </c>
      <c r="B1967" t="s">
        <v>211</v>
      </c>
      <c r="C1967" s="95">
        <v>5000</v>
      </c>
      <c r="D1967" s="95"/>
      <c r="E1967" t="s">
        <v>648</v>
      </c>
      <c r="F1967" s="108"/>
    </row>
    <row r="1968" spans="1:6" x14ac:dyDescent="0.3">
      <c r="A1968" s="111">
        <v>46278</v>
      </c>
      <c r="B1968" t="s">
        <v>211</v>
      </c>
      <c r="C1968" s="95">
        <v>800</v>
      </c>
      <c r="D1968" s="95"/>
      <c r="E1968" t="s">
        <v>1288</v>
      </c>
      <c r="F1968" s="108"/>
    </row>
    <row r="1969" spans="1:6" x14ac:dyDescent="0.3">
      <c r="A1969" s="111">
        <v>46278</v>
      </c>
      <c r="B1969" t="s">
        <v>488</v>
      </c>
      <c r="C1969" s="95">
        <v>6000</v>
      </c>
      <c r="D1969" s="95"/>
      <c r="E1969" t="s">
        <v>648</v>
      </c>
      <c r="F1969" s="108"/>
    </row>
    <row r="1970" spans="1:6" x14ac:dyDescent="0.3">
      <c r="A1970" s="111">
        <v>46279</v>
      </c>
      <c r="B1970" t="s">
        <v>219</v>
      </c>
      <c r="C1970" s="11"/>
      <c r="D1970" s="11">
        <v>20000</v>
      </c>
      <c r="E1970" t="s">
        <v>1238</v>
      </c>
      <c r="F1970" s="108"/>
    </row>
    <row r="1971" spans="1:6" x14ac:dyDescent="0.3">
      <c r="A1971" s="111">
        <v>46279</v>
      </c>
      <c r="B1971" t="s">
        <v>357</v>
      </c>
      <c r="C1971" s="11">
        <v>12660</v>
      </c>
      <c r="D1971" s="11"/>
      <c r="F1971" s="108"/>
    </row>
    <row r="1972" spans="1:6" x14ac:dyDescent="0.3">
      <c r="A1972" s="111">
        <v>46279</v>
      </c>
      <c r="B1972" t="s">
        <v>253</v>
      </c>
      <c r="C1972" s="11">
        <v>1000</v>
      </c>
      <c r="D1972" s="11"/>
      <c r="E1972" t="s">
        <v>1277</v>
      </c>
      <c r="F1972" s="108"/>
    </row>
    <row r="1973" spans="1:6" x14ac:dyDescent="0.3">
      <c r="A1973" s="111">
        <v>46279</v>
      </c>
      <c r="B1973" t="s">
        <v>269</v>
      </c>
      <c r="C1973" s="11">
        <v>5000</v>
      </c>
      <c r="D1973" s="11"/>
      <c r="E1973" t="s">
        <v>1278</v>
      </c>
      <c r="F1973" s="108"/>
    </row>
    <row r="1974" spans="1:6" x14ac:dyDescent="0.3">
      <c r="A1974" s="111">
        <v>46279</v>
      </c>
      <c r="B1974" t="s">
        <v>253</v>
      </c>
      <c r="C1974" s="11">
        <v>6000</v>
      </c>
      <c r="D1974" s="11"/>
      <c r="E1974" t="s">
        <v>1282</v>
      </c>
      <c r="F1974" s="108"/>
    </row>
    <row r="1975" spans="1:6" x14ac:dyDescent="0.3">
      <c r="A1975" s="111">
        <v>46279</v>
      </c>
      <c r="B1975" t="s">
        <v>253</v>
      </c>
      <c r="C1975" s="11">
        <f>6000+6650</f>
        <v>12650</v>
      </c>
      <c r="D1975" s="11"/>
      <c r="E1975" t="s">
        <v>1279</v>
      </c>
      <c r="F1975" s="108"/>
    </row>
    <row r="1976" spans="1:6" x14ac:dyDescent="0.3">
      <c r="A1976" s="111">
        <v>46279</v>
      </c>
      <c r="B1976" t="s">
        <v>253</v>
      </c>
      <c r="C1976" s="11">
        <v>22265</v>
      </c>
      <c r="D1976" s="11"/>
      <c r="E1976" t="s">
        <v>1016</v>
      </c>
      <c r="F1976" s="108"/>
    </row>
    <row r="1977" spans="1:6" x14ac:dyDescent="0.3">
      <c r="A1977" s="111">
        <v>46279</v>
      </c>
      <c r="B1977" t="s">
        <v>253</v>
      </c>
      <c r="C1977" s="11">
        <f>7200+3000</f>
        <v>10200</v>
      </c>
      <c r="D1977" s="11"/>
      <c r="E1977" t="s">
        <v>1280</v>
      </c>
      <c r="F1977" s="108"/>
    </row>
    <row r="1978" spans="1:6" x14ac:dyDescent="0.3">
      <c r="A1978" s="111">
        <v>46279</v>
      </c>
      <c r="B1978" t="s">
        <v>253</v>
      </c>
      <c r="C1978" s="11">
        <v>14400</v>
      </c>
      <c r="D1978" s="11"/>
      <c r="E1978" t="s">
        <v>1281</v>
      </c>
      <c r="F1978" s="108"/>
    </row>
    <row r="1979" spans="1:6" x14ac:dyDescent="0.3">
      <c r="A1979" s="111">
        <v>46279</v>
      </c>
      <c r="B1979" t="s">
        <v>1134</v>
      </c>
      <c r="C1979" s="11"/>
      <c r="D1979" s="11"/>
      <c r="E1979" t="s">
        <v>1259</v>
      </c>
      <c r="F1979" s="108"/>
    </row>
    <row r="1980" spans="1:6" x14ac:dyDescent="0.3">
      <c r="A1980" s="111">
        <v>46279</v>
      </c>
      <c r="B1980" t="s">
        <v>219</v>
      </c>
      <c r="C1980" s="11"/>
      <c r="D1980" s="11">
        <v>200000</v>
      </c>
      <c r="E1980" t="s">
        <v>1261</v>
      </c>
      <c r="F1980" s="108"/>
    </row>
    <row r="1981" spans="1:6" x14ac:dyDescent="0.3">
      <c r="A1981" s="111">
        <v>46279</v>
      </c>
      <c r="B1981" t="s">
        <v>219</v>
      </c>
      <c r="C1981" s="11"/>
      <c r="D1981" s="11">
        <v>15000</v>
      </c>
      <c r="E1981" t="s">
        <v>1260</v>
      </c>
      <c r="F1981" s="108"/>
    </row>
    <row r="1982" spans="1:6" x14ac:dyDescent="0.3">
      <c r="A1982" s="111">
        <v>46279</v>
      </c>
      <c r="B1982" t="s">
        <v>55</v>
      </c>
      <c r="C1982" s="11">
        <v>12153</v>
      </c>
      <c r="D1982" s="11"/>
      <c r="F1982" s="108"/>
    </row>
    <row r="1983" spans="1:6" x14ac:dyDescent="0.3">
      <c r="A1983" s="111">
        <v>46279</v>
      </c>
      <c r="B1983" t="s">
        <v>363</v>
      </c>
      <c r="C1983" s="11">
        <v>38500</v>
      </c>
      <c r="D1983" s="11"/>
      <c r="E1983" t="s">
        <v>316</v>
      </c>
      <c r="F1983" s="108"/>
    </row>
    <row r="1984" spans="1:6" x14ac:dyDescent="0.3">
      <c r="A1984" s="111">
        <v>46279</v>
      </c>
      <c r="B1984" t="s">
        <v>211</v>
      </c>
      <c r="C1984" s="11">
        <v>700</v>
      </c>
      <c r="D1984" s="11"/>
      <c r="F1984" s="108"/>
    </row>
    <row r="1985" spans="1:6" x14ac:dyDescent="0.3">
      <c r="A1985" s="111">
        <v>46279</v>
      </c>
      <c r="B1985" t="s">
        <v>488</v>
      </c>
      <c r="C1985" s="11">
        <v>900</v>
      </c>
      <c r="D1985" s="11"/>
      <c r="F1985" s="108"/>
    </row>
    <row r="1986" spans="1:6" x14ac:dyDescent="0.3">
      <c r="A1986" s="111">
        <v>46279</v>
      </c>
      <c r="B1986" t="s">
        <v>219</v>
      </c>
      <c r="C1986" s="11"/>
      <c r="D1986" s="11">
        <v>100000</v>
      </c>
      <c r="E1986" t="s">
        <v>1239</v>
      </c>
      <c r="F1986" s="108"/>
    </row>
    <row r="1987" spans="1:6" x14ac:dyDescent="0.3">
      <c r="A1987" s="111">
        <v>46279</v>
      </c>
      <c r="B1987" t="s">
        <v>253</v>
      </c>
      <c r="C1987" s="11">
        <v>215000</v>
      </c>
      <c r="D1987" s="11"/>
      <c r="E1987" t="s">
        <v>1240</v>
      </c>
      <c r="F1987" s="108"/>
    </row>
    <row r="1988" spans="1:6" x14ac:dyDescent="0.3">
      <c r="A1988" s="111">
        <v>46279</v>
      </c>
      <c r="B1988" t="s">
        <v>219</v>
      </c>
      <c r="C1988" s="11"/>
      <c r="D1988" s="11">
        <v>10000</v>
      </c>
      <c r="E1988" t="s">
        <v>1241</v>
      </c>
      <c r="F1988" s="108"/>
    </row>
    <row r="1989" spans="1:6" x14ac:dyDescent="0.3">
      <c r="A1989" s="111">
        <v>46279</v>
      </c>
      <c r="B1989" t="s">
        <v>219</v>
      </c>
      <c r="C1989" s="11"/>
      <c r="D1989" s="11">
        <v>200000</v>
      </c>
      <c r="E1989" t="s">
        <v>1242</v>
      </c>
      <c r="F1989" s="108"/>
    </row>
    <row r="1990" spans="1:6" x14ac:dyDescent="0.3">
      <c r="A1990" s="111">
        <v>46279</v>
      </c>
      <c r="B1990" t="s">
        <v>222</v>
      </c>
      <c r="C1990" s="11">
        <v>200000</v>
      </c>
      <c r="D1990" s="11"/>
      <c r="E1990" t="s">
        <v>1243</v>
      </c>
      <c r="F1990" s="108"/>
    </row>
    <row r="1991" spans="1:6" x14ac:dyDescent="0.3">
      <c r="A1991" s="111">
        <v>46279</v>
      </c>
      <c r="B1991" t="s">
        <v>367</v>
      </c>
      <c r="C1991" s="11"/>
      <c r="D1991" s="11">
        <v>4626</v>
      </c>
      <c r="E1991" t="s">
        <v>54</v>
      </c>
      <c r="F1991" s="108" t="s">
        <v>108</v>
      </c>
    </row>
    <row r="1992" spans="1:6" x14ac:dyDescent="0.3">
      <c r="A1992" s="111">
        <v>46279</v>
      </c>
      <c r="B1992" t="s">
        <v>488</v>
      </c>
      <c r="C1992" s="11">
        <f>D1990+D1991+D2024</f>
        <v>69126</v>
      </c>
      <c r="D1992" s="11"/>
      <c r="E1992" t="s">
        <v>1350</v>
      </c>
      <c r="F1992" s="108" t="s">
        <v>108</v>
      </c>
    </row>
    <row r="1993" spans="1:6" x14ac:dyDescent="0.3">
      <c r="A1993" s="111">
        <v>46280</v>
      </c>
      <c r="B1993" t="s">
        <v>219</v>
      </c>
      <c r="C1993" s="11"/>
      <c r="D1993" s="11">
        <v>300002</v>
      </c>
      <c r="E1993" t="s">
        <v>1116</v>
      </c>
      <c r="F1993" s="108"/>
    </row>
    <row r="1994" spans="1:6" x14ac:dyDescent="0.3">
      <c r="A1994" s="111">
        <v>46280</v>
      </c>
      <c r="B1994" t="s">
        <v>1116</v>
      </c>
      <c r="C1994" s="11">
        <v>300002</v>
      </c>
      <c r="D1994" s="11"/>
      <c r="E1994" t="s">
        <v>1244</v>
      </c>
      <c r="F1994" s="108"/>
    </row>
    <row r="1995" spans="1:6" x14ac:dyDescent="0.3">
      <c r="A1995" s="111">
        <v>46280</v>
      </c>
      <c r="B1995" t="s">
        <v>367</v>
      </c>
      <c r="C1995" s="11"/>
      <c r="D1995" s="11">
        <v>500000</v>
      </c>
      <c r="E1995" t="s">
        <v>1245</v>
      </c>
      <c r="F1995" s="108" t="s">
        <v>108</v>
      </c>
    </row>
    <row r="1996" spans="1:6" x14ac:dyDescent="0.3">
      <c r="A1996" s="111">
        <v>46280</v>
      </c>
      <c r="B1996" t="s">
        <v>222</v>
      </c>
      <c r="C1996" s="11">
        <v>200120</v>
      </c>
      <c r="D1996" s="11"/>
      <c r="E1996" t="s">
        <v>1246</v>
      </c>
      <c r="F1996" s="108"/>
    </row>
    <row r="1997" spans="1:6" x14ac:dyDescent="0.3">
      <c r="A1997" s="111">
        <v>46280</v>
      </c>
      <c r="B1997" t="s">
        <v>674</v>
      </c>
      <c r="C1997" s="11">
        <v>200200</v>
      </c>
      <c r="D1997" s="11"/>
      <c r="E1997" t="s">
        <v>1247</v>
      </c>
      <c r="F1997" s="108"/>
    </row>
    <row r="1998" spans="1:6" x14ac:dyDescent="0.3">
      <c r="A1998" s="111">
        <v>46280</v>
      </c>
      <c r="B1998" t="s">
        <v>298</v>
      </c>
      <c r="C1998" s="11"/>
      <c r="D1998" s="11">
        <f>19005*5</f>
        <v>95025</v>
      </c>
      <c r="E1998" t="s">
        <v>1248</v>
      </c>
      <c r="F1998" s="108"/>
    </row>
    <row r="1999" spans="1:6" x14ac:dyDescent="0.3">
      <c r="A1999" s="111">
        <v>46280</v>
      </c>
      <c r="B1999" t="s">
        <v>1129</v>
      </c>
      <c r="C1999" s="11">
        <v>95025</v>
      </c>
      <c r="D1999" s="11"/>
      <c r="E1999" t="s">
        <v>1248</v>
      </c>
      <c r="F1999" s="108"/>
    </row>
    <row r="2000" spans="1:6" x14ac:dyDescent="0.3">
      <c r="A2000" s="111">
        <v>46280</v>
      </c>
      <c r="B2000" t="s">
        <v>1197</v>
      </c>
      <c r="C2000" s="11">
        <v>93425</v>
      </c>
      <c r="D2000" s="11"/>
      <c r="F2000" s="108"/>
    </row>
    <row r="2001" spans="1:6" x14ac:dyDescent="0.3">
      <c r="A2001" s="111">
        <v>46280</v>
      </c>
      <c r="B2001" t="s">
        <v>244</v>
      </c>
      <c r="C2001" s="11">
        <v>2000</v>
      </c>
      <c r="D2001" s="11"/>
      <c r="E2001" t="s">
        <v>1249</v>
      </c>
      <c r="F2001" s="108"/>
    </row>
    <row r="2002" spans="1:6" x14ac:dyDescent="0.3">
      <c r="A2002" s="111">
        <v>46280</v>
      </c>
      <c r="B2002" t="s">
        <v>219</v>
      </c>
      <c r="C2002" s="11"/>
      <c r="D2002" s="11">
        <v>24489</v>
      </c>
      <c r="E2002" t="s">
        <v>259</v>
      </c>
      <c r="F2002" s="108"/>
    </row>
    <row r="2003" spans="1:6" x14ac:dyDescent="0.3">
      <c r="A2003" s="111">
        <v>46280</v>
      </c>
      <c r="B2003" t="s">
        <v>55</v>
      </c>
      <c r="C2003" s="11">
        <v>24489</v>
      </c>
      <c r="D2003" s="11"/>
      <c r="E2003" t="s">
        <v>259</v>
      </c>
      <c r="F2003" s="108"/>
    </row>
    <row r="2004" spans="1:6" x14ac:dyDescent="0.3">
      <c r="A2004" s="111">
        <v>46280</v>
      </c>
      <c r="B2004" t="s">
        <v>219</v>
      </c>
      <c r="C2004" s="11"/>
      <c r="D2004" s="11">
        <v>15000</v>
      </c>
      <c r="E2004" t="s">
        <v>1250</v>
      </c>
      <c r="F2004" s="108"/>
    </row>
    <row r="2005" spans="1:6" x14ac:dyDescent="0.3">
      <c r="A2005" s="38">
        <v>46280</v>
      </c>
      <c r="B2005" t="s">
        <v>269</v>
      </c>
      <c r="C2005" s="11">
        <v>10000</v>
      </c>
      <c r="D2005" s="11"/>
      <c r="E2005" t="s">
        <v>288</v>
      </c>
      <c r="F2005" s="108"/>
    </row>
    <row r="2006" spans="1:6" x14ac:dyDescent="0.3">
      <c r="A2006" s="38">
        <v>46280</v>
      </c>
      <c r="B2006" t="s">
        <v>211</v>
      </c>
      <c r="C2006" s="11">
        <v>1600</v>
      </c>
      <c r="D2006" s="11"/>
      <c r="F2006" s="108"/>
    </row>
    <row r="2007" spans="1:6" x14ac:dyDescent="0.3">
      <c r="A2007" s="111">
        <v>46280</v>
      </c>
      <c r="B2007" t="s">
        <v>1305</v>
      </c>
      <c r="C2007" s="11"/>
      <c r="D2007" s="11">
        <v>1000000</v>
      </c>
      <c r="E2007" t="s">
        <v>21</v>
      </c>
      <c r="F2007" s="108"/>
    </row>
    <row r="2008" spans="1:6" x14ac:dyDescent="0.3">
      <c r="A2008" s="111">
        <v>46280</v>
      </c>
      <c r="B2008" t="s">
        <v>219</v>
      </c>
      <c r="C2008" s="11">
        <v>1000000</v>
      </c>
      <c r="D2008" s="11"/>
      <c r="E2008" t="s">
        <v>1305</v>
      </c>
      <c r="F2008" s="108"/>
    </row>
    <row r="2009" spans="1:6" x14ac:dyDescent="0.3">
      <c r="A2009" s="111">
        <v>46281</v>
      </c>
      <c r="B2009" t="s">
        <v>211</v>
      </c>
      <c r="C2009" s="95">
        <v>1600</v>
      </c>
      <c r="D2009" s="95"/>
      <c r="F2009" s="108"/>
    </row>
    <row r="2010" spans="1:6" x14ac:dyDescent="0.3">
      <c r="A2010" s="111">
        <v>46281</v>
      </c>
      <c r="B2010" t="s">
        <v>222</v>
      </c>
      <c r="C2010" s="95">
        <v>6000</v>
      </c>
      <c r="D2010" s="95"/>
      <c r="E2010" t="s">
        <v>265</v>
      </c>
      <c r="F2010" s="108"/>
    </row>
    <row r="2011" spans="1:6" x14ac:dyDescent="0.3">
      <c r="A2011" s="111">
        <v>46281</v>
      </c>
      <c r="B2011" t="s">
        <v>674</v>
      </c>
      <c r="C2011" s="11">
        <v>1500</v>
      </c>
      <c r="D2011" s="11"/>
      <c r="E2011" t="s">
        <v>265</v>
      </c>
      <c r="F2011" s="108"/>
    </row>
    <row r="2012" spans="1:6" x14ac:dyDescent="0.3">
      <c r="A2012" s="111">
        <v>46281</v>
      </c>
      <c r="B2012" t="s">
        <v>219</v>
      </c>
      <c r="C2012" s="11"/>
      <c r="D2012" s="11">
        <v>48000</v>
      </c>
      <c r="E2012" t="s">
        <v>1325</v>
      </c>
      <c r="F2012" s="108"/>
    </row>
    <row r="2013" spans="1:6" x14ac:dyDescent="0.3">
      <c r="A2013" s="111">
        <v>46281</v>
      </c>
      <c r="B2013" t="s">
        <v>55</v>
      </c>
      <c r="C2013" s="11">
        <v>12529</v>
      </c>
      <c r="D2013" s="11"/>
      <c r="E2013" t="s">
        <v>259</v>
      </c>
      <c r="F2013" s="108"/>
    </row>
    <row r="2014" spans="1:6" x14ac:dyDescent="0.3">
      <c r="A2014" s="111">
        <v>46281</v>
      </c>
      <c r="B2014" t="s">
        <v>298</v>
      </c>
      <c r="C2014" s="11">
        <v>30000</v>
      </c>
      <c r="D2014" s="11"/>
      <c r="E2014" t="s">
        <v>692</v>
      </c>
      <c r="F2014" s="108"/>
    </row>
    <row r="2015" spans="1:6" x14ac:dyDescent="0.3">
      <c r="A2015" s="111">
        <v>46281</v>
      </c>
      <c r="B2015" t="s">
        <v>527</v>
      </c>
      <c r="C2015" s="11">
        <v>2000</v>
      </c>
      <c r="D2015" s="11"/>
      <c r="E2015" t="s">
        <v>1326</v>
      </c>
      <c r="F2015" s="108"/>
    </row>
    <row r="2016" spans="1:6" x14ac:dyDescent="0.3">
      <c r="A2016" s="111">
        <v>46281</v>
      </c>
      <c r="B2016" t="s">
        <v>269</v>
      </c>
      <c r="C2016" s="11">
        <v>2000</v>
      </c>
      <c r="D2016" s="11"/>
      <c r="E2016" t="s">
        <v>1278</v>
      </c>
      <c r="F2016" s="108"/>
    </row>
    <row r="2017" spans="1:6" x14ac:dyDescent="0.3">
      <c r="A2017" s="111">
        <v>46281</v>
      </c>
      <c r="B2017" t="s">
        <v>357</v>
      </c>
      <c r="C2017" s="11">
        <v>3510</v>
      </c>
      <c r="D2017" s="11"/>
      <c r="F2017" s="108"/>
    </row>
    <row r="2018" spans="1:6" x14ac:dyDescent="0.3">
      <c r="A2018" s="111">
        <v>46281</v>
      </c>
      <c r="B2018" t="s">
        <v>219</v>
      </c>
      <c r="C2018" s="11"/>
      <c r="D2018" s="11">
        <v>3510</v>
      </c>
      <c r="E2018" t="s">
        <v>113</v>
      </c>
      <c r="F2018" s="108"/>
    </row>
    <row r="2019" spans="1:6" x14ac:dyDescent="0.3">
      <c r="A2019" s="111">
        <v>46282</v>
      </c>
      <c r="B2019" t="s">
        <v>386</v>
      </c>
      <c r="C2019" s="11">
        <v>200</v>
      </c>
      <c r="D2019" s="11"/>
      <c r="E2019" t="s">
        <v>951</v>
      </c>
      <c r="F2019" s="108"/>
    </row>
    <row r="2020" spans="1:6" x14ac:dyDescent="0.3">
      <c r="A2020" s="111">
        <v>46282</v>
      </c>
      <c r="B2020" t="s">
        <v>219</v>
      </c>
      <c r="C2020" s="11"/>
      <c r="D2020" s="11">
        <v>165000</v>
      </c>
      <c r="E2020" t="s">
        <v>1328</v>
      </c>
      <c r="F2020" s="108"/>
    </row>
    <row r="2021" spans="1:6" x14ac:dyDescent="0.3">
      <c r="A2021" s="111">
        <v>46282</v>
      </c>
      <c r="B2021" t="s">
        <v>222</v>
      </c>
      <c r="C2021" s="11">
        <v>165000</v>
      </c>
      <c r="D2021" s="11"/>
      <c r="E2021" t="s">
        <v>1328</v>
      </c>
      <c r="F2021" s="108"/>
    </row>
    <row r="2022" spans="1:6" x14ac:dyDescent="0.3">
      <c r="A2022" s="111">
        <v>46282</v>
      </c>
      <c r="B2022" t="s">
        <v>298</v>
      </c>
      <c r="C2022" s="11">
        <v>45960</v>
      </c>
      <c r="D2022" s="11"/>
      <c r="E2022" t="s">
        <v>1329</v>
      </c>
      <c r="F2022" s="108"/>
    </row>
    <row r="2023" spans="1:6" x14ac:dyDescent="0.3">
      <c r="A2023" s="111">
        <v>46282</v>
      </c>
      <c r="B2023" t="s">
        <v>219</v>
      </c>
      <c r="C2023" s="11"/>
      <c r="D2023" s="11">
        <v>45960</v>
      </c>
      <c r="F2023" s="108"/>
    </row>
    <row r="2024" spans="1:6" x14ac:dyDescent="0.3">
      <c r="A2024" s="111">
        <v>46282</v>
      </c>
      <c r="B2024" t="s">
        <v>219</v>
      </c>
      <c r="C2024" s="11"/>
      <c r="D2024" s="11">
        <v>64500</v>
      </c>
      <c r="E2024" t="s">
        <v>1330</v>
      </c>
      <c r="F2024" s="108"/>
    </row>
    <row r="2025" spans="1:6" x14ac:dyDescent="0.3">
      <c r="A2025" s="111">
        <v>46282</v>
      </c>
      <c r="B2025" t="s">
        <v>253</v>
      </c>
      <c r="C2025" s="11">
        <v>55000</v>
      </c>
      <c r="D2025" s="11"/>
      <c r="E2025" t="s">
        <v>1331</v>
      </c>
      <c r="F2025" s="108"/>
    </row>
    <row r="2026" spans="1:6" x14ac:dyDescent="0.3">
      <c r="A2026" s="111">
        <v>46282</v>
      </c>
      <c r="B2026" t="s">
        <v>269</v>
      </c>
      <c r="C2026" s="11">
        <v>1000</v>
      </c>
      <c r="D2026" s="11"/>
      <c r="E2026" t="s">
        <v>580</v>
      </c>
      <c r="F2026" s="108"/>
    </row>
    <row r="2027" spans="1:6" x14ac:dyDescent="0.3">
      <c r="A2027" s="111">
        <v>46282</v>
      </c>
      <c r="B2027" t="s">
        <v>269</v>
      </c>
      <c r="C2027" s="11">
        <v>10000</v>
      </c>
      <c r="D2027" s="11"/>
      <c r="E2027" t="s">
        <v>1332</v>
      </c>
      <c r="F2027" s="108"/>
    </row>
    <row r="2028" spans="1:6" x14ac:dyDescent="0.3">
      <c r="A2028" s="111">
        <v>46282</v>
      </c>
      <c r="B2028" t="s">
        <v>219</v>
      </c>
      <c r="C2028" s="11"/>
      <c r="D2028" s="11">
        <v>10000</v>
      </c>
      <c r="E2028" t="s">
        <v>1333</v>
      </c>
      <c r="F2028" s="108"/>
    </row>
    <row r="2029" spans="1:6" x14ac:dyDescent="0.3">
      <c r="A2029" s="111">
        <v>46282</v>
      </c>
      <c r="B2029" t="s">
        <v>357</v>
      </c>
      <c r="C2029" s="11">
        <v>4290</v>
      </c>
      <c r="D2029" s="11"/>
      <c r="F2029" s="108"/>
    </row>
    <row r="2030" spans="1:6" x14ac:dyDescent="0.3">
      <c r="A2030" s="111">
        <v>46283</v>
      </c>
      <c r="B2030" t="s">
        <v>219</v>
      </c>
      <c r="C2030" s="11"/>
      <c r="D2030" s="11">
        <v>18000</v>
      </c>
      <c r="E2030" t="s">
        <v>1334</v>
      </c>
      <c r="F2030" s="108"/>
    </row>
    <row r="2031" spans="1:6" x14ac:dyDescent="0.3">
      <c r="A2031" s="111">
        <v>46283</v>
      </c>
      <c r="B2031" t="s">
        <v>55</v>
      </c>
      <c r="C2031" s="11">
        <v>14801</v>
      </c>
      <c r="D2031" s="11"/>
      <c r="E2031" t="s">
        <v>259</v>
      </c>
      <c r="F2031" s="108"/>
    </row>
    <row r="2032" spans="1:6" x14ac:dyDescent="0.3">
      <c r="A2032" s="111">
        <v>46283</v>
      </c>
      <c r="B2032" t="s">
        <v>55</v>
      </c>
      <c r="C2032" s="11">
        <v>3000</v>
      </c>
      <c r="D2032" s="11"/>
      <c r="E2032" t="s">
        <v>1335</v>
      </c>
      <c r="F2032" s="108"/>
    </row>
    <row r="2033" spans="1:6" x14ac:dyDescent="0.3">
      <c r="A2033" s="111">
        <v>46283</v>
      </c>
      <c r="B2033" t="s">
        <v>219</v>
      </c>
      <c r="C2033" s="11"/>
      <c r="D2033" s="11">
        <v>10000</v>
      </c>
      <c r="E2033" t="s">
        <v>1336</v>
      </c>
      <c r="F2033" s="108"/>
    </row>
    <row r="2034" spans="1:6" x14ac:dyDescent="0.3">
      <c r="A2034" s="111">
        <v>46283</v>
      </c>
      <c r="B2034" t="s">
        <v>269</v>
      </c>
      <c r="C2034" s="11">
        <v>10000</v>
      </c>
      <c r="D2034" s="11"/>
      <c r="E2034" t="s">
        <v>1337</v>
      </c>
      <c r="F2034" s="108"/>
    </row>
    <row r="2035" spans="1:6" x14ac:dyDescent="0.3">
      <c r="A2035" s="111">
        <v>46283</v>
      </c>
      <c r="B2035" t="s">
        <v>211</v>
      </c>
      <c r="C2035" s="11">
        <v>1600</v>
      </c>
      <c r="D2035" s="11"/>
      <c r="F2035" s="108"/>
    </row>
    <row r="2036" spans="1:6" x14ac:dyDescent="0.3">
      <c r="A2036" s="111">
        <v>46284</v>
      </c>
      <c r="B2036" t="s">
        <v>357</v>
      </c>
      <c r="C2036" s="11">
        <v>4850</v>
      </c>
      <c r="D2036" s="11"/>
      <c r="F2036" s="108"/>
    </row>
    <row r="2037" spans="1:6" x14ac:dyDescent="0.3">
      <c r="A2037" s="111">
        <v>46284</v>
      </c>
      <c r="B2037" t="s">
        <v>222</v>
      </c>
      <c r="C2037" s="11">
        <v>200000</v>
      </c>
      <c r="D2037" s="11"/>
      <c r="E2037" t="s">
        <v>1338</v>
      </c>
      <c r="F2037" s="108"/>
    </row>
    <row r="2038" spans="1:6" x14ac:dyDescent="0.3">
      <c r="A2038" s="111">
        <v>46284</v>
      </c>
      <c r="B2038" t="s">
        <v>219</v>
      </c>
      <c r="C2038" s="11"/>
      <c r="D2038" s="11">
        <v>200000</v>
      </c>
      <c r="E2038" t="s">
        <v>1338</v>
      </c>
      <c r="F2038" s="108"/>
    </row>
    <row r="2039" spans="1:6" x14ac:dyDescent="0.3">
      <c r="A2039" s="111">
        <v>46284</v>
      </c>
      <c r="B2039" t="s">
        <v>525</v>
      </c>
      <c r="C2039" s="11">
        <v>5500</v>
      </c>
      <c r="D2039" s="11"/>
      <c r="F2039" s="108"/>
    </row>
    <row r="2040" spans="1:6" x14ac:dyDescent="0.3">
      <c r="A2040" s="111">
        <v>46284</v>
      </c>
      <c r="B2040" t="s">
        <v>488</v>
      </c>
      <c r="C2040" s="11">
        <v>3200</v>
      </c>
      <c r="D2040" s="11"/>
      <c r="E2040" t="s">
        <v>1339</v>
      </c>
      <c r="F2040" s="108"/>
    </row>
    <row r="2041" spans="1:6" x14ac:dyDescent="0.3">
      <c r="A2041" s="111">
        <v>46284</v>
      </c>
      <c r="B2041" t="s">
        <v>219</v>
      </c>
      <c r="C2041" s="11"/>
      <c r="D2041" s="11">
        <v>15000</v>
      </c>
      <c r="E2041" t="s">
        <v>318</v>
      </c>
      <c r="F2041" s="108"/>
    </row>
    <row r="2042" spans="1:6" x14ac:dyDescent="0.3">
      <c r="A2042" s="111">
        <v>46284</v>
      </c>
      <c r="B2042" t="s">
        <v>253</v>
      </c>
      <c r="C2042" s="11">
        <v>50000</v>
      </c>
      <c r="D2042" s="11"/>
      <c r="E2042" t="s">
        <v>1340</v>
      </c>
      <c r="F2042" s="108"/>
    </row>
    <row r="2043" spans="1:6" x14ac:dyDescent="0.3">
      <c r="A2043" s="111">
        <v>46284</v>
      </c>
      <c r="B2043" t="s">
        <v>219</v>
      </c>
      <c r="C2043" s="11"/>
      <c r="D2043" s="11">
        <v>50000</v>
      </c>
      <c r="E2043" t="s">
        <v>1340</v>
      </c>
      <c r="F2043" s="108"/>
    </row>
    <row r="2044" spans="1:6" x14ac:dyDescent="0.3">
      <c r="A2044" s="111">
        <v>46284</v>
      </c>
      <c r="B2044" t="s">
        <v>219</v>
      </c>
      <c r="C2044" s="11"/>
      <c r="D2044" s="11">
        <v>15000</v>
      </c>
      <c r="E2044" t="s">
        <v>1341</v>
      </c>
      <c r="F2044" s="108"/>
    </row>
    <row r="2045" spans="1:6" x14ac:dyDescent="0.3">
      <c r="A2045" s="111">
        <v>46284</v>
      </c>
      <c r="B2045" t="s">
        <v>386</v>
      </c>
      <c r="C2045" s="11">
        <v>1200</v>
      </c>
      <c r="D2045" s="11"/>
      <c r="F2045" s="108"/>
    </row>
    <row r="2046" spans="1:6" x14ac:dyDescent="0.3">
      <c r="A2046" s="111">
        <v>46284</v>
      </c>
      <c r="B2046" t="s">
        <v>386</v>
      </c>
      <c r="C2046" s="11">
        <v>390</v>
      </c>
      <c r="D2046" s="11"/>
      <c r="F2046" s="108"/>
    </row>
    <row r="2047" spans="1:6" x14ac:dyDescent="0.3">
      <c r="A2047" s="111">
        <v>46284</v>
      </c>
      <c r="B2047" t="s">
        <v>269</v>
      </c>
      <c r="C2047" s="11">
        <v>15000</v>
      </c>
      <c r="D2047" s="11"/>
      <c r="E2047" t="s">
        <v>1278</v>
      </c>
      <c r="F2047" s="108"/>
    </row>
    <row r="2048" spans="1:6" x14ac:dyDescent="0.3">
      <c r="A2048" s="111">
        <v>46284</v>
      </c>
      <c r="B2048" t="s">
        <v>55</v>
      </c>
      <c r="C2048" s="11">
        <v>7100</v>
      </c>
      <c r="D2048" s="11"/>
      <c r="E2048" t="s">
        <v>1236</v>
      </c>
      <c r="F2048" s="108"/>
    </row>
    <row r="2049" spans="1:6" x14ac:dyDescent="0.3">
      <c r="A2049" s="111">
        <v>46284</v>
      </c>
      <c r="B2049" t="s">
        <v>995</v>
      </c>
      <c r="C2049" s="11"/>
      <c r="D2049" s="11">
        <v>200000</v>
      </c>
      <c r="E2049" t="s">
        <v>1342</v>
      </c>
      <c r="F2049" s="108"/>
    </row>
    <row r="2050" spans="1:6" x14ac:dyDescent="0.3">
      <c r="A2050" s="111">
        <v>46284</v>
      </c>
      <c r="B2050" t="s">
        <v>674</v>
      </c>
      <c r="C2050" s="11">
        <v>200000</v>
      </c>
      <c r="D2050" s="11"/>
      <c r="E2050" t="s">
        <v>1343</v>
      </c>
      <c r="F2050" s="108"/>
    </row>
    <row r="2051" spans="1:6" x14ac:dyDescent="0.3">
      <c r="A2051" s="111">
        <v>46284</v>
      </c>
      <c r="B2051" t="s">
        <v>211</v>
      </c>
      <c r="C2051" s="11">
        <v>270</v>
      </c>
      <c r="D2051" s="11"/>
      <c r="F2051" s="108"/>
    </row>
    <row r="2052" spans="1:6" x14ac:dyDescent="0.3">
      <c r="A2052" s="111">
        <v>46285</v>
      </c>
      <c r="B2052" t="s">
        <v>219</v>
      </c>
      <c r="C2052" s="11"/>
      <c r="D2052" s="11">
        <v>53000</v>
      </c>
      <c r="E2052" t="s">
        <v>1344</v>
      </c>
      <c r="F2052" s="108"/>
    </row>
    <row r="2053" spans="1:6" x14ac:dyDescent="0.3">
      <c r="A2053" s="111">
        <v>46285</v>
      </c>
      <c r="B2053" t="s">
        <v>55</v>
      </c>
      <c r="C2053" s="11">
        <v>2300</v>
      </c>
      <c r="D2053" s="11"/>
      <c r="F2053" s="108"/>
    </row>
    <row r="2054" spans="1:6" x14ac:dyDescent="0.3">
      <c r="A2054" s="111">
        <v>46285</v>
      </c>
      <c r="B2054" t="s">
        <v>253</v>
      </c>
      <c r="C2054" s="11">
        <v>45000</v>
      </c>
      <c r="D2054" s="11"/>
      <c r="E2054" t="s">
        <v>1345</v>
      </c>
      <c r="F2054" s="108"/>
    </row>
    <row r="2055" spans="1:6" x14ac:dyDescent="0.3">
      <c r="A2055" s="111">
        <v>46285</v>
      </c>
      <c r="B2055" t="s">
        <v>525</v>
      </c>
      <c r="C2055" s="11">
        <v>7500</v>
      </c>
      <c r="D2055" s="11"/>
      <c r="F2055" s="108"/>
    </row>
    <row r="2056" spans="1:6" x14ac:dyDescent="0.3">
      <c r="A2056" s="111">
        <v>46285</v>
      </c>
      <c r="B2056" t="s">
        <v>219</v>
      </c>
      <c r="C2056" s="11"/>
      <c r="D2056" s="11">
        <v>25000</v>
      </c>
      <c r="E2056" t="s">
        <v>1346</v>
      </c>
      <c r="F2056" s="108"/>
    </row>
    <row r="2057" spans="1:6" x14ac:dyDescent="0.3">
      <c r="A2057" s="111">
        <v>46285</v>
      </c>
      <c r="B2057" t="s">
        <v>357</v>
      </c>
      <c r="C2057" s="11">
        <v>5000</v>
      </c>
      <c r="D2057" s="11"/>
      <c r="E2057" t="s">
        <v>1347</v>
      </c>
      <c r="F2057" s="108"/>
    </row>
    <row r="2058" spans="1:6" x14ac:dyDescent="0.3">
      <c r="A2058" s="111">
        <v>46285</v>
      </c>
      <c r="B2058" t="s">
        <v>55</v>
      </c>
      <c r="C2058" s="11">
        <v>16000</v>
      </c>
      <c r="D2058" s="11"/>
      <c r="E2058" t="s">
        <v>1236</v>
      </c>
      <c r="F2058" s="108"/>
    </row>
    <row r="2059" spans="1:6" x14ac:dyDescent="0.3">
      <c r="A2059" s="111">
        <v>46285</v>
      </c>
      <c r="B2059" t="s">
        <v>357</v>
      </c>
      <c r="C2059" s="11">
        <v>4410</v>
      </c>
      <c r="D2059" s="11"/>
      <c r="F2059" s="108"/>
    </row>
    <row r="2060" spans="1:6" x14ac:dyDescent="0.3">
      <c r="A2060" s="111">
        <v>46285</v>
      </c>
      <c r="B2060" t="s">
        <v>269</v>
      </c>
      <c r="C2060" s="11">
        <v>8000</v>
      </c>
      <c r="D2060" s="11"/>
      <c r="E2060" t="s">
        <v>1348</v>
      </c>
      <c r="F2060" s="108"/>
    </row>
    <row r="2061" spans="1:6" x14ac:dyDescent="0.3">
      <c r="A2061" s="111"/>
      <c r="C2061" s="11"/>
      <c r="D2061" s="11"/>
      <c r="F2061" s="108"/>
    </row>
    <row r="2062" spans="1:6" x14ac:dyDescent="0.3">
      <c r="A2062" s="111"/>
      <c r="C2062" s="11"/>
      <c r="D2062" s="11"/>
      <c r="F2062" s="108"/>
    </row>
    <row r="2063" spans="1:6" x14ac:dyDescent="0.3">
      <c r="A2063" s="111"/>
      <c r="C2063" s="11"/>
      <c r="D2063" s="11"/>
      <c r="F2063" s="108"/>
    </row>
    <row r="2064" spans="1:6" x14ac:dyDescent="0.3">
      <c r="A2064" s="111"/>
      <c r="C2064" s="11"/>
      <c r="D2064" s="11"/>
      <c r="F2064" s="108"/>
    </row>
    <row r="2065" spans="1:6" x14ac:dyDescent="0.3">
      <c r="A2065" s="111"/>
      <c r="C2065" s="11"/>
      <c r="D2065" s="11"/>
      <c r="F2065" s="108"/>
    </row>
    <row r="2066" spans="1:6" x14ac:dyDescent="0.3">
      <c r="A2066" s="111"/>
      <c r="C2066" s="11"/>
      <c r="D2066" s="11"/>
      <c r="F2066" s="108"/>
    </row>
    <row r="2067" spans="1:6" x14ac:dyDescent="0.3">
      <c r="A2067" s="111"/>
      <c r="C2067" s="11"/>
      <c r="D2067" s="11"/>
      <c r="F2067" s="108"/>
    </row>
    <row r="2068" spans="1:6" x14ac:dyDescent="0.3">
      <c r="A2068" s="111"/>
      <c r="C2068" s="11"/>
      <c r="D2068" s="11"/>
      <c r="F2068" s="108"/>
    </row>
    <row r="2069" spans="1:6" x14ac:dyDescent="0.3">
      <c r="A2069" s="111"/>
      <c r="C2069" s="11"/>
      <c r="D2069" s="11"/>
      <c r="F2069" s="108"/>
    </row>
    <row r="2070" spans="1:6" x14ac:dyDescent="0.3">
      <c r="A2070" s="111"/>
      <c r="C2070" s="11"/>
      <c r="D2070" s="11"/>
      <c r="F2070" s="108"/>
    </row>
    <row r="2071" spans="1:6" x14ac:dyDescent="0.3">
      <c r="A2071" s="111"/>
      <c r="C2071" s="11"/>
      <c r="D2071" s="11"/>
      <c r="F2071" s="108"/>
    </row>
    <row r="2072" spans="1:6" x14ac:dyDescent="0.3">
      <c r="A2072" s="111"/>
      <c r="C2072" s="11"/>
      <c r="D2072" s="11"/>
      <c r="F2072" s="108"/>
    </row>
    <row r="2073" spans="1:6" x14ac:dyDescent="0.3">
      <c r="A2073" s="111"/>
      <c r="C2073" s="11"/>
      <c r="D2073" s="11"/>
      <c r="F2073" s="108"/>
    </row>
    <row r="2074" spans="1:6" x14ac:dyDescent="0.3">
      <c r="A2074" s="111"/>
      <c r="C2074" s="11"/>
      <c r="D2074" s="11"/>
      <c r="F2074" s="108"/>
    </row>
    <row r="2075" spans="1:6" x14ac:dyDescent="0.3">
      <c r="A2075" s="111"/>
      <c r="C2075" s="11"/>
      <c r="D2075" s="11"/>
      <c r="F2075" s="108"/>
    </row>
    <row r="2076" spans="1:6" x14ac:dyDescent="0.3">
      <c r="A2076" s="111"/>
      <c r="C2076" s="11"/>
      <c r="D2076" s="11"/>
      <c r="F2076" s="108"/>
    </row>
    <row r="2077" spans="1:6" x14ac:dyDescent="0.3">
      <c r="A2077" s="111"/>
      <c r="C2077" s="11"/>
      <c r="D2077" s="11"/>
      <c r="F2077" s="108"/>
    </row>
    <row r="2078" spans="1:6" x14ac:dyDescent="0.3">
      <c r="A2078" s="111"/>
      <c r="C2078" s="11"/>
      <c r="D2078" s="11"/>
      <c r="F2078" s="108"/>
    </row>
    <row r="2079" spans="1:6" x14ac:dyDescent="0.3">
      <c r="A2079" s="111"/>
      <c r="C2079" s="11"/>
      <c r="D2079" s="11"/>
      <c r="F2079" s="108"/>
    </row>
    <row r="2080" spans="1:6" x14ac:dyDescent="0.3">
      <c r="A2080" s="111"/>
      <c r="C2080" s="11"/>
      <c r="D2080" s="11"/>
      <c r="F2080" s="108"/>
    </row>
    <row r="2081" spans="1:6" x14ac:dyDescent="0.3">
      <c r="A2081" s="111"/>
      <c r="C2081" s="11"/>
      <c r="D2081" s="11"/>
      <c r="F2081" s="108"/>
    </row>
    <row r="2082" spans="1:6" x14ac:dyDescent="0.3">
      <c r="A2082" s="111"/>
      <c r="C2082" s="11"/>
      <c r="D2082" s="11"/>
      <c r="F2082" s="108"/>
    </row>
    <row r="2083" spans="1:6" x14ac:dyDescent="0.3">
      <c r="A2083" s="111"/>
      <c r="C2083" s="11"/>
      <c r="D2083" s="11"/>
      <c r="F2083" s="108"/>
    </row>
    <row r="2084" spans="1:6" x14ac:dyDescent="0.3">
      <c r="A2084" s="111"/>
      <c r="C2084" s="11"/>
      <c r="D2084" s="11"/>
      <c r="F2084" s="108"/>
    </row>
    <row r="2085" spans="1:6" x14ac:dyDescent="0.3">
      <c r="A2085" s="111"/>
      <c r="C2085" s="11"/>
      <c r="D2085" s="11"/>
      <c r="F2085" s="108"/>
    </row>
    <row r="2086" spans="1:6" x14ac:dyDescent="0.3">
      <c r="A2086" s="111"/>
      <c r="C2086" s="11"/>
      <c r="D2086" s="11"/>
      <c r="F2086" s="108"/>
    </row>
    <row r="2087" spans="1:6" x14ac:dyDescent="0.3">
      <c r="A2087" s="111"/>
      <c r="C2087" s="11"/>
      <c r="D2087" s="11"/>
      <c r="F2087" s="108"/>
    </row>
    <row r="2088" spans="1:6" x14ac:dyDescent="0.3">
      <c r="A2088" s="111"/>
      <c r="C2088" s="11"/>
      <c r="D2088" s="11"/>
      <c r="F2088" s="108"/>
    </row>
    <row r="2089" spans="1:6" x14ac:dyDescent="0.3">
      <c r="A2089" s="111"/>
      <c r="C2089" s="11"/>
      <c r="D2089" s="11"/>
      <c r="F2089" s="108"/>
    </row>
    <row r="2090" spans="1:6" x14ac:dyDescent="0.3">
      <c r="A2090" s="111"/>
      <c r="C2090" s="11"/>
      <c r="D2090" s="11"/>
      <c r="F2090" s="108"/>
    </row>
    <row r="2091" spans="1:6" x14ac:dyDescent="0.3">
      <c r="A2091" s="38"/>
      <c r="C2091" s="11"/>
      <c r="D2091" s="11"/>
      <c r="F2091" s="108"/>
    </row>
    <row r="2092" spans="1:6" x14ac:dyDescent="0.3">
      <c r="A2092" s="111"/>
      <c r="C2092" s="95"/>
      <c r="D2092" s="95"/>
      <c r="F2092" s="108"/>
    </row>
    <row r="2093" spans="1:6" x14ac:dyDescent="0.3">
      <c r="A2093" s="38"/>
      <c r="C2093" s="14">
        <f>SUBTOTAL(109,Table14[Debit])</f>
        <v>70650521.680000007</v>
      </c>
      <c r="D2093" s="14">
        <f>SUBTOTAL(109,Table14[Credit])</f>
        <v>70594911.229517192</v>
      </c>
      <c r="F2093" s="54">
        <f>(Table14[[#Totals],[Credit]]-Table14[[#Totals],[Debit]])</f>
        <v>-55610.450482815504</v>
      </c>
    </row>
  </sheetData>
  <phoneticPr fontId="4" type="noConversion"/>
  <hyperlinks>
    <hyperlink ref="E1493"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34"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c r="B57" s="1"/>
      <c r="F57">
        <f>Table2[[#This Row],[Quantity]]*200*Table2[[#This Row],[Boxes]]</f>
        <v>0</v>
      </c>
      <c r="G57">
        <f>SUMIFS(Table14[Debit], Table14[Date], Table2[[#This Row],[Date]], Table14[Party], Table2[[#This Row],[Party Name]])</f>
        <v>0</v>
      </c>
      <c r="H57">
        <f>Table2[[#This Row],[Price]]-Table2[[#This Row],[Paid]]</f>
        <v>0</v>
      </c>
    </row>
    <row r="58" spans="1:8" x14ac:dyDescent="0.3">
      <c r="A58" s="1"/>
      <c r="B58" s="1"/>
      <c r="F58">
        <f>Table2[[#This Row],[Quantity]]*200*Table2[[#This Row],[Boxes]]</f>
        <v>0</v>
      </c>
      <c r="G58">
        <f>SUMIFS(Table14[Debit], Table14[Date], Table2[[#This Row],[Date]], Table14[Party], Table2[[#This Row],[Party Name]])</f>
        <v>0</v>
      </c>
      <c r="H58">
        <f>Table2[[#This Row],[Price]]-Table2[[#This Row],[Paid]]</f>
        <v>0</v>
      </c>
    </row>
    <row r="59" spans="1:8" x14ac:dyDescent="0.3">
      <c r="A59" s="1"/>
      <c r="F59">
        <f>SUBTOTAL(109,Table2[Price])</f>
        <v>1719150</v>
      </c>
      <c r="G59">
        <f>SUBTOTAL(109,Table2[Paid])</f>
        <v>1637775</v>
      </c>
      <c r="H59">
        <f>SUBTOTAL(109,Table2[Balance])</f>
        <v>502375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8" workbookViewId="0">
      <selection activeCell="B204" sqref="B204:B229"/>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24489</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7100</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0</v>
      </c>
      <c r="H218" s="1">
        <v>46288</v>
      </c>
      <c r="J218">
        <f>SUMIFS(Table14[Debit], Table14[Date], Table15[[#This Row],[Date]], Table14[Party], "Parts")</f>
        <v>0</v>
      </c>
    </row>
    <row r="219" spans="2:10" x14ac:dyDescent="0.3">
      <c r="B219" s="1">
        <v>46289</v>
      </c>
      <c r="D219">
        <f>SUMIFS(Table14[Debit], Table14[Date], Table5[[#This Row],[Date]], Table14[Party], "Rashan")</f>
        <v>0</v>
      </c>
      <c r="H219" s="1">
        <v>46289</v>
      </c>
      <c r="J219">
        <f>SUMIFS(Table14[Debit], Table14[Date], Table15[[#This Row],[Date]], Table14[Party], "Parts")</f>
        <v>0</v>
      </c>
    </row>
    <row r="220" spans="2:10" x14ac:dyDescent="0.3">
      <c r="B220" s="1">
        <v>46290</v>
      </c>
      <c r="D220">
        <f>SUMIFS(Table14[Debit], Table14[Date], Table5[[#This Row],[Date]], Table14[Party], "Rashan")</f>
        <v>0</v>
      </c>
      <c r="H220" s="1">
        <v>46290</v>
      </c>
      <c r="J220">
        <f>SUMIFS(Table14[Debit], Table14[Date], Table15[[#This Row],[Date]], Table14[Party], "Parts")</f>
        <v>0</v>
      </c>
    </row>
    <row r="221" spans="2:10" x14ac:dyDescent="0.3">
      <c r="B221" s="1">
        <v>46291</v>
      </c>
      <c r="D221">
        <f>SUMIFS(Table14[Debit], Table14[Date], Table5[[#This Row],[Date]], Table14[Party], "Rashan")</f>
        <v>0</v>
      </c>
      <c r="H221" s="1">
        <v>46291</v>
      </c>
      <c r="J221">
        <f>SUMIFS(Table14[Debit], Table14[Date], Table15[[#This Row],[Date]], Table14[Party], "Parts")</f>
        <v>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0</v>
      </c>
      <c r="H223" s="1">
        <v>46293</v>
      </c>
      <c r="J223">
        <f>SUMIFS(Table14[Debit], Table14[Date], Table15[[#This Row],[Date]], Table14[Party], "Parts")</f>
        <v>0</v>
      </c>
    </row>
    <row r="224" spans="2:10" x14ac:dyDescent="0.3">
      <c r="B224" s="1">
        <v>46294</v>
      </c>
      <c r="D224">
        <f>SUMIFS(Table14[Debit], Table14[Date], Table5[[#This Row],[Date]], Table14[Party], "Rashan")</f>
        <v>0</v>
      </c>
      <c r="H224" s="1">
        <v>46294</v>
      </c>
      <c r="J224">
        <f>SUMIFS(Table14[Debit], Table14[Date], Table15[[#This Row],[Date]], Table14[Party], "Parts")</f>
        <v>0</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616670</v>
      </c>
      <c r="H230" s="1">
        <v>46300</v>
      </c>
      <c r="J230">
        <f>SUMIFS(Table14[Debit], Table14[Date], Table15[[#This Row],[Date]], Table14[Party], "Parts")</f>
        <v>0</v>
      </c>
    </row>
    <row r="231" spans="2:10" x14ac:dyDescent="0.3">
      <c r="H231" s="1"/>
      <c r="J231">
        <f>SUM(Table15[Amount])</f>
        <v>4312701</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4" sqref="C4"/>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10146441.493050475</v>
      </c>
      <c r="C17" s="102">
        <f>Billing!AH36</f>
        <v>121107.8851499632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2026-09-22T10:21:17Z</dcterms:modified>
  <cp:category/>
  <cp:contentStatus/>
</cp:coreProperties>
</file>